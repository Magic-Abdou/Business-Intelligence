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slicers/slicer2.xml" ContentType="application/vnd.ms-excel.slicer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lenovo\Documents\DM_Econometrie\"/>
    </mc:Choice>
  </mc:AlternateContent>
  <bookViews>
    <workbookView xWindow="-105" yWindow="-105" windowWidth="23250" windowHeight="12570" firstSheet="3" activeTab="8"/>
  </bookViews>
  <sheets>
    <sheet name="tp1-5 graphique" sheetId="12" r:id="rId1"/>
    <sheet name="tp1-3" sheetId="2" r:id="rId2"/>
    <sheet name="Feuil5" sheetId="19" r:id="rId3"/>
    <sheet name="Feuil2" sheetId="21" r:id="rId4"/>
    <sheet name="coronavirus politologue com-pay" sheetId="8" r:id="rId5"/>
    <sheet name="Feuil3" sheetId="15" r:id="rId6"/>
    <sheet name="Feuil1" sheetId="16" r:id="rId7"/>
    <sheet name="details" sheetId="20" r:id="rId8"/>
    <sheet name="principal_" sheetId="18" r:id="rId9"/>
  </sheets>
  <definedNames>
    <definedName name="DonnéesExternes_1" localSheetId="4" hidden="1">'coronavirus politologue com-pay'!$A$1:$H$6373</definedName>
    <definedName name="Segment_Pays">#N/A</definedName>
    <definedName name="Segment_Pays1">#N/A</definedName>
  </definedNames>
  <calcPr calcId="162913"/>
  <pivotCaches>
    <pivotCache cacheId="6" r:id="rId10"/>
  </pivotCaches>
  <extLst>
    <ext xmlns:x14="http://schemas.microsoft.com/office/spreadsheetml/2009/9/main" uri="{876F7934-8845-4945-9796-88D515C7AA90}">
      <x14:pivotCaches>
        <pivotCache cacheId="7" r:id="rId11"/>
      </x14:pivotCaches>
    </ext>
    <ext xmlns:x14="http://schemas.microsoft.com/office/spreadsheetml/2009/9/main" uri="{BBE1A952-AA13-448e-AADC-164F8A28A991}">
      <x14:slicerCaches>
        <x14:slicerCache r:id="rId12"/>
        <x14:slicerCache r:id="rId13"/>
      </x14:slicerCach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L7" i="18" l="1"/>
  <c r="I7" i="18"/>
  <c r="F7" i="18"/>
  <c r="E6375" i="8"/>
  <c r="D6375" i="8"/>
  <c r="C6375" i="8"/>
  <c r="D208" i="19"/>
  <c r="E208" i="19"/>
  <c r="C208" i="19"/>
  <c r="J10" i="20" l="1"/>
  <c r="F7" i="20"/>
  <c r="L7" i="20"/>
  <c r="I7" i="20"/>
</calcChain>
</file>

<file path=xl/connections.xml><?xml version="1.0" encoding="utf-8"?>
<connections xmlns="http://schemas.openxmlformats.org/spreadsheetml/2006/main">
  <connection id="1" keepAlive="1" name="Requête - coronavirus politologue com-data-2021-11-11" description="Connexion à la requête « coronavirus politologue com-data-2021-11-11 » dans le classeur." type="5" refreshedVersion="0" background="1">
    <dbPr connection="Provider=Microsoft.Mashup.OleDb.1;Data Source=$Workbook$;Location=&quot;coronavirus politologue com-data-2021-11-11&quot;;Extended Properties=&quot;&quot;" command="SELECT * FROM [coronavirus politologue com-data-2021-11-11]"/>
  </connection>
  <connection id="2" keepAlive="1" name="Requête - coronavirus politologue com-global-2021-11-11(1)" description="Connexion à la requête « coronavirus politologue com-global-2021-11-11 » dans le classeur." type="5" refreshedVersion="0" background="1">
    <dbPr connection="Provider=Microsoft.Mashup.OleDb.1;Data Source=$Workbook$;Location=&quot;coronavirus politologue com-global-2021-11-11&quot;;Extended Properties=&quot;&quot;" command="SELECT * FROM [coronavirus politologue com-global-2021-11-11]"/>
  </connection>
  <connection id="3" keepAlive="1" name="Requête - coronavirus politologue com-pays-2021-11-11 (2)" description="Connexion à la requête « coronavirus politologue com-pays-2021-11-11 (2) » dans le classeur." type="5" refreshedVersion="7" background="1" saveData="1">
    <dbPr connection="Provider=Microsoft.Mashup.OleDb.1;Data Source=$Workbook$;Location=coronavirus politologue com-pays-2021-11-11 (2);Extended Properties=&quot;&quot;" command="SELECT * FROM [coronavirus politologue com-pays-2021-11-11 (2)]"/>
  </connection>
</connections>
</file>

<file path=xl/sharedStrings.xml><?xml version="1.0" encoding="utf-8"?>
<sst xmlns="http://schemas.openxmlformats.org/spreadsheetml/2006/main" count="33179" uniqueCount="1175">
  <si>
    <t>Abidjan</t>
  </si>
  <si>
    <t xml:space="preserve"> Bondoukou</t>
  </si>
  <si>
    <t>Abengourou</t>
  </si>
  <si>
    <t xml:space="preserve"> Tabou</t>
  </si>
  <si>
    <t>Odienné</t>
  </si>
  <si>
    <t>Ventes</t>
  </si>
  <si>
    <t>Achats</t>
  </si>
  <si>
    <t>Bamako</t>
  </si>
  <si>
    <t>Conakry</t>
  </si>
  <si>
    <t>Dakar</t>
  </si>
  <si>
    <t>Yaoudé</t>
  </si>
  <si>
    <t>Monrovia</t>
  </si>
  <si>
    <t>Yamoussoukro</t>
  </si>
  <si>
    <t>Lagos</t>
  </si>
  <si>
    <t>Niamey</t>
  </si>
  <si>
    <t>Bouaké</t>
  </si>
  <si>
    <t>Daloa</t>
  </si>
  <si>
    <t>Man</t>
  </si>
  <si>
    <t>Date</t>
  </si>
  <si>
    <t>Pays</t>
  </si>
  <si>
    <t>Infections</t>
  </si>
  <si>
    <t>Deces</t>
  </si>
  <si>
    <t>Guerisons</t>
  </si>
  <si>
    <t>TauxDeces</t>
  </si>
  <si>
    <t>TauxGuerison</t>
  </si>
  <si>
    <t>TauxInfection</t>
  </si>
  <si>
    <t>2021-11-11</t>
  </si>
  <si>
    <t>Andorre</t>
  </si>
  <si>
    <t>0.83</t>
  </si>
  <si>
    <t>0.00</t>
  </si>
  <si>
    <t>99.17</t>
  </si>
  <si>
    <t>Émirats Arabes Unis</t>
  </si>
  <si>
    <t>0.29</t>
  </si>
  <si>
    <t>99.71</t>
  </si>
  <si>
    <t>Afghanistan</t>
  </si>
  <si>
    <t>4.66</t>
  </si>
  <si>
    <t>95.34</t>
  </si>
  <si>
    <t>Antigua-et-Barbuda</t>
  </si>
  <si>
    <t>2.56</t>
  </si>
  <si>
    <t>97.44</t>
  </si>
  <si>
    <t>Albanie</t>
  </si>
  <si>
    <t>1.56</t>
  </si>
  <si>
    <t>98.44</t>
  </si>
  <si>
    <t>Arménie</t>
  </si>
  <si>
    <t>2.11</t>
  </si>
  <si>
    <t>97.89</t>
  </si>
  <si>
    <t>Angola</t>
  </si>
  <si>
    <t>2.66</t>
  </si>
  <si>
    <t>97.34</t>
  </si>
  <si>
    <t>Argentine</t>
  </si>
  <si>
    <t>2.19</t>
  </si>
  <si>
    <t>97.81</t>
  </si>
  <si>
    <t>Autriche</t>
  </si>
  <si>
    <t>1.27</t>
  </si>
  <si>
    <t>98.73</t>
  </si>
  <si>
    <t>Australie</t>
  </si>
  <si>
    <t>1.00</t>
  </si>
  <si>
    <t>99.00</t>
  </si>
  <si>
    <t>Azerbaïdjan</t>
  </si>
  <si>
    <t>1.33</t>
  </si>
  <si>
    <t>98.67</t>
  </si>
  <si>
    <t>Bosnie-Herzégovine</t>
  </si>
  <si>
    <t>4.54</t>
  </si>
  <si>
    <t>95.46</t>
  </si>
  <si>
    <t>Barbade</t>
  </si>
  <si>
    <t>0.89</t>
  </si>
  <si>
    <t>99.11</t>
  </si>
  <si>
    <t>Bangladesh</t>
  </si>
  <si>
    <t>1.78</t>
  </si>
  <si>
    <t>98.22</t>
  </si>
  <si>
    <t>Belgique</t>
  </si>
  <si>
    <t>1.79</t>
  </si>
  <si>
    <t>98.21</t>
  </si>
  <si>
    <t>Burkina Faso</t>
  </si>
  <si>
    <t>1.53</t>
  </si>
  <si>
    <t>98.47</t>
  </si>
  <si>
    <t>Bulgarie</t>
  </si>
  <si>
    <t>3.98</t>
  </si>
  <si>
    <t>96.02</t>
  </si>
  <si>
    <t>Bahreïn</t>
  </si>
  <si>
    <t>0.50</t>
  </si>
  <si>
    <t>99.50</t>
  </si>
  <si>
    <t>Burundi</t>
  </si>
  <si>
    <t>0.19</t>
  </si>
  <si>
    <t>99.81</t>
  </si>
  <si>
    <t>Bénin</t>
  </si>
  <si>
    <t>0.65</t>
  </si>
  <si>
    <t>99.35</t>
  </si>
  <si>
    <t>Saint Barthélemy</t>
  </si>
  <si>
    <t>0.36</t>
  </si>
  <si>
    <t>99.64</t>
  </si>
  <si>
    <t>Brunéi Darussalam</t>
  </si>
  <si>
    <t>0.67</t>
  </si>
  <si>
    <t>99.33</t>
  </si>
  <si>
    <t>Bolivie</t>
  </si>
  <si>
    <t>3.65</t>
  </si>
  <si>
    <t>96.35</t>
  </si>
  <si>
    <t>Brésil</t>
  </si>
  <si>
    <t>2.78</t>
  </si>
  <si>
    <t>97.22</t>
  </si>
  <si>
    <t>Bahamas</t>
  </si>
  <si>
    <t>2.93</t>
  </si>
  <si>
    <t>97.07</t>
  </si>
  <si>
    <t>Bhoutan</t>
  </si>
  <si>
    <t>0.11</t>
  </si>
  <si>
    <t>99.89</t>
  </si>
  <si>
    <t>Botswana</t>
  </si>
  <si>
    <t>1.25</t>
  </si>
  <si>
    <t>98.75</t>
  </si>
  <si>
    <t>Bélarus</t>
  </si>
  <si>
    <t>0.77</t>
  </si>
  <si>
    <t>99.23</t>
  </si>
  <si>
    <t>Belize</t>
  </si>
  <si>
    <t>1.86</t>
  </si>
  <si>
    <t>98.14</t>
  </si>
  <si>
    <t>Canada</t>
  </si>
  <si>
    <t>1.68</t>
  </si>
  <si>
    <t>98.32</t>
  </si>
  <si>
    <t>Rép. Dém. du Congo</t>
  </si>
  <si>
    <t>1.91</t>
  </si>
  <si>
    <t>98.09</t>
  </si>
  <si>
    <t>République Centrafricaine</t>
  </si>
  <si>
    <t>0.86</t>
  </si>
  <si>
    <t>99.14</t>
  </si>
  <si>
    <t>Congo (Brazzaville)</t>
  </si>
  <si>
    <t>1.70</t>
  </si>
  <si>
    <t>98.30</t>
  </si>
  <si>
    <t>Suisse</t>
  </si>
  <si>
    <t>Côte d'Ivoire</t>
  </si>
  <si>
    <t>1.14</t>
  </si>
  <si>
    <t>98.86</t>
  </si>
  <si>
    <t>Chili</t>
  </si>
  <si>
    <t>2.21</t>
  </si>
  <si>
    <t>97.79</t>
  </si>
  <si>
    <t>Cameroun</t>
  </si>
  <si>
    <t>1.66</t>
  </si>
  <si>
    <t>98.34</t>
  </si>
  <si>
    <t>Chine</t>
  </si>
  <si>
    <t>4.73</t>
  </si>
  <si>
    <t>95.27</t>
  </si>
  <si>
    <t>Colombie</t>
  </si>
  <si>
    <t>2.54</t>
  </si>
  <si>
    <t>97.46</t>
  </si>
  <si>
    <t>Costa Rica</t>
  </si>
  <si>
    <t>Cuba</t>
  </si>
  <si>
    <t>Cap-vert</t>
  </si>
  <si>
    <t>0.91</t>
  </si>
  <si>
    <t>99.09</t>
  </si>
  <si>
    <t>Chypre</t>
  </si>
  <si>
    <t>0.46</t>
  </si>
  <si>
    <t>99.54</t>
  </si>
  <si>
    <t>République Tchèque</t>
  </si>
  <si>
    <t>1.69</t>
  </si>
  <si>
    <t>98.31</t>
  </si>
  <si>
    <t>Allemagne</t>
  </si>
  <si>
    <t>1.98</t>
  </si>
  <si>
    <t>98.02</t>
  </si>
  <si>
    <t>Djibouti</t>
  </si>
  <si>
    <t>1.38</t>
  </si>
  <si>
    <t>98.62</t>
  </si>
  <si>
    <t>Danemark</t>
  </si>
  <si>
    <t>Dominique</t>
  </si>
  <si>
    <t>0.66</t>
  </si>
  <si>
    <t>99.34</t>
  </si>
  <si>
    <t>République Dominicaine</t>
  </si>
  <si>
    <t>1.06</t>
  </si>
  <si>
    <t>98.94</t>
  </si>
  <si>
    <t>Algérie</t>
  </si>
  <si>
    <t>2.87</t>
  </si>
  <si>
    <t>97.13</t>
  </si>
  <si>
    <t>Équateur</t>
  </si>
  <si>
    <t>6.35</t>
  </si>
  <si>
    <t>93.65</t>
  </si>
  <si>
    <t>Estonie</t>
  </si>
  <si>
    <t>0.79</t>
  </si>
  <si>
    <t>99.21</t>
  </si>
  <si>
    <t>Égypte</t>
  </si>
  <si>
    <t>5.66</t>
  </si>
  <si>
    <t>94.34</t>
  </si>
  <si>
    <t>Érythrée</t>
  </si>
  <si>
    <t>0.69</t>
  </si>
  <si>
    <t>99.31</t>
  </si>
  <si>
    <t>Espagne</t>
  </si>
  <si>
    <t>1.74</t>
  </si>
  <si>
    <t>98.26</t>
  </si>
  <si>
    <t>Éthiopie</t>
  </si>
  <si>
    <t>Finlande</t>
  </si>
  <si>
    <t>0.73</t>
  </si>
  <si>
    <t>99.27</t>
  </si>
  <si>
    <t>Fidji</t>
  </si>
  <si>
    <t>1.30</t>
  </si>
  <si>
    <t>98.70</t>
  </si>
  <si>
    <t>Îles Féroé</t>
  </si>
  <si>
    <t>0.22</t>
  </si>
  <si>
    <t>99.78</t>
  </si>
  <si>
    <t>France</t>
  </si>
  <si>
    <t>1.64</t>
  </si>
  <si>
    <t>98.36</t>
  </si>
  <si>
    <t>Gabon</t>
  </si>
  <si>
    <t>0.72</t>
  </si>
  <si>
    <t>99.28</t>
  </si>
  <si>
    <t>Royaume-Uni</t>
  </si>
  <si>
    <t>1.51</t>
  </si>
  <si>
    <t>98.49</t>
  </si>
  <si>
    <t>Grenade</t>
  </si>
  <si>
    <t>3.41</t>
  </si>
  <si>
    <t>96.59</t>
  </si>
  <si>
    <t>Géorgie</t>
  </si>
  <si>
    <t>1.39</t>
  </si>
  <si>
    <t>98.61</t>
  </si>
  <si>
    <t>Guyane Française</t>
  </si>
  <si>
    <t>0.70</t>
  </si>
  <si>
    <t>99.30</t>
  </si>
  <si>
    <t>Ghana</t>
  </si>
  <si>
    <t>0.92</t>
  </si>
  <si>
    <t>99.08</t>
  </si>
  <si>
    <t>Gibraltar</t>
  </si>
  <si>
    <t>1.57</t>
  </si>
  <si>
    <t>98.43</t>
  </si>
  <si>
    <t>Gambie</t>
  </si>
  <si>
    <t>3.42</t>
  </si>
  <si>
    <t>96.58</t>
  </si>
  <si>
    <t>Guinée</t>
  </si>
  <si>
    <t>1.26</t>
  </si>
  <si>
    <t>98.74</t>
  </si>
  <si>
    <t>Guadeloupe</t>
  </si>
  <si>
    <t>1.50</t>
  </si>
  <si>
    <t>98.50</t>
  </si>
  <si>
    <t>Guinée Équatoriale</t>
  </si>
  <si>
    <t>Grèce</t>
  </si>
  <si>
    <t>2.04</t>
  </si>
  <si>
    <t>97.96</t>
  </si>
  <si>
    <t>Guatemala</t>
  </si>
  <si>
    <t>Guinée-Bissau</t>
  </si>
  <si>
    <t>2.31</t>
  </si>
  <si>
    <t>97.69</t>
  </si>
  <si>
    <t>Guyana</t>
  </si>
  <si>
    <t>2.61</t>
  </si>
  <si>
    <t>97.39</t>
  </si>
  <si>
    <t>Hong-Kong</t>
  </si>
  <si>
    <t>1.72</t>
  </si>
  <si>
    <t>98.28</t>
  </si>
  <si>
    <t>Honduras</t>
  </si>
  <si>
    <t>2.74</t>
  </si>
  <si>
    <t>97.26</t>
  </si>
  <si>
    <t>Croatie</t>
  </si>
  <si>
    <t>1.88</t>
  </si>
  <si>
    <t>98.12</t>
  </si>
  <si>
    <t>Haïti</t>
  </si>
  <si>
    <t>2.90</t>
  </si>
  <si>
    <t>97.10</t>
  </si>
  <si>
    <t>Hongrie</t>
  </si>
  <si>
    <t>3.43</t>
  </si>
  <si>
    <t>96.57</t>
  </si>
  <si>
    <t>Indonésie</t>
  </si>
  <si>
    <t>3.38</t>
  </si>
  <si>
    <t>96.62</t>
  </si>
  <si>
    <t>Irlande</t>
  </si>
  <si>
    <t>1.16</t>
  </si>
  <si>
    <t>98.84</t>
  </si>
  <si>
    <t>Israël</t>
  </si>
  <si>
    <t>0.61</t>
  </si>
  <si>
    <t>99.39</t>
  </si>
  <si>
    <t>Inde</t>
  </si>
  <si>
    <t>1.34</t>
  </si>
  <si>
    <t>98.66</t>
  </si>
  <si>
    <t>Iraq</t>
  </si>
  <si>
    <t>1.13</t>
  </si>
  <si>
    <t>98.87</t>
  </si>
  <si>
    <t>Iran</t>
  </si>
  <si>
    <t>2.12</t>
  </si>
  <si>
    <t>97.88</t>
  </si>
  <si>
    <t>Islande</t>
  </si>
  <si>
    <t>0.23</t>
  </si>
  <si>
    <t>99.77</t>
  </si>
  <si>
    <t>Italie</t>
  </si>
  <si>
    <t>2.75</t>
  </si>
  <si>
    <t>97.25</t>
  </si>
  <si>
    <t>Jamaïque</t>
  </si>
  <si>
    <t>Jordanie</t>
  </si>
  <si>
    <t>Japon</t>
  </si>
  <si>
    <t>Kenya</t>
  </si>
  <si>
    <t>2.09</t>
  </si>
  <si>
    <t>97.91</t>
  </si>
  <si>
    <t>Kirghizistan</t>
  </si>
  <si>
    <t>1.48</t>
  </si>
  <si>
    <t>98.52</t>
  </si>
  <si>
    <t>Cambodge</t>
  </si>
  <si>
    <t>2.39</t>
  </si>
  <si>
    <t>97.61</t>
  </si>
  <si>
    <t>Kiribati</t>
  </si>
  <si>
    <t>100.00</t>
  </si>
  <si>
    <t>Comores</t>
  </si>
  <si>
    <t>Saint-Kitts-et-Nevis</t>
  </si>
  <si>
    <t>0.99</t>
  </si>
  <si>
    <t>99.01</t>
  </si>
  <si>
    <t>Corée du Sud</t>
  </si>
  <si>
    <t>0.78</t>
  </si>
  <si>
    <t>99.22</t>
  </si>
  <si>
    <t>Koweït</t>
  </si>
  <si>
    <t>0.60</t>
  </si>
  <si>
    <t>99.40</t>
  </si>
  <si>
    <t>Kazakhstan</t>
  </si>
  <si>
    <t>Laos</t>
  </si>
  <si>
    <t>0.18</t>
  </si>
  <si>
    <t>99.82</t>
  </si>
  <si>
    <t>Liban</t>
  </si>
  <si>
    <t>1.32</t>
  </si>
  <si>
    <t>98.68</t>
  </si>
  <si>
    <t>Sainte-Lucie</t>
  </si>
  <si>
    <t>2.07</t>
  </si>
  <si>
    <t>97.93</t>
  </si>
  <si>
    <t>Liechtenstein</t>
  </si>
  <si>
    <t>1.60</t>
  </si>
  <si>
    <t>98.40</t>
  </si>
  <si>
    <t>Sri Lanka</t>
  </si>
  <si>
    <t>Libéria</t>
  </si>
  <si>
    <t>4.93</t>
  </si>
  <si>
    <t>95.07</t>
  </si>
  <si>
    <t>Lesotho</t>
  </si>
  <si>
    <t>3.04</t>
  </si>
  <si>
    <t>96.96</t>
  </si>
  <si>
    <t>Lituanie</t>
  </si>
  <si>
    <t>1.43</t>
  </si>
  <si>
    <t>98.57</t>
  </si>
  <si>
    <t>Luxembourg</t>
  </si>
  <si>
    <t>1.02</t>
  </si>
  <si>
    <t>98.98</t>
  </si>
  <si>
    <t>Lettonie</t>
  </si>
  <si>
    <t>Libye</t>
  </si>
  <si>
    <t>1.44</t>
  </si>
  <si>
    <t>98.56</t>
  </si>
  <si>
    <t>Maroc</t>
  </si>
  <si>
    <t>1.55</t>
  </si>
  <si>
    <t>98.45</t>
  </si>
  <si>
    <t>Monaco</t>
  </si>
  <si>
    <t>1.04</t>
  </si>
  <si>
    <t>98.96</t>
  </si>
  <si>
    <t>Moldavie</t>
  </si>
  <si>
    <t>2.36</t>
  </si>
  <si>
    <t>97.64</t>
  </si>
  <si>
    <t>Montenegro</t>
  </si>
  <si>
    <t>1.45</t>
  </si>
  <si>
    <t>98.55</t>
  </si>
  <si>
    <t>Saint Martin</t>
  </si>
  <si>
    <t>1.41</t>
  </si>
  <si>
    <t>98.59</t>
  </si>
  <si>
    <t>Madagascar</t>
  </si>
  <si>
    <t>Îles Marshall</t>
  </si>
  <si>
    <t>Macédoine</t>
  </si>
  <si>
    <t>3.51</t>
  </si>
  <si>
    <t>96.49</t>
  </si>
  <si>
    <t>Mali</t>
  </si>
  <si>
    <t>3.52</t>
  </si>
  <si>
    <t>96.48</t>
  </si>
  <si>
    <t>Birmanie</t>
  </si>
  <si>
    <t>3.70</t>
  </si>
  <si>
    <t>96.30</t>
  </si>
  <si>
    <t>Mongolie</t>
  </si>
  <si>
    <t>Macao</t>
  </si>
  <si>
    <t>Martinique</t>
  </si>
  <si>
    <t>1.59</t>
  </si>
  <si>
    <t>98.41</t>
  </si>
  <si>
    <t>Mauritanie</t>
  </si>
  <si>
    <t>Malte</t>
  </si>
  <si>
    <t>1.22</t>
  </si>
  <si>
    <t>98.78</t>
  </si>
  <si>
    <t>Maurice</t>
  </si>
  <si>
    <t>Maldives</t>
  </si>
  <si>
    <t>0.28</t>
  </si>
  <si>
    <t>99.72</t>
  </si>
  <si>
    <t>Malawi</t>
  </si>
  <si>
    <t>3.72</t>
  </si>
  <si>
    <t>96.28</t>
  </si>
  <si>
    <t>Mexique</t>
  </si>
  <si>
    <t>7.57</t>
  </si>
  <si>
    <t>92.43</t>
  </si>
  <si>
    <t>Malaisie</t>
  </si>
  <si>
    <t>1.17</t>
  </si>
  <si>
    <t>98.83</t>
  </si>
  <si>
    <t>Mozambique</t>
  </si>
  <si>
    <t>1.28</t>
  </si>
  <si>
    <t>98.72</t>
  </si>
  <si>
    <t>Namibie</t>
  </si>
  <si>
    <t>2.76</t>
  </si>
  <si>
    <t>97.24</t>
  </si>
  <si>
    <t>Nouvelle-Calédonie</t>
  </si>
  <si>
    <t>Niger</t>
  </si>
  <si>
    <t>3.45</t>
  </si>
  <si>
    <t>96.55</t>
  </si>
  <si>
    <t>Nigéria</t>
  </si>
  <si>
    <t>1.37</t>
  </si>
  <si>
    <t>98.63</t>
  </si>
  <si>
    <t>Nicaragua</t>
  </si>
  <si>
    <t>1.24</t>
  </si>
  <si>
    <t>98.76</t>
  </si>
  <si>
    <t>Pays-Bas</t>
  </si>
  <si>
    <t>0.84</t>
  </si>
  <si>
    <t>99.16</t>
  </si>
  <si>
    <t>Norvège</t>
  </si>
  <si>
    <t>0.43</t>
  </si>
  <si>
    <t>99.57</t>
  </si>
  <si>
    <t>Népal</t>
  </si>
  <si>
    <t>1.40</t>
  </si>
  <si>
    <t>98.60</t>
  </si>
  <si>
    <t>Nouvelle-Zélande</t>
  </si>
  <si>
    <t>0.41</t>
  </si>
  <si>
    <t>99.59</t>
  </si>
  <si>
    <t>Oman</t>
  </si>
  <si>
    <t>1.35</t>
  </si>
  <si>
    <t>98.65</t>
  </si>
  <si>
    <t>Panama</t>
  </si>
  <si>
    <t>Pérou</t>
  </si>
  <si>
    <t>9.07</t>
  </si>
  <si>
    <t>90.93</t>
  </si>
  <si>
    <t>Polynésie Française</t>
  </si>
  <si>
    <t>Papouasie-Nouvelle-Guinée</t>
  </si>
  <si>
    <t>1.29</t>
  </si>
  <si>
    <t>98.71</t>
  </si>
  <si>
    <t>Philippines</t>
  </si>
  <si>
    <t>Pakistan</t>
  </si>
  <si>
    <t>2.23</t>
  </si>
  <si>
    <t>97.77</t>
  </si>
  <si>
    <t>Pologne</t>
  </si>
  <si>
    <t>2.49</t>
  </si>
  <si>
    <t>97.51</t>
  </si>
  <si>
    <t>Palestine</t>
  </si>
  <si>
    <t>Portugal</t>
  </si>
  <si>
    <t>Palaos</t>
  </si>
  <si>
    <t>Paraguay</t>
  </si>
  <si>
    <t>3.53</t>
  </si>
  <si>
    <t>96.47</t>
  </si>
  <si>
    <t>Qatar</t>
  </si>
  <si>
    <t>0.25</t>
  </si>
  <si>
    <t>99.75</t>
  </si>
  <si>
    <t>Réunion</t>
  </si>
  <si>
    <t>Roumanie</t>
  </si>
  <si>
    <t>3.01</t>
  </si>
  <si>
    <t>96.99</t>
  </si>
  <si>
    <t>Serbie</t>
  </si>
  <si>
    <t>Russie</t>
  </si>
  <si>
    <t>2.80</t>
  </si>
  <si>
    <t>97.20</t>
  </si>
  <si>
    <t>Rwanda</t>
  </si>
  <si>
    <t>Arabie Saoudite</t>
  </si>
  <si>
    <t>Îles Salomon</t>
  </si>
  <si>
    <t>Seychelles</t>
  </si>
  <si>
    <t>0.53</t>
  </si>
  <si>
    <t>99.47</t>
  </si>
  <si>
    <t>Soudan</t>
  </si>
  <si>
    <t>7.56</t>
  </si>
  <si>
    <t>92.44</t>
  </si>
  <si>
    <t>Suède</t>
  </si>
  <si>
    <t>Singapour</t>
  </si>
  <si>
    <t>0.24</t>
  </si>
  <si>
    <t>99.76</t>
  </si>
  <si>
    <t>Slovénie</t>
  </si>
  <si>
    <t>Slovaquie</t>
  </si>
  <si>
    <t>2.50</t>
  </si>
  <si>
    <t>97.50</t>
  </si>
  <si>
    <t>Sierra Leone</t>
  </si>
  <si>
    <t>1.89</t>
  </si>
  <si>
    <t>98.11</t>
  </si>
  <si>
    <t>Saint-Marin</t>
  </si>
  <si>
    <t>Sénégal</t>
  </si>
  <si>
    <t>Somalie</t>
  </si>
  <si>
    <t>5.70</t>
  </si>
  <si>
    <t>94.30</t>
  </si>
  <si>
    <t>Suriname</t>
  </si>
  <si>
    <t>2.26</t>
  </si>
  <si>
    <t>97.74</t>
  </si>
  <si>
    <t>Soudan du sud</t>
  </si>
  <si>
    <t>Sao Tomé-et-Principe</t>
  </si>
  <si>
    <t>El Salvador</t>
  </si>
  <si>
    <t>3.16</t>
  </si>
  <si>
    <t>96.84</t>
  </si>
  <si>
    <t>Syrie</t>
  </si>
  <si>
    <t>5.80</t>
  </si>
  <si>
    <t>94.20</t>
  </si>
  <si>
    <t>Eswatini</t>
  </si>
  <si>
    <t>2.68</t>
  </si>
  <si>
    <t>97.32</t>
  </si>
  <si>
    <t>Tchad</t>
  </si>
  <si>
    <t>Togo</t>
  </si>
  <si>
    <t>0.93</t>
  </si>
  <si>
    <t>99.07</t>
  </si>
  <si>
    <t>Thaïlande</t>
  </si>
  <si>
    <t>Tadjikistan</t>
  </si>
  <si>
    <t>0.71</t>
  </si>
  <si>
    <t>99.29</t>
  </si>
  <si>
    <t>Timor-Leste</t>
  </si>
  <si>
    <t>0.62</t>
  </si>
  <si>
    <t>99.38</t>
  </si>
  <si>
    <t>Tunisie</t>
  </si>
  <si>
    <t>3.54</t>
  </si>
  <si>
    <t>96.46</t>
  </si>
  <si>
    <t>Tonga</t>
  </si>
  <si>
    <t>Turquie</t>
  </si>
  <si>
    <t>0.87</t>
  </si>
  <si>
    <t>99.13</t>
  </si>
  <si>
    <t>Trinité-et-Tobago</t>
  </si>
  <si>
    <t>2.99</t>
  </si>
  <si>
    <t>97.01</t>
  </si>
  <si>
    <t>Taïwan</t>
  </si>
  <si>
    <t>5.15</t>
  </si>
  <si>
    <t>94.85</t>
  </si>
  <si>
    <t>Tanzanie</t>
  </si>
  <si>
    <t>2.77</t>
  </si>
  <si>
    <t>97.23</t>
  </si>
  <si>
    <t>Ukraine</t>
  </si>
  <si>
    <t>2.41</t>
  </si>
  <si>
    <t>97.59</t>
  </si>
  <si>
    <t>Ouganda</t>
  </si>
  <si>
    <t>2.55</t>
  </si>
  <si>
    <t>97.45</t>
  </si>
  <si>
    <t>États-Unis</t>
  </si>
  <si>
    <t>1.62</t>
  </si>
  <si>
    <t>98.38</t>
  </si>
  <si>
    <t>Uruguay</t>
  </si>
  <si>
    <t>1.54</t>
  </si>
  <si>
    <t>98.46</t>
  </si>
  <si>
    <t>Ouzbékistan</t>
  </si>
  <si>
    <t>Vatican</t>
  </si>
  <si>
    <t>St-Vincent / Grenadines</t>
  </si>
  <si>
    <t>Venezuela</t>
  </si>
  <si>
    <t>1.20</t>
  </si>
  <si>
    <t>98.80</t>
  </si>
  <si>
    <t>Viet Nam</t>
  </si>
  <si>
    <t>2.29</t>
  </si>
  <si>
    <t>97.71</t>
  </si>
  <si>
    <t>Vanuatu</t>
  </si>
  <si>
    <t>16.67</t>
  </si>
  <si>
    <t>83.33</t>
  </si>
  <si>
    <t>Samoa</t>
  </si>
  <si>
    <t>Kosovo</t>
  </si>
  <si>
    <t>1.85</t>
  </si>
  <si>
    <t>98.15</t>
  </si>
  <si>
    <t>Yémen</t>
  </si>
  <si>
    <t>19.37</t>
  </si>
  <si>
    <t>80.63</t>
  </si>
  <si>
    <t>Mayotte</t>
  </si>
  <si>
    <t>Afrique du Sud</t>
  </si>
  <si>
    <t>3.06</t>
  </si>
  <si>
    <t>96.94</t>
  </si>
  <si>
    <t>Zambie</t>
  </si>
  <si>
    <t>1.75</t>
  </si>
  <si>
    <t>98.25</t>
  </si>
  <si>
    <t>Zimbabwe</t>
  </si>
  <si>
    <t>Autres</t>
  </si>
  <si>
    <t>2.08</t>
  </si>
  <si>
    <t>97.92</t>
  </si>
  <si>
    <t>2021-11-10</t>
  </si>
  <si>
    <t>2.38</t>
  </si>
  <si>
    <t>97.62</t>
  </si>
  <si>
    <t>2021-11-09</t>
  </si>
  <si>
    <t>2.57</t>
  </si>
  <si>
    <t>97.43</t>
  </si>
  <si>
    <t>2.10</t>
  </si>
  <si>
    <t>97.90</t>
  </si>
  <si>
    <t>1.01</t>
  </si>
  <si>
    <t>98.99</t>
  </si>
  <si>
    <t>4.55</t>
  </si>
  <si>
    <t>95.45</t>
  </si>
  <si>
    <t>1.82</t>
  </si>
  <si>
    <t>98.18</t>
  </si>
  <si>
    <t>1.46</t>
  </si>
  <si>
    <t>98.54</t>
  </si>
  <si>
    <t>3.97</t>
  </si>
  <si>
    <t>96.03</t>
  </si>
  <si>
    <t>3.66</t>
  </si>
  <si>
    <t>96.34</t>
  </si>
  <si>
    <t>1.81</t>
  </si>
  <si>
    <t>98.19</t>
  </si>
  <si>
    <t>2.00</t>
  </si>
  <si>
    <t>98.00</t>
  </si>
  <si>
    <t>5.65</t>
  </si>
  <si>
    <t>94.35</t>
  </si>
  <si>
    <t>1.58</t>
  </si>
  <si>
    <t>98.42</t>
  </si>
  <si>
    <t>2.05</t>
  </si>
  <si>
    <t>97.95</t>
  </si>
  <si>
    <t>2.33</t>
  </si>
  <si>
    <t>97.67</t>
  </si>
  <si>
    <t>1.15</t>
  </si>
  <si>
    <t>98.85</t>
  </si>
  <si>
    <t>3.39</t>
  </si>
  <si>
    <t>96.61</t>
  </si>
  <si>
    <t>1.61</t>
  </si>
  <si>
    <t>98.39</t>
  </si>
  <si>
    <t>1.52</t>
  </si>
  <si>
    <t>98.48</t>
  </si>
  <si>
    <t>2.35</t>
  </si>
  <si>
    <t>97.65</t>
  </si>
  <si>
    <t>3.71</t>
  </si>
  <si>
    <t>96.29</t>
  </si>
  <si>
    <t>3.46</t>
  </si>
  <si>
    <t>96.54</t>
  </si>
  <si>
    <t>0.42</t>
  </si>
  <si>
    <t>99.58</t>
  </si>
  <si>
    <t>0.40</t>
  </si>
  <si>
    <t>99.60</t>
  </si>
  <si>
    <t>9.08</t>
  </si>
  <si>
    <t>90.92</t>
  </si>
  <si>
    <t>2.24</t>
  </si>
  <si>
    <t>97.76</t>
  </si>
  <si>
    <t>0.68</t>
  </si>
  <si>
    <t>99.32</t>
  </si>
  <si>
    <t>3.00</t>
  </si>
  <si>
    <t>97.00</t>
  </si>
  <si>
    <t>0.88</t>
  </si>
  <si>
    <t>99.12</t>
  </si>
  <si>
    <t>2.53</t>
  </si>
  <si>
    <t>97.47</t>
  </si>
  <si>
    <t>2.25</t>
  </si>
  <si>
    <t>97.75</t>
  </si>
  <si>
    <t>3.18</t>
  </si>
  <si>
    <t>96.82</t>
  </si>
  <si>
    <t>2.40</t>
  </si>
  <si>
    <t>97.60</t>
  </si>
  <si>
    <t>2.30</t>
  </si>
  <si>
    <t>97.70</t>
  </si>
  <si>
    <t>19.36</t>
  </si>
  <si>
    <t>80.64</t>
  </si>
  <si>
    <t>2021-11-08</t>
  </si>
  <si>
    <t>19.32</t>
  </si>
  <si>
    <t>80.68</t>
  </si>
  <si>
    <t>5.81</t>
  </si>
  <si>
    <t>94.19</t>
  </si>
  <si>
    <t>3.17</t>
  </si>
  <si>
    <t>96.83</t>
  </si>
  <si>
    <t>1.36</t>
  </si>
  <si>
    <t>98.64</t>
  </si>
  <si>
    <t>7.66</t>
  </si>
  <si>
    <t>92.34</t>
  </si>
  <si>
    <t>2.98</t>
  </si>
  <si>
    <t>97.02</t>
  </si>
  <si>
    <t>2.37</t>
  </si>
  <si>
    <t>97.63</t>
  </si>
  <si>
    <t>0.49</t>
  </si>
  <si>
    <t>99.51</t>
  </si>
  <si>
    <t>1.42</t>
  </si>
  <si>
    <t>98.58</t>
  </si>
  <si>
    <t>1.05</t>
  </si>
  <si>
    <t>98.95</t>
  </si>
  <si>
    <t>4.94</t>
  </si>
  <si>
    <t>95.06</t>
  </si>
  <si>
    <t>1.63</t>
  </si>
  <si>
    <t>98.37</t>
  </si>
  <si>
    <t>3.40</t>
  </si>
  <si>
    <t>96.60</t>
  </si>
  <si>
    <t>2.13</t>
  </si>
  <si>
    <t>97.87</t>
  </si>
  <si>
    <t>1.90</t>
  </si>
  <si>
    <t>98.10</t>
  </si>
  <si>
    <t>1.07</t>
  </si>
  <si>
    <t>98.93</t>
  </si>
  <si>
    <t>2.01</t>
  </si>
  <si>
    <t>97.99</t>
  </si>
  <si>
    <t>1.71</t>
  </si>
  <si>
    <t>98.29</t>
  </si>
  <si>
    <t>4.74</t>
  </si>
  <si>
    <t>95.26</t>
  </si>
  <si>
    <t>2.79</t>
  </si>
  <si>
    <t>97.21</t>
  </si>
  <si>
    <t>4.56</t>
  </si>
  <si>
    <t>95.44</t>
  </si>
  <si>
    <t>2021-11-07</t>
  </si>
  <si>
    <t>0.90</t>
  </si>
  <si>
    <t>99.10</t>
  </si>
  <si>
    <t>3.96</t>
  </si>
  <si>
    <t>96.04</t>
  </si>
  <si>
    <t>2.92</t>
  </si>
  <si>
    <t>97.08</t>
  </si>
  <si>
    <t>2.22</t>
  </si>
  <si>
    <t>97.78</t>
  </si>
  <si>
    <t>2.85</t>
  </si>
  <si>
    <t>97.15</t>
  </si>
  <si>
    <t>3.50</t>
  </si>
  <si>
    <t>96.50</t>
  </si>
  <si>
    <t>0.17</t>
  </si>
  <si>
    <t>99.83</t>
  </si>
  <si>
    <t>2.34</t>
  </si>
  <si>
    <t>97.66</t>
  </si>
  <si>
    <t>1.09</t>
  </si>
  <si>
    <t>98.91</t>
  </si>
  <si>
    <t>0.85</t>
  </si>
  <si>
    <t>99.15</t>
  </si>
  <si>
    <t>1.03</t>
  </si>
  <si>
    <t>98.97</t>
  </si>
  <si>
    <t>2.97</t>
  </si>
  <si>
    <t>97.03</t>
  </si>
  <si>
    <t>1.65</t>
  </si>
  <si>
    <t>98.35</t>
  </si>
  <si>
    <t>5.87</t>
  </si>
  <si>
    <t>94.13</t>
  </si>
  <si>
    <t>19.34</t>
  </si>
  <si>
    <t>80.66</t>
  </si>
  <si>
    <t>2021-11-06</t>
  </si>
  <si>
    <t>3.05</t>
  </si>
  <si>
    <t>96.95</t>
  </si>
  <si>
    <t>2.51</t>
  </si>
  <si>
    <t>97.49</t>
  </si>
  <si>
    <t>1.18</t>
  </si>
  <si>
    <t>98.82</t>
  </si>
  <si>
    <t>2.02</t>
  </si>
  <si>
    <t>97.98</t>
  </si>
  <si>
    <t>3.67</t>
  </si>
  <si>
    <t>96.33</t>
  </si>
  <si>
    <t>1.31</t>
  </si>
  <si>
    <t>98.69</t>
  </si>
  <si>
    <t>2021-11-05</t>
  </si>
  <si>
    <t>4.75</t>
  </si>
  <si>
    <t>95.25</t>
  </si>
  <si>
    <t>2.03</t>
  </si>
  <si>
    <t>97.97</t>
  </si>
  <si>
    <t>6.36</t>
  </si>
  <si>
    <t>93.64</t>
  </si>
  <si>
    <t>0.20</t>
  </si>
  <si>
    <t>99.80</t>
  </si>
  <si>
    <t>2.59</t>
  </si>
  <si>
    <t>97.41</t>
  </si>
  <si>
    <t>1.92</t>
  </si>
  <si>
    <t>98.08</t>
  </si>
  <si>
    <t>1.19</t>
  </si>
  <si>
    <t>98.81</t>
  </si>
  <si>
    <t>2.32</t>
  </si>
  <si>
    <t>97.68</t>
  </si>
  <si>
    <t>9.09</t>
  </si>
  <si>
    <t>90.91</t>
  </si>
  <si>
    <t>2.52</t>
  </si>
  <si>
    <t>97.48</t>
  </si>
  <si>
    <t>2.96</t>
  </si>
  <si>
    <t>97.04</t>
  </si>
  <si>
    <t>2.60</t>
  </si>
  <si>
    <t>97.40</t>
  </si>
  <si>
    <t>3.24</t>
  </si>
  <si>
    <t>96.76</t>
  </si>
  <si>
    <t>19.35</t>
  </si>
  <si>
    <t>80.65</t>
  </si>
  <si>
    <t>2021-11-04</t>
  </si>
  <si>
    <t>5.16</t>
  </si>
  <si>
    <t>94.84</t>
  </si>
  <si>
    <t>3.23</t>
  </si>
  <si>
    <t>96.77</t>
  </si>
  <si>
    <t>5.49</t>
  </si>
  <si>
    <t>94.51</t>
  </si>
  <si>
    <t>2.63</t>
  </si>
  <si>
    <t>97.37</t>
  </si>
  <si>
    <t>2.94</t>
  </si>
  <si>
    <t>97.06</t>
  </si>
  <si>
    <t>2.06</t>
  </si>
  <si>
    <t>97.94</t>
  </si>
  <si>
    <t>2.83</t>
  </si>
  <si>
    <t>97.17</t>
  </si>
  <si>
    <t>1.94</t>
  </si>
  <si>
    <t>98.06</t>
  </si>
  <si>
    <t>5.64</t>
  </si>
  <si>
    <t>94.36</t>
  </si>
  <si>
    <t>1.08</t>
  </si>
  <si>
    <t>98.92</t>
  </si>
  <si>
    <t>3.68</t>
  </si>
  <si>
    <t>96.32</t>
  </si>
  <si>
    <t>2021-11-03</t>
  </si>
  <si>
    <t>1.87</t>
  </si>
  <si>
    <t>98.13</t>
  </si>
  <si>
    <t>1.73</t>
  </si>
  <si>
    <t>98.27</t>
  </si>
  <si>
    <t>6.39</t>
  </si>
  <si>
    <t>93.61</t>
  </si>
  <si>
    <t>1.77</t>
  </si>
  <si>
    <t>98.23</t>
  </si>
  <si>
    <t>1.96</t>
  </si>
  <si>
    <t>98.04</t>
  </si>
  <si>
    <t>2.82</t>
  </si>
  <si>
    <t>97.18</t>
  </si>
  <si>
    <t>1.21</t>
  </si>
  <si>
    <t>98.79</t>
  </si>
  <si>
    <t>1.47</t>
  </si>
  <si>
    <t>98.53</t>
  </si>
  <si>
    <t>3.73</t>
  </si>
  <si>
    <t>96.27</t>
  </si>
  <si>
    <t>0.21</t>
  </si>
  <si>
    <t>99.79</t>
  </si>
  <si>
    <t>3.22</t>
  </si>
  <si>
    <t>96.78</t>
  </si>
  <si>
    <t>5.86</t>
  </si>
  <si>
    <t>94.14</t>
  </si>
  <si>
    <t>2.67</t>
  </si>
  <si>
    <t>97.33</t>
  </si>
  <si>
    <t>2021-11-02</t>
  </si>
  <si>
    <t>19.31</t>
  </si>
  <si>
    <t>80.69</t>
  </si>
  <si>
    <t>5.90</t>
  </si>
  <si>
    <t>94.10</t>
  </si>
  <si>
    <t>0.26</t>
  </si>
  <si>
    <t>99.74</t>
  </si>
  <si>
    <t>2.42</t>
  </si>
  <si>
    <t>97.58</t>
  </si>
  <si>
    <t>1.23</t>
  </si>
  <si>
    <t>98.77</t>
  </si>
  <si>
    <t>1.49</t>
  </si>
  <si>
    <t>98.51</t>
  </si>
  <si>
    <t>3.44</t>
  </si>
  <si>
    <t>96.56</t>
  </si>
  <si>
    <t>1.97</t>
  </si>
  <si>
    <t>98.03</t>
  </si>
  <si>
    <t>2.73</t>
  </si>
  <si>
    <t>97.27</t>
  </si>
  <si>
    <t>0.13</t>
  </si>
  <si>
    <t>99.87</t>
  </si>
  <si>
    <t>4.76</t>
  </si>
  <si>
    <t>95.24</t>
  </si>
  <si>
    <t>1.83</t>
  </si>
  <si>
    <t>98.17</t>
  </si>
  <si>
    <t>4.57</t>
  </si>
  <si>
    <t>95.43</t>
  </si>
  <si>
    <t>2021-11-01</t>
  </si>
  <si>
    <t>3.99</t>
  </si>
  <si>
    <t>96.01</t>
  </si>
  <si>
    <t>0.74</t>
  </si>
  <si>
    <t>99.26</t>
  </si>
  <si>
    <t>0.14</t>
  </si>
  <si>
    <t>99.86</t>
  </si>
  <si>
    <t>2.14</t>
  </si>
  <si>
    <t>97.86</t>
  </si>
  <si>
    <t>0.16</t>
  </si>
  <si>
    <t>99.84</t>
  </si>
  <si>
    <t>1.67</t>
  </si>
  <si>
    <t>98.33</t>
  </si>
  <si>
    <t>3.74</t>
  </si>
  <si>
    <t>96.26</t>
  </si>
  <si>
    <t>3.35</t>
  </si>
  <si>
    <t>96.65</t>
  </si>
  <si>
    <t>2.69</t>
  </si>
  <si>
    <t>97.31</t>
  </si>
  <si>
    <t>3.21</t>
  </si>
  <si>
    <t>96.79</t>
  </si>
  <si>
    <t>5.89</t>
  </si>
  <si>
    <t>94.11</t>
  </si>
  <si>
    <t>19.29</t>
  </si>
  <si>
    <t>80.71</t>
  </si>
  <si>
    <t>2021-10-31</t>
  </si>
  <si>
    <t>5.93</t>
  </si>
  <si>
    <t>94.07</t>
  </si>
  <si>
    <t>3.20</t>
  </si>
  <si>
    <t>96.80</t>
  </si>
  <si>
    <t>0.94</t>
  </si>
  <si>
    <t>99.06</t>
  </si>
  <si>
    <t>0.48</t>
  </si>
  <si>
    <t>99.52</t>
  </si>
  <si>
    <t>3.56</t>
  </si>
  <si>
    <t>96.44</t>
  </si>
  <si>
    <t>2.15</t>
  </si>
  <si>
    <t>97.85</t>
  </si>
  <si>
    <t>0.09</t>
  </si>
  <si>
    <t>99.91</t>
  </si>
  <si>
    <t>5.63</t>
  </si>
  <si>
    <t>94.37</t>
  </si>
  <si>
    <t>4.77</t>
  </si>
  <si>
    <t>95.23</t>
  </si>
  <si>
    <t>2.88</t>
  </si>
  <si>
    <t>97.12</t>
  </si>
  <si>
    <t>2.65</t>
  </si>
  <si>
    <t>97.35</t>
  </si>
  <si>
    <t>2021-10-30</t>
  </si>
  <si>
    <t>0.10</t>
  </si>
  <si>
    <t>99.90</t>
  </si>
  <si>
    <t>3.47</t>
  </si>
  <si>
    <t>96.53</t>
  </si>
  <si>
    <t>3.34</t>
  </si>
  <si>
    <t>96.66</t>
  </si>
  <si>
    <t>0.44</t>
  </si>
  <si>
    <t>99.56</t>
  </si>
  <si>
    <t>9.10</t>
  </si>
  <si>
    <t>90.90</t>
  </si>
  <si>
    <t>2.71</t>
  </si>
  <si>
    <t>97.29</t>
  </si>
  <si>
    <t>3.19</t>
  </si>
  <si>
    <t>96.81</t>
  </si>
  <si>
    <t>19.22</t>
  </si>
  <si>
    <t>80.78</t>
  </si>
  <si>
    <t>2021-10-29</t>
  </si>
  <si>
    <t>19.21</t>
  </si>
  <si>
    <t>80.79</t>
  </si>
  <si>
    <t>2.95</t>
  </si>
  <si>
    <t>97.05</t>
  </si>
  <si>
    <t>5.95</t>
  </si>
  <si>
    <t>94.05</t>
  </si>
  <si>
    <t>0.45</t>
  </si>
  <si>
    <t>99.55</t>
  </si>
  <si>
    <t>3.36</t>
  </si>
  <si>
    <t>96.64</t>
  </si>
  <si>
    <t>2.28</t>
  </si>
  <si>
    <t>97.72</t>
  </si>
  <si>
    <t>2.16</t>
  </si>
  <si>
    <t>97.84</t>
  </si>
  <si>
    <t>4.78</t>
  </si>
  <si>
    <t>95.22</t>
  </si>
  <si>
    <t>3.69</t>
  </si>
  <si>
    <t>96.31</t>
  </si>
  <si>
    <t>4.65</t>
  </si>
  <si>
    <t>95.35</t>
  </si>
  <si>
    <t>2021-10-28</t>
  </si>
  <si>
    <t>4.00</t>
  </si>
  <si>
    <t>96.00</t>
  </si>
  <si>
    <t>1.84</t>
  </si>
  <si>
    <t>98.16</t>
  </si>
  <si>
    <t>1.76</t>
  </si>
  <si>
    <t>98.24</t>
  </si>
  <si>
    <t>3.57</t>
  </si>
  <si>
    <t>96.43</t>
  </si>
  <si>
    <t>1.12</t>
  </si>
  <si>
    <t>98.88</t>
  </si>
  <si>
    <t>2.48</t>
  </si>
  <si>
    <t>97.52</t>
  </si>
  <si>
    <t>0.15</t>
  </si>
  <si>
    <t>99.85</t>
  </si>
  <si>
    <t>2.43</t>
  </si>
  <si>
    <t>97.57</t>
  </si>
  <si>
    <t>0.54</t>
  </si>
  <si>
    <t>99.46</t>
  </si>
  <si>
    <t>5.96</t>
  </si>
  <si>
    <t>94.04</t>
  </si>
  <si>
    <t>5.17</t>
  </si>
  <si>
    <t>94.83</t>
  </si>
  <si>
    <t>2021-10-27</t>
  </si>
  <si>
    <t>19.20</t>
  </si>
  <si>
    <t>80.80</t>
  </si>
  <si>
    <t>5.98</t>
  </si>
  <si>
    <t>94.02</t>
  </si>
  <si>
    <t>9.11</t>
  </si>
  <si>
    <t>90.89</t>
  </si>
  <si>
    <t>0.47</t>
  </si>
  <si>
    <t>99.53</t>
  </si>
  <si>
    <t>2.44</t>
  </si>
  <si>
    <t>97.56</t>
  </si>
  <si>
    <t>3.58</t>
  </si>
  <si>
    <t>96.42</t>
  </si>
  <si>
    <t>2.72</t>
  </si>
  <si>
    <t>97.28</t>
  </si>
  <si>
    <t>2.17</t>
  </si>
  <si>
    <t>97.83</t>
  </si>
  <si>
    <t>0.80</t>
  </si>
  <si>
    <t>99.20</t>
  </si>
  <si>
    <t>4.01</t>
  </si>
  <si>
    <t>95.99</t>
  </si>
  <si>
    <t>1.93</t>
  </si>
  <si>
    <t>98.07</t>
  </si>
  <si>
    <t>2021-10-26</t>
  </si>
  <si>
    <t>2.46</t>
  </si>
  <si>
    <t>97.54</t>
  </si>
  <si>
    <t>4.03</t>
  </si>
  <si>
    <t>95.97</t>
  </si>
  <si>
    <t>0.64</t>
  </si>
  <si>
    <t>99.36</t>
  </si>
  <si>
    <t>2.86</t>
  </si>
  <si>
    <t>97.14</t>
  </si>
  <si>
    <t>0.12</t>
  </si>
  <si>
    <t>99.88</t>
  </si>
  <si>
    <t>3.59</t>
  </si>
  <si>
    <t>96.41</t>
  </si>
  <si>
    <t>2.47</t>
  </si>
  <si>
    <t>97.53</t>
  </si>
  <si>
    <t>3.75</t>
  </si>
  <si>
    <t>96.25</t>
  </si>
  <si>
    <t>3.32</t>
  </si>
  <si>
    <t>96.68</t>
  </si>
  <si>
    <t>2.81</t>
  </si>
  <si>
    <t>97.19</t>
  </si>
  <si>
    <t>2.20</t>
  </si>
  <si>
    <t>97.80</t>
  </si>
  <si>
    <t>6.00</t>
  </si>
  <si>
    <t>94.00</t>
  </si>
  <si>
    <t>25.00</t>
  </si>
  <si>
    <t>75.00</t>
  </si>
  <si>
    <t>19.13</t>
  </si>
  <si>
    <t>80.87</t>
  </si>
  <si>
    <t>2021-10-25</t>
  </si>
  <si>
    <t>19.08</t>
  </si>
  <si>
    <t>80.92</t>
  </si>
  <si>
    <t>6.02</t>
  </si>
  <si>
    <t>93.98</t>
  </si>
  <si>
    <t>3.48</t>
  </si>
  <si>
    <t>96.52</t>
  </si>
  <si>
    <t>2.18</t>
  </si>
  <si>
    <t>97.82</t>
  </si>
  <si>
    <t>3.37</t>
  </si>
  <si>
    <t>96.63</t>
  </si>
  <si>
    <t>4.79</t>
  </si>
  <si>
    <t>95.21</t>
  </si>
  <si>
    <t>4.05</t>
  </si>
  <si>
    <t>95.95</t>
  </si>
  <si>
    <t>1.95</t>
  </si>
  <si>
    <t>98.05</t>
  </si>
  <si>
    <t>2021-10-24</t>
  </si>
  <si>
    <t>2.89</t>
  </si>
  <si>
    <t>97.11</t>
  </si>
  <si>
    <t>3.61</t>
  </si>
  <si>
    <t>96.39</t>
  </si>
  <si>
    <t>2.45</t>
  </si>
  <si>
    <t>97.55</t>
  </si>
  <si>
    <t>3.31</t>
  </si>
  <si>
    <t>96.69</t>
  </si>
  <si>
    <t>7.70</t>
  </si>
  <si>
    <t>92.30</t>
  </si>
  <si>
    <t>5.55</t>
  </si>
  <si>
    <t>94.45</t>
  </si>
  <si>
    <t>6.03</t>
  </si>
  <si>
    <t>93.97</t>
  </si>
  <si>
    <t>19.01</t>
  </si>
  <si>
    <t>80.99</t>
  </si>
  <si>
    <t>2021-10-23</t>
  </si>
  <si>
    <t>19.02</t>
  </si>
  <si>
    <t>80.98</t>
  </si>
  <si>
    <t>6.05</t>
  </si>
  <si>
    <t>93.95</t>
  </si>
  <si>
    <t>2.58</t>
  </si>
  <si>
    <t>97.42</t>
  </si>
  <si>
    <t>0.81</t>
  </si>
  <si>
    <t>99.19</t>
  </si>
  <si>
    <t>6.41</t>
  </si>
  <si>
    <t>93.59</t>
  </si>
  <si>
    <t>2021-10-22</t>
  </si>
  <si>
    <t>4.07</t>
  </si>
  <si>
    <t>95.93</t>
  </si>
  <si>
    <t>3.30</t>
  </si>
  <si>
    <t>96.70</t>
  </si>
  <si>
    <t>9.12</t>
  </si>
  <si>
    <t>90.88</t>
  </si>
  <si>
    <t>7.58</t>
  </si>
  <si>
    <t>92.42</t>
  </si>
  <si>
    <t>6.06</t>
  </si>
  <si>
    <t>93.94</t>
  </si>
  <si>
    <t>2021-10-21</t>
  </si>
  <si>
    <t>19.00</t>
  </si>
  <si>
    <t>81.00</t>
  </si>
  <si>
    <t>6.07</t>
  </si>
  <si>
    <t>93.93</t>
  </si>
  <si>
    <t>0.51</t>
  </si>
  <si>
    <t>99.49</t>
  </si>
  <si>
    <t>3.76</t>
  </si>
  <si>
    <t>96.24</t>
  </si>
  <si>
    <t>3.62</t>
  </si>
  <si>
    <t>96.38</t>
  </si>
  <si>
    <t>1.10</t>
  </si>
  <si>
    <t>98.90</t>
  </si>
  <si>
    <t>4.80</t>
  </si>
  <si>
    <t>95.20</t>
  </si>
  <si>
    <t>2.84</t>
  </si>
  <si>
    <t>97.16</t>
  </si>
  <si>
    <t>4.08</t>
  </si>
  <si>
    <t>95.92</t>
  </si>
  <si>
    <t>2021-10-20</t>
  </si>
  <si>
    <t>1.99</t>
  </si>
  <si>
    <t>98.01</t>
  </si>
  <si>
    <t>4.09</t>
  </si>
  <si>
    <t>95.91</t>
  </si>
  <si>
    <t>0.82</t>
  </si>
  <si>
    <t>99.18</t>
  </si>
  <si>
    <t>3.33</t>
  </si>
  <si>
    <t>96.67</t>
  </si>
  <si>
    <t>3.63</t>
  </si>
  <si>
    <t>96.37</t>
  </si>
  <si>
    <t>4.92</t>
  </si>
  <si>
    <t>95.08</t>
  </si>
  <si>
    <t>3.55</t>
  </si>
  <si>
    <t>96.45</t>
  </si>
  <si>
    <t>7.63</t>
  </si>
  <si>
    <t>92.37</t>
  </si>
  <si>
    <t>6.10</t>
  </si>
  <si>
    <t>93.90</t>
  </si>
  <si>
    <t>5.18</t>
  </si>
  <si>
    <t>94.82</t>
  </si>
  <si>
    <t>18.98</t>
  </si>
  <si>
    <t>81.02</t>
  </si>
  <si>
    <t>2021-10-19</t>
  </si>
  <si>
    <t>18.93</t>
  </si>
  <si>
    <t>81.07</t>
  </si>
  <si>
    <t>6.13</t>
  </si>
  <si>
    <t>93.87</t>
  </si>
  <si>
    <t>4.11</t>
  </si>
  <si>
    <t>95.89</t>
  </si>
  <si>
    <t>2021-10-18</t>
  </si>
  <si>
    <t>4.12</t>
  </si>
  <si>
    <t>95.88</t>
  </si>
  <si>
    <t>9.13</t>
  </si>
  <si>
    <t>90.87</t>
  </si>
  <si>
    <t>6.15</t>
  </si>
  <si>
    <t>93.85</t>
  </si>
  <si>
    <t>18.91</t>
  </si>
  <si>
    <t>81.09</t>
  </si>
  <si>
    <t>2021-10-17</t>
  </si>
  <si>
    <t>18.94</t>
  </si>
  <si>
    <t>81.06</t>
  </si>
  <si>
    <t>6.16</t>
  </si>
  <si>
    <t>93.84</t>
  </si>
  <si>
    <t>7.68</t>
  </si>
  <si>
    <t>92.32</t>
  </si>
  <si>
    <t>1.11</t>
  </si>
  <si>
    <t>98.89</t>
  </si>
  <si>
    <t>0.55</t>
  </si>
  <si>
    <t>99.45</t>
  </si>
  <si>
    <t>3.64</t>
  </si>
  <si>
    <t>96.36</t>
  </si>
  <si>
    <t>2021-10-16</t>
  </si>
  <si>
    <t>0.56</t>
  </si>
  <si>
    <t>99.44</t>
  </si>
  <si>
    <t>3.14</t>
  </si>
  <si>
    <t>96.86</t>
  </si>
  <si>
    <t>6.18</t>
  </si>
  <si>
    <t>93.82</t>
  </si>
  <si>
    <t>2021-10-15</t>
  </si>
  <si>
    <t>6.21</t>
  </si>
  <si>
    <t>93.79</t>
  </si>
  <si>
    <t>3.13</t>
  </si>
  <si>
    <t>96.87</t>
  </si>
  <si>
    <t>7.55</t>
  </si>
  <si>
    <t>92.45</t>
  </si>
  <si>
    <t>0.57</t>
  </si>
  <si>
    <t>99.43</t>
  </si>
  <si>
    <t>3.77</t>
  </si>
  <si>
    <t>96.23</t>
  </si>
  <si>
    <t>4.13</t>
  </si>
  <si>
    <t>95.87</t>
  </si>
  <si>
    <t>2021-10-14</t>
  </si>
  <si>
    <t>4.14</t>
  </si>
  <si>
    <t>95.86</t>
  </si>
  <si>
    <t>0.75</t>
  </si>
  <si>
    <t>99.25</t>
  </si>
  <si>
    <t>0.63</t>
  </si>
  <si>
    <t>99.37</t>
  </si>
  <si>
    <t>0.27</t>
  </si>
  <si>
    <t>99.73</t>
  </si>
  <si>
    <t>6.24</t>
  </si>
  <si>
    <t>93.76</t>
  </si>
  <si>
    <t>2021-10-13</t>
  </si>
  <si>
    <t>18.95</t>
  </si>
  <si>
    <t>81.05</t>
  </si>
  <si>
    <t>5.19</t>
  </si>
  <si>
    <t>94.81</t>
  </si>
  <si>
    <t>6.26</t>
  </si>
  <si>
    <t>93.74</t>
  </si>
  <si>
    <t>7.61</t>
  </si>
  <si>
    <t>92.39</t>
  </si>
  <si>
    <t>9.14</t>
  </si>
  <si>
    <t>90.86</t>
  </si>
  <si>
    <t>0.58</t>
  </si>
  <si>
    <t>99.42</t>
  </si>
  <si>
    <t>3.25</t>
  </si>
  <si>
    <t>96.75</t>
  </si>
  <si>
    <t>2021-10-12</t>
  </si>
  <si>
    <t>4.15</t>
  </si>
  <si>
    <t>95.85</t>
  </si>
  <si>
    <t>4.81</t>
  </si>
  <si>
    <t>95.19</t>
  </si>
  <si>
    <t>3.78</t>
  </si>
  <si>
    <t>96.22</t>
  </si>
  <si>
    <t>0.59</t>
  </si>
  <si>
    <t>99.41</t>
  </si>
  <si>
    <t>7.60</t>
  </si>
  <si>
    <t>92.40</t>
  </si>
  <si>
    <t>6.29</t>
  </si>
  <si>
    <t>93.71</t>
  </si>
  <si>
    <t>18.99</t>
  </si>
  <si>
    <t>81.01</t>
  </si>
  <si>
    <t>Étiquettes de lignes</t>
  </si>
  <si>
    <t>Total général</t>
  </si>
  <si>
    <t>Somme de Infections</t>
  </si>
  <si>
    <t>Somme de Deces</t>
  </si>
  <si>
    <t>Cas confirmés</t>
  </si>
  <si>
    <t>Nombre de guéris</t>
  </si>
  <si>
    <t>Nombre de decès</t>
  </si>
  <si>
    <t>Somme de Guerisons</t>
  </si>
  <si>
    <t>Row Labels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</si>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</sst>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##0\ _€"/>
  </numFmts>
  <fonts count="7" x14ac:knownFonts="1">
    <font>
      <sz val="11"/>
      <color theme="1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4"/>
      <color rgb="FF92D050"/>
      <name val="Calibri"/>
      <family val="2"/>
      <scheme val="minor"/>
    </font>
    <font>
      <i/>
      <sz val="18"/>
      <color rgb="FFFF0000"/>
      <name val="Times New Roman"/>
      <family val="1"/>
    </font>
    <font>
      <b/>
      <sz val="14"/>
      <color rgb="FFC00000"/>
      <name val="Calibri"/>
      <family val="2"/>
      <scheme val="minor"/>
    </font>
    <font>
      <sz val="11"/>
      <color rgb="FF000000"/>
      <name val="Calibri"/>
      <family val="2"/>
    </font>
    <font>
      <sz val="18"/>
      <color rgb="FFFF0000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 style="medium">
        <color theme="5" tint="-0.249977111117893"/>
      </left>
      <right/>
      <top/>
      <bottom style="medium">
        <color theme="5" tint="-0.249977111117893"/>
      </bottom>
      <diagonal/>
    </border>
    <border>
      <left/>
      <right/>
      <top/>
      <bottom style="medium">
        <color theme="5" tint="-0.249977111117893"/>
      </bottom>
      <diagonal/>
    </border>
    <border>
      <left style="medium">
        <color rgb="FF92D050"/>
      </left>
      <right/>
      <top/>
      <bottom style="medium">
        <color rgb="FF92D050"/>
      </bottom>
      <diagonal/>
    </border>
    <border>
      <left/>
      <right style="medium">
        <color rgb="FF92D050"/>
      </right>
      <top/>
      <bottom style="medium">
        <color rgb="FF92D050"/>
      </bottom>
      <diagonal/>
    </border>
    <border>
      <left style="medium">
        <color rgb="FFFF0000"/>
      </left>
      <right/>
      <top/>
      <bottom/>
      <diagonal/>
    </border>
    <border>
      <left style="medium">
        <color theme="5" tint="-0.249977111117893"/>
      </left>
      <right/>
      <top/>
      <bottom/>
      <diagonal/>
    </border>
    <border>
      <left style="medium">
        <color rgb="FF92D050"/>
      </left>
      <right/>
      <top/>
      <bottom/>
      <diagonal/>
    </border>
    <border>
      <left/>
      <right style="medium">
        <color rgb="FF92D050"/>
      </right>
      <top/>
      <bottom/>
      <diagonal/>
    </border>
    <border>
      <left style="medium">
        <color rgb="FF92D050"/>
      </left>
      <right/>
      <top style="medium">
        <color rgb="FF92D050"/>
      </top>
      <bottom style="medium">
        <color rgb="FF92D050"/>
      </bottom>
      <diagonal/>
    </border>
    <border>
      <left/>
      <right/>
      <top style="medium">
        <color rgb="FF92D050"/>
      </top>
      <bottom style="medium">
        <color rgb="FF92D050"/>
      </bottom>
      <diagonal/>
    </border>
    <border>
      <left/>
      <right style="medium">
        <color rgb="FF92D050"/>
      </right>
      <top style="medium">
        <color rgb="FF92D050"/>
      </top>
      <bottom style="medium">
        <color rgb="FF92D05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1" xfId="0" applyBorder="1"/>
    <xf numFmtId="164" fontId="0" fillId="0" borderId="1" xfId="0" applyNumberFormat="1" applyBorder="1"/>
    <xf numFmtId="0" fontId="0" fillId="2" borderId="1" xfId="0" applyFill="1" applyBorder="1"/>
    <xf numFmtId="2" fontId="0" fillId="0" borderId="0" xfId="0" applyNumberFormat="1"/>
    <xf numFmtId="1" fontId="0" fillId="0" borderId="0" xfId="0" applyNumberFormat="1"/>
    <xf numFmtId="0" fontId="0" fillId="2" borderId="1" xfId="0" applyFill="1" applyBorder="1" applyAlignment="1">
      <alignment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" fontId="0" fillId="0" borderId="0" xfId="0" applyNumberFormat="1" applyAlignment="1">
      <alignment horizontal="right"/>
    </xf>
    <xf numFmtId="0" fontId="0" fillId="0" borderId="0" xfId="0" applyAlignment="1"/>
    <xf numFmtId="0" fontId="0" fillId="0" borderId="17" xfId="0" applyBorder="1" applyAlignment="1"/>
    <xf numFmtId="0" fontId="0" fillId="3" borderId="0" xfId="0" applyFill="1"/>
    <xf numFmtId="0" fontId="1" fillId="3" borderId="0" xfId="0" applyFont="1" applyFill="1"/>
    <xf numFmtId="0" fontId="2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1" fontId="1" fillId="0" borderId="0" xfId="0" applyNumberFormat="1" applyFont="1"/>
    <xf numFmtId="1" fontId="2" fillId="0" borderId="0" xfId="0" applyNumberFormat="1" applyFont="1"/>
    <xf numFmtId="0" fontId="4" fillId="0" borderId="0" xfId="0" applyFont="1"/>
    <xf numFmtId="0" fontId="0" fillId="0" borderId="0" xfId="0" applyBorder="1"/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8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3" fillId="4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</cellXfs>
  <cellStyles count="1">
    <cellStyle name="Normal" xfId="0" builtinId="0"/>
  </cellStyles>
  <dxfs count="8">
    <dxf>
      <numFmt numFmtId="0" formatCode="General"/>
    </dxf>
    <dxf>
      <numFmt numFmtId="0" formatCode="General"/>
    </dxf>
    <dxf>
      <numFmt numFmtId="2" formatCode="0.00"/>
    </dxf>
    <dxf>
      <numFmt numFmtId="0" formatCode="General"/>
    </dxf>
    <dxf>
      <numFmt numFmtId="2" formatCode="0.00"/>
    </dxf>
    <dxf>
      <numFmt numFmtId="1" formatCode="0"/>
    </dxf>
    <dxf>
      <numFmt numFmtId="0" formatCode="General"/>
    </dxf>
    <dxf>
      <numFmt numFmtId="0" formatCode="General"/>
    </dxf>
  </dxfs>
  <tableStyles count="0" defaultTableStyle="TableStyleMedium9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23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Série1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Lit>
              <c:formatCode>General</c:formatCode>
              <c:ptCount val="31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</c:numLit>
          </c:cat>
          <c:val>
            <c:numLit>
              <c:formatCode>General</c:formatCode>
              <c:ptCount val="31"/>
              <c:pt idx="0">
                <c:v>4865925</c:v>
              </c:pt>
              <c:pt idx="1">
                <c:v>4874301</c:v>
              </c:pt>
              <c:pt idx="2">
                <c:v>4882174</c:v>
              </c:pt>
              <c:pt idx="3">
                <c:v>4889368</c:v>
              </c:pt>
              <c:pt idx="4">
                <c:v>4894513</c:v>
              </c:pt>
              <c:pt idx="5">
                <c:v>4898674</c:v>
              </c:pt>
              <c:pt idx="6">
                <c:v>4905094</c:v>
              </c:pt>
              <c:pt idx="7">
                <c:v>4913939</c:v>
              </c:pt>
              <c:pt idx="8">
                <c:v>4922526</c:v>
              </c:pt>
              <c:pt idx="9">
                <c:v>4930127</c:v>
              </c:pt>
              <c:pt idx="10">
                <c:v>4938261</c:v>
              </c:pt>
              <c:pt idx="11">
                <c:v>4943926</c:v>
              </c:pt>
              <c:pt idx="12">
                <c:v>4948410</c:v>
              </c:pt>
              <c:pt idx="13">
                <c:v>4955579</c:v>
              </c:pt>
              <c:pt idx="14">
                <c:v>4963445</c:v>
              </c:pt>
              <c:pt idx="15">
                <c:v>4973035</c:v>
              </c:pt>
              <c:pt idx="16">
                <c:v>4981549</c:v>
              </c:pt>
              <c:pt idx="17">
                <c:v>4989532</c:v>
              </c:pt>
              <c:pt idx="18">
                <c:v>4995689</c:v>
              </c:pt>
              <c:pt idx="19">
                <c:v>5000096</c:v>
              </c:pt>
              <c:pt idx="20">
                <c:v>5006355</c:v>
              </c:pt>
              <c:pt idx="21">
                <c:v>5013914</c:v>
              </c:pt>
              <c:pt idx="22">
                <c:v>5022207</c:v>
              </c:pt>
              <c:pt idx="23">
                <c:v>5029835</c:v>
              </c:pt>
              <c:pt idx="24">
                <c:v>5038368</c:v>
              </c:pt>
              <c:pt idx="25">
                <c:v>5044867</c:v>
              </c:pt>
              <c:pt idx="26">
                <c:v>5049261</c:v>
              </c:pt>
              <c:pt idx="27">
                <c:v>5055955</c:v>
              </c:pt>
              <c:pt idx="28">
                <c:v>5064350</c:v>
              </c:pt>
              <c:pt idx="29">
                <c:v>5072104</c:v>
              </c:pt>
              <c:pt idx="30">
                <c:v>5073411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79FE-4831-AD89-C73747DDEB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4729479"/>
        <c:axId val="364725215"/>
      </c:lineChart>
      <c:catAx>
        <c:axId val="3647294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4725215"/>
        <c:crosses val="autoZero"/>
        <c:auto val="1"/>
        <c:lblAlgn val="ctr"/>
        <c:lblOffset val="100"/>
        <c:noMultiLvlLbl val="0"/>
      </c:catAx>
      <c:valAx>
        <c:axId val="364725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47294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Série1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Lit>
              <c:formatCode>General</c:formatCode>
              <c:ptCount val="31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</c:numLit>
          </c:cat>
          <c:val>
            <c:numLit>
              <c:formatCode>General</c:formatCode>
              <c:ptCount val="31"/>
              <c:pt idx="0">
                <c:v>238704327</c:v>
              </c:pt>
              <c:pt idx="1">
                <c:v>239166993</c:v>
              </c:pt>
              <c:pt idx="2">
                <c:v>239610768</c:v>
              </c:pt>
              <c:pt idx="3">
                <c:v>240071516</c:v>
              </c:pt>
              <c:pt idx="4">
                <c:v>240404151</c:v>
              </c:pt>
              <c:pt idx="5">
                <c:v>240705478</c:v>
              </c:pt>
              <c:pt idx="6">
                <c:v>241131400</c:v>
              </c:pt>
              <c:pt idx="7">
                <c:v>241572651</c:v>
              </c:pt>
              <c:pt idx="8">
                <c:v>242040335</c:v>
              </c:pt>
              <c:pt idx="9">
                <c:v>242497669</c:v>
              </c:pt>
              <c:pt idx="10">
                <c:v>242986640</c:v>
              </c:pt>
              <c:pt idx="11">
                <c:v>243374239</c:v>
              </c:pt>
              <c:pt idx="12">
                <c:v>243691280</c:v>
              </c:pt>
              <c:pt idx="13">
                <c:v>244097101</c:v>
              </c:pt>
              <c:pt idx="14">
                <c:v>244549456</c:v>
              </c:pt>
              <c:pt idx="15">
                <c:v>245059414</c:v>
              </c:pt>
              <c:pt idx="16">
                <c:v>245517786</c:v>
              </c:pt>
              <c:pt idx="17">
                <c:v>246024844</c:v>
              </c:pt>
              <c:pt idx="18">
                <c:v>246405741</c:v>
              </c:pt>
              <c:pt idx="19">
                <c:v>246725414</c:v>
              </c:pt>
              <c:pt idx="20">
                <c:v>247148066</c:v>
              </c:pt>
              <c:pt idx="21">
                <c:v>247578392</c:v>
              </c:pt>
              <c:pt idx="22">
                <c:v>248096505</c:v>
              </c:pt>
              <c:pt idx="23">
                <c:v>248621304</c:v>
              </c:pt>
              <c:pt idx="24">
                <c:v>249133045</c:v>
              </c:pt>
              <c:pt idx="25">
                <c:v>249544565</c:v>
              </c:pt>
              <c:pt idx="26">
                <c:v>249877000</c:v>
              </c:pt>
              <c:pt idx="27">
                <c:v>250367330</c:v>
              </c:pt>
              <c:pt idx="28">
                <c:v>250846628</c:v>
              </c:pt>
              <c:pt idx="29">
                <c:v>251406520</c:v>
              </c:pt>
              <c:pt idx="30">
                <c:v>251461965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48E0-4B2E-AA54-0A22BAECB8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24153696"/>
        <c:axId val="924152056"/>
      </c:lineChart>
      <c:catAx>
        <c:axId val="924153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24152056"/>
        <c:crosses val="autoZero"/>
        <c:auto val="1"/>
        <c:lblAlgn val="ctr"/>
        <c:lblOffset val="100"/>
        <c:noMultiLvlLbl val="0"/>
      </c:catAx>
      <c:valAx>
        <c:axId val="924152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24153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Série1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</c:strLit>
          </c:cat>
          <c:val>
            <c:numLit>
              <c:formatCode>General</c:formatCode>
              <c:ptCount val="10"/>
              <c:pt idx="0">
                <c:v>155197608</c:v>
              </c:pt>
              <c:pt idx="1">
                <c:v>163817993</c:v>
              </c:pt>
              <c:pt idx="2">
                <c:v>182418562</c:v>
              </c:pt>
              <c:pt idx="3">
                <c:v>216037675</c:v>
              </c:pt>
              <c:pt idx="4">
                <c:v>245844145</c:v>
              </c:pt>
              <c:pt idx="5">
                <c:v>255310189</c:v>
              </c:pt>
              <c:pt idx="6">
                <c:v>276117243</c:v>
              </c:pt>
              <c:pt idx="7">
                <c:v>674550888</c:v>
              </c:pt>
              <c:pt idx="8">
                <c:v>1060859212</c:v>
              </c:pt>
              <c:pt idx="9">
                <c:v>1417568938</c:v>
              </c:pt>
            </c:numLit>
          </c:val>
          <c:extLst>
            <c:ext xmlns:c16="http://schemas.microsoft.com/office/drawing/2014/chart" uri="{C3380CC4-5D6E-409C-BE32-E72D297353CC}">
              <c16:uniqueId val="{00000000-7AF1-4661-A0DE-B2E9C52AE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425534848"/>
        <c:axId val="1425532552"/>
      </c:barChart>
      <c:catAx>
        <c:axId val="1425534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25532552"/>
        <c:crosses val="autoZero"/>
        <c:auto val="1"/>
        <c:lblAlgn val="ctr"/>
        <c:lblOffset val="100"/>
        <c:noMultiLvlLbl val="0"/>
      </c:catAx>
      <c:valAx>
        <c:axId val="1425532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25534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[covid19.xlsm]Feuil1!Tableau croisé dynamique12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 sz="1600">
                <a:solidFill>
                  <a:srgbClr val="FF0000"/>
                </a:solidFill>
              </a:rPr>
              <a:t>Les 20 pays les plus touchés</a:t>
            </a:r>
          </a:p>
        </c:rich>
      </c:tx>
      <c:layout/>
      <c:overlay val="0"/>
      <c:spPr>
        <a:solidFill>
          <a:schemeClr val="lt1"/>
        </a:solidFill>
        <a:ln w="25400" cap="flat" cmpd="sng" algn="ctr">
          <a:solidFill>
            <a:schemeClr val="bg2"/>
          </a:solidFill>
          <a:prstDash val="solid"/>
        </a:ln>
        <a:effectLst/>
        <a:scene3d>
          <a:camera prst="orthographicFront"/>
          <a:lightRig rig="threePt" dir="t"/>
        </a:scene3d>
        <a:sp3d prstMaterial="matte">
          <a:bevelT w="63500" h="63500" prst="artDeco"/>
          <a:contourClr>
            <a:srgbClr val="000000"/>
          </a:contourClr>
        </a:sp3d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Feuil1!$T$3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Feuil1!$S$4:$S$24</c:f>
              <c:strCache>
                <c:ptCount val="20"/>
                <c:pt idx="0">
                  <c:v>Malaisie</c:v>
                </c:pt>
                <c:pt idx="1">
                  <c:v>Philippines</c:v>
                </c:pt>
                <c:pt idx="2">
                  <c:v>Afrique du Sud</c:v>
                </c:pt>
                <c:pt idx="3">
                  <c:v>Ukraine</c:v>
                </c:pt>
                <c:pt idx="4">
                  <c:v>Pologne</c:v>
                </c:pt>
                <c:pt idx="5">
                  <c:v>Mexique</c:v>
                </c:pt>
                <c:pt idx="6">
                  <c:v>Indonésie</c:v>
                </c:pt>
                <c:pt idx="7">
                  <c:v>Allemagne</c:v>
                </c:pt>
                <c:pt idx="8">
                  <c:v>Italie</c:v>
                </c:pt>
                <c:pt idx="9">
                  <c:v>Colombie</c:v>
                </c:pt>
                <c:pt idx="10">
                  <c:v>Espagne</c:v>
                </c:pt>
                <c:pt idx="11">
                  <c:v>Argentine</c:v>
                </c:pt>
                <c:pt idx="12">
                  <c:v>Iran</c:v>
                </c:pt>
                <c:pt idx="13">
                  <c:v>France</c:v>
                </c:pt>
                <c:pt idx="14">
                  <c:v>Turquie</c:v>
                </c:pt>
                <c:pt idx="15">
                  <c:v>Russie</c:v>
                </c:pt>
                <c:pt idx="16">
                  <c:v>Royaume-Uni</c:v>
                </c:pt>
                <c:pt idx="17">
                  <c:v>Brésil</c:v>
                </c:pt>
                <c:pt idx="18">
                  <c:v>Inde</c:v>
                </c:pt>
                <c:pt idx="19">
                  <c:v>États-Unis</c:v>
                </c:pt>
              </c:strCache>
            </c:strRef>
          </c:cat>
          <c:val>
            <c:numRef>
              <c:f>Feuil1!$T$4:$T$24</c:f>
              <c:numCache>
                <c:formatCode>General</c:formatCode>
                <c:ptCount val="20"/>
                <c:pt idx="0">
                  <c:v>75830030</c:v>
                </c:pt>
                <c:pt idx="1">
                  <c:v>85616267</c:v>
                </c:pt>
                <c:pt idx="2">
                  <c:v>90524402</c:v>
                </c:pt>
                <c:pt idx="3">
                  <c:v>92129084</c:v>
                </c:pt>
                <c:pt idx="4">
                  <c:v>93257314</c:v>
                </c:pt>
                <c:pt idx="5">
                  <c:v>117483796</c:v>
                </c:pt>
                <c:pt idx="6">
                  <c:v>131478988</c:v>
                </c:pt>
                <c:pt idx="7">
                  <c:v>141649149</c:v>
                </c:pt>
                <c:pt idx="8">
                  <c:v>147493928</c:v>
                </c:pt>
                <c:pt idx="9">
                  <c:v>154911891</c:v>
                </c:pt>
                <c:pt idx="10">
                  <c:v>155197608</c:v>
                </c:pt>
                <c:pt idx="11">
                  <c:v>163817993</c:v>
                </c:pt>
                <c:pt idx="12">
                  <c:v>182418562</c:v>
                </c:pt>
                <c:pt idx="13">
                  <c:v>216037675</c:v>
                </c:pt>
                <c:pt idx="14">
                  <c:v>245844145</c:v>
                </c:pt>
                <c:pt idx="15">
                  <c:v>255310189</c:v>
                </c:pt>
                <c:pt idx="16">
                  <c:v>276117243</c:v>
                </c:pt>
                <c:pt idx="17">
                  <c:v>674550888</c:v>
                </c:pt>
                <c:pt idx="18">
                  <c:v>1060859212</c:v>
                </c:pt>
                <c:pt idx="19">
                  <c:v>1417568938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14-40D6-A9A7-3A5EA193D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320872496"/>
        <c:axId val="1320872824"/>
      </c:barChart>
      <c:catAx>
        <c:axId val="13208724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20872824"/>
        <c:crosses val="autoZero"/>
        <c:auto val="1"/>
        <c:lblAlgn val="ctr"/>
        <c:lblOffset val="100"/>
        <c:noMultiLvlLbl val="0"/>
      </c:catAx>
      <c:valAx>
        <c:axId val="1320872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20872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25400" cap="rnd" cmpd="sng" algn="ctr">
      <a:noFill/>
      <a:prstDash val="solid"/>
      <a:round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[covid19.xlsm]Feuil1!Tableau croisé dynamique9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Infectés</a:t>
            </a:r>
          </a:p>
        </c:rich>
      </c:tx>
      <c:layout/>
      <c:overlay val="0"/>
      <c:spPr>
        <a:noFill/>
        <a:ln>
          <a:noFill/>
        </a:ln>
        <a:effectLst/>
        <a:scene3d>
          <a:camera prst="orthographicFront"/>
          <a:lightRig rig="threePt" dir="t"/>
        </a:scene3d>
        <a:sp3d>
          <a:bevelT prst="relaxedInset"/>
        </a:sp3d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Feuil1!$H$3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Feuil1!$G$4:$G$35</c:f>
              <c:strCache>
                <c:ptCount val="31"/>
                <c:pt idx="0">
                  <c:v>2021-10-12</c:v>
                </c:pt>
                <c:pt idx="1">
                  <c:v>2021-10-13</c:v>
                </c:pt>
                <c:pt idx="2">
                  <c:v>2021-10-14</c:v>
                </c:pt>
                <c:pt idx="3">
                  <c:v>2021-10-15</c:v>
                </c:pt>
                <c:pt idx="4">
                  <c:v>2021-10-16</c:v>
                </c:pt>
                <c:pt idx="5">
                  <c:v>2021-10-17</c:v>
                </c:pt>
                <c:pt idx="6">
                  <c:v>2021-10-18</c:v>
                </c:pt>
                <c:pt idx="7">
                  <c:v>2021-10-19</c:v>
                </c:pt>
                <c:pt idx="8">
                  <c:v>2021-10-20</c:v>
                </c:pt>
                <c:pt idx="9">
                  <c:v>2021-10-21</c:v>
                </c:pt>
                <c:pt idx="10">
                  <c:v>2021-10-22</c:v>
                </c:pt>
                <c:pt idx="11">
                  <c:v>2021-10-23</c:v>
                </c:pt>
                <c:pt idx="12">
                  <c:v>2021-10-24</c:v>
                </c:pt>
                <c:pt idx="13">
                  <c:v>2021-10-25</c:v>
                </c:pt>
                <c:pt idx="14">
                  <c:v>2021-10-26</c:v>
                </c:pt>
                <c:pt idx="15">
                  <c:v>2021-10-27</c:v>
                </c:pt>
                <c:pt idx="16">
                  <c:v>2021-10-28</c:v>
                </c:pt>
                <c:pt idx="17">
                  <c:v>2021-10-29</c:v>
                </c:pt>
                <c:pt idx="18">
                  <c:v>2021-10-30</c:v>
                </c:pt>
                <c:pt idx="19">
                  <c:v>2021-10-31</c:v>
                </c:pt>
                <c:pt idx="20">
                  <c:v>2021-11-01</c:v>
                </c:pt>
                <c:pt idx="21">
                  <c:v>2021-11-02</c:v>
                </c:pt>
                <c:pt idx="22">
                  <c:v>2021-11-03</c:v>
                </c:pt>
                <c:pt idx="23">
                  <c:v>2021-11-04</c:v>
                </c:pt>
                <c:pt idx="24">
                  <c:v>2021-11-05</c:v>
                </c:pt>
                <c:pt idx="25">
                  <c:v>2021-11-06</c:v>
                </c:pt>
                <c:pt idx="26">
                  <c:v>2021-11-07</c:v>
                </c:pt>
                <c:pt idx="27">
                  <c:v>2021-11-08</c:v>
                </c:pt>
                <c:pt idx="28">
                  <c:v>2021-11-09</c:v>
                </c:pt>
                <c:pt idx="29">
                  <c:v>2021-11-10</c:v>
                </c:pt>
                <c:pt idx="30">
                  <c:v>2021-11-11</c:v>
                </c:pt>
              </c:strCache>
            </c:strRef>
          </c:cat>
          <c:val>
            <c:numRef>
              <c:f>Feuil1!$H$4:$H$35</c:f>
              <c:numCache>
                <c:formatCode>General</c:formatCode>
                <c:ptCount val="31"/>
                <c:pt idx="0">
                  <c:v>93</c:v>
                </c:pt>
                <c:pt idx="1">
                  <c:v>93</c:v>
                </c:pt>
                <c:pt idx="2">
                  <c:v>93</c:v>
                </c:pt>
                <c:pt idx="3">
                  <c:v>93</c:v>
                </c:pt>
                <c:pt idx="4">
                  <c:v>95</c:v>
                </c:pt>
                <c:pt idx="5">
                  <c:v>95</c:v>
                </c:pt>
                <c:pt idx="6">
                  <c:v>95</c:v>
                </c:pt>
                <c:pt idx="7">
                  <c:v>95</c:v>
                </c:pt>
                <c:pt idx="8">
                  <c:v>97</c:v>
                </c:pt>
                <c:pt idx="9">
                  <c:v>97</c:v>
                </c:pt>
                <c:pt idx="10">
                  <c:v>97</c:v>
                </c:pt>
                <c:pt idx="11">
                  <c:v>99</c:v>
                </c:pt>
                <c:pt idx="12">
                  <c:v>99</c:v>
                </c:pt>
                <c:pt idx="13">
                  <c:v>99</c:v>
                </c:pt>
                <c:pt idx="14">
                  <c:v>99</c:v>
                </c:pt>
                <c:pt idx="15">
                  <c:v>102</c:v>
                </c:pt>
                <c:pt idx="16">
                  <c:v>102</c:v>
                </c:pt>
                <c:pt idx="17">
                  <c:v>102</c:v>
                </c:pt>
                <c:pt idx="18">
                  <c:v>102</c:v>
                </c:pt>
                <c:pt idx="19">
                  <c:v>102</c:v>
                </c:pt>
                <c:pt idx="20">
                  <c:v>102</c:v>
                </c:pt>
                <c:pt idx="21">
                  <c:v>102</c:v>
                </c:pt>
                <c:pt idx="22">
                  <c:v>102</c:v>
                </c:pt>
                <c:pt idx="23">
                  <c:v>104</c:v>
                </c:pt>
                <c:pt idx="24">
                  <c:v>104</c:v>
                </c:pt>
                <c:pt idx="25">
                  <c:v>105</c:v>
                </c:pt>
                <c:pt idx="26">
                  <c:v>105</c:v>
                </c:pt>
                <c:pt idx="27">
                  <c:v>105</c:v>
                </c:pt>
                <c:pt idx="28">
                  <c:v>105</c:v>
                </c:pt>
                <c:pt idx="29">
                  <c:v>105</c:v>
                </c:pt>
                <c:pt idx="30">
                  <c:v>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E1-44B8-BBCA-A3919EC719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2172280"/>
        <c:axId val="1322172608"/>
      </c:lineChart>
      <c:catAx>
        <c:axId val="1322172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22172608"/>
        <c:crosses val="autoZero"/>
        <c:auto val="1"/>
        <c:lblAlgn val="ctr"/>
        <c:lblOffset val="100"/>
        <c:noMultiLvlLbl val="0"/>
      </c:catAx>
      <c:valAx>
        <c:axId val="1322172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22172280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[covid19.xlsm]Feuil1!Tableau croisé dynamique11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Guérisons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Feuil1!$N$3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strRef>
              <c:f>Feuil1!$M$4:$M$35</c:f>
              <c:strCache>
                <c:ptCount val="31"/>
                <c:pt idx="0">
                  <c:v>2021-10-12</c:v>
                </c:pt>
                <c:pt idx="1">
                  <c:v>2021-10-13</c:v>
                </c:pt>
                <c:pt idx="2">
                  <c:v>2021-10-14</c:v>
                </c:pt>
                <c:pt idx="3">
                  <c:v>2021-10-15</c:v>
                </c:pt>
                <c:pt idx="4">
                  <c:v>2021-10-16</c:v>
                </c:pt>
                <c:pt idx="5">
                  <c:v>2021-10-17</c:v>
                </c:pt>
                <c:pt idx="6">
                  <c:v>2021-10-18</c:v>
                </c:pt>
                <c:pt idx="7">
                  <c:v>2021-10-19</c:v>
                </c:pt>
                <c:pt idx="8">
                  <c:v>2021-10-20</c:v>
                </c:pt>
                <c:pt idx="9">
                  <c:v>2021-10-21</c:v>
                </c:pt>
                <c:pt idx="10">
                  <c:v>2021-10-22</c:v>
                </c:pt>
                <c:pt idx="11">
                  <c:v>2021-10-23</c:v>
                </c:pt>
                <c:pt idx="12">
                  <c:v>2021-10-24</c:v>
                </c:pt>
                <c:pt idx="13">
                  <c:v>2021-10-25</c:v>
                </c:pt>
                <c:pt idx="14">
                  <c:v>2021-10-26</c:v>
                </c:pt>
                <c:pt idx="15">
                  <c:v>2021-10-27</c:v>
                </c:pt>
                <c:pt idx="16">
                  <c:v>2021-10-28</c:v>
                </c:pt>
                <c:pt idx="17">
                  <c:v>2021-10-29</c:v>
                </c:pt>
                <c:pt idx="18">
                  <c:v>2021-10-30</c:v>
                </c:pt>
                <c:pt idx="19">
                  <c:v>2021-10-31</c:v>
                </c:pt>
                <c:pt idx="20">
                  <c:v>2021-11-01</c:v>
                </c:pt>
                <c:pt idx="21">
                  <c:v>2021-11-02</c:v>
                </c:pt>
                <c:pt idx="22">
                  <c:v>2021-11-03</c:v>
                </c:pt>
                <c:pt idx="23">
                  <c:v>2021-11-04</c:v>
                </c:pt>
                <c:pt idx="24">
                  <c:v>2021-11-05</c:v>
                </c:pt>
                <c:pt idx="25">
                  <c:v>2021-11-06</c:v>
                </c:pt>
                <c:pt idx="26">
                  <c:v>2021-11-07</c:v>
                </c:pt>
                <c:pt idx="27">
                  <c:v>2021-11-08</c:v>
                </c:pt>
                <c:pt idx="28">
                  <c:v>2021-11-09</c:v>
                </c:pt>
                <c:pt idx="29">
                  <c:v>2021-11-10</c:v>
                </c:pt>
                <c:pt idx="30">
                  <c:v>2021-11-11</c:v>
                </c:pt>
              </c:strCache>
            </c:strRef>
          </c:cat>
          <c:val>
            <c:numRef>
              <c:f>Feuil1!$N$4:$N$35</c:f>
              <c:numCache>
                <c:formatCode>General</c:formatCode>
                <c:ptCount val="31"/>
                <c:pt idx="0">
                  <c:v>2185</c:v>
                </c:pt>
                <c:pt idx="1">
                  <c:v>1987</c:v>
                </c:pt>
                <c:pt idx="2">
                  <c:v>865</c:v>
                </c:pt>
                <c:pt idx="3">
                  <c:v>2539</c:v>
                </c:pt>
                <c:pt idx="4">
                  <c:v>749</c:v>
                </c:pt>
                <c:pt idx="5">
                  <c:v>1295</c:v>
                </c:pt>
                <c:pt idx="6">
                  <c:v>864</c:v>
                </c:pt>
                <c:pt idx="7">
                  <c:v>1909</c:v>
                </c:pt>
                <c:pt idx="8">
                  <c:v>1271</c:v>
                </c:pt>
                <c:pt idx="9">
                  <c:v>714</c:v>
                </c:pt>
                <c:pt idx="10">
                  <c:v>238</c:v>
                </c:pt>
                <c:pt idx="11">
                  <c:v>682</c:v>
                </c:pt>
                <c:pt idx="12">
                  <c:v>2389</c:v>
                </c:pt>
                <c:pt idx="13">
                  <c:v>1367</c:v>
                </c:pt>
                <c:pt idx="14">
                  <c:v>3637</c:v>
                </c:pt>
                <c:pt idx="15">
                  <c:v>540</c:v>
                </c:pt>
                <c:pt idx="16">
                  <c:v>1987</c:v>
                </c:pt>
                <c:pt idx="17">
                  <c:v>3157</c:v>
                </c:pt>
                <c:pt idx="18">
                  <c:v>1016</c:v>
                </c:pt>
                <c:pt idx="19">
                  <c:v>3101</c:v>
                </c:pt>
                <c:pt idx="20">
                  <c:v>1442</c:v>
                </c:pt>
                <c:pt idx="21">
                  <c:v>3960</c:v>
                </c:pt>
                <c:pt idx="22">
                  <c:v>3225</c:v>
                </c:pt>
                <c:pt idx="23">
                  <c:v>2782</c:v>
                </c:pt>
                <c:pt idx="24">
                  <c:v>744</c:v>
                </c:pt>
                <c:pt idx="25">
                  <c:v>1195</c:v>
                </c:pt>
                <c:pt idx="26">
                  <c:v>937</c:v>
                </c:pt>
                <c:pt idx="27">
                  <c:v>1170</c:v>
                </c:pt>
                <c:pt idx="28">
                  <c:v>3080</c:v>
                </c:pt>
                <c:pt idx="29">
                  <c:v>1296</c:v>
                </c:pt>
                <c:pt idx="30">
                  <c:v>152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4F-4130-BD2E-47EEAC1E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2172280"/>
        <c:axId val="1322172608"/>
      </c:lineChart>
      <c:catAx>
        <c:axId val="1322172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22172608"/>
        <c:crosses val="autoZero"/>
        <c:auto val="1"/>
        <c:lblAlgn val="ctr"/>
        <c:lblOffset val="100"/>
        <c:noMultiLvlLbl val="0"/>
      </c:catAx>
      <c:valAx>
        <c:axId val="1322172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22172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[covid19.xlsm]Feuil1!Tableau croisé dynamique9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Nombre de decès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Feuil1!$H$3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strRef>
              <c:f>Feuil1!$G$4:$G$35</c:f>
              <c:strCache>
                <c:ptCount val="31"/>
                <c:pt idx="0">
                  <c:v>2021-10-12</c:v>
                </c:pt>
                <c:pt idx="1">
                  <c:v>2021-10-13</c:v>
                </c:pt>
                <c:pt idx="2">
                  <c:v>2021-10-14</c:v>
                </c:pt>
                <c:pt idx="3">
                  <c:v>2021-10-15</c:v>
                </c:pt>
                <c:pt idx="4">
                  <c:v>2021-10-16</c:v>
                </c:pt>
                <c:pt idx="5">
                  <c:v>2021-10-17</c:v>
                </c:pt>
                <c:pt idx="6">
                  <c:v>2021-10-18</c:v>
                </c:pt>
                <c:pt idx="7">
                  <c:v>2021-10-19</c:v>
                </c:pt>
                <c:pt idx="8">
                  <c:v>2021-10-20</c:v>
                </c:pt>
                <c:pt idx="9">
                  <c:v>2021-10-21</c:v>
                </c:pt>
                <c:pt idx="10">
                  <c:v>2021-10-22</c:v>
                </c:pt>
                <c:pt idx="11">
                  <c:v>2021-10-23</c:v>
                </c:pt>
                <c:pt idx="12">
                  <c:v>2021-10-24</c:v>
                </c:pt>
                <c:pt idx="13">
                  <c:v>2021-10-25</c:v>
                </c:pt>
                <c:pt idx="14">
                  <c:v>2021-10-26</c:v>
                </c:pt>
                <c:pt idx="15">
                  <c:v>2021-10-27</c:v>
                </c:pt>
                <c:pt idx="16">
                  <c:v>2021-10-28</c:v>
                </c:pt>
                <c:pt idx="17">
                  <c:v>2021-10-29</c:v>
                </c:pt>
                <c:pt idx="18">
                  <c:v>2021-10-30</c:v>
                </c:pt>
                <c:pt idx="19">
                  <c:v>2021-10-31</c:v>
                </c:pt>
                <c:pt idx="20">
                  <c:v>2021-11-01</c:v>
                </c:pt>
                <c:pt idx="21">
                  <c:v>2021-11-02</c:v>
                </c:pt>
                <c:pt idx="22">
                  <c:v>2021-11-03</c:v>
                </c:pt>
                <c:pt idx="23">
                  <c:v>2021-11-04</c:v>
                </c:pt>
                <c:pt idx="24">
                  <c:v>2021-11-05</c:v>
                </c:pt>
                <c:pt idx="25">
                  <c:v>2021-11-06</c:v>
                </c:pt>
                <c:pt idx="26">
                  <c:v>2021-11-07</c:v>
                </c:pt>
                <c:pt idx="27">
                  <c:v>2021-11-08</c:v>
                </c:pt>
                <c:pt idx="28">
                  <c:v>2021-11-09</c:v>
                </c:pt>
                <c:pt idx="29">
                  <c:v>2021-11-10</c:v>
                </c:pt>
                <c:pt idx="30">
                  <c:v>2021-11-11</c:v>
                </c:pt>
              </c:strCache>
            </c:strRef>
          </c:cat>
          <c:val>
            <c:numRef>
              <c:f>Feuil1!$H$4:$H$35</c:f>
              <c:numCache>
                <c:formatCode>General</c:formatCode>
                <c:ptCount val="31"/>
                <c:pt idx="0">
                  <c:v>93</c:v>
                </c:pt>
                <c:pt idx="1">
                  <c:v>93</c:v>
                </c:pt>
                <c:pt idx="2">
                  <c:v>93</c:v>
                </c:pt>
                <c:pt idx="3">
                  <c:v>93</c:v>
                </c:pt>
                <c:pt idx="4">
                  <c:v>95</c:v>
                </c:pt>
                <c:pt idx="5">
                  <c:v>95</c:v>
                </c:pt>
                <c:pt idx="6">
                  <c:v>95</c:v>
                </c:pt>
                <c:pt idx="7">
                  <c:v>95</c:v>
                </c:pt>
                <c:pt idx="8">
                  <c:v>97</c:v>
                </c:pt>
                <c:pt idx="9">
                  <c:v>97</c:v>
                </c:pt>
                <c:pt idx="10">
                  <c:v>97</c:v>
                </c:pt>
                <c:pt idx="11">
                  <c:v>99</c:v>
                </c:pt>
                <c:pt idx="12">
                  <c:v>99</c:v>
                </c:pt>
                <c:pt idx="13">
                  <c:v>99</c:v>
                </c:pt>
                <c:pt idx="14">
                  <c:v>99</c:v>
                </c:pt>
                <c:pt idx="15">
                  <c:v>102</c:v>
                </c:pt>
                <c:pt idx="16">
                  <c:v>102</c:v>
                </c:pt>
                <c:pt idx="17">
                  <c:v>102</c:v>
                </c:pt>
                <c:pt idx="18">
                  <c:v>102</c:v>
                </c:pt>
                <c:pt idx="19">
                  <c:v>102</c:v>
                </c:pt>
                <c:pt idx="20">
                  <c:v>102</c:v>
                </c:pt>
                <c:pt idx="21">
                  <c:v>102</c:v>
                </c:pt>
                <c:pt idx="22">
                  <c:v>102</c:v>
                </c:pt>
                <c:pt idx="23">
                  <c:v>104</c:v>
                </c:pt>
                <c:pt idx="24">
                  <c:v>104</c:v>
                </c:pt>
                <c:pt idx="25">
                  <c:v>105</c:v>
                </c:pt>
                <c:pt idx="26">
                  <c:v>105</c:v>
                </c:pt>
                <c:pt idx="27">
                  <c:v>105</c:v>
                </c:pt>
                <c:pt idx="28">
                  <c:v>105</c:v>
                </c:pt>
                <c:pt idx="29">
                  <c:v>105</c:v>
                </c:pt>
                <c:pt idx="30">
                  <c:v>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A3-44A8-9549-B78B78BD48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52886912"/>
        <c:axId val="952885928"/>
      </c:lineChart>
      <c:catAx>
        <c:axId val="952886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52885928"/>
        <c:crosses val="autoZero"/>
        <c:auto val="1"/>
        <c:lblAlgn val="ctr"/>
        <c:lblOffset val="100"/>
        <c:noMultiLvlLbl val="0"/>
      </c:catAx>
      <c:valAx>
        <c:axId val="952885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52886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[covid19.xlsm]Feuil1!Tableau croisé dynamique12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 sz="1600">
                <a:solidFill>
                  <a:srgbClr val="0070C0"/>
                </a:solidFill>
              </a:rPr>
              <a:t>Les 20 pays les plus touchés</a:t>
            </a:r>
          </a:p>
        </c:rich>
      </c:tx>
      <c:layout/>
      <c:overlay val="0"/>
      <c:spPr>
        <a:solidFill>
          <a:schemeClr val="lt1"/>
        </a:solidFill>
        <a:ln w="25400" cap="flat" cmpd="sng" algn="ctr">
          <a:solidFill>
            <a:schemeClr val="bg2"/>
          </a:solidFill>
          <a:prstDash val="solid"/>
        </a:ln>
        <a:effectLst/>
        <a:scene3d>
          <a:camera prst="orthographicFront"/>
          <a:lightRig rig="threePt" dir="t"/>
        </a:scene3d>
        <a:sp3d prstMaterial="matte">
          <a:bevelT w="63500" h="63500" prst="artDeco"/>
          <a:contourClr>
            <a:srgbClr val="000000"/>
          </a:contourClr>
        </a:sp3d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Feuil1!$T$3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Feuil1!$S$4:$S$24</c:f>
              <c:strCache>
                <c:ptCount val="20"/>
                <c:pt idx="0">
                  <c:v>Malaisie</c:v>
                </c:pt>
                <c:pt idx="1">
                  <c:v>Philippines</c:v>
                </c:pt>
                <c:pt idx="2">
                  <c:v>Afrique du Sud</c:v>
                </c:pt>
                <c:pt idx="3">
                  <c:v>Ukraine</c:v>
                </c:pt>
                <c:pt idx="4">
                  <c:v>Pologne</c:v>
                </c:pt>
                <c:pt idx="5">
                  <c:v>Mexique</c:v>
                </c:pt>
                <c:pt idx="6">
                  <c:v>Indonésie</c:v>
                </c:pt>
                <c:pt idx="7">
                  <c:v>Allemagne</c:v>
                </c:pt>
                <c:pt idx="8">
                  <c:v>Italie</c:v>
                </c:pt>
                <c:pt idx="9">
                  <c:v>Colombie</c:v>
                </c:pt>
                <c:pt idx="10">
                  <c:v>Espagne</c:v>
                </c:pt>
                <c:pt idx="11">
                  <c:v>Argentine</c:v>
                </c:pt>
                <c:pt idx="12">
                  <c:v>Iran</c:v>
                </c:pt>
                <c:pt idx="13">
                  <c:v>France</c:v>
                </c:pt>
                <c:pt idx="14">
                  <c:v>Turquie</c:v>
                </c:pt>
                <c:pt idx="15">
                  <c:v>Russie</c:v>
                </c:pt>
                <c:pt idx="16">
                  <c:v>Royaume-Uni</c:v>
                </c:pt>
                <c:pt idx="17">
                  <c:v>Brésil</c:v>
                </c:pt>
                <c:pt idx="18">
                  <c:v>Inde</c:v>
                </c:pt>
                <c:pt idx="19">
                  <c:v>États-Unis</c:v>
                </c:pt>
              </c:strCache>
            </c:strRef>
          </c:cat>
          <c:val>
            <c:numRef>
              <c:f>Feuil1!$T$4:$T$24</c:f>
              <c:numCache>
                <c:formatCode>General</c:formatCode>
                <c:ptCount val="20"/>
                <c:pt idx="0">
                  <c:v>75830030</c:v>
                </c:pt>
                <c:pt idx="1">
                  <c:v>85616267</c:v>
                </c:pt>
                <c:pt idx="2">
                  <c:v>90524402</c:v>
                </c:pt>
                <c:pt idx="3">
                  <c:v>92129084</c:v>
                </c:pt>
                <c:pt idx="4">
                  <c:v>93257314</c:v>
                </c:pt>
                <c:pt idx="5">
                  <c:v>117483796</c:v>
                </c:pt>
                <c:pt idx="6">
                  <c:v>131478988</c:v>
                </c:pt>
                <c:pt idx="7">
                  <c:v>141649149</c:v>
                </c:pt>
                <c:pt idx="8">
                  <c:v>147493928</c:v>
                </c:pt>
                <c:pt idx="9">
                  <c:v>154911891</c:v>
                </c:pt>
                <c:pt idx="10">
                  <c:v>155197608</c:v>
                </c:pt>
                <c:pt idx="11">
                  <c:v>163817993</c:v>
                </c:pt>
                <c:pt idx="12">
                  <c:v>182418562</c:v>
                </c:pt>
                <c:pt idx="13">
                  <c:v>216037675</c:v>
                </c:pt>
                <c:pt idx="14">
                  <c:v>245844145</c:v>
                </c:pt>
                <c:pt idx="15">
                  <c:v>255310189</c:v>
                </c:pt>
                <c:pt idx="16">
                  <c:v>276117243</c:v>
                </c:pt>
                <c:pt idx="17">
                  <c:v>674550888</c:v>
                </c:pt>
                <c:pt idx="18">
                  <c:v>1060859212</c:v>
                </c:pt>
                <c:pt idx="19">
                  <c:v>1417568938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2D-4543-84F2-482CE7A3E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320872496"/>
        <c:axId val="1320872824"/>
      </c:barChart>
      <c:catAx>
        <c:axId val="13208724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20872824"/>
        <c:crosses val="autoZero"/>
        <c:auto val="1"/>
        <c:lblAlgn val="ctr"/>
        <c:lblOffset val="100"/>
        <c:noMultiLvlLbl val="0"/>
      </c:catAx>
      <c:valAx>
        <c:axId val="1320872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20872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25400" cap="rnd" cmpd="sng" algn="ctr">
      <a:noFill/>
      <a:prstDash val="solid"/>
      <a:round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[covid19.xlsm]Feuil1!Tableau croisé dynamique1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FF0000"/>
                </a:solidFill>
              </a:rPr>
              <a:t>Les 20</a:t>
            </a:r>
            <a:r>
              <a:rPr lang="en-US" baseline="0">
                <a:solidFill>
                  <a:srgbClr val="FF0000"/>
                </a:solidFill>
              </a:rPr>
              <a:t> pays ayant enregistré plus de decès</a:t>
            </a:r>
            <a:endParaRPr lang="en-US">
              <a:solidFill>
                <a:srgbClr val="FF0000"/>
              </a:solidFill>
            </a:endParaRPr>
          </a:p>
        </c:rich>
      </c:tx>
      <c:layout/>
      <c:overlay val="0"/>
      <c:spPr>
        <a:solidFill>
          <a:sysClr val="window" lastClr="FFFFFF"/>
        </a:solidFill>
        <a:ln>
          <a:noFill/>
        </a:ln>
        <a:effectLst/>
        <a:scene3d>
          <a:camera prst="orthographicFront"/>
          <a:lightRig rig="soft" dir="t">
            <a:rot lat="0" lon="0" rev="0"/>
          </a:lightRig>
        </a:scene3d>
        <a:sp3d prstMaterial="matte">
          <a:bevelT w="63500" h="63500" prst="artDeco"/>
          <a:contourClr>
            <a:srgbClr val="000000"/>
          </a:contourClr>
        </a:sp3d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26119643328666581"/>
          <c:y val="0.15703703703703703"/>
          <c:w val="0.62277480726225087"/>
          <c:h val="0.78370854586572902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Feuil1!$X$3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Feuil1!$W$4:$W$24</c:f>
              <c:strCache>
                <c:ptCount val="20"/>
                <c:pt idx="0">
                  <c:v>Roumanie</c:v>
                </c:pt>
                <c:pt idx="1">
                  <c:v>Turquie</c:v>
                </c:pt>
                <c:pt idx="2">
                  <c:v>Ukraine</c:v>
                </c:pt>
                <c:pt idx="3">
                  <c:v>Pologne</c:v>
                </c:pt>
                <c:pt idx="4">
                  <c:v>Espagne</c:v>
                </c:pt>
                <c:pt idx="5">
                  <c:v>Afrique du Sud</c:v>
                </c:pt>
                <c:pt idx="6">
                  <c:v>Allemagne</c:v>
                </c:pt>
                <c:pt idx="7">
                  <c:v>France</c:v>
                </c:pt>
                <c:pt idx="8">
                  <c:v>Argentine</c:v>
                </c:pt>
                <c:pt idx="9">
                  <c:v>Iran</c:v>
                </c:pt>
                <c:pt idx="10">
                  <c:v>Colombie</c:v>
                </c:pt>
                <c:pt idx="11">
                  <c:v>Italie</c:v>
                </c:pt>
                <c:pt idx="12">
                  <c:v>Royaume-Uni</c:v>
                </c:pt>
                <c:pt idx="13">
                  <c:v>Indonésie</c:v>
                </c:pt>
                <c:pt idx="14">
                  <c:v>Pérou</c:v>
                </c:pt>
                <c:pt idx="15">
                  <c:v>Russie</c:v>
                </c:pt>
                <c:pt idx="16">
                  <c:v>Mexique</c:v>
                </c:pt>
                <c:pt idx="17">
                  <c:v>Inde</c:v>
                </c:pt>
                <c:pt idx="18">
                  <c:v>Brésil</c:v>
                </c:pt>
                <c:pt idx="19">
                  <c:v>États-Unis</c:v>
                </c:pt>
              </c:strCache>
            </c:strRef>
          </c:cat>
          <c:val>
            <c:numRef>
              <c:f>Feuil1!$X$4:$X$24</c:f>
              <c:numCache>
                <c:formatCode>General</c:formatCode>
                <c:ptCount val="20"/>
                <c:pt idx="0">
                  <c:v>1427636</c:v>
                </c:pt>
                <c:pt idx="1">
                  <c:v>2162777</c:v>
                </c:pt>
                <c:pt idx="2">
                  <c:v>2176915</c:v>
                </c:pt>
                <c:pt idx="3">
                  <c:v>2381418</c:v>
                </c:pt>
                <c:pt idx="4">
                  <c:v>2704927</c:v>
                </c:pt>
                <c:pt idx="5">
                  <c:v>2758741</c:v>
                </c:pt>
                <c:pt idx="6">
                  <c:v>2962708</c:v>
                </c:pt>
                <c:pt idx="7">
                  <c:v>3572099</c:v>
                </c:pt>
                <c:pt idx="8">
                  <c:v>3592612</c:v>
                </c:pt>
                <c:pt idx="9">
                  <c:v>3894273</c:v>
                </c:pt>
                <c:pt idx="10">
                  <c:v>3942191</c:v>
                </c:pt>
                <c:pt idx="11">
                  <c:v>4090693</c:v>
                </c:pt>
                <c:pt idx="12">
                  <c:v>4352990</c:v>
                </c:pt>
                <c:pt idx="13">
                  <c:v>4441044</c:v>
                </c:pt>
                <c:pt idx="14">
                  <c:v>6204104</c:v>
                </c:pt>
                <c:pt idx="15">
                  <c:v>7131717</c:v>
                </c:pt>
                <c:pt idx="16">
                  <c:v>8896294</c:v>
                </c:pt>
                <c:pt idx="17">
                  <c:v>14150125</c:v>
                </c:pt>
                <c:pt idx="18">
                  <c:v>18795613</c:v>
                </c:pt>
                <c:pt idx="19">
                  <c:v>22948610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AD-4AAD-AC63-41ED06B151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839403032"/>
        <c:axId val="839404672"/>
      </c:barChart>
      <c:catAx>
        <c:axId val="8394030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39404672"/>
        <c:crosses val="autoZero"/>
        <c:auto val="1"/>
        <c:lblAlgn val="ctr"/>
        <c:lblOffset val="100"/>
        <c:noMultiLvlLbl val="0"/>
      </c:catAx>
      <c:valAx>
        <c:axId val="83940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39403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[covid19.xlsm]Feuil2!Tableau croisé dynamique2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Evolution</a:t>
            </a:r>
            <a:r>
              <a:rPr lang="en-US" baseline="0"/>
              <a:t> du nombre de ca</a:t>
            </a:r>
            <a:r>
              <a:rPr lang="en-US"/>
              <a:t>s confirmés à l'échelle mondiale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Feuil2!$B$3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Feuil2!$A$4:$A$35</c:f>
              <c:strCache>
                <c:ptCount val="31"/>
                <c:pt idx="0">
                  <c:v>2021-10-12</c:v>
                </c:pt>
                <c:pt idx="1">
                  <c:v>2021-10-13</c:v>
                </c:pt>
                <c:pt idx="2">
                  <c:v>2021-10-14</c:v>
                </c:pt>
                <c:pt idx="3">
                  <c:v>2021-10-15</c:v>
                </c:pt>
                <c:pt idx="4">
                  <c:v>2021-10-16</c:v>
                </c:pt>
                <c:pt idx="5">
                  <c:v>2021-10-17</c:v>
                </c:pt>
                <c:pt idx="6">
                  <c:v>2021-10-18</c:v>
                </c:pt>
                <c:pt idx="7">
                  <c:v>2021-10-19</c:v>
                </c:pt>
                <c:pt idx="8">
                  <c:v>2021-10-20</c:v>
                </c:pt>
                <c:pt idx="9">
                  <c:v>2021-10-21</c:v>
                </c:pt>
                <c:pt idx="10">
                  <c:v>2021-10-22</c:v>
                </c:pt>
                <c:pt idx="11">
                  <c:v>2021-10-23</c:v>
                </c:pt>
                <c:pt idx="12">
                  <c:v>2021-10-24</c:v>
                </c:pt>
                <c:pt idx="13">
                  <c:v>2021-10-25</c:v>
                </c:pt>
                <c:pt idx="14">
                  <c:v>2021-10-26</c:v>
                </c:pt>
                <c:pt idx="15">
                  <c:v>2021-10-27</c:v>
                </c:pt>
                <c:pt idx="16">
                  <c:v>2021-10-28</c:v>
                </c:pt>
                <c:pt idx="17">
                  <c:v>2021-10-29</c:v>
                </c:pt>
                <c:pt idx="18">
                  <c:v>2021-10-30</c:v>
                </c:pt>
                <c:pt idx="19">
                  <c:v>2021-10-31</c:v>
                </c:pt>
                <c:pt idx="20">
                  <c:v>2021-11-01</c:v>
                </c:pt>
                <c:pt idx="21">
                  <c:v>2021-11-02</c:v>
                </c:pt>
                <c:pt idx="22">
                  <c:v>2021-11-03</c:v>
                </c:pt>
                <c:pt idx="23">
                  <c:v>2021-11-04</c:v>
                </c:pt>
                <c:pt idx="24">
                  <c:v>2021-11-05</c:v>
                </c:pt>
                <c:pt idx="25">
                  <c:v>2021-11-06</c:v>
                </c:pt>
                <c:pt idx="26">
                  <c:v>2021-11-07</c:v>
                </c:pt>
                <c:pt idx="27">
                  <c:v>2021-11-08</c:v>
                </c:pt>
                <c:pt idx="28">
                  <c:v>2021-11-09</c:v>
                </c:pt>
                <c:pt idx="29">
                  <c:v>2021-11-10</c:v>
                </c:pt>
                <c:pt idx="30">
                  <c:v>2021-11-11</c:v>
                </c:pt>
              </c:strCache>
            </c:strRef>
          </c:cat>
          <c:val>
            <c:numRef>
              <c:f>Feuil2!$B$4:$B$35</c:f>
              <c:numCache>
                <c:formatCode>General</c:formatCode>
                <c:ptCount val="31"/>
                <c:pt idx="0">
                  <c:v>238704327</c:v>
                </c:pt>
                <c:pt idx="1">
                  <c:v>239166993</c:v>
                </c:pt>
                <c:pt idx="2">
                  <c:v>239610768</c:v>
                </c:pt>
                <c:pt idx="3">
                  <c:v>240071516</c:v>
                </c:pt>
                <c:pt idx="4">
                  <c:v>240404151</c:v>
                </c:pt>
                <c:pt idx="5">
                  <c:v>240705478</c:v>
                </c:pt>
                <c:pt idx="6">
                  <c:v>241131400</c:v>
                </c:pt>
                <c:pt idx="7">
                  <c:v>241572651</c:v>
                </c:pt>
                <c:pt idx="8">
                  <c:v>242040335</c:v>
                </c:pt>
                <c:pt idx="9">
                  <c:v>242497669</c:v>
                </c:pt>
                <c:pt idx="10">
                  <c:v>242986640</c:v>
                </c:pt>
                <c:pt idx="11">
                  <c:v>243374239</c:v>
                </c:pt>
                <c:pt idx="12">
                  <c:v>243691280</c:v>
                </c:pt>
                <c:pt idx="13">
                  <c:v>244097101</c:v>
                </c:pt>
                <c:pt idx="14">
                  <c:v>244549456</c:v>
                </c:pt>
                <c:pt idx="15">
                  <c:v>245059414</c:v>
                </c:pt>
                <c:pt idx="16">
                  <c:v>245517786</c:v>
                </c:pt>
                <c:pt idx="17">
                  <c:v>246024844</c:v>
                </c:pt>
                <c:pt idx="18">
                  <c:v>246405741</c:v>
                </c:pt>
                <c:pt idx="19">
                  <c:v>246725414</c:v>
                </c:pt>
                <c:pt idx="20">
                  <c:v>247148066</c:v>
                </c:pt>
                <c:pt idx="21">
                  <c:v>247578392</c:v>
                </c:pt>
                <c:pt idx="22">
                  <c:v>248096505</c:v>
                </c:pt>
                <c:pt idx="23">
                  <c:v>248621304</c:v>
                </c:pt>
                <c:pt idx="24">
                  <c:v>249133045</c:v>
                </c:pt>
                <c:pt idx="25">
                  <c:v>249544565</c:v>
                </c:pt>
                <c:pt idx="26">
                  <c:v>249877000</c:v>
                </c:pt>
                <c:pt idx="27">
                  <c:v>250367330</c:v>
                </c:pt>
                <c:pt idx="28">
                  <c:v>250846628</c:v>
                </c:pt>
                <c:pt idx="29">
                  <c:v>251406520</c:v>
                </c:pt>
                <c:pt idx="30">
                  <c:v>251461965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94-4B0C-829B-4AFB919AC8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3171328"/>
        <c:axId val="893174936"/>
      </c:lineChart>
      <c:catAx>
        <c:axId val="893171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93174936"/>
        <c:crosses val="autoZero"/>
        <c:auto val="1"/>
        <c:lblAlgn val="ctr"/>
        <c:lblOffset val="100"/>
        <c:noMultiLvlLbl val="0"/>
      </c:catAx>
      <c:valAx>
        <c:axId val="893174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93171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[covid19.xlsm]Feuil2!Tableau croisé dynamique3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Evolution du</a:t>
            </a:r>
            <a:r>
              <a:rPr lang="fr-FR" baseline="0"/>
              <a:t> nombre de guéris à l'échelle mondiale</a:t>
            </a:r>
            <a:endParaRPr lang="fr-F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Feuil2!$F$3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strRef>
              <c:f>Feuil2!$E$4:$E$35</c:f>
              <c:strCache>
                <c:ptCount val="31"/>
                <c:pt idx="0">
                  <c:v>2021-10-12</c:v>
                </c:pt>
                <c:pt idx="1">
                  <c:v>2021-10-13</c:v>
                </c:pt>
                <c:pt idx="2">
                  <c:v>2021-10-14</c:v>
                </c:pt>
                <c:pt idx="3">
                  <c:v>2021-10-15</c:v>
                </c:pt>
                <c:pt idx="4">
                  <c:v>2021-10-16</c:v>
                </c:pt>
                <c:pt idx="5">
                  <c:v>2021-10-17</c:v>
                </c:pt>
                <c:pt idx="6">
                  <c:v>2021-10-18</c:v>
                </c:pt>
                <c:pt idx="7">
                  <c:v>2021-10-19</c:v>
                </c:pt>
                <c:pt idx="8">
                  <c:v>2021-10-20</c:v>
                </c:pt>
                <c:pt idx="9">
                  <c:v>2021-10-21</c:v>
                </c:pt>
                <c:pt idx="10">
                  <c:v>2021-10-22</c:v>
                </c:pt>
                <c:pt idx="11">
                  <c:v>2021-10-23</c:v>
                </c:pt>
                <c:pt idx="12">
                  <c:v>2021-10-24</c:v>
                </c:pt>
                <c:pt idx="13">
                  <c:v>2021-10-25</c:v>
                </c:pt>
                <c:pt idx="14">
                  <c:v>2021-10-26</c:v>
                </c:pt>
                <c:pt idx="15">
                  <c:v>2021-10-27</c:v>
                </c:pt>
                <c:pt idx="16">
                  <c:v>2021-10-28</c:v>
                </c:pt>
                <c:pt idx="17">
                  <c:v>2021-10-29</c:v>
                </c:pt>
                <c:pt idx="18">
                  <c:v>2021-10-30</c:v>
                </c:pt>
                <c:pt idx="19">
                  <c:v>2021-10-31</c:v>
                </c:pt>
                <c:pt idx="20">
                  <c:v>2021-11-01</c:v>
                </c:pt>
                <c:pt idx="21">
                  <c:v>2021-11-02</c:v>
                </c:pt>
                <c:pt idx="22">
                  <c:v>2021-11-03</c:v>
                </c:pt>
                <c:pt idx="23">
                  <c:v>2021-11-04</c:v>
                </c:pt>
                <c:pt idx="24">
                  <c:v>2021-11-05</c:v>
                </c:pt>
                <c:pt idx="25">
                  <c:v>2021-11-06</c:v>
                </c:pt>
                <c:pt idx="26">
                  <c:v>2021-11-07</c:v>
                </c:pt>
                <c:pt idx="27">
                  <c:v>2021-11-08</c:v>
                </c:pt>
                <c:pt idx="28">
                  <c:v>2021-11-09</c:v>
                </c:pt>
                <c:pt idx="29">
                  <c:v>2021-11-10</c:v>
                </c:pt>
                <c:pt idx="30">
                  <c:v>2021-11-11</c:v>
                </c:pt>
              </c:strCache>
            </c:strRef>
          </c:cat>
          <c:val>
            <c:numRef>
              <c:f>Feuil2!$F$4:$F$35</c:f>
              <c:numCache>
                <c:formatCode>General</c:formatCode>
                <c:ptCount val="31"/>
                <c:pt idx="0">
                  <c:v>90751309</c:v>
                </c:pt>
                <c:pt idx="1">
                  <c:v>107062654</c:v>
                </c:pt>
                <c:pt idx="2">
                  <c:v>128554211</c:v>
                </c:pt>
                <c:pt idx="3">
                  <c:v>128575154</c:v>
                </c:pt>
                <c:pt idx="4">
                  <c:v>134583597</c:v>
                </c:pt>
                <c:pt idx="5">
                  <c:v>99941987</c:v>
                </c:pt>
                <c:pt idx="6">
                  <c:v>140955366</c:v>
                </c:pt>
                <c:pt idx="7">
                  <c:v>118720384</c:v>
                </c:pt>
                <c:pt idx="8">
                  <c:v>136953732</c:v>
                </c:pt>
                <c:pt idx="9">
                  <c:v>78540486</c:v>
                </c:pt>
                <c:pt idx="10">
                  <c:v>130670226</c:v>
                </c:pt>
                <c:pt idx="11">
                  <c:v>126710463</c:v>
                </c:pt>
                <c:pt idx="12">
                  <c:v>127707447</c:v>
                </c:pt>
                <c:pt idx="13">
                  <c:v>138789716</c:v>
                </c:pt>
                <c:pt idx="14">
                  <c:v>114248581</c:v>
                </c:pt>
                <c:pt idx="15">
                  <c:v>141305604</c:v>
                </c:pt>
                <c:pt idx="16">
                  <c:v>132041651</c:v>
                </c:pt>
                <c:pt idx="17">
                  <c:v>79171852</c:v>
                </c:pt>
                <c:pt idx="18">
                  <c:v>92689388</c:v>
                </c:pt>
                <c:pt idx="19">
                  <c:v>106977648</c:v>
                </c:pt>
                <c:pt idx="20">
                  <c:v>126423491</c:v>
                </c:pt>
                <c:pt idx="21">
                  <c:v>108009703</c:v>
                </c:pt>
                <c:pt idx="22">
                  <c:v>134541708</c:v>
                </c:pt>
                <c:pt idx="23">
                  <c:v>118979290</c:v>
                </c:pt>
                <c:pt idx="24">
                  <c:v>140801191</c:v>
                </c:pt>
                <c:pt idx="25">
                  <c:v>147285765</c:v>
                </c:pt>
                <c:pt idx="26">
                  <c:v>120911639</c:v>
                </c:pt>
                <c:pt idx="27">
                  <c:v>100899124</c:v>
                </c:pt>
                <c:pt idx="28">
                  <c:v>78755317</c:v>
                </c:pt>
                <c:pt idx="29">
                  <c:v>135226710</c:v>
                </c:pt>
                <c:pt idx="30">
                  <c:v>105196592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81-4D8C-8F5E-E256CBE572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39406312"/>
        <c:axId val="839407624"/>
      </c:lineChart>
      <c:catAx>
        <c:axId val="839406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39407624"/>
        <c:crosses val="autoZero"/>
        <c:auto val="1"/>
        <c:lblAlgn val="ctr"/>
        <c:lblOffset val="100"/>
        <c:noMultiLvlLbl val="0"/>
      </c:catAx>
      <c:valAx>
        <c:axId val="839407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39406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[covid19.xlsm]Feuil2!Tableau croisé dynamique4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Evolution du</a:t>
            </a:r>
            <a:r>
              <a:rPr lang="en-US" baseline="0"/>
              <a:t> nombre de </a:t>
            </a:r>
            <a:r>
              <a:rPr lang="en-US"/>
              <a:t>decès à l'échelle mondiale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Feuil2!$J$3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strRef>
              <c:f>Feuil2!$I$4:$I$35</c:f>
              <c:strCache>
                <c:ptCount val="31"/>
                <c:pt idx="0">
                  <c:v>2021-10-12</c:v>
                </c:pt>
                <c:pt idx="1">
                  <c:v>2021-10-13</c:v>
                </c:pt>
                <c:pt idx="2">
                  <c:v>2021-10-14</c:v>
                </c:pt>
                <c:pt idx="3">
                  <c:v>2021-10-15</c:v>
                </c:pt>
                <c:pt idx="4">
                  <c:v>2021-10-16</c:v>
                </c:pt>
                <c:pt idx="5">
                  <c:v>2021-10-17</c:v>
                </c:pt>
                <c:pt idx="6">
                  <c:v>2021-10-18</c:v>
                </c:pt>
                <c:pt idx="7">
                  <c:v>2021-10-19</c:v>
                </c:pt>
                <c:pt idx="8">
                  <c:v>2021-10-20</c:v>
                </c:pt>
                <c:pt idx="9">
                  <c:v>2021-10-21</c:v>
                </c:pt>
                <c:pt idx="10">
                  <c:v>2021-10-22</c:v>
                </c:pt>
                <c:pt idx="11">
                  <c:v>2021-10-23</c:v>
                </c:pt>
                <c:pt idx="12">
                  <c:v>2021-10-24</c:v>
                </c:pt>
                <c:pt idx="13">
                  <c:v>2021-10-25</c:v>
                </c:pt>
                <c:pt idx="14">
                  <c:v>2021-10-26</c:v>
                </c:pt>
                <c:pt idx="15">
                  <c:v>2021-10-27</c:v>
                </c:pt>
                <c:pt idx="16">
                  <c:v>2021-10-28</c:v>
                </c:pt>
                <c:pt idx="17">
                  <c:v>2021-10-29</c:v>
                </c:pt>
                <c:pt idx="18">
                  <c:v>2021-10-30</c:v>
                </c:pt>
                <c:pt idx="19">
                  <c:v>2021-10-31</c:v>
                </c:pt>
                <c:pt idx="20">
                  <c:v>2021-11-01</c:v>
                </c:pt>
                <c:pt idx="21">
                  <c:v>2021-11-02</c:v>
                </c:pt>
                <c:pt idx="22">
                  <c:v>2021-11-03</c:v>
                </c:pt>
                <c:pt idx="23">
                  <c:v>2021-11-04</c:v>
                </c:pt>
                <c:pt idx="24">
                  <c:v>2021-11-05</c:v>
                </c:pt>
                <c:pt idx="25">
                  <c:v>2021-11-06</c:v>
                </c:pt>
                <c:pt idx="26">
                  <c:v>2021-11-07</c:v>
                </c:pt>
                <c:pt idx="27">
                  <c:v>2021-11-08</c:v>
                </c:pt>
                <c:pt idx="28">
                  <c:v>2021-11-09</c:v>
                </c:pt>
                <c:pt idx="29">
                  <c:v>2021-11-10</c:v>
                </c:pt>
                <c:pt idx="30">
                  <c:v>2021-11-11</c:v>
                </c:pt>
              </c:strCache>
            </c:strRef>
          </c:cat>
          <c:val>
            <c:numRef>
              <c:f>Feuil2!$J$4:$J$35</c:f>
              <c:numCache>
                <c:formatCode>General</c:formatCode>
                <c:ptCount val="31"/>
                <c:pt idx="0">
                  <c:v>4865925</c:v>
                </c:pt>
                <c:pt idx="1">
                  <c:v>4874301</c:v>
                </c:pt>
                <c:pt idx="2">
                  <c:v>4882174</c:v>
                </c:pt>
                <c:pt idx="3">
                  <c:v>4889368</c:v>
                </c:pt>
                <c:pt idx="4">
                  <c:v>4894513</c:v>
                </c:pt>
                <c:pt idx="5">
                  <c:v>4898674</c:v>
                </c:pt>
                <c:pt idx="6">
                  <c:v>4905094</c:v>
                </c:pt>
                <c:pt idx="7">
                  <c:v>4913939</c:v>
                </c:pt>
                <c:pt idx="8">
                  <c:v>4922526</c:v>
                </c:pt>
                <c:pt idx="9">
                  <c:v>4930127</c:v>
                </c:pt>
                <c:pt idx="10">
                  <c:v>4938261</c:v>
                </c:pt>
                <c:pt idx="11">
                  <c:v>4943926</c:v>
                </c:pt>
                <c:pt idx="12">
                  <c:v>4948410</c:v>
                </c:pt>
                <c:pt idx="13">
                  <c:v>4955579</c:v>
                </c:pt>
                <c:pt idx="14">
                  <c:v>4963445</c:v>
                </c:pt>
                <c:pt idx="15">
                  <c:v>4973035</c:v>
                </c:pt>
                <c:pt idx="16">
                  <c:v>4981549</c:v>
                </c:pt>
                <c:pt idx="17">
                  <c:v>4989532</c:v>
                </c:pt>
                <c:pt idx="18">
                  <c:v>4995689</c:v>
                </c:pt>
                <c:pt idx="19">
                  <c:v>5000096</c:v>
                </c:pt>
                <c:pt idx="20">
                  <c:v>5006355</c:v>
                </c:pt>
                <c:pt idx="21">
                  <c:v>5013914</c:v>
                </c:pt>
                <c:pt idx="22">
                  <c:v>5022207</c:v>
                </c:pt>
                <c:pt idx="23">
                  <c:v>5029835</c:v>
                </c:pt>
                <c:pt idx="24">
                  <c:v>5038368</c:v>
                </c:pt>
                <c:pt idx="25">
                  <c:v>5044867</c:v>
                </c:pt>
                <c:pt idx="26">
                  <c:v>5049261</c:v>
                </c:pt>
                <c:pt idx="27">
                  <c:v>5055955</c:v>
                </c:pt>
                <c:pt idx="28">
                  <c:v>5064350</c:v>
                </c:pt>
                <c:pt idx="29">
                  <c:v>5072104</c:v>
                </c:pt>
                <c:pt idx="30">
                  <c:v>5073411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FB-4198-BECF-76F3AAA226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39397456"/>
        <c:axId val="839397128"/>
      </c:lineChart>
      <c:catAx>
        <c:axId val="839397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39397128"/>
        <c:crosses val="autoZero"/>
        <c:auto val="1"/>
        <c:lblAlgn val="ctr"/>
        <c:lblOffset val="100"/>
        <c:noMultiLvlLbl val="0"/>
      </c:catAx>
      <c:valAx>
        <c:axId val="839397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39397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753897</xdr:colOff>
      <xdr:row>12</xdr:row>
      <xdr:rowOff>135211</xdr:rowOff>
    </xdr:from>
    <xdr:to>
      <xdr:col>14</xdr:col>
      <xdr:colOff>744372</xdr:colOff>
      <xdr:row>29</xdr:row>
      <xdr:rowOff>173182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723900</xdr:colOff>
      <xdr:row>8</xdr:row>
      <xdr:rowOff>57150</xdr:rowOff>
    </xdr:from>
    <xdr:to>
      <xdr:col>16</xdr:col>
      <xdr:colOff>744682</xdr:colOff>
      <xdr:row>29</xdr:row>
      <xdr:rowOff>155864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19050</xdr:colOff>
      <xdr:row>0</xdr:row>
      <xdr:rowOff>19050</xdr:rowOff>
    </xdr:from>
    <xdr:to>
      <xdr:col>16</xdr:col>
      <xdr:colOff>742950</xdr:colOff>
      <xdr:row>1</xdr:row>
      <xdr:rowOff>180975</xdr:rowOff>
    </xdr:to>
    <xdr:sp macro="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9050" y="19050"/>
          <a:ext cx="12915900" cy="352425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400" b="1"/>
            <a:t>TABLEAU DE BOARD COVID 19</a:t>
          </a:r>
        </a:p>
      </xdr:txBody>
    </xdr:sp>
    <xdr:clientData/>
  </xdr:twoCellAnchor>
  <xdr:twoCellAnchor>
    <xdr:from>
      <xdr:col>1</xdr:col>
      <xdr:colOff>459828</xdr:colOff>
      <xdr:row>2</xdr:row>
      <xdr:rowOff>180975</xdr:rowOff>
    </xdr:from>
    <xdr:to>
      <xdr:col>4</xdr:col>
      <xdr:colOff>743279</xdr:colOff>
      <xdr:row>29</xdr:row>
      <xdr:rowOff>173182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2</xdr:row>
      <xdr:rowOff>21897</xdr:rowOff>
    </xdr:from>
    <xdr:to>
      <xdr:col>1</xdr:col>
      <xdr:colOff>448880</xdr:colOff>
      <xdr:row>30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Pays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y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402897"/>
              <a:ext cx="1210880" cy="536813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21165</xdr:colOff>
      <xdr:row>0</xdr:row>
      <xdr:rowOff>52917</xdr:rowOff>
    </xdr:from>
    <xdr:to>
      <xdr:col>16</xdr:col>
      <xdr:colOff>687915</xdr:colOff>
      <xdr:row>29</xdr:row>
      <xdr:rowOff>74084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21165" y="52917"/>
          <a:ext cx="13677900" cy="5698067"/>
        </a:xfrm>
        <a:prstGeom prst="rect">
          <a:avLst/>
        </a:prstGeom>
        <a:noFill/>
        <a:ln w="762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582083</xdr:colOff>
      <xdr:row>3</xdr:row>
      <xdr:rowOff>179916</xdr:rowOff>
    </xdr:from>
    <xdr:to>
      <xdr:col>6</xdr:col>
      <xdr:colOff>349250</xdr:colOff>
      <xdr:row>8</xdr:row>
      <xdr:rowOff>75141</xdr:rowOff>
    </xdr:to>
    <xdr:sp macro="" textlink="">
      <xdr:nvSpPr>
        <xdr:cNvPr id="3" name="Décagon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3630083" y="751416"/>
          <a:ext cx="1566334" cy="900642"/>
        </a:xfrm>
        <a:prstGeom prst="decagon">
          <a:avLst/>
        </a:prstGeom>
        <a:noFill/>
        <a:ln>
          <a:noFill/>
        </a:ln>
        <a:effectLst/>
        <a:scene3d>
          <a:camera prst="orthographicFront">
            <a:rot lat="0" lon="0" rev="0"/>
          </a:camera>
          <a:lightRig rig="chilly" dir="t">
            <a:rot lat="0" lon="0" rev="18480000"/>
          </a:lightRig>
        </a:scene3d>
        <a:sp3d prstMaterial="clear">
          <a:bevelT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514350</xdr:colOff>
      <xdr:row>0</xdr:row>
      <xdr:rowOff>171450</xdr:rowOff>
    </xdr:from>
    <xdr:to>
      <xdr:col>13</xdr:col>
      <xdr:colOff>428625</xdr:colOff>
      <xdr:row>3</xdr:row>
      <xdr:rowOff>42333</xdr:rowOff>
    </xdr:to>
    <xdr:sp macro="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2800350" y="171450"/>
          <a:ext cx="8353425" cy="442383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>
              <a:latin typeface="Algerian" panose="04020705040A02060702" pitchFamily="82" charset="0"/>
            </a:rPr>
            <a:t>TABLEAU DE BOARD COVID 19</a:t>
          </a:r>
        </a:p>
      </xdr:txBody>
    </xdr:sp>
    <xdr:clientData/>
  </xdr:twoCellAnchor>
  <xdr:twoCellAnchor>
    <xdr:from>
      <xdr:col>5</xdr:col>
      <xdr:colOff>8468</xdr:colOff>
      <xdr:row>4</xdr:row>
      <xdr:rowOff>119591</xdr:rowOff>
    </xdr:from>
    <xdr:to>
      <xdr:col>6</xdr:col>
      <xdr:colOff>122768</xdr:colOff>
      <xdr:row>5</xdr:row>
      <xdr:rowOff>167217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 txBox="1"/>
      </xdr:nvSpPr>
      <xdr:spPr>
        <a:xfrm>
          <a:off x="3818468" y="881591"/>
          <a:ext cx="1151467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INFECTES</a:t>
          </a:r>
        </a:p>
      </xdr:txBody>
    </xdr:sp>
    <xdr:clientData/>
  </xdr:twoCellAnchor>
  <xdr:twoCellAnchor>
    <xdr:from>
      <xdr:col>7</xdr:col>
      <xdr:colOff>582083</xdr:colOff>
      <xdr:row>3</xdr:row>
      <xdr:rowOff>169334</xdr:rowOff>
    </xdr:from>
    <xdr:to>
      <xdr:col>9</xdr:col>
      <xdr:colOff>222250</xdr:colOff>
      <xdr:row>8</xdr:row>
      <xdr:rowOff>73025</xdr:rowOff>
    </xdr:to>
    <xdr:sp macro="" textlink="">
      <xdr:nvSpPr>
        <xdr:cNvPr id="6" name="Décagon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6191250" y="740834"/>
          <a:ext cx="1439333" cy="909108"/>
        </a:xfrm>
        <a:prstGeom prst="decagon">
          <a:avLst/>
        </a:prstGeom>
        <a:noFill/>
        <a:ln>
          <a:noFill/>
        </a:ln>
        <a:effectLst/>
        <a:scene3d>
          <a:camera prst="orthographicFront">
            <a:rot lat="0" lon="0" rev="0"/>
          </a:camera>
          <a:lightRig rig="chilly" dir="t">
            <a:rot lat="0" lon="0" rev="18480000"/>
          </a:lightRig>
        </a:scene3d>
        <a:sp3d prstMaterial="clear">
          <a:bevelT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1</xdr:colOff>
      <xdr:row>4</xdr:row>
      <xdr:rowOff>114299</xdr:rowOff>
    </xdr:from>
    <xdr:to>
      <xdr:col>9</xdr:col>
      <xdr:colOff>114301</xdr:colOff>
      <xdr:row>5</xdr:row>
      <xdr:rowOff>161925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/>
      </xdr:nvSpPr>
      <xdr:spPr>
        <a:xfrm>
          <a:off x="6372226" y="876299"/>
          <a:ext cx="1152525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GUERISONS</a:t>
          </a:r>
        </a:p>
      </xdr:txBody>
    </xdr:sp>
    <xdr:clientData/>
  </xdr:twoCellAnchor>
  <xdr:twoCellAnchor>
    <xdr:from>
      <xdr:col>10</xdr:col>
      <xdr:colOff>497417</xdr:colOff>
      <xdr:row>3</xdr:row>
      <xdr:rowOff>186265</xdr:rowOff>
    </xdr:from>
    <xdr:to>
      <xdr:col>12</xdr:col>
      <xdr:colOff>63500</xdr:colOff>
      <xdr:row>8</xdr:row>
      <xdr:rowOff>91015</xdr:rowOff>
    </xdr:to>
    <xdr:sp macro="" textlink="">
      <xdr:nvSpPr>
        <xdr:cNvPr id="8" name="Décagone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8667750" y="757765"/>
          <a:ext cx="1354667" cy="910167"/>
        </a:xfrm>
        <a:prstGeom prst="decagon">
          <a:avLst/>
        </a:prstGeom>
        <a:noFill/>
        <a:ln>
          <a:noFill/>
        </a:ln>
        <a:effectLst/>
        <a:scene3d>
          <a:camera prst="orthographicFront">
            <a:rot lat="0" lon="0" rev="0"/>
          </a:camera>
          <a:lightRig rig="chilly" dir="t">
            <a:rot lat="0" lon="0" rev="18480000"/>
          </a:lightRig>
        </a:scene3d>
        <a:sp3d prstMaterial="clear">
          <a:bevelT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  <a:p>
          <a:pPr algn="l"/>
          <a:endParaRPr lang="fr-FR" sz="1100"/>
        </a:p>
        <a:p>
          <a:pPr algn="l"/>
          <a:endParaRPr lang="fr-FR" sz="1100"/>
        </a:p>
      </xdr:txBody>
    </xdr:sp>
    <xdr:clientData/>
  </xdr:twoCellAnchor>
  <xdr:twoCellAnchor>
    <xdr:from>
      <xdr:col>10</xdr:col>
      <xdr:colOff>664634</xdr:colOff>
      <xdr:row>4</xdr:row>
      <xdr:rowOff>125941</xdr:rowOff>
    </xdr:from>
    <xdr:to>
      <xdr:col>12</xdr:col>
      <xdr:colOff>74084</xdr:colOff>
      <xdr:row>5</xdr:row>
      <xdr:rowOff>173567</xdr:rowOff>
    </xdr:to>
    <xdr:sp macro="" textlink="">
      <xdr:nvSpPr>
        <xdr:cNvPr id="9" name="ZoneTexte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 txBox="1"/>
      </xdr:nvSpPr>
      <xdr:spPr>
        <a:xfrm>
          <a:off x="8834967" y="887941"/>
          <a:ext cx="1198034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DECES</a:t>
          </a:r>
        </a:p>
      </xdr:txBody>
    </xdr:sp>
    <xdr:clientData/>
  </xdr:twoCellAnchor>
  <xdr:twoCellAnchor editAs="oneCell">
    <xdr:from>
      <xdr:col>0</xdr:col>
      <xdr:colOff>180975</xdr:colOff>
      <xdr:row>3</xdr:row>
      <xdr:rowOff>158750</xdr:rowOff>
    </xdr:from>
    <xdr:to>
      <xdr:col>2</xdr:col>
      <xdr:colOff>485775</xdr:colOff>
      <xdr:row>28</xdr:row>
      <xdr:rowOff>63500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Pays 2">
              <a:extLst>
                <a:ext uri="{FF2B5EF4-FFF2-40B4-BE49-F238E27FC236}">
                  <a16:creationId xmlns:a16="http://schemas.microsoft.com/office/drawing/2014/main" id="{00000000-0008-0000-0700-00000A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ys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0975" y="730250"/>
              <a:ext cx="1828800" cy="4812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3</xdr:col>
      <xdr:colOff>10584</xdr:colOff>
      <xdr:row>8</xdr:row>
      <xdr:rowOff>169334</xdr:rowOff>
    </xdr:from>
    <xdr:to>
      <xdr:col>5</xdr:col>
      <xdr:colOff>910167</xdr:colOff>
      <xdr:row>10</xdr:row>
      <xdr:rowOff>21168</xdr:rowOff>
    </xdr:to>
    <xdr:sp macro="" textlink="">
      <xdr:nvSpPr>
        <xdr:cNvPr id="11" name="ZoneTexte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 txBox="1"/>
      </xdr:nvSpPr>
      <xdr:spPr>
        <a:xfrm>
          <a:off x="2296584" y="1746251"/>
          <a:ext cx="2423583" cy="338667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400" b="1"/>
            <a:t>Evolution</a:t>
          </a:r>
          <a:r>
            <a:rPr lang="fr-FR" sz="1400" b="1" baseline="0"/>
            <a:t>   quotidienne </a:t>
          </a:r>
          <a:endParaRPr lang="fr-FR" sz="1400" b="1"/>
        </a:p>
      </xdr:txBody>
    </xdr:sp>
    <xdr:clientData/>
  </xdr:twoCellAnchor>
  <xdr:twoCellAnchor>
    <xdr:from>
      <xdr:col>12</xdr:col>
      <xdr:colOff>158750</xdr:colOff>
      <xdr:row>3</xdr:row>
      <xdr:rowOff>179918</xdr:rowOff>
    </xdr:from>
    <xdr:to>
      <xdr:col>16</xdr:col>
      <xdr:colOff>603250</xdr:colOff>
      <xdr:row>28</xdr:row>
      <xdr:rowOff>179918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10121900" y="751418"/>
          <a:ext cx="3492500" cy="4914900"/>
        </a:xfrm>
        <a:prstGeom prst="roundRect">
          <a:avLst/>
        </a:prstGeom>
        <a:noFill/>
        <a:ln>
          <a:solidFill>
            <a:schemeClr val="accent5">
              <a:lumMod val="40000"/>
              <a:lumOff val="60000"/>
            </a:schemeClr>
          </a:solidFill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698500</xdr:colOff>
      <xdr:row>10</xdr:row>
      <xdr:rowOff>74083</xdr:rowOff>
    </xdr:from>
    <xdr:to>
      <xdr:col>12</xdr:col>
      <xdr:colOff>0</xdr:colOff>
      <xdr:row>28</xdr:row>
      <xdr:rowOff>137583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/>
      </xdr:nvSpPr>
      <xdr:spPr>
        <a:xfrm>
          <a:off x="2222500" y="2137833"/>
          <a:ext cx="7736417" cy="3492500"/>
        </a:xfrm>
        <a:prstGeom prst="rect">
          <a:avLst/>
        </a:prstGeom>
        <a:solidFill>
          <a:schemeClr val="bg1"/>
        </a:solidFill>
        <a:ln w="12700">
          <a:solidFill>
            <a:sysClr val="windowText" lastClr="000000"/>
          </a:solidFill>
        </a:ln>
        <a:effectLst/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306916</xdr:colOff>
      <xdr:row>5</xdr:row>
      <xdr:rowOff>10582</xdr:rowOff>
    </xdr:from>
    <xdr:to>
      <xdr:col>16</xdr:col>
      <xdr:colOff>433916</xdr:colOff>
      <xdr:row>27</xdr:row>
      <xdr:rowOff>149223</xdr:rowOff>
    </xdr:to>
    <xdr:graphicFrame macro="">
      <xdr:nvGraphicFramePr>
        <xdr:cNvPr id="17" name="Graphique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219075</xdr:colOff>
          <xdr:row>5</xdr:row>
          <xdr:rowOff>28575</xdr:rowOff>
        </xdr:from>
        <xdr:to>
          <xdr:col>4</xdr:col>
          <xdr:colOff>419100</xdr:colOff>
          <xdr:row>7</xdr:row>
          <xdr:rowOff>57150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Acceuil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984251</xdr:colOff>
      <xdr:row>9</xdr:row>
      <xdr:rowOff>21168</xdr:rowOff>
    </xdr:from>
    <xdr:to>
      <xdr:col>6</xdr:col>
      <xdr:colOff>709083</xdr:colOff>
      <xdr:row>9</xdr:row>
      <xdr:rowOff>275167</xdr:rowOff>
    </xdr:to>
    <xdr:sp macro="[0]!afficher_infectes" textlink="">
      <xdr:nvSpPr>
        <xdr:cNvPr id="19" name="Rectangle : coins arrondis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/>
      </xdr:nvSpPr>
      <xdr:spPr>
        <a:xfrm>
          <a:off x="4794251" y="1788585"/>
          <a:ext cx="761999" cy="253999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INFECTES</a:t>
          </a:r>
        </a:p>
      </xdr:txBody>
    </xdr:sp>
    <xdr:clientData/>
  </xdr:twoCellAnchor>
  <xdr:twoCellAnchor>
    <xdr:from>
      <xdr:col>7</xdr:col>
      <xdr:colOff>42334</xdr:colOff>
      <xdr:row>9</xdr:row>
      <xdr:rowOff>10584</xdr:rowOff>
    </xdr:from>
    <xdr:to>
      <xdr:col>8</xdr:col>
      <xdr:colOff>179915</xdr:colOff>
      <xdr:row>9</xdr:row>
      <xdr:rowOff>264581</xdr:rowOff>
    </xdr:to>
    <xdr:sp macro="[0]!afficher_guerisons" textlink="">
      <xdr:nvSpPr>
        <xdr:cNvPr id="22" name="Rectangle : coins arrondis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SpPr/>
      </xdr:nvSpPr>
      <xdr:spPr>
        <a:xfrm>
          <a:off x="5651501" y="1778001"/>
          <a:ext cx="899581" cy="253997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GUERISONS</a:t>
          </a:r>
        </a:p>
      </xdr:txBody>
    </xdr:sp>
    <xdr:clientData/>
  </xdr:twoCellAnchor>
  <xdr:twoCellAnchor>
    <xdr:from>
      <xdr:col>8</xdr:col>
      <xdr:colOff>285750</xdr:colOff>
      <xdr:row>9</xdr:row>
      <xdr:rowOff>21168</xdr:rowOff>
    </xdr:from>
    <xdr:to>
      <xdr:col>8</xdr:col>
      <xdr:colOff>920750</xdr:colOff>
      <xdr:row>9</xdr:row>
      <xdr:rowOff>275166</xdr:rowOff>
    </xdr:to>
    <xdr:sp macro="[0]!Afficher_deces" textlink="">
      <xdr:nvSpPr>
        <xdr:cNvPr id="23" name="Rectangle : coins arrondis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SpPr/>
      </xdr:nvSpPr>
      <xdr:spPr>
        <a:xfrm>
          <a:off x="6656917" y="1788585"/>
          <a:ext cx="635000" cy="253998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DECES</a:t>
          </a:r>
        </a:p>
      </xdr:txBody>
    </xdr:sp>
    <xdr:clientData/>
  </xdr:twoCellAnchor>
  <xdr:twoCellAnchor>
    <xdr:from>
      <xdr:col>2</xdr:col>
      <xdr:colOff>698498</xdr:colOff>
      <xdr:row>10</xdr:row>
      <xdr:rowOff>84665</xdr:rowOff>
    </xdr:from>
    <xdr:to>
      <xdr:col>11</xdr:col>
      <xdr:colOff>1005416</xdr:colOff>
      <xdr:row>28</xdr:row>
      <xdr:rowOff>137583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698499</xdr:colOff>
      <xdr:row>10</xdr:row>
      <xdr:rowOff>74084</xdr:rowOff>
    </xdr:from>
    <xdr:to>
      <xdr:col>11</xdr:col>
      <xdr:colOff>994834</xdr:colOff>
      <xdr:row>28</xdr:row>
      <xdr:rowOff>116417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709082</xdr:colOff>
      <xdr:row>10</xdr:row>
      <xdr:rowOff>74083</xdr:rowOff>
    </xdr:from>
    <xdr:to>
      <xdr:col>11</xdr:col>
      <xdr:colOff>1016000</xdr:colOff>
      <xdr:row>28</xdr:row>
      <xdr:rowOff>127000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21165</xdr:colOff>
      <xdr:row>0</xdr:row>
      <xdr:rowOff>52917</xdr:rowOff>
    </xdr:from>
    <xdr:to>
      <xdr:col>16</xdr:col>
      <xdr:colOff>687915</xdr:colOff>
      <xdr:row>29</xdr:row>
      <xdr:rowOff>74084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21165" y="52917"/>
          <a:ext cx="13673667" cy="5640917"/>
        </a:xfrm>
        <a:prstGeom prst="rect">
          <a:avLst/>
        </a:prstGeom>
        <a:noFill/>
        <a:ln w="762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696384</xdr:colOff>
      <xdr:row>4</xdr:row>
      <xdr:rowOff>0</xdr:rowOff>
    </xdr:from>
    <xdr:to>
      <xdr:col>6</xdr:col>
      <xdr:colOff>149977</xdr:colOff>
      <xdr:row>8</xdr:row>
      <xdr:rowOff>85725</xdr:rowOff>
    </xdr:to>
    <xdr:sp macro="" textlink="">
      <xdr:nvSpPr>
        <xdr:cNvPr id="4" name="Décagon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3744384" y="762000"/>
          <a:ext cx="1252760" cy="900642"/>
        </a:xfrm>
        <a:prstGeom prst="decagon">
          <a:avLst/>
        </a:prstGeom>
        <a:noFill/>
        <a:ln>
          <a:noFill/>
        </a:ln>
        <a:effectLst/>
        <a:scene3d>
          <a:camera prst="orthographicFront">
            <a:rot lat="0" lon="0" rev="0"/>
          </a:camera>
          <a:lightRig rig="chilly" dir="t">
            <a:rot lat="0" lon="0" rev="18480000"/>
          </a:lightRig>
        </a:scene3d>
        <a:sp3d prstMaterial="clear">
          <a:bevelT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514350</xdr:colOff>
      <xdr:row>0</xdr:row>
      <xdr:rowOff>171450</xdr:rowOff>
    </xdr:from>
    <xdr:to>
      <xdr:col>13</xdr:col>
      <xdr:colOff>428625</xdr:colOff>
      <xdr:row>3</xdr:row>
      <xdr:rowOff>42333</xdr:rowOff>
    </xdr:to>
    <xdr:sp macro="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2800350" y="171450"/>
          <a:ext cx="8349192" cy="442383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>
              <a:latin typeface="Algerian" panose="04020705040A02060702" pitchFamily="82" charset="0"/>
            </a:rPr>
            <a:t>TABLEAU DE BOARD COVID 19</a:t>
          </a:r>
        </a:p>
      </xdr:txBody>
    </xdr:sp>
    <xdr:clientData/>
  </xdr:twoCellAnchor>
  <xdr:twoCellAnchor>
    <xdr:from>
      <xdr:col>4</xdr:col>
      <xdr:colOff>717551</xdr:colOff>
      <xdr:row>4</xdr:row>
      <xdr:rowOff>66674</xdr:rowOff>
    </xdr:from>
    <xdr:to>
      <xdr:col>6</xdr:col>
      <xdr:colOff>69851</xdr:colOff>
      <xdr:row>5</xdr:row>
      <xdr:rowOff>114300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 txBox="1"/>
      </xdr:nvSpPr>
      <xdr:spPr>
        <a:xfrm>
          <a:off x="3765551" y="828674"/>
          <a:ext cx="1151467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INFECTES</a:t>
          </a:r>
        </a:p>
      </xdr:txBody>
    </xdr:sp>
    <xdr:clientData/>
  </xdr:twoCellAnchor>
  <xdr:twoCellAnchor>
    <xdr:from>
      <xdr:col>7</xdr:col>
      <xdr:colOff>719667</xdr:colOff>
      <xdr:row>4</xdr:row>
      <xdr:rowOff>15874</xdr:rowOff>
    </xdr:from>
    <xdr:to>
      <xdr:col>9</xdr:col>
      <xdr:colOff>119592</xdr:colOff>
      <xdr:row>8</xdr:row>
      <xdr:rowOff>73024</xdr:rowOff>
    </xdr:to>
    <xdr:sp macro="" textlink="">
      <xdr:nvSpPr>
        <xdr:cNvPr id="13" name="Décagone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>
        <a:xfrm>
          <a:off x="6328834" y="777874"/>
          <a:ext cx="1199091" cy="872067"/>
        </a:xfrm>
        <a:prstGeom prst="decagon">
          <a:avLst/>
        </a:prstGeom>
        <a:noFill/>
        <a:ln>
          <a:noFill/>
        </a:ln>
        <a:effectLst/>
        <a:scene3d>
          <a:camera prst="orthographicFront">
            <a:rot lat="0" lon="0" rev="0"/>
          </a:camera>
          <a:lightRig rig="chilly" dir="t">
            <a:rot lat="0" lon="0" rev="18480000"/>
          </a:lightRig>
        </a:scene3d>
        <a:sp3d prstMaterial="clear">
          <a:bevelT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1</xdr:colOff>
      <xdr:row>4</xdr:row>
      <xdr:rowOff>114299</xdr:rowOff>
    </xdr:from>
    <xdr:to>
      <xdr:col>9</xdr:col>
      <xdr:colOff>114301</xdr:colOff>
      <xdr:row>5</xdr:row>
      <xdr:rowOff>161925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 txBox="1"/>
      </xdr:nvSpPr>
      <xdr:spPr>
        <a:xfrm>
          <a:off x="6153151" y="876299"/>
          <a:ext cx="93345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GUERISONS</a:t>
          </a:r>
        </a:p>
      </xdr:txBody>
    </xdr:sp>
    <xdr:clientData/>
  </xdr:twoCellAnchor>
  <xdr:twoCellAnchor>
    <xdr:from>
      <xdr:col>10</xdr:col>
      <xdr:colOff>658283</xdr:colOff>
      <xdr:row>3</xdr:row>
      <xdr:rowOff>186266</xdr:rowOff>
    </xdr:from>
    <xdr:to>
      <xdr:col>12</xdr:col>
      <xdr:colOff>20108</xdr:colOff>
      <xdr:row>8</xdr:row>
      <xdr:rowOff>91016</xdr:rowOff>
    </xdr:to>
    <xdr:sp macro="" textlink="">
      <xdr:nvSpPr>
        <xdr:cNvPr id="15" name="Décagone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8828616" y="757766"/>
          <a:ext cx="1150409" cy="910167"/>
        </a:xfrm>
        <a:prstGeom prst="decagon">
          <a:avLst/>
        </a:prstGeom>
        <a:noFill/>
        <a:ln>
          <a:noFill/>
        </a:ln>
        <a:effectLst/>
        <a:scene3d>
          <a:camera prst="orthographicFront">
            <a:rot lat="0" lon="0" rev="0"/>
          </a:camera>
          <a:lightRig rig="chilly" dir="t">
            <a:rot lat="0" lon="0" rev="18480000"/>
          </a:lightRig>
        </a:scene3d>
        <a:sp3d prstMaterial="clear">
          <a:bevelT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</xdr:col>
      <xdr:colOff>590551</xdr:colOff>
      <xdr:row>4</xdr:row>
      <xdr:rowOff>104774</xdr:rowOff>
    </xdr:from>
    <xdr:to>
      <xdr:col>12</xdr:col>
      <xdr:colOff>1</xdr:colOff>
      <xdr:row>5</xdr:row>
      <xdr:rowOff>152400</xdr:rowOff>
    </xdr:to>
    <xdr:sp macro="" textlink="">
      <xdr:nvSpPr>
        <xdr:cNvPr id="16" name="ZoneTexte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 txBox="1"/>
      </xdr:nvSpPr>
      <xdr:spPr>
        <a:xfrm>
          <a:off x="8324851" y="866774"/>
          <a:ext cx="93345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DECES</a:t>
          </a:r>
        </a:p>
      </xdr:txBody>
    </xdr:sp>
    <xdr:clientData/>
  </xdr:twoCellAnchor>
  <xdr:twoCellAnchor>
    <xdr:from>
      <xdr:col>0</xdr:col>
      <xdr:colOff>116418</xdr:colOff>
      <xdr:row>4</xdr:row>
      <xdr:rowOff>52917</xdr:rowOff>
    </xdr:from>
    <xdr:to>
      <xdr:col>4</xdr:col>
      <xdr:colOff>391583</xdr:colOff>
      <xdr:row>28</xdr:row>
      <xdr:rowOff>179917</xdr:rowOff>
    </xdr:to>
    <xdr:sp macro="" textlink="">
      <xdr:nvSpPr>
        <xdr:cNvPr id="19" name="Rectangle : coins arrondis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>
          <a:off x="116418" y="814917"/>
          <a:ext cx="3323165" cy="4857750"/>
        </a:xfrm>
        <a:prstGeom prst="roundRect">
          <a:avLst/>
        </a:prstGeom>
        <a:noFill/>
        <a:ln>
          <a:solidFill>
            <a:schemeClr val="accent5">
              <a:lumMod val="40000"/>
              <a:lumOff val="60000"/>
            </a:schemeClr>
          </a:solidFill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264584</xdr:colOff>
      <xdr:row>5</xdr:row>
      <xdr:rowOff>74083</xdr:rowOff>
    </xdr:from>
    <xdr:to>
      <xdr:col>4</xdr:col>
      <xdr:colOff>254000</xdr:colOff>
      <xdr:row>27</xdr:row>
      <xdr:rowOff>117474</xdr:rowOff>
    </xdr:to>
    <xdr:graphicFrame macro="">
      <xdr:nvGraphicFramePr>
        <xdr:cNvPr id="26" name="Graphique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0</xdr:row>
          <xdr:rowOff>180975</xdr:rowOff>
        </xdr:from>
        <xdr:to>
          <xdr:col>3</xdr:col>
          <xdr:colOff>219075</xdr:colOff>
          <xdr:row>3</xdr:row>
          <xdr:rowOff>85725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6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Details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560915</xdr:colOff>
      <xdr:row>4</xdr:row>
      <xdr:rowOff>31751</xdr:rowOff>
    </xdr:from>
    <xdr:to>
      <xdr:col>16</xdr:col>
      <xdr:colOff>613832</xdr:colOff>
      <xdr:row>29</xdr:row>
      <xdr:rowOff>31751</xdr:rowOff>
    </xdr:to>
    <xdr:sp macro="" textlink="">
      <xdr:nvSpPr>
        <xdr:cNvPr id="21" name="Rectangle : coins arrondis 20">
          <a:extLst>
            <a:ext uri="{FF2B5EF4-FFF2-40B4-BE49-F238E27FC236}">
              <a16:creationId xmlns:a16="http://schemas.microsoft.com/office/drawing/2014/main" id="{4C0108B9-624B-4E9E-B2E8-59641DEDE19E}"/>
            </a:ext>
          </a:extLst>
        </xdr:cNvPr>
        <xdr:cNvSpPr/>
      </xdr:nvSpPr>
      <xdr:spPr>
        <a:xfrm>
          <a:off x="10519832" y="793751"/>
          <a:ext cx="3100917" cy="4921250"/>
        </a:xfrm>
        <a:prstGeom prst="roundRect">
          <a:avLst/>
        </a:prstGeom>
        <a:noFill/>
        <a:ln>
          <a:solidFill>
            <a:srgbClr val="C00000"/>
          </a:solidFill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709083</xdr:colOff>
      <xdr:row>5</xdr:row>
      <xdr:rowOff>31750</xdr:rowOff>
    </xdr:from>
    <xdr:to>
      <xdr:col>16</xdr:col>
      <xdr:colOff>484188</xdr:colOff>
      <xdr:row>28</xdr:row>
      <xdr:rowOff>34925</xdr:rowOff>
    </xdr:to>
    <xdr:graphicFrame macro="">
      <xdr:nvGraphicFramePr>
        <xdr:cNvPr id="29" name="Graphique 28">
          <a:extLst>
            <a:ext uri="{FF2B5EF4-FFF2-40B4-BE49-F238E27FC236}">
              <a16:creationId xmlns:a16="http://schemas.microsoft.com/office/drawing/2014/main" id="{AE6D524E-2E61-40C5-97D5-E5122A97AF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179918</xdr:colOff>
      <xdr:row>9</xdr:row>
      <xdr:rowOff>42334</xdr:rowOff>
    </xdr:from>
    <xdr:to>
      <xdr:col>7</xdr:col>
      <xdr:colOff>317500</xdr:colOff>
      <xdr:row>10</xdr:row>
      <xdr:rowOff>116417</xdr:rowOff>
    </xdr:to>
    <xdr:sp macro="[0]!affich_infect" textlink="">
      <xdr:nvSpPr>
        <xdr:cNvPr id="31" name="Rectangle : coins arrondis 30">
          <a:extLst>
            <a:ext uri="{FF2B5EF4-FFF2-40B4-BE49-F238E27FC236}">
              <a16:creationId xmlns:a16="http://schemas.microsoft.com/office/drawing/2014/main" id="{A66C7632-9BDC-49BC-855C-20A2DF8D1614}"/>
            </a:ext>
          </a:extLst>
        </xdr:cNvPr>
        <xdr:cNvSpPr/>
      </xdr:nvSpPr>
      <xdr:spPr>
        <a:xfrm>
          <a:off x="3989918" y="1809751"/>
          <a:ext cx="1936749" cy="370416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CAS</a:t>
          </a:r>
          <a:r>
            <a:rPr lang="fr-FR" sz="1100" baseline="0"/>
            <a:t> CONFIRMES</a:t>
          </a:r>
          <a:endParaRPr lang="fr-FR" sz="1100"/>
        </a:p>
      </xdr:txBody>
    </xdr:sp>
    <xdr:clientData/>
  </xdr:twoCellAnchor>
  <xdr:twoCellAnchor>
    <xdr:from>
      <xdr:col>7</xdr:col>
      <xdr:colOff>465666</xdr:colOff>
      <xdr:row>9</xdr:row>
      <xdr:rowOff>42334</xdr:rowOff>
    </xdr:from>
    <xdr:to>
      <xdr:col>9</xdr:col>
      <xdr:colOff>476250</xdr:colOff>
      <xdr:row>10</xdr:row>
      <xdr:rowOff>116417</xdr:rowOff>
    </xdr:to>
    <xdr:sp macro="[0]!affich_gueri" textlink="">
      <xdr:nvSpPr>
        <xdr:cNvPr id="32" name="Rectangle : coins arrondis 31">
          <a:extLst>
            <a:ext uri="{FF2B5EF4-FFF2-40B4-BE49-F238E27FC236}">
              <a16:creationId xmlns:a16="http://schemas.microsoft.com/office/drawing/2014/main" id="{77052085-EF5B-4459-85B1-B8D680371E66}"/>
            </a:ext>
          </a:extLst>
        </xdr:cNvPr>
        <xdr:cNvSpPr/>
      </xdr:nvSpPr>
      <xdr:spPr>
        <a:xfrm>
          <a:off x="6074833" y="1809751"/>
          <a:ext cx="1809750" cy="370416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GUERISONS</a:t>
          </a:r>
        </a:p>
      </xdr:txBody>
    </xdr:sp>
    <xdr:clientData/>
  </xdr:twoCellAnchor>
  <xdr:twoCellAnchor>
    <xdr:from>
      <xdr:col>9</xdr:col>
      <xdr:colOff>603250</xdr:colOff>
      <xdr:row>9</xdr:row>
      <xdr:rowOff>42334</xdr:rowOff>
    </xdr:from>
    <xdr:to>
      <xdr:col>11</xdr:col>
      <xdr:colOff>899583</xdr:colOff>
      <xdr:row>10</xdr:row>
      <xdr:rowOff>116417</xdr:rowOff>
    </xdr:to>
    <xdr:sp macro="[0]!affich_deces" textlink="">
      <xdr:nvSpPr>
        <xdr:cNvPr id="33" name="Rectangle : coins arrondis 32">
          <a:extLst>
            <a:ext uri="{FF2B5EF4-FFF2-40B4-BE49-F238E27FC236}">
              <a16:creationId xmlns:a16="http://schemas.microsoft.com/office/drawing/2014/main" id="{D13195C5-25CF-4051-82A0-823BD9B96665}"/>
            </a:ext>
          </a:extLst>
        </xdr:cNvPr>
        <xdr:cNvSpPr/>
      </xdr:nvSpPr>
      <xdr:spPr>
        <a:xfrm>
          <a:off x="8011583" y="1809751"/>
          <a:ext cx="1820333" cy="370416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DECES</a:t>
          </a:r>
        </a:p>
      </xdr:txBody>
    </xdr:sp>
    <xdr:clientData/>
  </xdr:twoCellAnchor>
  <xdr:twoCellAnchor>
    <xdr:from>
      <xdr:col>5</xdr:col>
      <xdr:colOff>158749</xdr:colOff>
      <xdr:row>10</xdr:row>
      <xdr:rowOff>158750</xdr:rowOff>
    </xdr:from>
    <xdr:to>
      <xdr:col>11</xdr:col>
      <xdr:colOff>941916</xdr:colOff>
      <xdr:row>27</xdr:row>
      <xdr:rowOff>63500</xdr:rowOff>
    </xdr:to>
    <xdr:graphicFrame macro="">
      <xdr:nvGraphicFramePr>
        <xdr:cNvPr id="30" name="Graphique 29">
          <a:extLst>
            <a:ext uri="{FF2B5EF4-FFF2-40B4-BE49-F238E27FC236}">
              <a16:creationId xmlns:a16="http://schemas.microsoft.com/office/drawing/2014/main" id="{BF6D5264-AEC8-4CC2-A37D-E6600013C6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169333</xdr:colOff>
      <xdr:row>10</xdr:row>
      <xdr:rowOff>169333</xdr:rowOff>
    </xdr:from>
    <xdr:to>
      <xdr:col>11</xdr:col>
      <xdr:colOff>952500</xdr:colOff>
      <xdr:row>27</xdr:row>
      <xdr:rowOff>52916</xdr:rowOff>
    </xdr:to>
    <xdr:graphicFrame macro="">
      <xdr:nvGraphicFramePr>
        <xdr:cNvPr id="35" name="Graphique 34">
          <a:extLst>
            <a:ext uri="{FF2B5EF4-FFF2-40B4-BE49-F238E27FC236}">
              <a16:creationId xmlns:a16="http://schemas.microsoft.com/office/drawing/2014/main" id="{36DD0CEC-288B-4B4A-ACA5-1258200462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169334</xdr:colOff>
      <xdr:row>10</xdr:row>
      <xdr:rowOff>158749</xdr:rowOff>
    </xdr:from>
    <xdr:to>
      <xdr:col>11</xdr:col>
      <xdr:colOff>963083</xdr:colOff>
      <xdr:row>27</xdr:row>
      <xdr:rowOff>52916</xdr:rowOff>
    </xdr:to>
    <xdr:graphicFrame macro="">
      <xdr:nvGraphicFramePr>
        <xdr:cNvPr id="34" name="Graphique 33">
          <a:extLst>
            <a:ext uri="{FF2B5EF4-FFF2-40B4-BE49-F238E27FC236}">
              <a16:creationId xmlns:a16="http://schemas.microsoft.com/office/drawing/2014/main" id="{FDE72D53-4111-419C-A4D3-B1F2701B7B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TEJOSKO" refreshedDate="44604.156957175925" createdVersion="6" refreshedVersion="6" minRefreshableVersion="3" recordCount="6372">
  <cacheSource type="worksheet">
    <worksheetSource name="coronavirus_politologue_com_pays_2021_11_11__2"/>
  </cacheSource>
  <cacheFields count="8">
    <cacheField name="Date" numFmtId="0">
      <sharedItems count="31">
        <s v="2021-11-11"/>
        <s v="2021-11-10"/>
        <s v="2021-11-09"/>
        <s v="2021-11-08"/>
        <s v="2021-11-07"/>
        <s v="2021-11-06"/>
        <s v="2021-11-05"/>
        <s v="2021-11-04"/>
        <s v="2021-11-03"/>
        <s v="2021-11-02"/>
        <s v="2021-11-01"/>
        <s v="2021-10-31"/>
        <s v="2021-10-30"/>
        <s v="2021-10-29"/>
        <s v="2021-10-28"/>
        <s v="2021-10-27"/>
        <s v="2021-10-26"/>
        <s v="2021-10-25"/>
        <s v="2021-10-24"/>
        <s v="2021-10-23"/>
        <s v="2021-10-22"/>
        <s v="2021-10-21"/>
        <s v="2021-10-20"/>
        <s v="2021-10-19"/>
        <s v="2021-10-18"/>
        <s v="2021-10-17"/>
        <s v="2021-10-16"/>
        <s v="2021-10-15"/>
        <s v="2021-10-14"/>
        <s v="2021-10-13"/>
        <s v="2021-10-12"/>
      </sharedItems>
    </cacheField>
    <cacheField name="Pays" numFmtId="0">
      <sharedItems count="206">
        <s v="Andorre"/>
        <s v="Émirats Arabes Unis"/>
        <s v="Afghanistan"/>
        <s v="Antigua-et-Barbuda"/>
        <s v="Albanie"/>
        <s v="Arménie"/>
        <s v="Angola"/>
        <s v="Argentine"/>
        <s v="Autriche"/>
        <s v="Australie"/>
        <s v="Azerbaïdjan"/>
        <s v="Bosnie-Herzégovine"/>
        <s v="Barbade"/>
        <s v="Bangladesh"/>
        <s v="Belgique"/>
        <s v="Burkina Faso"/>
        <s v="Bulgarie"/>
        <s v="Bahreïn"/>
        <s v="Burundi"/>
        <s v="Bénin"/>
        <s v="Saint Barthélemy"/>
        <s v="Brunéi Darussalam"/>
        <s v="Bolivie"/>
        <s v="Brésil"/>
        <s v="Bahamas"/>
        <s v="Bhoutan"/>
        <s v="Botswana"/>
        <s v="Bélarus"/>
        <s v="Belize"/>
        <s v="Canada"/>
        <s v="Rép. Dém. du Congo"/>
        <s v="République Centrafricaine"/>
        <s v="Congo (Brazzaville)"/>
        <s v="Suisse"/>
        <s v="Côte d'Ivoire"/>
        <s v="Chili"/>
        <s v="Cameroun"/>
        <s v="Chine"/>
        <s v="Colombie"/>
        <s v="Costa Rica"/>
        <s v="Cuba"/>
        <s v="Cap-vert"/>
        <s v="Chypre"/>
        <s v="République Tchèque"/>
        <s v="Allemagne"/>
        <s v="Djibouti"/>
        <s v="Danemark"/>
        <s v="Dominique"/>
        <s v="République Dominicaine"/>
        <s v="Algérie"/>
        <s v="Équateur"/>
        <s v="Estonie"/>
        <s v="Égypte"/>
        <s v="Érythrée"/>
        <s v="Espagne"/>
        <s v="Éthiopie"/>
        <s v="Finlande"/>
        <s v="Fidji"/>
        <s v="Îles Féroé"/>
        <s v="France"/>
        <s v="Gabon"/>
        <s v="Royaume-Uni"/>
        <s v="Grenade"/>
        <s v="Géorgie"/>
        <s v="Guyane Française"/>
        <s v="Ghana"/>
        <s v="Gibraltar"/>
        <s v="Gambie"/>
        <s v="Guinée"/>
        <s v="Guadeloupe"/>
        <s v="Guinée Équatoriale"/>
        <s v="Grèce"/>
        <s v="Guatemala"/>
        <s v="Guinée-Bissau"/>
        <s v="Guyana"/>
        <s v="Hong-Kong"/>
        <s v="Honduras"/>
        <s v="Croatie"/>
        <s v="Haïti"/>
        <s v="Hongrie"/>
        <s v="Indonésie"/>
        <s v="Irlande"/>
        <s v="Israël"/>
        <s v="Inde"/>
        <s v="Iraq"/>
        <s v="Iran"/>
        <s v="Islande"/>
        <s v="Italie"/>
        <s v="Jamaïque"/>
        <s v="Jordanie"/>
        <s v="Japon"/>
        <s v="Kenya"/>
        <s v="Kirghizistan"/>
        <s v="Cambodge"/>
        <s v="Kiribati"/>
        <s v="Comores"/>
        <s v="Saint-Kitts-et-Nevis"/>
        <s v="Corée du Sud"/>
        <s v="Koweït"/>
        <s v="Kazakhstan"/>
        <s v="Laos"/>
        <s v="Liban"/>
        <s v="Sainte-Lucie"/>
        <s v="Liechtenstein"/>
        <s v="Sri Lanka"/>
        <s v="Libéria"/>
        <s v="Lesotho"/>
        <s v="Lituanie"/>
        <s v="Luxembourg"/>
        <s v="Lettonie"/>
        <s v="Libye"/>
        <s v="Maroc"/>
        <s v="Monaco"/>
        <s v="Moldavie"/>
        <s v="Montenegro"/>
        <s v="Saint Martin"/>
        <s v="Madagascar"/>
        <s v="Îles Marshall"/>
        <s v="Macédoine"/>
        <s v="Mali"/>
        <s v="Birmanie"/>
        <s v="Mongolie"/>
        <s v="Macao"/>
        <s v="Martinique"/>
        <s v="Mauritanie"/>
        <s v="Malte"/>
        <s v="Maurice"/>
        <s v="Maldives"/>
        <s v="Malawi"/>
        <s v="Mexique"/>
        <s v="Malaisie"/>
        <s v="Mozambique"/>
        <s v="Namibie"/>
        <s v="Nouvelle-Calédonie"/>
        <s v="Niger"/>
        <s v="Nigéria"/>
        <s v="Nicaragua"/>
        <s v="Pays-Bas"/>
        <s v="Norvège"/>
        <s v="Népal"/>
        <s v="Nouvelle-Zélande"/>
        <s v="Oman"/>
        <s v="Panama"/>
        <s v="Pérou"/>
        <s v="Polynésie Française"/>
        <s v="Papouasie-Nouvelle-Guinée"/>
        <s v="Philippines"/>
        <s v="Pakistan"/>
        <s v="Pologne"/>
        <s v="Palestine"/>
        <s v="Portugal"/>
        <s v="Palaos"/>
        <s v="Paraguay"/>
        <s v="Qatar"/>
        <s v="Réunion"/>
        <s v="Roumanie"/>
        <s v="Serbie"/>
        <s v="Russie"/>
        <s v="Rwanda"/>
        <s v="Arabie Saoudite"/>
        <s v="Îles Salomon"/>
        <s v="Seychelles"/>
        <s v="Soudan"/>
        <s v="Suède"/>
        <s v="Singapour"/>
        <s v="Slovénie"/>
        <s v="Slovaquie"/>
        <s v="Sierra Leone"/>
        <s v="Saint-Marin"/>
        <s v="Sénégal"/>
        <s v="Somalie"/>
        <s v="Suriname"/>
        <s v="Soudan du sud"/>
        <s v="Sao Tomé-et-Principe"/>
        <s v="El Salvador"/>
        <s v="Syrie"/>
        <s v="Eswatini"/>
        <s v="Tchad"/>
        <s v="Togo"/>
        <s v="Thaïlande"/>
        <s v="Tadjikistan"/>
        <s v="Timor-Leste"/>
        <s v="Tunisie"/>
        <s v="Tonga"/>
        <s v="Turquie"/>
        <s v="Trinité-et-Tobago"/>
        <s v="Taïwan"/>
        <s v="Tanzanie"/>
        <s v="Ukraine"/>
        <s v="Ouganda"/>
        <s v="États-Unis"/>
        <s v="Uruguay"/>
        <s v="Ouzbékistan"/>
        <s v="Vatican"/>
        <s v="St-Vincent / Grenadines"/>
        <s v="Venezuela"/>
        <s v="Viet Nam"/>
        <s v="Vanuatu"/>
        <s v="Samoa"/>
        <s v="Kosovo"/>
        <s v="Yémen"/>
        <s v="Mayotte"/>
        <s v="Afrique du Sud"/>
        <s v="Zambie"/>
        <s v="Zimbabwe"/>
        <s v="Autres"/>
      </sharedItems>
    </cacheField>
    <cacheField name="Infections" numFmtId="1">
      <sharedItems containsSemiMixedTypes="0" containsString="0" containsNumber="1" containsInteger="1" minValue="0" maxValue="46792081"/>
    </cacheField>
    <cacheField name="Deces" numFmtId="1">
      <sharedItems containsSemiMixedTypes="0" containsString="0" containsNumber="1" containsInteger="1" minValue="0" maxValue="759060"/>
    </cacheField>
    <cacheField name="Guerisons" numFmtId="0">
      <sharedItems containsSemiMixedTypes="0" containsString="0" containsNumber="1" containsInteger="1" minValue="0" maxValue="43979674"/>
    </cacheField>
    <cacheField name="TauxDeces" numFmtId="2">
      <sharedItems/>
    </cacheField>
    <cacheField name="TauxGuerison" numFmtId="0">
      <sharedItems/>
    </cacheField>
    <cacheField name="TauxInfection" numFmtId="0">
      <sharedItems/>
    </cacheField>
  </cacheFields>
  <extLst>
    <ext xmlns:x14="http://schemas.microsoft.com/office/spreadsheetml/2009/9/main" uri="{725AE2AE-9491-48be-B2B4-4EB974FC3084}">
      <x14:pivotCacheDefinition pivotCacheId="100766120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TEJOSKO" refreshedDate="44604.155541087966" createdVersion="6" refreshedVersion="6" minRefreshableVersion="3" recordCount="6372">
  <cacheSource type="worksheet">
    <worksheetSource name="coronavirus_politologue_com_pays_2021_11_11__2"/>
  </cacheSource>
  <cacheFields count="8">
    <cacheField name="Date" numFmtId="0">
      <sharedItems count="31">
        <s v="2021-11-11"/>
        <s v="2021-11-10"/>
        <s v="2021-11-09"/>
        <s v="2021-11-08"/>
        <s v="2021-11-07"/>
        <s v="2021-11-06"/>
        <s v="2021-11-05"/>
        <s v="2021-11-04"/>
        <s v="2021-11-03"/>
        <s v="2021-11-02"/>
        <s v="2021-11-01"/>
        <s v="2021-10-31"/>
        <s v="2021-10-30"/>
        <s v="2021-10-29"/>
        <s v="2021-10-28"/>
        <s v="2021-10-27"/>
        <s v="2021-10-26"/>
        <s v="2021-10-25"/>
        <s v="2021-10-24"/>
        <s v="2021-10-23"/>
        <s v="2021-10-22"/>
        <s v="2021-10-21"/>
        <s v="2021-10-20"/>
        <s v="2021-10-19"/>
        <s v="2021-10-18"/>
        <s v="2021-10-17"/>
        <s v="2021-10-16"/>
        <s v="2021-10-15"/>
        <s v="2021-10-14"/>
        <s v="2021-10-13"/>
        <s v="2021-10-12"/>
      </sharedItems>
    </cacheField>
    <cacheField name="Pays" numFmtId="0">
      <sharedItems count="206">
        <s v="Andorre"/>
        <s v="Émirats Arabes Unis"/>
        <s v="Afghanistan"/>
        <s v="Antigua-et-Barbuda"/>
        <s v="Albanie"/>
        <s v="Arménie"/>
        <s v="Angola"/>
        <s v="Argentine"/>
        <s v="Autriche"/>
        <s v="Australie"/>
        <s v="Azerbaïdjan"/>
        <s v="Bosnie-Herzégovine"/>
        <s v="Barbade"/>
        <s v="Bangladesh"/>
        <s v="Belgique"/>
        <s v="Burkina Faso"/>
        <s v="Bulgarie"/>
        <s v="Bahreïn"/>
        <s v="Burundi"/>
        <s v="Bénin"/>
        <s v="Saint Barthélemy"/>
        <s v="Brunéi Darussalam"/>
        <s v="Bolivie"/>
        <s v="Brésil"/>
        <s v="Bahamas"/>
        <s v="Bhoutan"/>
        <s v="Botswana"/>
        <s v="Bélarus"/>
        <s v="Belize"/>
        <s v="Canada"/>
        <s v="Rép. Dém. du Congo"/>
        <s v="République Centrafricaine"/>
        <s v="Congo (Brazzaville)"/>
        <s v="Suisse"/>
        <s v="Côte d'Ivoire"/>
        <s v="Chili"/>
        <s v="Cameroun"/>
        <s v="Chine"/>
        <s v="Colombie"/>
        <s v="Costa Rica"/>
        <s v="Cuba"/>
        <s v="Cap-vert"/>
        <s v="Chypre"/>
        <s v="République Tchèque"/>
        <s v="Allemagne"/>
        <s v="Djibouti"/>
        <s v="Danemark"/>
        <s v="Dominique"/>
        <s v="République Dominicaine"/>
        <s v="Algérie"/>
        <s v="Équateur"/>
        <s v="Estonie"/>
        <s v="Égypte"/>
        <s v="Érythrée"/>
        <s v="Espagne"/>
        <s v="Éthiopie"/>
        <s v="Finlande"/>
        <s v="Fidji"/>
        <s v="Îles Féroé"/>
        <s v="France"/>
        <s v="Gabon"/>
        <s v="Royaume-Uni"/>
        <s v="Grenade"/>
        <s v="Géorgie"/>
        <s v="Guyane Française"/>
        <s v="Ghana"/>
        <s v="Gibraltar"/>
        <s v="Gambie"/>
        <s v="Guinée"/>
        <s v="Guadeloupe"/>
        <s v="Guinée Équatoriale"/>
        <s v="Grèce"/>
        <s v="Guatemala"/>
        <s v="Guinée-Bissau"/>
        <s v="Guyana"/>
        <s v="Hong-Kong"/>
        <s v="Honduras"/>
        <s v="Croatie"/>
        <s v="Haïti"/>
        <s v="Hongrie"/>
        <s v="Indonésie"/>
        <s v="Irlande"/>
        <s v="Israël"/>
        <s v="Inde"/>
        <s v="Iraq"/>
        <s v="Iran"/>
        <s v="Islande"/>
        <s v="Italie"/>
        <s v="Jamaïque"/>
        <s v="Jordanie"/>
        <s v="Japon"/>
        <s v="Kenya"/>
        <s v="Kirghizistan"/>
        <s v="Cambodge"/>
        <s v="Kiribati"/>
        <s v="Comores"/>
        <s v="Saint-Kitts-et-Nevis"/>
        <s v="Corée du Sud"/>
        <s v="Koweït"/>
        <s v="Kazakhstan"/>
        <s v="Laos"/>
        <s v="Liban"/>
        <s v="Sainte-Lucie"/>
        <s v="Liechtenstein"/>
        <s v="Sri Lanka"/>
        <s v="Libéria"/>
        <s v="Lesotho"/>
        <s v="Lituanie"/>
        <s v="Luxembourg"/>
        <s v="Lettonie"/>
        <s v="Libye"/>
        <s v="Maroc"/>
        <s v="Monaco"/>
        <s v="Moldavie"/>
        <s v="Montenegro"/>
        <s v="Saint Martin"/>
        <s v="Madagascar"/>
        <s v="Îles Marshall"/>
        <s v="Macédoine"/>
        <s v="Mali"/>
        <s v="Birmanie"/>
        <s v="Mongolie"/>
        <s v="Macao"/>
        <s v="Martinique"/>
        <s v="Mauritanie"/>
        <s v="Malte"/>
        <s v="Maurice"/>
        <s v="Maldives"/>
        <s v="Malawi"/>
        <s v="Mexique"/>
        <s v="Malaisie"/>
        <s v="Mozambique"/>
        <s v="Namibie"/>
        <s v="Nouvelle-Calédonie"/>
        <s v="Niger"/>
        <s v="Nigéria"/>
        <s v="Nicaragua"/>
        <s v="Pays-Bas"/>
        <s v="Norvège"/>
        <s v="Népal"/>
        <s v="Nouvelle-Zélande"/>
        <s v="Oman"/>
        <s v="Panama"/>
        <s v="Pérou"/>
        <s v="Polynésie Française"/>
        <s v="Papouasie-Nouvelle-Guinée"/>
        <s v="Philippines"/>
        <s v="Pakistan"/>
        <s v="Pologne"/>
        <s v="Palestine"/>
        <s v="Portugal"/>
        <s v="Palaos"/>
        <s v="Paraguay"/>
        <s v="Qatar"/>
        <s v="Réunion"/>
        <s v="Roumanie"/>
        <s v="Serbie"/>
        <s v="Russie"/>
        <s v="Rwanda"/>
        <s v="Arabie Saoudite"/>
        <s v="Îles Salomon"/>
        <s v="Seychelles"/>
        <s v="Soudan"/>
        <s v="Suède"/>
        <s v="Singapour"/>
        <s v="Slovénie"/>
        <s v="Slovaquie"/>
        <s v="Sierra Leone"/>
        <s v="Saint-Marin"/>
        <s v="Sénégal"/>
        <s v="Somalie"/>
        <s v="Suriname"/>
        <s v="Soudan du sud"/>
        <s v="Sao Tomé-et-Principe"/>
        <s v="El Salvador"/>
        <s v="Syrie"/>
        <s v="Eswatini"/>
        <s v="Tchad"/>
        <s v="Togo"/>
        <s v="Thaïlande"/>
        <s v="Tadjikistan"/>
        <s v="Timor-Leste"/>
        <s v="Tunisie"/>
        <s v="Tonga"/>
        <s v="Turquie"/>
        <s v="Trinité-et-Tobago"/>
        <s v="Taïwan"/>
        <s v="Tanzanie"/>
        <s v="Ukraine"/>
        <s v="Ouganda"/>
        <s v="États-Unis"/>
        <s v="Uruguay"/>
        <s v="Ouzbékistan"/>
        <s v="Vatican"/>
        <s v="St-Vincent / Grenadines"/>
        <s v="Venezuela"/>
        <s v="Viet Nam"/>
        <s v="Vanuatu"/>
        <s v="Samoa"/>
        <s v="Kosovo"/>
        <s v="Yémen"/>
        <s v="Mayotte"/>
        <s v="Afrique du Sud"/>
        <s v="Zambie"/>
        <s v="Zimbabwe"/>
        <s v="Autres"/>
      </sharedItems>
    </cacheField>
    <cacheField name="Infections" numFmtId="1">
      <sharedItems containsSemiMixedTypes="0" containsString="0" containsNumber="1" containsInteger="1" minValue="0" maxValue="46792081"/>
    </cacheField>
    <cacheField name="Deces" numFmtId="1">
      <sharedItems containsSemiMixedTypes="0" containsString="0" containsNumber="1" containsInteger="1" minValue="0" maxValue="759060"/>
    </cacheField>
    <cacheField name="Guerisons" numFmtId="0">
      <sharedItems containsSemiMixedTypes="0" containsString="0" containsNumber="1" containsInteger="1" minValue="0" maxValue="43979674"/>
    </cacheField>
    <cacheField name="TauxDeces" numFmtId="2">
      <sharedItems/>
    </cacheField>
    <cacheField name="TauxGuerison" numFmtId="0">
      <sharedItems/>
    </cacheField>
    <cacheField name="TauxInfection" numFmtId="0">
      <sharedItems/>
    </cacheField>
  </cacheFields>
  <extLst>
    <ext xmlns:x14="http://schemas.microsoft.com/office/spreadsheetml/2009/9/main" uri="{725AE2AE-9491-48be-B2B4-4EB974FC3084}">
      <x14:pivotCacheDefinition pivotCacheId="54829055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372">
  <r>
    <x v="0"/>
    <x v="0"/>
    <n v="15744"/>
    <n v="130"/>
    <n v="11614"/>
    <s v="0.83"/>
    <s v="0.00"/>
    <s v="99.17"/>
  </r>
  <r>
    <x v="0"/>
    <x v="1"/>
    <n v="740647"/>
    <n v="2142"/>
    <n v="425987"/>
    <s v="0.29"/>
    <s v="0.00"/>
    <s v="99.71"/>
  </r>
  <r>
    <x v="0"/>
    <x v="2"/>
    <n v="156414"/>
    <n v="7291"/>
    <n v="68377"/>
    <s v="4.66"/>
    <s v="0.00"/>
    <s v="95.34"/>
  </r>
  <r>
    <x v="0"/>
    <x v="3"/>
    <n v="4102"/>
    <n v="105"/>
    <n v="152"/>
    <s v="2.56"/>
    <s v="0.00"/>
    <s v="97.44"/>
  </r>
  <r>
    <x v="0"/>
    <x v="4"/>
    <n v="190815"/>
    <n v="2975"/>
    <n v="56272"/>
    <s v="1.56"/>
    <s v="0.00"/>
    <s v="98.44"/>
  </r>
  <r>
    <x v="0"/>
    <x v="5"/>
    <n v="324039"/>
    <n v="6831"/>
    <n v="202801"/>
    <s v="2.11"/>
    <s v="0.00"/>
    <s v="97.89"/>
  </r>
  <r>
    <x v="0"/>
    <x v="6"/>
    <n v="64815"/>
    <n v="1723"/>
    <n v="58927"/>
    <s v="2.66"/>
    <s v="0.00"/>
    <s v="97.34"/>
  </r>
  <r>
    <x v="0"/>
    <x v="7"/>
    <n v="5300985"/>
    <n v="116184"/>
    <n v="3376917"/>
    <s v="2.19"/>
    <s v="0.00"/>
    <s v="97.81"/>
  </r>
  <r>
    <x v="0"/>
    <x v="8"/>
    <n v="911175"/>
    <n v="11577"/>
    <n v="517627"/>
    <s v="1.27"/>
    <s v="0.00"/>
    <s v="98.73"/>
  </r>
  <r>
    <x v="0"/>
    <x v="9"/>
    <n v="185627"/>
    <n v="1862"/>
    <n v="9339"/>
    <s v="1.00"/>
    <s v="0.00"/>
    <s v="99.00"/>
  </r>
  <r>
    <x v="0"/>
    <x v="10"/>
    <n v="552322"/>
    <n v="7342"/>
    <n v="16354"/>
    <s v="1.33"/>
    <s v="0.00"/>
    <s v="98.67"/>
  </r>
  <r>
    <x v="0"/>
    <x v="11"/>
    <n v="261799"/>
    <n v="11891"/>
    <n v="41041"/>
    <s v="4.54"/>
    <s v="0.00"/>
    <s v="95.46"/>
  </r>
  <r>
    <x v="0"/>
    <x v="12"/>
    <n v="21011"/>
    <n v="187"/>
    <n v="16800"/>
    <s v="0.89"/>
    <s v="0.00"/>
    <s v="99.11"/>
  </r>
  <r>
    <x v="0"/>
    <x v="13"/>
    <n v="1571669"/>
    <n v="27906"/>
    <n v="39407"/>
    <s v="1.78"/>
    <s v="0.00"/>
    <s v="98.22"/>
  </r>
  <r>
    <x v="0"/>
    <x v="14"/>
    <n v="1463548"/>
    <n v="26261"/>
    <n v="812843"/>
    <s v="1.79"/>
    <s v="0.00"/>
    <s v="98.21"/>
  </r>
  <r>
    <x v="0"/>
    <x v="15"/>
    <n v="15281"/>
    <n v="234"/>
    <n v="7930"/>
    <s v="1.53"/>
    <s v="0.00"/>
    <s v="98.47"/>
  </r>
  <r>
    <x v="0"/>
    <x v="16"/>
    <n v="646856"/>
    <n v="25754"/>
    <n v="451358"/>
    <s v="3.98"/>
    <s v="0.00"/>
    <s v="96.02"/>
  </r>
  <r>
    <x v="0"/>
    <x v="17"/>
    <n v="277138"/>
    <n v="1393"/>
    <n v="67115"/>
    <s v="0.50"/>
    <s v="0.00"/>
    <s v="99.50"/>
  </r>
  <r>
    <x v="0"/>
    <x v="18"/>
    <n v="20200"/>
    <n v="38"/>
    <n v="5792"/>
    <s v="0.19"/>
    <s v="0.00"/>
    <s v="99.81"/>
  </r>
  <r>
    <x v="0"/>
    <x v="19"/>
    <n v="24833"/>
    <n v="161"/>
    <n v="23695"/>
    <s v="0.65"/>
    <s v="0.00"/>
    <s v="99.35"/>
  </r>
  <r>
    <x v="0"/>
    <x v="20"/>
    <n v="1661"/>
    <n v="6"/>
    <n v="1107"/>
    <s v="0.36"/>
    <s v="0.00"/>
    <s v="99.64"/>
  </r>
  <r>
    <x v="0"/>
    <x v="21"/>
    <n v="13962"/>
    <n v="93"/>
    <n v="11689"/>
    <s v="0.67"/>
    <s v="0.00"/>
    <s v="99.33"/>
  </r>
  <r>
    <x v="0"/>
    <x v="22"/>
    <n v="520553"/>
    <n v="18985"/>
    <n v="178630"/>
    <s v="3.65"/>
    <s v="0.00"/>
    <s v="96.35"/>
  </r>
  <r>
    <x v="0"/>
    <x v="23"/>
    <n v="21909298"/>
    <n v="610036"/>
    <n v="21875"/>
    <s v="2.78"/>
    <s v="0.00"/>
    <s v="97.22"/>
  </r>
  <r>
    <x v="0"/>
    <x v="24"/>
    <n v="22544"/>
    <n v="661"/>
    <n v="20864"/>
    <s v="2.93"/>
    <s v="0.00"/>
    <s v="97.07"/>
  </r>
  <r>
    <x v="0"/>
    <x v="25"/>
    <n v="2623"/>
    <n v="3"/>
    <n v="376"/>
    <s v="0.11"/>
    <s v="0.00"/>
    <s v="99.89"/>
  </r>
  <r>
    <x v="0"/>
    <x v="26"/>
    <n v="193449"/>
    <n v="2409"/>
    <n v="158724"/>
    <s v="1.25"/>
    <s v="0.00"/>
    <s v="98.75"/>
  </r>
  <r>
    <x v="0"/>
    <x v="27"/>
    <n v="619708"/>
    <n v="4789"/>
    <n v="233206"/>
    <s v="0.77"/>
    <s v="0.00"/>
    <s v="99.23"/>
  </r>
  <r>
    <x v="0"/>
    <x v="28"/>
    <n v="28568"/>
    <n v="530"/>
    <n v="4200"/>
    <s v="1.86"/>
    <s v="0.00"/>
    <s v="98.14"/>
  </r>
  <r>
    <x v="0"/>
    <x v="29"/>
    <n v="1748359"/>
    <n v="29303"/>
    <n v="1459174"/>
    <s v="1.68"/>
    <s v="0.00"/>
    <s v="98.32"/>
  </r>
  <r>
    <x v="0"/>
    <x v="30"/>
    <n v="57662"/>
    <n v="1099"/>
    <n v="11678"/>
    <s v="1.91"/>
    <s v="0.00"/>
    <s v="98.09"/>
  </r>
  <r>
    <x v="0"/>
    <x v="31"/>
    <n v="11579"/>
    <n v="100"/>
    <n v="6983"/>
    <s v="0.86"/>
    <s v="0.00"/>
    <s v="99.14"/>
  </r>
  <r>
    <x v="0"/>
    <x v="32"/>
    <n v="18153"/>
    <n v="309"/>
    <n v="6683"/>
    <s v="1.70"/>
    <s v="0.00"/>
    <s v="98.30"/>
  </r>
  <r>
    <x v="0"/>
    <x v="33"/>
    <n v="901228"/>
    <n v="11306"/>
    <n v="452184"/>
    <s v="1.25"/>
    <s v="0.00"/>
    <s v="98.75"/>
  </r>
  <r>
    <x v="0"/>
    <x v="34"/>
    <n v="61458"/>
    <n v="700"/>
    <n v="46167"/>
    <s v="1.14"/>
    <s v="0.00"/>
    <s v="98.86"/>
  </r>
  <r>
    <x v="0"/>
    <x v="35"/>
    <n v="1715352"/>
    <n v="37895"/>
    <n v="540941"/>
    <s v="2.21"/>
    <s v="0.00"/>
    <s v="97.79"/>
  </r>
  <r>
    <x v="0"/>
    <x v="36"/>
    <n v="105719"/>
    <n v="1758"/>
    <n v="66137"/>
    <s v="1.66"/>
    <s v="0.00"/>
    <s v="98.34"/>
  </r>
  <r>
    <x v="0"/>
    <x v="37"/>
    <n v="98003"/>
    <n v="4636"/>
    <n v="18501"/>
    <s v="4.73"/>
    <s v="0.00"/>
    <s v="95.27"/>
  </r>
  <r>
    <x v="0"/>
    <x v="38"/>
    <n v="5021619"/>
    <n v="127640"/>
    <n v="2026888"/>
    <s v="2.54"/>
    <s v="0.00"/>
    <s v="97.46"/>
  </r>
  <r>
    <x v="0"/>
    <x v="39"/>
    <n v="563290"/>
    <n v="7176"/>
    <n v="174601"/>
    <s v="1.27"/>
    <s v="0.00"/>
    <s v="98.73"/>
  </r>
  <r>
    <x v="0"/>
    <x v="40"/>
    <n v="957332"/>
    <n v="8274"/>
    <n v="255644"/>
    <s v="0.86"/>
    <s v="0.00"/>
    <s v="99.14"/>
  </r>
  <r>
    <x v="0"/>
    <x v="41"/>
    <n v="38278"/>
    <n v="350"/>
    <n v="9187"/>
    <s v="0.91"/>
    <s v="0.00"/>
    <s v="99.09"/>
  </r>
  <r>
    <x v="0"/>
    <x v="42"/>
    <n v="126497"/>
    <n v="577"/>
    <n v="111828"/>
    <s v="0.46"/>
    <s v="0.00"/>
    <s v="99.54"/>
  </r>
  <r>
    <x v="0"/>
    <x v="43"/>
    <n v="1843019"/>
    <n v="31229"/>
    <n v="1140092"/>
    <s v="1.69"/>
    <s v="0.00"/>
    <s v="98.31"/>
  </r>
  <r>
    <x v="0"/>
    <x v="44"/>
    <n v="4908540"/>
    <n v="97203"/>
    <n v="2086522"/>
    <s v="1.98"/>
    <s v="0.00"/>
    <s v="98.02"/>
  </r>
  <r>
    <x v="0"/>
    <x v="45"/>
    <n v="13493"/>
    <n v="186"/>
    <n v="8451"/>
    <s v="1.38"/>
    <s v="0.00"/>
    <s v="98.62"/>
  </r>
  <r>
    <x v="0"/>
    <x v="46"/>
    <n v="411397"/>
    <n v="2745"/>
    <n v="37754"/>
    <s v="0.67"/>
    <s v="0.00"/>
    <s v="99.33"/>
  </r>
  <r>
    <x v="0"/>
    <x v="47"/>
    <n v="5176"/>
    <n v="34"/>
    <n v="3842"/>
    <s v="0.66"/>
    <s v="0.00"/>
    <s v="99.34"/>
  </r>
  <r>
    <x v="0"/>
    <x v="48"/>
    <n v="391104"/>
    <n v="4157"/>
    <n v="224891"/>
    <s v="1.06"/>
    <s v="0.00"/>
    <s v="98.94"/>
  </r>
  <r>
    <x v="0"/>
    <x v="49"/>
    <n v="207509"/>
    <n v="5960"/>
    <n v="159193"/>
    <s v="2.87"/>
    <s v="0.00"/>
    <s v="97.13"/>
  </r>
  <r>
    <x v="0"/>
    <x v="50"/>
    <n v="519560"/>
    <n v="32989"/>
    <n v="416508"/>
    <s v="6.35"/>
    <s v="0.00"/>
    <s v="93.65"/>
  </r>
  <r>
    <x v="0"/>
    <x v="51"/>
    <n v="208326"/>
    <n v="1637"/>
    <n v="68513"/>
    <s v="0.79"/>
    <s v="0.00"/>
    <s v="99.21"/>
  </r>
  <r>
    <x v="0"/>
    <x v="52"/>
    <n v="340269"/>
    <n v="19249"/>
    <n v="117020"/>
    <s v="5.66"/>
    <s v="0.00"/>
    <s v="94.34"/>
  </r>
  <r>
    <x v="0"/>
    <x v="53"/>
    <n v="7003"/>
    <n v="48"/>
    <n v="1114"/>
    <s v="0.69"/>
    <s v="0.00"/>
    <s v="99.31"/>
  </r>
  <r>
    <x v="0"/>
    <x v="54"/>
    <n v="5038517"/>
    <n v="87617"/>
    <n v="3493815"/>
    <s v="1.74"/>
    <s v="0.00"/>
    <s v="98.26"/>
  </r>
  <r>
    <x v="0"/>
    <x v="55"/>
    <n v="367857"/>
    <n v="6572"/>
    <n v="123432"/>
    <s v="1.79"/>
    <s v="0.00"/>
    <s v="98.21"/>
  </r>
  <r>
    <x v="0"/>
    <x v="56"/>
    <n v="166256"/>
    <n v="1212"/>
    <n v="96100"/>
    <s v="0.73"/>
    <s v="0.00"/>
    <s v="99.27"/>
  </r>
  <r>
    <x v="0"/>
    <x v="57"/>
    <n v="52356"/>
    <n v="679"/>
    <n v="9596"/>
    <s v="1.30"/>
    <s v="0.00"/>
    <s v="98.70"/>
  </r>
  <r>
    <x v="0"/>
    <x v="58"/>
    <n v="2778"/>
    <n v="6"/>
    <n v="1616"/>
    <s v="0.22"/>
    <s v="0.00"/>
    <s v="99.78"/>
  </r>
  <r>
    <x v="0"/>
    <x v="59"/>
    <n v="7063280"/>
    <n v="115637"/>
    <n v="2907275"/>
    <s v="1.64"/>
    <s v="0.00"/>
    <s v="98.36"/>
  </r>
  <r>
    <x v="0"/>
    <x v="60"/>
    <n v="36587"/>
    <n v="262"/>
    <n v="28943"/>
    <s v="0.72"/>
    <s v="0.00"/>
    <s v="99.28"/>
  </r>
  <r>
    <x v="0"/>
    <x v="61"/>
    <n v="9445628"/>
    <n v="142674"/>
    <n v="5134546"/>
    <s v="1.51"/>
    <s v="0.00"/>
    <s v="98.49"/>
  </r>
  <r>
    <x v="0"/>
    <x v="62"/>
    <n v="5863"/>
    <n v="200"/>
    <n v="2813"/>
    <s v="3.41"/>
    <s v="0.00"/>
    <s v="96.59"/>
  </r>
  <r>
    <x v="0"/>
    <x v="63"/>
    <n v="771381"/>
    <n v="10739"/>
    <n v="363366"/>
    <s v="1.39"/>
    <s v="0.00"/>
    <s v="98.61"/>
  </r>
  <r>
    <x v="0"/>
    <x v="64"/>
    <n v="45245"/>
    <n v="316"/>
    <n v="7580"/>
    <s v="0.70"/>
    <s v="0.00"/>
    <s v="99.30"/>
  </r>
  <r>
    <x v="0"/>
    <x v="65"/>
    <n v="130608"/>
    <n v="1203"/>
    <n v="34488"/>
    <s v="0.92"/>
    <s v="0.00"/>
    <s v="99.08"/>
  </r>
  <r>
    <x v="0"/>
    <x v="66"/>
    <n v="6256"/>
    <n v="98"/>
    <n v="444"/>
    <s v="1.57"/>
    <s v="0.00"/>
    <s v="98.43"/>
  </r>
  <r>
    <x v="0"/>
    <x v="67"/>
    <n v="9980"/>
    <n v="341"/>
    <n v="7661"/>
    <s v="3.42"/>
    <s v="0.00"/>
    <s v="96.58"/>
  </r>
  <r>
    <x v="0"/>
    <x v="68"/>
    <n v="30709"/>
    <n v="387"/>
    <n v="17331"/>
    <s v="1.26"/>
    <s v="0.00"/>
    <s v="98.74"/>
  </r>
  <r>
    <x v="0"/>
    <x v="69"/>
    <n v="54672"/>
    <n v="822"/>
    <n v="45662"/>
    <s v="1.50"/>
    <s v="0.00"/>
    <s v="98.50"/>
  </r>
  <r>
    <x v="0"/>
    <x v="70"/>
    <n v="13459"/>
    <n v="168"/>
    <n v="7984"/>
    <s v="1.25"/>
    <s v="0.00"/>
    <s v="98.75"/>
  </r>
  <r>
    <x v="0"/>
    <x v="71"/>
    <n v="808297"/>
    <n v="16493"/>
    <n v="280674"/>
    <s v="2.04"/>
    <s v="0.00"/>
    <s v="97.96"/>
  </r>
  <r>
    <x v="0"/>
    <x v="72"/>
    <n v="607497"/>
    <n v="15578"/>
    <n v="5151"/>
    <s v="2.56"/>
    <s v="0.00"/>
    <s v="97.44"/>
  </r>
  <r>
    <x v="0"/>
    <x v="73"/>
    <n v="6203"/>
    <n v="143"/>
    <n v="742"/>
    <s v="2.31"/>
    <s v="0.00"/>
    <s v="97.69"/>
  </r>
  <r>
    <x v="0"/>
    <x v="74"/>
    <n v="36439"/>
    <n v="952"/>
    <n v="34487"/>
    <s v="2.61"/>
    <s v="0.00"/>
    <s v="97.39"/>
  </r>
  <r>
    <x v="0"/>
    <x v="75"/>
    <n v="12374"/>
    <n v="213"/>
    <n v="6621"/>
    <s v="1.72"/>
    <s v="0.00"/>
    <s v="98.28"/>
  </r>
  <r>
    <x v="0"/>
    <x v="76"/>
    <n v="376676"/>
    <n v="10335"/>
    <n v="212824"/>
    <s v="2.74"/>
    <s v="0.00"/>
    <s v="97.26"/>
  </r>
  <r>
    <x v="0"/>
    <x v="77"/>
    <n v="514850"/>
    <n v="9655"/>
    <n v="303289"/>
    <s v="1.88"/>
    <s v="0.00"/>
    <s v="98.12"/>
  </r>
  <r>
    <x v="0"/>
    <x v="78"/>
    <n v="24233"/>
    <n v="702"/>
    <n v="10205"/>
    <s v="2.90"/>
    <s v="0.00"/>
    <s v="97.10"/>
  </r>
  <r>
    <x v="0"/>
    <x v="79"/>
    <n v="923020"/>
    <n v="31619"/>
    <n v="829737"/>
    <s v="3.43"/>
    <s v="0.00"/>
    <s v="96.57"/>
  </r>
  <r>
    <x v="0"/>
    <x v="80"/>
    <n v="4249323"/>
    <n v="143592"/>
    <n v="3665502"/>
    <s v="3.38"/>
    <s v="0.00"/>
    <s v="96.62"/>
  </r>
  <r>
    <x v="0"/>
    <x v="81"/>
    <n v="480846"/>
    <n v="5566"/>
    <n v="449048"/>
    <s v="1.16"/>
    <s v="0.00"/>
    <s v="98.84"/>
  </r>
  <r>
    <x v="0"/>
    <x v="82"/>
    <n v="1335654"/>
    <n v="8133"/>
    <n v="1061326"/>
    <s v="0.61"/>
    <s v="0.00"/>
    <s v="99.39"/>
  </r>
  <r>
    <x v="0"/>
    <x v="83"/>
    <n v="34401670"/>
    <n v="462189"/>
    <n v="2246149"/>
    <s v="1.34"/>
    <s v="0.00"/>
    <s v="98.66"/>
  </r>
  <r>
    <x v="0"/>
    <x v="84"/>
    <n v="2066042"/>
    <n v="23415"/>
    <n v="1167409"/>
    <s v="1.13"/>
    <s v="0.00"/>
    <s v="98.87"/>
  </r>
  <r>
    <x v="0"/>
    <x v="85"/>
    <n v="6012408"/>
    <n v="127686"/>
    <n v="1500473"/>
    <s v="2.12"/>
    <s v="0.00"/>
    <s v="97.88"/>
  </r>
  <r>
    <x v="0"/>
    <x v="86"/>
    <n v="14935"/>
    <n v="34"/>
    <n v="12954"/>
    <s v="0.23"/>
    <s v="0.00"/>
    <s v="99.77"/>
  </r>
  <r>
    <x v="0"/>
    <x v="87"/>
    <n v="4826738"/>
    <n v="132551"/>
    <n v="1808175"/>
    <s v="2.75"/>
    <s v="0.00"/>
    <s v="97.25"/>
  </r>
  <r>
    <x v="0"/>
    <x v="88"/>
    <n v="89818"/>
    <n v="2298"/>
    <n v="70898"/>
    <s v="2.56"/>
    <s v="0.00"/>
    <s v="97.44"/>
  </r>
  <r>
    <x v="0"/>
    <x v="89"/>
    <n v="883446"/>
    <n v="11167"/>
    <n v="201913"/>
    <s v="1.26"/>
    <s v="0.00"/>
    <s v="98.74"/>
  </r>
  <r>
    <x v="0"/>
    <x v="90"/>
    <n v="1724172"/>
    <n v="18315"/>
    <n v="505266"/>
    <s v="1.06"/>
    <s v="0.00"/>
    <s v="98.94"/>
  </r>
  <r>
    <x v="0"/>
    <x v="91"/>
    <n v="254057"/>
    <n v="5314"/>
    <n v="31608"/>
    <s v="2.09"/>
    <s v="0.00"/>
    <s v="97.91"/>
  </r>
  <r>
    <x v="0"/>
    <x v="92"/>
    <n v="182090"/>
    <n v="2697"/>
    <n v="93596"/>
    <s v="1.48"/>
    <s v="0.00"/>
    <s v="98.52"/>
  </r>
  <r>
    <x v="0"/>
    <x v="93"/>
    <n v="119358"/>
    <n v="2850"/>
    <n v="83914"/>
    <s v="2.39"/>
    <s v="0.00"/>
    <s v="97.61"/>
  </r>
  <r>
    <x v="0"/>
    <x v="94"/>
    <n v="2"/>
    <n v="0"/>
    <n v="1"/>
    <s v="0.00"/>
    <s v="0.00"/>
    <s v="100.00"/>
  </r>
  <r>
    <x v="0"/>
    <x v="95"/>
    <n v="4349"/>
    <n v="147"/>
    <n v="483"/>
    <s v="3.38"/>
    <s v="0.00"/>
    <s v="96.62"/>
  </r>
  <r>
    <x v="0"/>
    <x v="96"/>
    <n v="2730"/>
    <n v="27"/>
    <n v="1984"/>
    <s v="0.99"/>
    <s v="0.00"/>
    <s v="99.01"/>
  </r>
  <r>
    <x v="0"/>
    <x v="97"/>
    <n v="388351"/>
    <n v="3033"/>
    <n v="158268"/>
    <s v="0.78"/>
    <s v="0.00"/>
    <s v="99.22"/>
  </r>
  <r>
    <x v="0"/>
    <x v="98"/>
    <n v="412916"/>
    <n v="2462"/>
    <n v="91815"/>
    <s v="0.60"/>
    <s v="0.00"/>
    <s v="99.40"/>
  </r>
  <r>
    <x v="0"/>
    <x v="99"/>
    <n v="1033639"/>
    <n v="17396"/>
    <n v="85858"/>
    <s v="1.68"/>
    <s v="0.00"/>
    <s v="98.32"/>
  </r>
  <r>
    <x v="0"/>
    <x v="100"/>
    <n v="50031"/>
    <n v="91"/>
    <n v="12437"/>
    <s v="0.18"/>
    <s v="0.00"/>
    <s v="99.82"/>
  </r>
  <r>
    <x v="0"/>
    <x v="101"/>
    <n v="648782"/>
    <n v="8561"/>
    <n v="156992"/>
    <s v="1.32"/>
    <s v="0.00"/>
    <s v="98.68"/>
  </r>
  <r>
    <x v="0"/>
    <x v="102"/>
    <n v="12757"/>
    <n v="264"/>
    <n v="12219"/>
    <s v="2.07"/>
    <s v="0.00"/>
    <s v="97.93"/>
  </r>
  <r>
    <x v="0"/>
    <x v="103"/>
    <n v="3814"/>
    <n v="61"/>
    <n v="114"/>
    <s v="1.60"/>
    <s v="0.00"/>
    <s v="98.40"/>
  </r>
  <r>
    <x v="0"/>
    <x v="104"/>
    <n v="547346"/>
    <n v="13908"/>
    <n v="266619"/>
    <s v="2.54"/>
    <s v="0.00"/>
    <s v="97.46"/>
  </r>
  <r>
    <x v="0"/>
    <x v="105"/>
    <n v="5818"/>
    <n v="287"/>
    <n v="2471"/>
    <s v="4.93"/>
    <s v="0.00"/>
    <s v="95.07"/>
  </r>
  <r>
    <x v="0"/>
    <x v="106"/>
    <n v="21687"/>
    <n v="660"/>
    <n v="4190"/>
    <s v="3.04"/>
    <s v="0.00"/>
    <s v="96.96"/>
  </r>
  <r>
    <x v="0"/>
    <x v="107"/>
    <n v="434033"/>
    <n v="6214"/>
    <n v="165776"/>
    <s v="1.43"/>
    <s v="0.00"/>
    <s v="98.57"/>
  </r>
  <r>
    <x v="0"/>
    <x v="108"/>
    <n v="83826"/>
    <n v="852"/>
    <n v="50369"/>
    <s v="1.02"/>
    <s v="0.00"/>
    <s v="98.98"/>
  </r>
  <r>
    <x v="0"/>
    <x v="109"/>
    <n v="235387"/>
    <n v="3598"/>
    <n v="105808"/>
    <s v="1.53"/>
    <s v="0.00"/>
    <s v="98.47"/>
  </r>
  <r>
    <x v="0"/>
    <x v="110"/>
    <n v="362915"/>
    <n v="5241"/>
    <n v="259001"/>
    <s v="1.44"/>
    <s v="0.00"/>
    <s v="98.56"/>
  </r>
  <r>
    <x v="0"/>
    <x v="111"/>
    <n v="947761"/>
    <n v="14729"/>
    <n v="581539"/>
    <s v="1.55"/>
    <s v="0.00"/>
    <s v="98.45"/>
  </r>
  <r>
    <x v="0"/>
    <x v="112"/>
    <n v="3451"/>
    <n v="36"/>
    <n v="1929"/>
    <s v="1.04"/>
    <s v="0.00"/>
    <s v="98.96"/>
  </r>
  <r>
    <x v="0"/>
    <x v="113"/>
    <n v="349568"/>
    <n v="8253"/>
    <n v="143214"/>
    <s v="2.36"/>
    <s v="0.00"/>
    <s v="97.64"/>
  </r>
  <r>
    <x v="0"/>
    <x v="114"/>
    <n v="150313"/>
    <n v="2181"/>
    <n v="140771"/>
    <s v="1.45"/>
    <s v="0.00"/>
    <s v="98.55"/>
  </r>
  <r>
    <x v="0"/>
    <x v="115"/>
    <n v="3975"/>
    <n v="56"/>
    <n v="2500"/>
    <s v="1.41"/>
    <s v="0.00"/>
    <s v="98.59"/>
  </r>
  <r>
    <x v="0"/>
    <x v="116"/>
    <n v="43672"/>
    <n v="964"/>
    <n v="42622"/>
    <s v="2.21"/>
    <s v="0.00"/>
    <s v="97.79"/>
  </r>
  <r>
    <x v="0"/>
    <x v="117"/>
    <n v="4"/>
    <n v="0"/>
    <n v="2"/>
    <s v="0.00"/>
    <s v="0.00"/>
    <s v="100.00"/>
  </r>
  <r>
    <x v="0"/>
    <x v="118"/>
    <n v="207566"/>
    <n v="7276"/>
    <n v="7041"/>
    <s v="3.51"/>
    <s v="0.00"/>
    <s v="96.49"/>
  </r>
  <r>
    <x v="0"/>
    <x v="119"/>
    <n v="16526"/>
    <n v="581"/>
    <n v="8234"/>
    <s v="3.52"/>
    <s v="0.00"/>
    <s v="96.48"/>
  </r>
  <r>
    <x v="0"/>
    <x v="120"/>
    <n v="509771"/>
    <n v="18869"/>
    <n v="102501"/>
    <s v="3.70"/>
    <s v="0.00"/>
    <s v="96.30"/>
  </r>
  <r>
    <x v="0"/>
    <x v="121"/>
    <n v="370324"/>
    <n v="1850"/>
    <n v="174538"/>
    <s v="0.50"/>
    <s v="0.00"/>
    <s v="99.50"/>
  </r>
  <r>
    <x v="0"/>
    <x v="122"/>
    <n v="77"/>
    <n v="0"/>
    <n v="33"/>
    <s v="0.00"/>
    <s v="0.00"/>
    <s v="100.00"/>
  </r>
  <r>
    <x v="0"/>
    <x v="123"/>
    <n v="43789"/>
    <n v="698"/>
    <n v="17739"/>
    <s v="1.59"/>
    <s v="0.00"/>
    <s v="98.41"/>
  </r>
  <r>
    <x v="0"/>
    <x v="124"/>
    <n v="37884"/>
    <n v="805"/>
    <n v="34712"/>
    <s v="2.12"/>
    <s v="0.00"/>
    <s v="97.88"/>
  </r>
  <r>
    <x v="0"/>
    <x v="125"/>
    <n v="38004"/>
    <n v="462"/>
    <n v="10068"/>
    <s v="1.22"/>
    <s v="0.00"/>
    <s v="98.78"/>
  </r>
  <r>
    <x v="0"/>
    <x v="126"/>
    <n v="18979"/>
    <n v="240"/>
    <n v="17609"/>
    <s v="1.26"/>
    <s v="0.00"/>
    <s v="98.74"/>
  </r>
  <r>
    <x v="0"/>
    <x v="127"/>
    <n v="89255"/>
    <n v="246"/>
    <n v="20036"/>
    <s v="0.28"/>
    <s v="0.00"/>
    <s v="99.72"/>
  </r>
  <r>
    <x v="0"/>
    <x v="128"/>
    <n v="61832"/>
    <n v="2302"/>
    <n v="39711"/>
    <s v="3.72"/>
    <s v="0.00"/>
    <s v="96.28"/>
  </r>
  <r>
    <x v="0"/>
    <x v="129"/>
    <n v="3831259"/>
    <n v="290110"/>
    <n v="494656"/>
    <s v="7.57"/>
    <s v="0.00"/>
    <s v="92.43"/>
  </r>
  <r>
    <x v="0"/>
    <x v="130"/>
    <n v="2522498"/>
    <n v="29486"/>
    <n v="794920"/>
    <s v="1.17"/>
    <s v="0.00"/>
    <s v="98.83"/>
  </r>
  <r>
    <x v="0"/>
    <x v="131"/>
    <n v="151390"/>
    <n v="1934"/>
    <n v="84999"/>
    <s v="1.28"/>
    <s v="0.00"/>
    <s v="98.72"/>
  </r>
  <r>
    <x v="0"/>
    <x v="132"/>
    <n v="129027"/>
    <n v="3565"/>
    <n v="95248"/>
    <s v="2.76"/>
    <s v="0.00"/>
    <s v="97.24"/>
  </r>
  <r>
    <x v="0"/>
    <x v="133"/>
    <n v="11466"/>
    <n v="271"/>
    <n v="9529"/>
    <s v="2.36"/>
    <s v="0.00"/>
    <s v="97.64"/>
  </r>
  <r>
    <x v="0"/>
    <x v="134"/>
    <n v="6589"/>
    <n v="227"/>
    <n v="4209"/>
    <s v="3.45"/>
    <s v="0.00"/>
    <s v="96.55"/>
  </r>
  <r>
    <x v="0"/>
    <x v="135"/>
    <n v="212894"/>
    <n v="2922"/>
    <n v="77948"/>
    <s v="1.37"/>
    <s v="0.00"/>
    <s v="98.63"/>
  </r>
  <r>
    <x v="0"/>
    <x v="136"/>
    <n v="16877"/>
    <n v="210"/>
    <n v="11518"/>
    <s v="1.24"/>
    <s v="0.00"/>
    <s v="98.76"/>
  </r>
  <r>
    <x v="0"/>
    <x v="137"/>
    <n v="2277057"/>
    <n v="19079"/>
    <n v="1743256"/>
    <s v="0.84"/>
    <s v="0.00"/>
    <s v="99.16"/>
  </r>
  <r>
    <x v="0"/>
    <x v="138"/>
    <n v="222296"/>
    <n v="947"/>
    <n v="105191"/>
    <s v="0.43"/>
    <s v="0.00"/>
    <s v="99.57"/>
  </r>
  <r>
    <x v="0"/>
    <x v="139"/>
    <n v="815759"/>
    <n v="11460"/>
    <n v="657524"/>
    <s v="1.40"/>
    <s v="0.00"/>
    <s v="98.60"/>
  </r>
  <r>
    <x v="0"/>
    <x v="140"/>
    <n v="8108"/>
    <n v="33"/>
    <n v="1349"/>
    <s v="0.41"/>
    <s v="0.00"/>
    <s v="99.59"/>
  </r>
  <r>
    <x v="0"/>
    <x v="141"/>
    <n v="304403"/>
    <n v="4113"/>
    <n v="38807"/>
    <s v="1.35"/>
    <s v="0.00"/>
    <s v="98.65"/>
  </r>
  <r>
    <x v="0"/>
    <x v="142"/>
    <n v="473903"/>
    <n v="7338"/>
    <n v="206184"/>
    <s v="1.55"/>
    <s v="0.00"/>
    <s v="98.45"/>
  </r>
  <r>
    <x v="0"/>
    <x v="143"/>
    <n v="2210129"/>
    <n v="200532"/>
    <n v="510809"/>
    <s v="9.07"/>
    <s v="0.00"/>
    <s v="90.93"/>
  </r>
  <r>
    <x v="0"/>
    <x v="144"/>
    <n v="45573"/>
    <n v="636"/>
    <n v="24768"/>
    <s v="1.40"/>
    <s v="0.00"/>
    <s v="98.60"/>
  </r>
  <r>
    <x v="0"/>
    <x v="145"/>
    <n v="32279"/>
    <n v="415"/>
    <n v="730"/>
    <s v="1.29"/>
    <s v="0.00"/>
    <s v="98.71"/>
  </r>
  <r>
    <x v="0"/>
    <x v="146"/>
    <n v="2806694"/>
    <n v="44567"/>
    <n v="2397744"/>
    <s v="1.59"/>
    <s v="0.00"/>
    <s v="98.41"/>
  </r>
  <r>
    <x v="0"/>
    <x v="147"/>
    <n v="1278751"/>
    <n v="28575"/>
    <n v="341702"/>
    <s v="2.23"/>
    <s v="0.00"/>
    <s v="97.77"/>
  </r>
  <r>
    <x v="0"/>
    <x v="148"/>
    <n v="3143725"/>
    <n v="78250"/>
    <n v="2879312"/>
    <s v="2.49"/>
    <s v="0.00"/>
    <s v="97.51"/>
  </r>
  <r>
    <x v="0"/>
    <x v="149"/>
    <n v="456186"/>
    <n v="4733"/>
    <n v="374127"/>
    <s v="1.04"/>
    <s v="0.00"/>
    <s v="98.96"/>
  </r>
  <r>
    <x v="0"/>
    <x v="150"/>
    <n v="1100961"/>
    <n v="18222"/>
    <n v="955353"/>
    <s v="1.66"/>
    <s v="0.00"/>
    <s v="98.34"/>
  </r>
  <r>
    <x v="0"/>
    <x v="151"/>
    <n v="8"/>
    <n v="0"/>
    <n v="6"/>
    <s v="0.00"/>
    <s v="0.00"/>
    <s v="100.00"/>
  </r>
  <r>
    <x v="0"/>
    <x v="152"/>
    <n v="461466"/>
    <n v="16272"/>
    <n v="322526"/>
    <s v="3.53"/>
    <s v="0.00"/>
    <s v="96.47"/>
  </r>
  <r>
    <x v="0"/>
    <x v="153"/>
    <n v="240557"/>
    <n v="611"/>
    <n v="98251"/>
    <s v="0.25"/>
    <s v="0.00"/>
    <s v="99.75"/>
  </r>
  <r>
    <x v="0"/>
    <x v="154"/>
    <n v="55865"/>
    <n v="376"/>
    <n v="46997"/>
    <s v="0.67"/>
    <s v="0.00"/>
    <s v="99.33"/>
  </r>
  <r>
    <x v="0"/>
    <x v="155"/>
    <n v="1725017"/>
    <n v="51888"/>
    <n v="650782"/>
    <s v="3.01"/>
    <s v="0.00"/>
    <s v="96.99"/>
  </r>
  <r>
    <x v="0"/>
    <x v="156"/>
    <n v="1197082"/>
    <n v="10595"/>
    <n v="43896"/>
    <s v="0.89"/>
    <s v="0.00"/>
    <s v="99.11"/>
  </r>
  <r>
    <x v="0"/>
    <x v="157"/>
    <n v="8764713"/>
    <n v="245794"/>
    <n v="1443976"/>
    <s v="2.80"/>
    <s v="0.00"/>
    <s v="97.20"/>
  </r>
  <r>
    <x v="0"/>
    <x v="158"/>
    <n v="100019"/>
    <n v="1335"/>
    <n v="71812"/>
    <s v="1.33"/>
    <s v="0.00"/>
    <s v="98.67"/>
  </r>
  <r>
    <x v="0"/>
    <x v="159"/>
    <n v="549060"/>
    <n v="8807"/>
    <n v="139380"/>
    <s v="1.60"/>
    <s v="0.00"/>
    <s v="98.40"/>
  </r>
  <r>
    <x v="0"/>
    <x v="160"/>
    <n v="20"/>
    <n v="0"/>
    <n v="2"/>
    <s v="0.00"/>
    <s v="0.00"/>
    <s v="100.00"/>
  </r>
  <r>
    <x v="0"/>
    <x v="161"/>
    <n v="22526"/>
    <n v="119"/>
    <n v="5812"/>
    <s v="0.53"/>
    <s v="0.00"/>
    <s v="99.47"/>
  </r>
  <r>
    <x v="0"/>
    <x v="162"/>
    <n v="41019"/>
    <n v="3099"/>
    <n v="19939"/>
    <s v="7.56"/>
    <s v="0.00"/>
    <s v="92.44"/>
  </r>
  <r>
    <x v="0"/>
    <x v="163"/>
    <n v="1180518"/>
    <n v="15076"/>
    <n v="315327"/>
    <s v="1.28"/>
    <s v="0.00"/>
    <s v="98.72"/>
  </r>
  <r>
    <x v="0"/>
    <x v="164"/>
    <n v="227681"/>
    <n v="540"/>
    <n v="217245"/>
    <s v="0.24"/>
    <s v="0.00"/>
    <s v="99.76"/>
  </r>
  <r>
    <x v="0"/>
    <x v="165"/>
    <n v="365095"/>
    <n v="4875"/>
    <n v="259272"/>
    <s v="1.34"/>
    <s v="0.00"/>
    <s v="98.66"/>
  </r>
  <r>
    <x v="0"/>
    <x v="166"/>
    <n v="533663"/>
    <n v="13367"/>
    <n v="511678"/>
    <s v="2.50"/>
    <s v="0.00"/>
    <s v="97.50"/>
  </r>
  <r>
    <x v="0"/>
    <x v="167"/>
    <n v="6398"/>
    <n v="121"/>
    <n v="3951"/>
    <s v="1.89"/>
    <s v="0.00"/>
    <s v="98.11"/>
  </r>
  <r>
    <x v="0"/>
    <x v="168"/>
    <n v="5610"/>
    <n v="92"/>
    <n v="981"/>
    <s v="1.64"/>
    <s v="0.00"/>
    <s v="98.36"/>
  </r>
  <r>
    <x v="0"/>
    <x v="169"/>
    <n v="73945"/>
    <n v="1881"/>
    <n v="6663"/>
    <s v="2.54"/>
    <s v="0.00"/>
    <s v="97.46"/>
  </r>
  <r>
    <x v="0"/>
    <x v="170"/>
    <n v="22693"/>
    <n v="1294"/>
    <n v="865"/>
    <s v="5.70"/>
    <s v="0.00"/>
    <s v="94.30"/>
  </r>
  <r>
    <x v="0"/>
    <x v="171"/>
    <n v="49902"/>
    <n v="1126"/>
    <n v="1441"/>
    <s v="2.26"/>
    <s v="0.00"/>
    <s v="97.74"/>
  </r>
  <r>
    <x v="0"/>
    <x v="172"/>
    <n v="12546"/>
    <n v="133"/>
    <n v="10853"/>
    <s v="1.06"/>
    <s v="0.00"/>
    <s v="98.94"/>
  </r>
  <r>
    <x v="0"/>
    <x v="173"/>
    <n v="3730"/>
    <n v="56"/>
    <n v="1212"/>
    <s v="1.50"/>
    <s v="0.00"/>
    <s v="98.50"/>
  </r>
  <r>
    <x v="0"/>
    <x v="174"/>
    <n v="117350"/>
    <n v="3704"/>
    <n v="14017"/>
    <s v="3.16"/>
    <s v="0.00"/>
    <s v="96.84"/>
  </r>
  <r>
    <x v="0"/>
    <x v="175"/>
    <n v="45468"/>
    <n v="2637"/>
    <n v="23017"/>
    <s v="5.80"/>
    <s v="0.00"/>
    <s v="94.20"/>
  </r>
  <r>
    <x v="0"/>
    <x v="176"/>
    <n v="46464"/>
    <n v="1245"/>
    <n v="18209"/>
    <s v="2.68"/>
    <s v="0.00"/>
    <s v="97.32"/>
  </r>
  <r>
    <x v="0"/>
    <x v="177"/>
    <n v="5107"/>
    <n v="175"/>
    <n v="291"/>
    <s v="3.43"/>
    <s v="0.00"/>
    <s v="96.57"/>
  </r>
  <r>
    <x v="0"/>
    <x v="178"/>
    <n v="26133"/>
    <n v="243"/>
    <n v="16937"/>
    <s v="0.93"/>
    <s v="0.00"/>
    <s v="99.07"/>
  </r>
  <r>
    <x v="0"/>
    <x v="179"/>
    <n v="1996969"/>
    <n v="19883"/>
    <n v="1539543"/>
    <s v="1.00"/>
    <s v="0.00"/>
    <s v="99.00"/>
  </r>
  <r>
    <x v="0"/>
    <x v="180"/>
    <n v="17488"/>
    <n v="125"/>
    <n v="15662"/>
    <s v="0.71"/>
    <s v="0.00"/>
    <s v="99.29"/>
  </r>
  <r>
    <x v="0"/>
    <x v="181"/>
    <n v="19807"/>
    <n v="122"/>
    <n v="4014"/>
    <s v="0.62"/>
    <s v="0.00"/>
    <s v="99.38"/>
  </r>
  <r>
    <x v="0"/>
    <x v="182"/>
    <n v="715396"/>
    <n v="25294"/>
    <n v="351487"/>
    <s v="3.54"/>
    <s v="0.00"/>
    <s v="96.46"/>
  </r>
  <r>
    <x v="0"/>
    <x v="183"/>
    <n v="1"/>
    <n v="0"/>
    <n v="0"/>
    <s v="0.00"/>
    <s v="0.00"/>
    <s v="100.00"/>
  </r>
  <r>
    <x v="0"/>
    <x v="184"/>
    <n v="8317394"/>
    <n v="72713"/>
    <n v="5352737"/>
    <s v="0.87"/>
    <s v="0.00"/>
    <s v="99.13"/>
  </r>
  <r>
    <x v="0"/>
    <x v="185"/>
    <n v="60475"/>
    <n v="1806"/>
    <n v="16967"/>
    <s v="2.99"/>
    <s v="0.00"/>
    <s v="97.01"/>
  </r>
  <r>
    <x v="0"/>
    <x v="186"/>
    <n v="16456"/>
    <n v="848"/>
    <n v="2088"/>
    <s v="5.15"/>
    <s v="0.00"/>
    <s v="94.85"/>
  </r>
  <r>
    <x v="0"/>
    <x v="187"/>
    <n v="26196"/>
    <n v="725"/>
    <n v="10281"/>
    <s v="2.77"/>
    <s v="0.00"/>
    <s v="97.23"/>
  </r>
  <r>
    <x v="0"/>
    <x v="188"/>
    <n v="3302519"/>
    <n v="79517"/>
    <n v="1860271"/>
    <s v="2.41"/>
    <s v="0.00"/>
    <s v="97.59"/>
  </r>
  <r>
    <x v="0"/>
    <x v="189"/>
    <n v="126714"/>
    <n v="3231"/>
    <n v="61769"/>
    <s v="2.55"/>
    <s v="0.00"/>
    <s v="97.45"/>
  </r>
  <r>
    <x v="0"/>
    <x v="190"/>
    <n v="46792081"/>
    <n v="759060"/>
    <n v="30017110"/>
    <s v="1.62"/>
    <s v="0.00"/>
    <s v="98.38"/>
  </r>
  <r>
    <x v="0"/>
    <x v="191"/>
    <n v="395805"/>
    <n v="6093"/>
    <n v="286353"/>
    <s v="1.54"/>
    <s v="0.00"/>
    <s v="98.46"/>
  </r>
  <r>
    <x v="0"/>
    <x v="192"/>
    <n v="188892"/>
    <n v="1349"/>
    <n v="166776"/>
    <s v="0.71"/>
    <s v="0.00"/>
    <s v="99.29"/>
  </r>
  <r>
    <x v="0"/>
    <x v="193"/>
    <n v="27"/>
    <n v="0"/>
    <n v="10"/>
    <s v="0.00"/>
    <s v="0.00"/>
    <s v="100.00"/>
  </r>
  <r>
    <x v="0"/>
    <x v="194"/>
    <n v="5167"/>
    <n v="69"/>
    <n v="1098"/>
    <s v="1.34"/>
    <s v="0.00"/>
    <s v="98.66"/>
  </r>
  <r>
    <x v="0"/>
    <x v="195"/>
    <n v="416190"/>
    <n v="4996"/>
    <n v="355833"/>
    <s v="1.20"/>
    <s v="0.00"/>
    <s v="98.80"/>
  </r>
  <r>
    <x v="0"/>
    <x v="196"/>
    <n v="992735"/>
    <n v="22765"/>
    <n v="765273"/>
    <s v="2.29"/>
    <s v="0.00"/>
    <s v="97.71"/>
  </r>
  <r>
    <x v="0"/>
    <x v="197"/>
    <n v="6"/>
    <n v="1"/>
    <n v="4"/>
    <s v="16.67"/>
    <s v="0.00"/>
    <s v="83.33"/>
  </r>
  <r>
    <x v="0"/>
    <x v="198"/>
    <n v="3"/>
    <n v="0"/>
    <n v="3"/>
    <s v="0.00"/>
    <s v="0.00"/>
    <s v="100.00"/>
  </r>
  <r>
    <x v="0"/>
    <x v="199"/>
    <n v="160905"/>
    <n v="2978"/>
    <n v="76775"/>
    <s v="1.85"/>
    <s v="0.00"/>
    <s v="98.15"/>
  </r>
  <r>
    <x v="0"/>
    <x v="200"/>
    <n v="9902"/>
    <n v="1918"/>
    <n v="3762"/>
    <s v="19.37"/>
    <s v="0.00"/>
    <s v="80.63"/>
  </r>
  <r>
    <x v="0"/>
    <x v="201"/>
    <n v="20751"/>
    <n v="185"/>
    <n v="13818"/>
    <s v="0.89"/>
    <s v="0.00"/>
    <s v="99.11"/>
  </r>
  <r>
    <x v="0"/>
    <x v="202"/>
    <n v="2924622"/>
    <n v="89435"/>
    <n v="2247679"/>
    <s v="3.06"/>
    <s v="0.00"/>
    <s v="96.94"/>
  </r>
  <r>
    <x v="0"/>
    <x v="203"/>
    <n v="209939"/>
    <n v="3664"/>
    <n v="54054"/>
    <s v="1.75"/>
    <s v="0.00"/>
    <s v="98.25"/>
  </r>
  <r>
    <x v="0"/>
    <x v="204"/>
    <n v="133302"/>
    <n v="4694"/>
    <n v="62040"/>
    <s v="3.52"/>
    <s v="0.00"/>
    <s v="96.48"/>
  </r>
  <r>
    <x v="0"/>
    <x v="205"/>
    <n v="721"/>
    <n v="15"/>
    <n v="632"/>
    <s v="2.08"/>
    <s v="0.00"/>
    <s v="97.92"/>
  </r>
  <r>
    <x v="1"/>
    <x v="205"/>
    <n v="721"/>
    <n v="15"/>
    <n v="274"/>
    <s v="2.08"/>
    <s v="0.00"/>
    <s v="97.92"/>
  </r>
  <r>
    <x v="1"/>
    <x v="204"/>
    <n v="133302"/>
    <n v="4694"/>
    <n v="70681"/>
    <s v="3.52"/>
    <s v="0.00"/>
    <s v="96.48"/>
  </r>
  <r>
    <x v="1"/>
    <x v="203"/>
    <n v="209939"/>
    <n v="3664"/>
    <n v="64401"/>
    <s v="1.75"/>
    <s v="0.00"/>
    <s v="98.25"/>
  </r>
  <r>
    <x v="1"/>
    <x v="202"/>
    <n v="2924622"/>
    <n v="89435"/>
    <n v="878640"/>
    <s v="3.06"/>
    <s v="0.00"/>
    <s v="96.94"/>
  </r>
  <r>
    <x v="1"/>
    <x v="201"/>
    <n v="20751"/>
    <n v="185"/>
    <n v="1013"/>
    <s v="0.89"/>
    <s v="0.00"/>
    <s v="99.11"/>
  </r>
  <r>
    <x v="1"/>
    <x v="200"/>
    <n v="9902"/>
    <n v="1918"/>
    <n v="7802"/>
    <s v="19.37"/>
    <s v="0.00"/>
    <s v="80.63"/>
  </r>
  <r>
    <x v="1"/>
    <x v="199"/>
    <n v="160905"/>
    <n v="2978"/>
    <n v="137785"/>
    <s v="1.85"/>
    <s v="0.00"/>
    <s v="98.15"/>
  </r>
  <r>
    <x v="1"/>
    <x v="198"/>
    <n v="3"/>
    <n v="0"/>
    <n v="0"/>
    <s v="0.00"/>
    <s v="0.00"/>
    <s v="100.00"/>
  </r>
  <r>
    <x v="1"/>
    <x v="197"/>
    <n v="6"/>
    <n v="1"/>
    <n v="4"/>
    <s v="16.67"/>
    <s v="0.00"/>
    <s v="83.33"/>
  </r>
  <r>
    <x v="1"/>
    <x v="196"/>
    <n v="992735"/>
    <n v="22765"/>
    <n v="524329"/>
    <s v="2.29"/>
    <s v="0.00"/>
    <s v="97.71"/>
  </r>
  <r>
    <x v="1"/>
    <x v="195"/>
    <n v="416190"/>
    <n v="4996"/>
    <n v="33576"/>
    <s v="1.20"/>
    <s v="0.00"/>
    <s v="98.80"/>
  </r>
  <r>
    <x v="1"/>
    <x v="194"/>
    <n v="5167"/>
    <n v="69"/>
    <n v="1618"/>
    <s v="1.34"/>
    <s v="0.00"/>
    <s v="98.66"/>
  </r>
  <r>
    <x v="1"/>
    <x v="193"/>
    <n v="27"/>
    <n v="0"/>
    <n v="14"/>
    <s v="0.00"/>
    <s v="0.00"/>
    <s v="100.00"/>
  </r>
  <r>
    <x v="1"/>
    <x v="192"/>
    <n v="188619"/>
    <n v="1346"/>
    <n v="85815"/>
    <s v="0.71"/>
    <s v="0.00"/>
    <s v="99.29"/>
  </r>
  <r>
    <x v="1"/>
    <x v="191"/>
    <n v="395805"/>
    <n v="6093"/>
    <n v="208021"/>
    <s v="1.54"/>
    <s v="0.00"/>
    <s v="98.46"/>
  </r>
  <r>
    <x v="1"/>
    <x v="190"/>
    <n v="46789031"/>
    <n v="758916"/>
    <n v="17990014"/>
    <s v="1.62"/>
    <s v="0.00"/>
    <s v="98.38"/>
  </r>
  <r>
    <x v="1"/>
    <x v="189"/>
    <n v="126714"/>
    <n v="3231"/>
    <n v="81214"/>
    <s v="2.55"/>
    <s v="0.00"/>
    <s v="97.45"/>
  </r>
  <r>
    <x v="1"/>
    <x v="188"/>
    <n v="3277772"/>
    <n v="78865"/>
    <n v="480239"/>
    <s v="2.41"/>
    <s v="0.00"/>
    <s v="97.59"/>
  </r>
  <r>
    <x v="1"/>
    <x v="187"/>
    <n v="26196"/>
    <n v="725"/>
    <n v="17150"/>
    <s v="2.77"/>
    <s v="0.00"/>
    <s v="97.23"/>
  </r>
  <r>
    <x v="1"/>
    <x v="186"/>
    <n v="16456"/>
    <n v="848"/>
    <n v="3861"/>
    <s v="5.15"/>
    <s v="0.00"/>
    <s v="94.85"/>
  </r>
  <r>
    <x v="1"/>
    <x v="185"/>
    <n v="60475"/>
    <n v="1806"/>
    <n v="41854"/>
    <s v="2.99"/>
    <s v="0.00"/>
    <s v="97.01"/>
  </r>
  <r>
    <x v="1"/>
    <x v="184"/>
    <n v="8317394"/>
    <n v="72713"/>
    <n v="5998860"/>
    <s v="0.87"/>
    <s v="0.00"/>
    <s v="99.13"/>
  </r>
  <r>
    <x v="1"/>
    <x v="183"/>
    <n v="1"/>
    <n v="0"/>
    <n v="0"/>
    <s v="0.00"/>
    <s v="0.00"/>
    <s v="100.00"/>
  </r>
  <r>
    <x v="1"/>
    <x v="182"/>
    <n v="715276"/>
    <n v="25287"/>
    <n v="338191"/>
    <s v="3.54"/>
    <s v="0.00"/>
    <s v="96.46"/>
  </r>
  <r>
    <x v="1"/>
    <x v="181"/>
    <n v="19807"/>
    <n v="122"/>
    <n v="2263"/>
    <s v="0.62"/>
    <s v="0.00"/>
    <s v="99.38"/>
  </r>
  <r>
    <x v="1"/>
    <x v="180"/>
    <n v="17488"/>
    <n v="125"/>
    <n v="11647"/>
    <s v="0.71"/>
    <s v="0.00"/>
    <s v="99.29"/>
  </r>
  <r>
    <x v="1"/>
    <x v="179"/>
    <n v="1989473"/>
    <n v="19826"/>
    <n v="442074"/>
    <s v="1.00"/>
    <s v="0.00"/>
    <s v="99.00"/>
  </r>
  <r>
    <x v="1"/>
    <x v="178"/>
    <n v="26133"/>
    <n v="243"/>
    <n v="18911"/>
    <s v="0.93"/>
    <s v="0.00"/>
    <s v="99.07"/>
  </r>
  <r>
    <x v="1"/>
    <x v="177"/>
    <n v="5107"/>
    <n v="175"/>
    <n v="4299"/>
    <s v="3.43"/>
    <s v="0.00"/>
    <s v="96.57"/>
  </r>
  <r>
    <x v="1"/>
    <x v="176"/>
    <n v="46464"/>
    <n v="1245"/>
    <n v="43137"/>
    <s v="2.68"/>
    <s v="0.00"/>
    <s v="97.32"/>
  </r>
  <r>
    <x v="1"/>
    <x v="175"/>
    <n v="45468"/>
    <n v="2637"/>
    <n v="17977"/>
    <s v="5.80"/>
    <s v="0.00"/>
    <s v="94.20"/>
  </r>
  <r>
    <x v="1"/>
    <x v="174"/>
    <n v="117350"/>
    <n v="3704"/>
    <n v="10894"/>
    <s v="3.16"/>
    <s v="0.00"/>
    <s v="96.84"/>
  </r>
  <r>
    <x v="1"/>
    <x v="173"/>
    <n v="3730"/>
    <n v="56"/>
    <n v="65"/>
    <s v="1.50"/>
    <s v="0.00"/>
    <s v="98.50"/>
  </r>
  <r>
    <x v="1"/>
    <x v="172"/>
    <n v="12546"/>
    <n v="133"/>
    <n v="168"/>
    <s v="1.06"/>
    <s v="0.00"/>
    <s v="98.94"/>
  </r>
  <r>
    <x v="1"/>
    <x v="171"/>
    <n v="49902"/>
    <n v="1126"/>
    <n v="11409"/>
    <s v="2.26"/>
    <s v="0.00"/>
    <s v="97.74"/>
  </r>
  <r>
    <x v="1"/>
    <x v="170"/>
    <n v="22693"/>
    <n v="1294"/>
    <n v="17690"/>
    <s v="5.70"/>
    <s v="0.00"/>
    <s v="94.30"/>
  </r>
  <r>
    <x v="1"/>
    <x v="169"/>
    <n v="73945"/>
    <n v="1881"/>
    <n v="59848"/>
    <s v="2.54"/>
    <s v="0.00"/>
    <s v="97.46"/>
  </r>
  <r>
    <x v="1"/>
    <x v="168"/>
    <n v="5610"/>
    <n v="92"/>
    <n v="4711"/>
    <s v="1.64"/>
    <s v="0.00"/>
    <s v="98.36"/>
  </r>
  <r>
    <x v="1"/>
    <x v="167"/>
    <n v="6398"/>
    <n v="121"/>
    <n v="1875"/>
    <s v="1.89"/>
    <s v="0.00"/>
    <s v="98.11"/>
  </r>
  <r>
    <x v="1"/>
    <x v="166"/>
    <n v="533663"/>
    <n v="13367"/>
    <n v="56659"/>
    <s v="2.50"/>
    <s v="0.00"/>
    <s v="97.50"/>
  </r>
  <r>
    <x v="1"/>
    <x v="165"/>
    <n v="365095"/>
    <n v="4875"/>
    <n v="50403"/>
    <s v="1.34"/>
    <s v="0.00"/>
    <s v="98.66"/>
  </r>
  <r>
    <x v="1"/>
    <x v="164"/>
    <n v="227681"/>
    <n v="540"/>
    <n v="38840"/>
    <s v="0.24"/>
    <s v="0.00"/>
    <s v="99.76"/>
  </r>
  <r>
    <x v="1"/>
    <x v="163"/>
    <n v="1180518"/>
    <n v="15076"/>
    <n v="505511"/>
    <s v="1.28"/>
    <s v="0.00"/>
    <s v="98.72"/>
  </r>
  <r>
    <x v="1"/>
    <x v="162"/>
    <n v="41019"/>
    <n v="3099"/>
    <n v="22972"/>
    <s v="7.56"/>
    <s v="0.00"/>
    <s v="92.44"/>
  </r>
  <r>
    <x v="1"/>
    <x v="161"/>
    <n v="22526"/>
    <n v="119"/>
    <n v="4016"/>
    <s v="0.53"/>
    <s v="0.00"/>
    <s v="99.47"/>
  </r>
  <r>
    <x v="1"/>
    <x v="160"/>
    <n v="20"/>
    <n v="0"/>
    <n v="4"/>
    <s v="0.00"/>
    <s v="0.00"/>
    <s v="100.00"/>
  </r>
  <r>
    <x v="1"/>
    <x v="159"/>
    <n v="549060"/>
    <n v="8807"/>
    <n v="172195"/>
    <s v="1.60"/>
    <s v="0.00"/>
    <s v="98.40"/>
  </r>
  <r>
    <x v="1"/>
    <x v="158"/>
    <n v="100019"/>
    <n v="1335"/>
    <n v="64513"/>
    <s v="1.33"/>
    <s v="0.00"/>
    <s v="98.67"/>
  </r>
  <r>
    <x v="1"/>
    <x v="157"/>
    <n v="8764713"/>
    <n v="245794"/>
    <n v="2709674"/>
    <s v="2.80"/>
    <s v="0.00"/>
    <s v="97.20"/>
  </r>
  <r>
    <x v="1"/>
    <x v="156"/>
    <n v="1197082"/>
    <n v="10595"/>
    <n v="57857"/>
    <s v="0.89"/>
    <s v="0.00"/>
    <s v="99.11"/>
  </r>
  <r>
    <x v="1"/>
    <x v="155"/>
    <n v="1725017"/>
    <n v="51888"/>
    <n v="124226"/>
    <s v="3.01"/>
    <s v="0.00"/>
    <s v="96.99"/>
  </r>
  <r>
    <x v="1"/>
    <x v="154"/>
    <n v="55865"/>
    <n v="376"/>
    <n v="37997"/>
    <s v="0.67"/>
    <s v="0.00"/>
    <s v="99.33"/>
  </r>
  <r>
    <x v="1"/>
    <x v="153"/>
    <n v="240557"/>
    <n v="611"/>
    <n v="233457"/>
    <s v="0.25"/>
    <s v="0.00"/>
    <s v="99.75"/>
  </r>
  <r>
    <x v="1"/>
    <x v="152"/>
    <n v="461466"/>
    <n v="16272"/>
    <n v="62782"/>
    <s v="3.53"/>
    <s v="0.00"/>
    <s v="96.47"/>
  </r>
  <r>
    <x v="1"/>
    <x v="151"/>
    <n v="8"/>
    <n v="0"/>
    <n v="6"/>
    <s v="0.00"/>
    <s v="0.00"/>
    <s v="100.00"/>
  </r>
  <r>
    <x v="1"/>
    <x v="150"/>
    <n v="1100961"/>
    <n v="18222"/>
    <n v="979766"/>
    <s v="1.66"/>
    <s v="0.00"/>
    <s v="98.34"/>
  </r>
  <r>
    <x v="1"/>
    <x v="149"/>
    <n v="456186"/>
    <n v="4733"/>
    <n v="337980"/>
    <s v="1.04"/>
    <s v="0.00"/>
    <s v="98.96"/>
  </r>
  <r>
    <x v="1"/>
    <x v="148"/>
    <n v="3143725"/>
    <n v="78250"/>
    <n v="1943944"/>
    <s v="2.49"/>
    <s v="0.00"/>
    <s v="97.51"/>
  </r>
  <r>
    <x v="1"/>
    <x v="147"/>
    <n v="1278751"/>
    <n v="28575"/>
    <n v="775400"/>
    <s v="2.23"/>
    <s v="0.00"/>
    <s v="97.77"/>
  </r>
  <r>
    <x v="1"/>
    <x v="146"/>
    <n v="2806694"/>
    <n v="44567"/>
    <n v="312379"/>
    <s v="1.59"/>
    <s v="0.00"/>
    <s v="98.41"/>
  </r>
  <r>
    <x v="1"/>
    <x v="145"/>
    <n v="32279"/>
    <n v="415"/>
    <n v="15634"/>
    <s v="1.29"/>
    <s v="0.00"/>
    <s v="98.71"/>
  </r>
  <r>
    <x v="1"/>
    <x v="144"/>
    <n v="45573"/>
    <n v="636"/>
    <n v="4082"/>
    <s v="1.40"/>
    <s v="0.00"/>
    <s v="98.60"/>
  </r>
  <r>
    <x v="1"/>
    <x v="143"/>
    <n v="2210129"/>
    <n v="200532"/>
    <n v="1935754"/>
    <s v="9.07"/>
    <s v="0.00"/>
    <s v="90.93"/>
  </r>
  <r>
    <x v="1"/>
    <x v="142"/>
    <n v="473903"/>
    <n v="7338"/>
    <n v="421976"/>
    <s v="1.55"/>
    <s v="0.00"/>
    <s v="98.45"/>
  </r>
  <r>
    <x v="1"/>
    <x v="141"/>
    <n v="304403"/>
    <n v="4113"/>
    <n v="224497"/>
    <s v="1.35"/>
    <s v="0.00"/>
    <s v="98.65"/>
  </r>
  <r>
    <x v="1"/>
    <x v="140"/>
    <n v="8108"/>
    <n v="33"/>
    <n v="84"/>
    <s v="0.41"/>
    <s v="0.00"/>
    <s v="99.59"/>
  </r>
  <r>
    <x v="1"/>
    <x v="139"/>
    <n v="815759"/>
    <n v="11460"/>
    <n v="720642"/>
    <s v="1.40"/>
    <s v="0.00"/>
    <s v="98.60"/>
  </r>
  <r>
    <x v="1"/>
    <x v="138"/>
    <n v="222296"/>
    <n v="947"/>
    <n v="146538"/>
    <s v="0.43"/>
    <s v="0.00"/>
    <s v="99.57"/>
  </r>
  <r>
    <x v="1"/>
    <x v="137"/>
    <n v="2277031"/>
    <n v="19079"/>
    <n v="1910719"/>
    <s v="0.84"/>
    <s v="0.00"/>
    <s v="99.16"/>
  </r>
  <r>
    <x v="1"/>
    <x v="136"/>
    <n v="16877"/>
    <n v="210"/>
    <n v="9223"/>
    <s v="1.24"/>
    <s v="0.00"/>
    <s v="98.76"/>
  </r>
  <r>
    <x v="1"/>
    <x v="135"/>
    <n v="212894"/>
    <n v="2922"/>
    <n v="21534"/>
    <s v="1.37"/>
    <s v="0.00"/>
    <s v="98.63"/>
  </r>
  <r>
    <x v="1"/>
    <x v="134"/>
    <n v="6589"/>
    <n v="227"/>
    <n v="205"/>
    <s v="3.45"/>
    <s v="0.00"/>
    <s v="96.55"/>
  </r>
  <r>
    <x v="1"/>
    <x v="133"/>
    <n v="11466"/>
    <n v="271"/>
    <n v="4786"/>
    <s v="2.36"/>
    <s v="0.00"/>
    <s v="97.64"/>
  </r>
  <r>
    <x v="1"/>
    <x v="132"/>
    <n v="129027"/>
    <n v="3565"/>
    <n v="30442"/>
    <s v="2.76"/>
    <s v="0.00"/>
    <s v="97.24"/>
  </r>
  <r>
    <x v="1"/>
    <x v="131"/>
    <n v="151390"/>
    <n v="1934"/>
    <n v="59176"/>
    <s v="1.28"/>
    <s v="0.00"/>
    <s v="98.72"/>
  </r>
  <r>
    <x v="1"/>
    <x v="130"/>
    <n v="2522498"/>
    <n v="29486"/>
    <n v="1995133"/>
    <s v="1.17"/>
    <s v="0.00"/>
    <s v="98.83"/>
  </r>
  <r>
    <x v="1"/>
    <x v="129"/>
    <n v="3831259"/>
    <n v="290110"/>
    <n v="1479618"/>
    <s v="7.57"/>
    <s v="0.00"/>
    <s v="92.43"/>
  </r>
  <r>
    <x v="1"/>
    <x v="128"/>
    <n v="61832"/>
    <n v="2302"/>
    <n v="43065"/>
    <s v="3.72"/>
    <s v="0.00"/>
    <s v="96.28"/>
  </r>
  <r>
    <x v="1"/>
    <x v="127"/>
    <n v="89255"/>
    <n v="246"/>
    <n v="16792"/>
    <s v="0.28"/>
    <s v="0.00"/>
    <s v="99.72"/>
  </r>
  <r>
    <x v="1"/>
    <x v="126"/>
    <n v="18979"/>
    <n v="240"/>
    <n v="10627"/>
    <s v="1.26"/>
    <s v="0.00"/>
    <s v="98.74"/>
  </r>
  <r>
    <x v="1"/>
    <x v="125"/>
    <n v="38004"/>
    <n v="462"/>
    <n v="34560"/>
    <s v="1.22"/>
    <s v="0.00"/>
    <s v="98.78"/>
  </r>
  <r>
    <x v="1"/>
    <x v="124"/>
    <n v="37884"/>
    <n v="805"/>
    <n v="21450"/>
    <s v="2.12"/>
    <s v="0.00"/>
    <s v="97.88"/>
  </r>
  <r>
    <x v="1"/>
    <x v="123"/>
    <n v="43789"/>
    <n v="698"/>
    <n v="2364"/>
    <s v="1.59"/>
    <s v="0.00"/>
    <s v="98.41"/>
  </r>
  <r>
    <x v="1"/>
    <x v="122"/>
    <n v="77"/>
    <n v="0"/>
    <n v="69"/>
    <s v="0.00"/>
    <s v="0.00"/>
    <s v="100.00"/>
  </r>
  <r>
    <x v="1"/>
    <x v="121"/>
    <n v="369303"/>
    <n v="1840"/>
    <n v="339834"/>
    <s v="0.50"/>
    <s v="0.00"/>
    <s v="99.50"/>
  </r>
  <r>
    <x v="1"/>
    <x v="120"/>
    <n v="509771"/>
    <n v="18869"/>
    <n v="305062"/>
    <s v="3.70"/>
    <s v="0.00"/>
    <s v="96.30"/>
  </r>
  <r>
    <x v="1"/>
    <x v="119"/>
    <n v="16526"/>
    <n v="581"/>
    <n v="3337"/>
    <s v="3.52"/>
    <s v="0.00"/>
    <s v="96.48"/>
  </r>
  <r>
    <x v="1"/>
    <x v="118"/>
    <n v="207566"/>
    <n v="7276"/>
    <n v="153055"/>
    <s v="3.51"/>
    <s v="0.00"/>
    <s v="96.49"/>
  </r>
  <r>
    <x v="1"/>
    <x v="117"/>
    <n v="4"/>
    <n v="0"/>
    <n v="3"/>
    <s v="0.00"/>
    <s v="0.00"/>
    <s v="100.00"/>
  </r>
  <r>
    <x v="1"/>
    <x v="116"/>
    <n v="43672"/>
    <n v="964"/>
    <n v="25904"/>
    <s v="2.21"/>
    <s v="0.00"/>
    <s v="97.79"/>
  </r>
  <r>
    <x v="1"/>
    <x v="115"/>
    <n v="3975"/>
    <n v="56"/>
    <n v="1042"/>
    <s v="1.41"/>
    <s v="0.00"/>
    <s v="98.59"/>
  </r>
  <r>
    <x v="1"/>
    <x v="114"/>
    <n v="150313"/>
    <n v="2181"/>
    <n v="61400"/>
    <s v="1.45"/>
    <s v="0.00"/>
    <s v="98.55"/>
  </r>
  <r>
    <x v="1"/>
    <x v="113"/>
    <n v="349568"/>
    <n v="8253"/>
    <n v="69741"/>
    <s v="2.36"/>
    <s v="0.00"/>
    <s v="97.64"/>
  </r>
  <r>
    <x v="1"/>
    <x v="112"/>
    <n v="3451"/>
    <n v="36"/>
    <n v="2139"/>
    <s v="1.04"/>
    <s v="0.00"/>
    <s v="98.96"/>
  </r>
  <r>
    <x v="1"/>
    <x v="111"/>
    <n v="947761"/>
    <n v="14729"/>
    <n v="271906"/>
    <s v="1.55"/>
    <s v="0.00"/>
    <s v="98.45"/>
  </r>
  <r>
    <x v="1"/>
    <x v="110"/>
    <n v="362915"/>
    <n v="5241"/>
    <n v="149254"/>
    <s v="1.44"/>
    <s v="0.00"/>
    <s v="98.56"/>
  </r>
  <r>
    <x v="1"/>
    <x v="109"/>
    <n v="235387"/>
    <n v="3598"/>
    <n v="144475"/>
    <s v="1.53"/>
    <s v="0.00"/>
    <s v="98.47"/>
  </r>
  <r>
    <x v="1"/>
    <x v="108"/>
    <n v="83826"/>
    <n v="852"/>
    <n v="64298"/>
    <s v="1.02"/>
    <s v="0.00"/>
    <s v="98.98"/>
  </r>
  <r>
    <x v="1"/>
    <x v="107"/>
    <n v="434033"/>
    <n v="6214"/>
    <n v="131352"/>
    <s v="1.43"/>
    <s v="0.00"/>
    <s v="98.57"/>
  </r>
  <r>
    <x v="1"/>
    <x v="106"/>
    <n v="21687"/>
    <n v="660"/>
    <n v="18397"/>
    <s v="3.04"/>
    <s v="0.00"/>
    <s v="96.96"/>
  </r>
  <r>
    <x v="1"/>
    <x v="105"/>
    <n v="5818"/>
    <n v="287"/>
    <n v="2770"/>
    <s v="4.93"/>
    <s v="0.00"/>
    <s v="95.07"/>
  </r>
  <r>
    <x v="1"/>
    <x v="104"/>
    <n v="547346"/>
    <n v="13908"/>
    <n v="323748"/>
    <s v="2.54"/>
    <s v="0.00"/>
    <s v="97.46"/>
  </r>
  <r>
    <x v="1"/>
    <x v="103"/>
    <n v="3814"/>
    <n v="61"/>
    <n v="226"/>
    <s v="1.60"/>
    <s v="0.00"/>
    <s v="98.40"/>
  </r>
  <r>
    <x v="1"/>
    <x v="102"/>
    <n v="12757"/>
    <n v="264"/>
    <n v="4702"/>
    <s v="2.07"/>
    <s v="0.00"/>
    <s v="97.93"/>
  </r>
  <r>
    <x v="1"/>
    <x v="101"/>
    <n v="648782"/>
    <n v="8561"/>
    <n v="56246"/>
    <s v="1.32"/>
    <s v="0.00"/>
    <s v="98.68"/>
  </r>
  <r>
    <x v="1"/>
    <x v="100"/>
    <n v="50031"/>
    <n v="91"/>
    <n v="49767"/>
    <s v="0.18"/>
    <s v="0.00"/>
    <s v="99.82"/>
  </r>
  <r>
    <x v="1"/>
    <x v="99"/>
    <n v="1033639"/>
    <n v="17396"/>
    <n v="900573"/>
    <s v="1.68"/>
    <s v="0.00"/>
    <s v="98.32"/>
  </r>
  <r>
    <x v="1"/>
    <x v="98"/>
    <n v="412916"/>
    <n v="2462"/>
    <n v="407128"/>
    <s v="0.60"/>
    <s v="0.00"/>
    <s v="99.40"/>
  </r>
  <r>
    <x v="1"/>
    <x v="97"/>
    <n v="388351"/>
    <n v="3033"/>
    <n v="245677"/>
    <s v="0.78"/>
    <s v="0.00"/>
    <s v="99.22"/>
  </r>
  <r>
    <x v="1"/>
    <x v="96"/>
    <n v="2730"/>
    <n v="27"/>
    <n v="2397"/>
    <s v="0.99"/>
    <s v="0.00"/>
    <s v="99.01"/>
  </r>
  <r>
    <x v="1"/>
    <x v="95"/>
    <n v="4349"/>
    <n v="147"/>
    <n v="3481"/>
    <s v="3.38"/>
    <s v="0.00"/>
    <s v="96.62"/>
  </r>
  <r>
    <x v="1"/>
    <x v="94"/>
    <n v="2"/>
    <n v="0"/>
    <n v="0"/>
    <s v="0.00"/>
    <s v="0.00"/>
    <s v="100.00"/>
  </r>
  <r>
    <x v="1"/>
    <x v="93"/>
    <n v="119292"/>
    <n v="2845"/>
    <n v="67832"/>
    <s v="2.38"/>
    <s v="0.00"/>
    <s v="97.62"/>
  </r>
  <r>
    <x v="1"/>
    <x v="92"/>
    <n v="181982"/>
    <n v="2694"/>
    <n v="32970"/>
    <s v="1.48"/>
    <s v="0.00"/>
    <s v="98.52"/>
  </r>
  <r>
    <x v="1"/>
    <x v="91"/>
    <n v="254057"/>
    <n v="5314"/>
    <n v="87972"/>
    <s v="2.09"/>
    <s v="0.00"/>
    <s v="97.91"/>
  </r>
  <r>
    <x v="1"/>
    <x v="90"/>
    <n v="1724172"/>
    <n v="18315"/>
    <n v="1145631"/>
    <s v="1.06"/>
    <s v="0.00"/>
    <s v="98.94"/>
  </r>
  <r>
    <x v="1"/>
    <x v="89"/>
    <n v="883446"/>
    <n v="11167"/>
    <n v="787678"/>
    <s v="1.26"/>
    <s v="0.00"/>
    <s v="98.74"/>
  </r>
  <r>
    <x v="1"/>
    <x v="88"/>
    <n v="89818"/>
    <n v="2298"/>
    <n v="35008"/>
    <s v="2.56"/>
    <s v="0.00"/>
    <s v="97.44"/>
  </r>
  <r>
    <x v="1"/>
    <x v="87"/>
    <n v="4826738"/>
    <n v="132551"/>
    <n v="3990418"/>
    <s v="2.75"/>
    <s v="0.00"/>
    <s v="97.25"/>
  </r>
  <r>
    <x v="1"/>
    <x v="86"/>
    <n v="14935"/>
    <n v="34"/>
    <n v="2570"/>
    <s v="0.23"/>
    <s v="0.00"/>
    <s v="99.77"/>
  </r>
  <r>
    <x v="1"/>
    <x v="85"/>
    <n v="6012408"/>
    <n v="127686"/>
    <n v="2452050"/>
    <s v="2.12"/>
    <s v="0.00"/>
    <s v="97.88"/>
  </r>
  <r>
    <x v="1"/>
    <x v="84"/>
    <n v="2066042"/>
    <n v="23415"/>
    <n v="1097892"/>
    <s v="1.13"/>
    <s v="0.00"/>
    <s v="98.87"/>
  </r>
  <r>
    <x v="1"/>
    <x v="83"/>
    <n v="34388579"/>
    <n v="461849"/>
    <n v="31762156"/>
    <s v="1.34"/>
    <s v="0.00"/>
    <s v="98.66"/>
  </r>
  <r>
    <x v="1"/>
    <x v="82"/>
    <n v="1335654"/>
    <n v="8133"/>
    <n v="1070353"/>
    <s v="0.61"/>
    <s v="0.00"/>
    <s v="99.39"/>
  </r>
  <r>
    <x v="1"/>
    <x v="81"/>
    <n v="480846"/>
    <n v="5566"/>
    <n v="271369"/>
    <s v="1.16"/>
    <s v="0.00"/>
    <s v="98.84"/>
  </r>
  <r>
    <x v="1"/>
    <x v="80"/>
    <n v="4249323"/>
    <n v="143592"/>
    <n v="3400907"/>
    <s v="3.38"/>
    <s v="0.00"/>
    <s v="96.62"/>
  </r>
  <r>
    <x v="1"/>
    <x v="79"/>
    <n v="923020"/>
    <n v="31619"/>
    <n v="415989"/>
    <s v="3.43"/>
    <s v="0.00"/>
    <s v="96.57"/>
  </r>
  <r>
    <x v="1"/>
    <x v="78"/>
    <n v="24233"/>
    <n v="702"/>
    <n v="13221"/>
    <s v="2.90"/>
    <s v="0.00"/>
    <s v="97.10"/>
  </r>
  <r>
    <x v="1"/>
    <x v="77"/>
    <n v="514850"/>
    <n v="9655"/>
    <n v="72797"/>
    <s v="1.88"/>
    <s v="0.00"/>
    <s v="98.12"/>
  </r>
  <r>
    <x v="1"/>
    <x v="76"/>
    <n v="376676"/>
    <n v="10335"/>
    <n v="71376"/>
    <s v="2.74"/>
    <s v="0.00"/>
    <s v="97.26"/>
  </r>
  <r>
    <x v="1"/>
    <x v="75"/>
    <n v="12374"/>
    <n v="213"/>
    <n v="2266"/>
    <s v="1.72"/>
    <s v="0.00"/>
    <s v="98.28"/>
  </r>
  <r>
    <x v="1"/>
    <x v="74"/>
    <n v="36439"/>
    <n v="952"/>
    <n v="32215"/>
    <s v="2.61"/>
    <s v="0.00"/>
    <s v="97.39"/>
  </r>
  <r>
    <x v="1"/>
    <x v="73"/>
    <n v="6203"/>
    <n v="143"/>
    <n v="1348"/>
    <s v="2.31"/>
    <s v="0.00"/>
    <s v="97.69"/>
  </r>
  <r>
    <x v="1"/>
    <x v="72"/>
    <n v="607497"/>
    <n v="15578"/>
    <n v="43524"/>
    <s v="2.56"/>
    <s v="0.00"/>
    <s v="97.44"/>
  </r>
  <r>
    <x v="1"/>
    <x v="71"/>
    <n v="808297"/>
    <n v="16493"/>
    <n v="638684"/>
    <s v="2.04"/>
    <s v="0.00"/>
    <s v="97.96"/>
  </r>
  <r>
    <x v="1"/>
    <x v="70"/>
    <n v="13459"/>
    <n v="168"/>
    <n v="79"/>
    <s v="1.25"/>
    <s v="0.00"/>
    <s v="98.75"/>
  </r>
  <r>
    <x v="1"/>
    <x v="69"/>
    <n v="54672"/>
    <n v="822"/>
    <n v="8542"/>
    <s v="1.50"/>
    <s v="0.00"/>
    <s v="98.50"/>
  </r>
  <r>
    <x v="1"/>
    <x v="68"/>
    <n v="30709"/>
    <n v="387"/>
    <n v="20604"/>
    <s v="1.26"/>
    <s v="0.00"/>
    <s v="98.74"/>
  </r>
  <r>
    <x v="1"/>
    <x v="67"/>
    <n v="9980"/>
    <n v="341"/>
    <n v="4948"/>
    <s v="3.42"/>
    <s v="0.00"/>
    <s v="96.58"/>
  </r>
  <r>
    <x v="1"/>
    <x v="66"/>
    <n v="6256"/>
    <n v="98"/>
    <n v="1412"/>
    <s v="1.57"/>
    <s v="0.00"/>
    <s v="98.43"/>
  </r>
  <r>
    <x v="1"/>
    <x v="65"/>
    <n v="130608"/>
    <n v="1203"/>
    <n v="37073"/>
    <s v="0.92"/>
    <s v="0.00"/>
    <s v="99.08"/>
  </r>
  <r>
    <x v="1"/>
    <x v="64"/>
    <n v="45245"/>
    <n v="316"/>
    <n v="44106"/>
    <s v="0.70"/>
    <s v="0.00"/>
    <s v="99.30"/>
  </r>
  <r>
    <x v="1"/>
    <x v="63"/>
    <n v="766818"/>
    <n v="10662"/>
    <n v="129694"/>
    <s v="1.39"/>
    <s v="0.00"/>
    <s v="98.61"/>
  </r>
  <r>
    <x v="1"/>
    <x v="62"/>
    <n v="5863"/>
    <n v="200"/>
    <n v="1069"/>
    <s v="3.41"/>
    <s v="0.00"/>
    <s v="96.59"/>
  </r>
  <r>
    <x v="1"/>
    <x v="61"/>
    <n v="9445628"/>
    <n v="142674"/>
    <n v="4892287"/>
    <s v="1.51"/>
    <s v="0.00"/>
    <s v="98.49"/>
  </r>
  <r>
    <x v="1"/>
    <x v="60"/>
    <n v="36587"/>
    <n v="262"/>
    <n v="18294"/>
    <s v="0.72"/>
    <s v="0.00"/>
    <s v="99.28"/>
  </r>
  <r>
    <x v="1"/>
    <x v="59"/>
    <n v="7063280"/>
    <n v="115637"/>
    <n v="3331780"/>
    <s v="1.64"/>
    <s v="0.00"/>
    <s v="98.36"/>
  </r>
  <r>
    <x v="1"/>
    <x v="58"/>
    <n v="2778"/>
    <n v="6"/>
    <n v="816"/>
    <s v="0.22"/>
    <s v="0.00"/>
    <s v="99.78"/>
  </r>
  <r>
    <x v="1"/>
    <x v="57"/>
    <n v="52356"/>
    <n v="679"/>
    <n v="41713"/>
    <s v="1.30"/>
    <s v="0.00"/>
    <s v="98.70"/>
  </r>
  <r>
    <x v="1"/>
    <x v="56"/>
    <n v="166256"/>
    <n v="1212"/>
    <n v="33238"/>
    <s v="0.73"/>
    <s v="0.00"/>
    <s v="99.27"/>
  </r>
  <r>
    <x v="1"/>
    <x v="55"/>
    <n v="367857"/>
    <n v="6572"/>
    <n v="338172"/>
    <s v="1.79"/>
    <s v="0.00"/>
    <s v="98.21"/>
  </r>
  <r>
    <x v="1"/>
    <x v="54"/>
    <n v="5038517"/>
    <n v="87617"/>
    <n v="3831512"/>
    <s v="1.74"/>
    <s v="0.00"/>
    <s v="98.26"/>
  </r>
  <r>
    <x v="1"/>
    <x v="53"/>
    <n v="7003"/>
    <n v="48"/>
    <n v="5216"/>
    <s v="0.69"/>
    <s v="0.00"/>
    <s v="99.31"/>
  </r>
  <r>
    <x v="1"/>
    <x v="52"/>
    <n v="340269"/>
    <n v="19249"/>
    <n v="273615"/>
    <s v="5.66"/>
    <s v="0.00"/>
    <s v="94.34"/>
  </r>
  <r>
    <x v="1"/>
    <x v="51"/>
    <n v="208326"/>
    <n v="1637"/>
    <n v="69352"/>
    <s v="0.79"/>
    <s v="0.00"/>
    <s v="99.21"/>
  </r>
  <r>
    <x v="1"/>
    <x v="50"/>
    <n v="519560"/>
    <n v="32989"/>
    <n v="364272"/>
    <s v="6.35"/>
    <s v="0.00"/>
    <s v="93.65"/>
  </r>
  <r>
    <x v="1"/>
    <x v="49"/>
    <n v="207509"/>
    <n v="5960"/>
    <n v="80631"/>
    <s v="2.87"/>
    <s v="0.00"/>
    <s v="97.13"/>
  </r>
  <r>
    <x v="1"/>
    <x v="48"/>
    <n v="391104"/>
    <n v="4157"/>
    <n v="106932"/>
    <s v="1.06"/>
    <s v="0.00"/>
    <s v="98.94"/>
  </r>
  <r>
    <x v="1"/>
    <x v="47"/>
    <n v="5176"/>
    <n v="34"/>
    <n v="4989"/>
    <s v="0.66"/>
    <s v="0.00"/>
    <s v="99.34"/>
  </r>
  <r>
    <x v="1"/>
    <x v="46"/>
    <n v="411397"/>
    <n v="2745"/>
    <n v="73936"/>
    <s v="0.67"/>
    <s v="0.00"/>
    <s v="99.33"/>
  </r>
  <r>
    <x v="1"/>
    <x v="45"/>
    <n v="13493"/>
    <n v="186"/>
    <n v="3954"/>
    <s v="1.38"/>
    <s v="0.00"/>
    <s v="98.62"/>
  </r>
  <r>
    <x v="1"/>
    <x v="44"/>
    <n v="4908540"/>
    <n v="97203"/>
    <n v="1717847"/>
    <s v="1.98"/>
    <s v="0.00"/>
    <s v="98.02"/>
  </r>
  <r>
    <x v="1"/>
    <x v="43"/>
    <n v="1843019"/>
    <n v="31229"/>
    <n v="1771770"/>
    <s v="1.69"/>
    <s v="0.00"/>
    <s v="98.31"/>
  </r>
  <r>
    <x v="1"/>
    <x v="42"/>
    <n v="126497"/>
    <n v="577"/>
    <n v="1510"/>
    <s v="0.46"/>
    <s v="0.00"/>
    <s v="99.54"/>
  </r>
  <r>
    <x v="1"/>
    <x v="41"/>
    <n v="38278"/>
    <n v="350"/>
    <n v="28588"/>
    <s v="0.91"/>
    <s v="0.00"/>
    <s v="99.09"/>
  </r>
  <r>
    <x v="1"/>
    <x v="40"/>
    <n v="957332"/>
    <n v="8274"/>
    <n v="919778"/>
    <s v="0.86"/>
    <s v="0.00"/>
    <s v="99.14"/>
  </r>
  <r>
    <x v="1"/>
    <x v="39"/>
    <n v="563290"/>
    <n v="7176"/>
    <n v="119933"/>
    <s v="1.27"/>
    <s v="0.00"/>
    <s v="98.73"/>
  </r>
  <r>
    <x v="1"/>
    <x v="38"/>
    <n v="5021619"/>
    <n v="127640"/>
    <n v="3125586"/>
    <s v="2.54"/>
    <s v="0.00"/>
    <s v="97.46"/>
  </r>
  <r>
    <x v="1"/>
    <x v="37"/>
    <n v="98003"/>
    <n v="4636"/>
    <n v="33446"/>
    <s v="4.73"/>
    <s v="0.00"/>
    <s v="95.27"/>
  </r>
  <r>
    <x v="1"/>
    <x v="36"/>
    <n v="105719"/>
    <n v="1758"/>
    <n v="79652"/>
    <s v="1.66"/>
    <s v="0.00"/>
    <s v="98.34"/>
  </r>
  <r>
    <x v="1"/>
    <x v="35"/>
    <n v="1715352"/>
    <n v="37895"/>
    <n v="501100"/>
    <s v="2.21"/>
    <s v="0.00"/>
    <s v="97.79"/>
  </r>
  <r>
    <x v="1"/>
    <x v="34"/>
    <n v="61458"/>
    <n v="700"/>
    <n v="55953"/>
    <s v="1.14"/>
    <s v="0.00"/>
    <s v="98.86"/>
  </r>
  <r>
    <x v="1"/>
    <x v="33"/>
    <n v="901228"/>
    <n v="11306"/>
    <n v="394239"/>
    <s v="1.25"/>
    <s v="0.00"/>
    <s v="98.75"/>
  </r>
  <r>
    <x v="1"/>
    <x v="32"/>
    <n v="18153"/>
    <n v="309"/>
    <n v="10687"/>
    <s v="1.70"/>
    <s v="0.00"/>
    <s v="98.30"/>
  </r>
  <r>
    <x v="1"/>
    <x v="31"/>
    <n v="11579"/>
    <n v="100"/>
    <n v="2006"/>
    <s v="0.86"/>
    <s v="0.00"/>
    <s v="99.14"/>
  </r>
  <r>
    <x v="1"/>
    <x v="30"/>
    <n v="57662"/>
    <n v="1099"/>
    <n v="1632"/>
    <s v="1.91"/>
    <s v="0.00"/>
    <s v="98.09"/>
  </r>
  <r>
    <x v="1"/>
    <x v="29"/>
    <n v="1748359"/>
    <n v="29303"/>
    <n v="1120972"/>
    <s v="1.68"/>
    <s v="0.00"/>
    <s v="98.32"/>
  </r>
  <r>
    <x v="1"/>
    <x v="28"/>
    <n v="28568"/>
    <n v="530"/>
    <n v="939"/>
    <s v="1.86"/>
    <s v="0.00"/>
    <s v="98.14"/>
  </r>
  <r>
    <x v="1"/>
    <x v="27"/>
    <n v="619708"/>
    <n v="4789"/>
    <n v="269477"/>
    <s v="0.77"/>
    <s v="0.00"/>
    <s v="99.23"/>
  </r>
  <r>
    <x v="1"/>
    <x v="26"/>
    <n v="193449"/>
    <n v="2409"/>
    <n v="46707"/>
    <s v="1.25"/>
    <s v="0.00"/>
    <s v="98.75"/>
  </r>
  <r>
    <x v="1"/>
    <x v="25"/>
    <n v="2623"/>
    <n v="3"/>
    <n v="61"/>
    <s v="0.11"/>
    <s v="0.00"/>
    <s v="99.89"/>
  </r>
  <r>
    <x v="1"/>
    <x v="24"/>
    <n v="22544"/>
    <n v="661"/>
    <n v="12929"/>
    <s v="2.93"/>
    <s v="0.00"/>
    <s v="97.07"/>
  </r>
  <r>
    <x v="1"/>
    <x v="23"/>
    <n v="21909298"/>
    <n v="610036"/>
    <n v="6927187"/>
    <s v="2.78"/>
    <s v="0.00"/>
    <s v="97.22"/>
  </r>
  <r>
    <x v="1"/>
    <x v="22"/>
    <n v="519669"/>
    <n v="18976"/>
    <n v="305676"/>
    <s v="3.65"/>
    <s v="0.00"/>
    <s v="96.35"/>
  </r>
  <r>
    <x v="1"/>
    <x v="21"/>
    <n v="13962"/>
    <n v="93"/>
    <n v="12021"/>
    <s v="0.67"/>
    <s v="0.00"/>
    <s v="99.33"/>
  </r>
  <r>
    <x v="1"/>
    <x v="20"/>
    <n v="1661"/>
    <n v="6"/>
    <n v="613"/>
    <s v="0.36"/>
    <s v="0.00"/>
    <s v="99.64"/>
  </r>
  <r>
    <x v="1"/>
    <x v="19"/>
    <n v="24833"/>
    <n v="161"/>
    <n v="15411"/>
    <s v="0.65"/>
    <s v="0.00"/>
    <s v="99.35"/>
  </r>
  <r>
    <x v="1"/>
    <x v="18"/>
    <n v="20200"/>
    <n v="38"/>
    <n v="10386"/>
    <s v="0.19"/>
    <s v="0.00"/>
    <s v="99.81"/>
  </r>
  <r>
    <x v="1"/>
    <x v="17"/>
    <n v="277138"/>
    <n v="1393"/>
    <n v="231848"/>
    <s v="0.50"/>
    <s v="0.00"/>
    <s v="99.50"/>
  </r>
  <r>
    <x v="1"/>
    <x v="16"/>
    <n v="646856"/>
    <n v="25754"/>
    <n v="236838"/>
    <s v="3.98"/>
    <s v="0.00"/>
    <s v="96.02"/>
  </r>
  <r>
    <x v="1"/>
    <x v="15"/>
    <n v="15281"/>
    <n v="234"/>
    <n v="9306"/>
    <s v="1.53"/>
    <s v="0.00"/>
    <s v="98.47"/>
  </r>
  <r>
    <x v="1"/>
    <x v="14"/>
    <n v="1463548"/>
    <n v="26261"/>
    <n v="254571"/>
    <s v="1.79"/>
    <s v="0.00"/>
    <s v="98.21"/>
  </r>
  <r>
    <x v="1"/>
    <x v="13"/>
    <n v="1571669"/>
    <n v="27906"/>
    <n v="1017196"/>
    <s v="1.78"/>
    <s v="0.00"/>
    <s v="98.22"/>
  </r>
  <r>
    <x v="1"/>
    <x v="12"/>
    <n v="21011"/>
    <n v="187"/>
    <n v="2758"/>
    <s v="0.89"/>
    <s v="0.00"/>
    <s v="99.11"/>
  </r>
  <r>
    <x v="1"/>
    <x v="11"/>
    <n v="261799"/>
    <n v="11891"/>
    <n v="206519"/>
    <s v="4.54"/>
    <s v="0.00"/>
    <s v="95.46"/>
  </r>
  <r>
    <x v="1"/>
    <x v="10"/>
    <n v="552322"/>
    <n v="7342"/>
    <n v="389889"/>
    <s v="1.33"/>
    <s v="0.00"/>
    <s v="98.67"/>
  </r>
  <r>
    <x v="1"/>
    <x v="9"/>
    <n v="185627"/>
    <n v="1862"/>
    <n v="105099"/>
    <s v="1.00"/>
    <s v="0.00"/>
    <s v="99.00"/>
  </r>
  <r>
    <x v="1"/>
    <x v="8"/>
    <n v="911175"/>
    <n v="11577"/>
    <n v="84399"/>
    <s v="1.27"/>
    <s v="0.00"/>
    <s v="98.73"/>
  </r>
  <r>
    <x v="1"/>
    <x v="7"/>
    <n v="5300985"/>
    <n v="116184"/>
    <n v="4686915"/>
    <s v="2.19"/>
    <s v="0.00"/>
    <s v="97.81"/>
  </r>
  <r>
    <x v="1"/>
    <x v="6"/>
    <n v="64815"/>
    <n v="1723"/>
    <n v="36723"/>
    <s v="2.66"/>
    <s v="0.00"/>
    <s v="97.34"/>
  </r>
  <r>
    <x v="1"/>
    <x v="5"/>
    <n v="324039"/>
    <n v="6831"/>
    <n v="23204"/>
    <s v="2.11"/>
    <s v="0.00"/>
    <s v="97.89"/>
  </r>
  <r>
    <x v="1"/>
    <x v="4"/>
    <n v="190815"/>
    <n v="2975"/>
    <n v="107164"/>
    <s v="1.56"/>
    <s v="0.00"/>
    <s v="98.44"/>
  </r>
  <r>
    <x v="1"/>
    <x v="3"/>
    <n v="4102"/>
    <n v="105"/>
    <n v="1296"/>
    <s v="2.56"/>
    <s v="0.00"/>
    <s v="97.44"/>
  </r>
  <r>
    <x v="1"/>
    <x v="2"/>
    <n v="156414"/>
    <n v="7291"/>
    <n v="92386"/>
    <s v="4.66"/>
    <s v="0.00"/>
    <s v="95.34"/>
  </r>
  <r>
    <x v="1"/>
    <x v="1"/>
    <n v="740647"/>
    <n v="2142"/>
    <n v="77403"/>
    <s v="0.29"/>
    <s v="0.00"/>
    <s v="99.71"/>
  </r>
  <r>
    <x v="1"/>
    <x v="0"/>
    <n v="15744"/>
    <n v="130"/>
    <n v="12839"/>
    <s v="0.83"/>
    <s v="0.00"/>
    <s v="99.17"/>
  </r>
  <r>
    <x v="2"/>
    <x v="0"/>
    <n v="15717"/>
    <n v="130"/>
    <n v="185"/>
    <s v="0.83"/>
    <s v="0.00"/>
    <s v="99.17"/>
  </r>
  <r>
    <x v="2"/>
    <x v="1"/>
    <n v="740572"/>
    <n v="2142"/>
    <n v="293006"/>
    <s v="0.29"/>
    <s v="0.00"/>
    <s v="99.71"/>
  </r>
  <r>
    <x v="2"/>
    <x v="2"/>
    <n v="156397"/>
    <n v="7290"/>
    <n v="6026"/>
    <s v="4.66"/>
    <s v="0.00"/>
    <s v="95.34"/>
  </r>
  <r>
    <x v="2"/>
    <x v="3"/>
    <n v="4091"/>
    <n v="105"/>
    <n v="3080"/>
    <s v="2.57"/>
    <s v="0.00"/>
    <s v="97.43"/>
  </r>
  <r>
    <x v="2"/>
    <x v="4"/>
    <n v="190125"/>
    <n v="2970"/>
    <n v="1305"/>
    <s v="1.56"/>
    <s v="0.00"/>
    <s v="98.44"/>
  </r>
  <r>
    <x v="2"/>
    <x v="5"/>
    <n v="322364"/>
    <n v="6762"/>
    <n v="220746"/>
    <s v="2.10"/>
    <s v="0.00"/>
    <s v="97.90"/>
  </r>
  <r>
    <x v="2"/>
    <x v="6"/>
    <n v="64762"/>
    <n v="1723"/>
    <n v="45735"/>
    <s v="2.66"/>
    <s v="0.00"/>
    <s v="97.34"/>
  </r>
  <r>
    <x v="2"/>
    <x v="7"/>
    <n v="5299418"/>
    <n v="116165"/>
    <n v="2208608"/>
    <s v="2.19"/>
    <s v="0.00"/>
    <s v="97.81"/>
  </r>
  <r>
    <x v="2"/>
    <x v="8"/>
    <n v="899777"/>
    <n v="11554"/>
    <n v="122387"/>
    <s v="1.28"/>
    <s v="0.00"/>
    <s v="98.72"/>
  </r>
  <r>
    <x v="2"/>
    <x v="9"/>
    <n v="184071"/>
    <n v="1858"/>
    <n v="50959"/>
    <s v="1.01"/>
    <s v="0.00"/>
    <s v="98.99"/>
  </r>
  <r>
    <x v="2"/>
    <x v="10"/>
    <n v="550446"/>
    <n v="7320"/>
    <n v="181239"/>
    <s v="1.33"/>
    <s v="0.00"/>
    <s v="98.67"/>
  </r>
  <r>
    <x v="2"/>
    <x v="11"/>
    <n v="260837"/>
    <n v="11869"/>
    <n v="78610"/>
    <s v="4.55"/>
    <s v="0.00"/>
    <s v="95.45"/>
  </r>
  <r>
    <x v="2"/>
    <x v="12"/>
    <n v="20676"/>
    <n v="183"/>
    <n v="19265"/>
    <s v="0.89"/>
    <s v="0.00"/>
    <s v="99.11"/>
  </r>
  <r>
    <x v="2"/>
    <x v="13"/>
    <n v="1571434"/>
    <n v="27904"/>
    <n v="390951"/>
    <s v="1.78"/>
    <s v="0.00"/>
    <s v="98.22"/>
  </r>
  <r>
    <x v="2"/>
    <x v="14"/>
    <n v="1438830"/>
    <n v="26200"/>
    <n v="577246"/>
    <s v="1.82"/>
    <s v="0.00"/>
    <s v="98.18"/>
  </r>
  <r>
    <x v="2"/>
    <x v="15"/>
    <n v="15103"/>
    <n v="221"/>
    <n v="11657"/>
    <s v="1.46"/>
    <s v="0.00"/>
    <s v="98.54"/>
  </r>
  <r>
    <x v="2"/>
    <x v="16"/>
    <n v="643003"/>
    <n v="25555"/>
    <n v="51700"/>
    <s v="3.97"/>
    <s v="0.00"/>
    <s v="96.03"/>
  </r>
  <r>
    <x v="2"/>
    <x v="17"/>
    <n v="277113"/>
    <n v="1393"/>
    <n v="55986"/>
    <s v="0.50"/>
    <s v="0.00"/>
    <s v="99.50"/>
  </r>
  <r>
    <x v="2"/>
    <x v="18"/>
    <n v="20170"/>
    <n v="38"/>
    <n v="3545"/>
    <s v="0.19"/>
    <s v="0.00"/>
    <s v="99.81"/>
  </r>
  <r>
    <x v="2"/>
    <x v="19"/>
    <n v="24804"/>
    <n v="161"/>
    <n v="5462"/>
    <s v="0.65"/>
    <s v="0.00"/>
    <s v="99.35"/>
  </r>
  <r>
    <x v="2"/>
    <x v="20"/>
    <n v="1661"/>
    <n v="6"/>
    <n v="1446"/>
    <s v="0.36"/>
    <s v="0.00"/>
    <s v="99.64"/>
  </r>
  <r>
    <x v="2"/>
    <x v="21"/>
    <n v="13864"/>
    <n v="93"/>
    <n v="5813"/>
    <s v="0.67"/>
    <s v="0.00"/>
    <s v="99.33"/>
  </r>
  <r>
    <x v="2"/>
    <x v="22"/>
    <n v="518870"/>
    <n v="18970"/>
    <n v="277626"/>
    <s v="3.66"/>
    <s v="0.00"/>
    <s v="96.34"/>
  </r>
  <r>
    <x v="2"/>
    <x v="23"/>
    <n v="21897025"/>
    <n v="609756"/>
    <n v="2085320"/>
    <s v="2.78"/>
    <s v="0.00"/>
    <s v="97.22"/>
  </r>
  <r>
    <x v="2"/>
    <x v="24"/>
    <n v="22592"/>
    <n v="661"/>
    <n v="790"/>
    <s v="2.93"/>
    <s v="0.00"/>
    <s v="97.07"/>
  </r>
  <r>
    <x v="2"/>
    <x v="25"/>
    <n v="2623"/>
    <n v="3"/>
    <n v="2174"/>
    <s v="0.11"/>
    <s v="0.00"/>
    <s v="99.89"/>
  </r>
  <r>
    <x v="2"/>
    <x v="26"/>
    <n v="193449"/>
    <n v="2409"/>
    <n v="171381"/>
    <s v="1.25"/>
    <s v="0.00"/>
    <s v="98.75"/>
  </r>
  <r>
    <x v="2"/>
    <x v="27"/>
    <n v="617719"/>
    <n v="4773"/>
    <n v="301437"/>
    <s v="0.77"/>
    <s v="0.00"/>
    <s v="99.23"/>
  </r>
  <r>
    <x v="2"/>
    <x v="28"/>
    <n v="28162"/>
    <n v="509"/>
    <n v="16984"/>
    <s v="1.81"/>
    <s v="0.00"/>
    <s v="98.19"/>
  </r>
  <r>
    <x v="2"/>
    <x v="29"/>
    <n v="1745702"/>
    <n v="29273"/>
    <n v="212398"/>
    <s v="1.68"/>
    <s v="0.00"/>
    <s v="98.32"/>
  </r>
  <r>
    <x v="2"/>
    <x v="30"/>
    <n v="57638"/>
    <n v="1099"/>
    <n v="14206"/>
    <s v="1.91"/>
    <s v="0.00"/>
    <s v="98.09"/>
  </r>
  <r>
    <x v="2"/>
    <x v="31"/>
    <n v="11579"/>
    <n v="100"/>
    <n v="10442"/>
    <s v="0.86"/>
    <s v="0.00"/>
    <s v="99.14"/>
  </r>
  <r>
    <x v="2"/>
    <x v="32"/>
    <n v="18153"/>
    <n v="309"/>
    <n v="8666"/>
    <s v="1.70"/>
    <s v="0.00"/>
    <s v="98.30"/>
  </r>
  <r>
    <x v="2"/>
    <x v="33"/>
    <n v="897078"/>
    <n v="11295"/>
    <n v="122910"/>
    <s v="1.26"/>
    <s v="0.00"/>
    <s v="98.74"/>
  </r>
  <r>
    <x v="2"/>
    <x v="34"/>
    <n v="61442"/>
    <n v="700"/>
    <n v="40501"/>
    <s v="1.14"/>
    <s v="0.00"/>
    <s v="98.86"/>
  </r>
  <r>
    <x v="2"/>
    <x v="35"/>
    <n v="1713188"/>
    <n v="37883"/>
    <n v="14027"/>
    <s v="2.21"/>
    <s v="0.00"/>
    <s v="97.79"/>
  </r>
  <r>
    <x v="2"/>
    <x v="36"/>
    <n v="104348"/>
    <n v="1731"/>
    <n v="15588"/>
    <s v="1.66"/>
    <s v="0.00"/>
    <s v="98.34"/>
  </r>
  <r>
    <x v="2"/>
    <x v="37"/>
    <n v="97939"/>
    <n v="4636"/>
    <n v="16480"/>
    <s v="4.73"/>
    <s v="0.00"/>
    <s v="95.27"/>
  </r>
  <r>
    <x v="2"/>
    <x v="38"/>
    <n v="5019158"/>
    <n v="127610"/>
    <n v="2204218"/>
    <s v="2.54"/>
    <s v="0.00"/>
    <s v="97.46"/>
  </r>
  <r>
    <x v="2"/>
    <x v="39"/>
    <n v="563290"/>
    <n v="7176"/>
    <n v="68614"/>
    <s v="1.27"/>
    <s v="0.00"/>
    <s v="98.73"/>
  </r>
  <r>
    <x v="2"/>
    <x v="40"/>
    <n v="956919"/>
    <n v="8270"/>
    <n v="223865"/>
    <s v="0.86"/>
    <s v="0.00"/>
    <s v="99.14"/>
  </r>
  <r>
    <x v="2"/>
    <x v="41"/>
    <n v="38264"/>
    <n v="350"/>
    <n v="19352"/>
    <s v="0.91"/>
    <s v="0.00"/>
    <s v="99.09"/>
  </r>
  <r>
    <x v="2"/>
    <x v="42"/>
    <n v="126231"/>
    <n v="577"/>
    <n v="77529"/>
    <s v="0.46"/>
    <s v="0.00"/>
    <s v="99.54"/>
  </r>
  <r>
    <x v="2"/>
    <x v="43"/>
    <n v="1828440"/>
    <n v="31173"/>
    <n v="1353147"/>
    <s v="1.70"/>
    <s v="0.00"/>
    <s v="98.30"/>
  </r>
  <r>
    <x v="2"/>
    <x v="44"/>
    <n v="4857463"/>
    <n v="96968"/>
    <n v="4498035"/>
    <s v="2.00"/>
    <s v="0.00"/>
    <s v="98.00"/>
  </r>
  <r>
    <x v="2"/>
    <x v="45"/>
    <n v="13493"/>
    <n v="186"/>
    <n v="11942"/>
    <s v="1.38"/>
    <s v="0.00"/>
    <s v="98.62"/>
  </r>
  <r>
    <x v="2"/>
    <x v="46"/>
    <n v="408339"/>
    <n v="2742"/>
    <n v="301480"/>
    <s v="0.67"/>
    <s v="0.00"/>
    <s v="99.33"/>
  </r>
  <r>
    <x v="2"/>
    <x v="47"/>
    <n v="5070"/>
    <n v="33"/>
    <n v="4354"/>
    <s v="0.65"/>
    <s v="0.00"/>
    <s v="99.35"/>
  </r>
  <r>
    <x v="2"/>
    <x v="48"/>
    <n v="390058"/>
    <n v="4154"/>
    <n v="65087"/>
    <s v="1.06"/>
    <s v="0.00"/>
    <s v="98.94"/>
  </r>
  <r>
    <x v="2"/>
    <x v="49"/>
    <n v="207385"/>
    <n v="5954"/>
    <n v="69072"/>
    <s v="2.87"/>
    <s v="0.00"/>
    <s v="97.13"/>
  </r>
  <r>
    <x v="2"/>
    <x v="50"/>
    <n v="519560"/>
    <n v="32989"/>
    <n v="67052"/>
    <s v="6.35"/>
    <s v="0.00"/>
    <s v="93.65"/>
  </r>
  <r>
    <x v="2"/>
    <x v="51"/>
    <n v="206972"/>
    <n v="1623"/>
    <n v="196753"/>
    <s v="0.78"/>
    <s v="0.00"/>
    <s v="99.22"/>
  </r>
  <r>
    <x v="2"/>
    <x v="52"/>
    <n v="339335"/>
    <n v="19186"/>
    <n v="101218"/>
    <s v="5.65"/>
    <s v="0.00"/>
    <s v="94.35"/>
  </r>
  <r>
    <x v="2"/>
    <x v="53"/>
    <n v="6979"/>
    <n v="47"/>
    <n v="3763"/>
    <s v="0.67"/>
    <s v="0.00"/>
    <s v="99.33"/>
  </r>
  <r>
    <x v="2"/>
    <x v="54"/>
    <n v="5032056"/>
    <n v="87558"/>
    <n v="1727887"/>
    <s v="1.74"/>
    <s v="0.00"/>
    <s v="98.26"/>
  </r>
  <r>
    <x v="2"/>
    <x v="55"/>
    <n v="367647"/>
    <n v="6561"/>
    <n v="181601"/>
    <s v="1.78"/>
    <s v="0.00"/>
    <s v="98.22"/>
  </r>
  <r>
    <x v="2"/>
    <x v="56"/>
    <n v="165302"/>
    <n v="1209"/>
    <n v="7211"/>
    <s v="0.73"/>
    <s v="0.00"/>
    <s v="99.27"/>
  </r>
  <r>
    <x v="2"/>
    <x v="57"/>
    <n v="52298"/>
    <n v="675"/>
    <n v="18748"/>
    <s v="1.29"/>
    <s v="0.00"/>
    <s v="98.71"/>
  </r>
  <r>
    <x v="2"/>
    <x v="58"/>
    <n v="2731"/>
    <n v="6"/>
    <n v="1856"/>
    <s v="0.22"/>
    <s v="0.00"/>
    <s v="99.78"/>
  </r>
  <r>
    <x v="2"/>
    <x v="59"/>
    <n v="7052281"/>
    <n v="115604"/>
    <n v="5263011"/>
    <s v="1.64"/>
    <s v="0.00"/>
    <s v="98.36"/>
  </r>
  <r>
    <x v="2"/>
    <x v="60"/>
    <n v="36330"/>
    <n v="259"/>
    <n v="29986"/>
    <s v="0.71"/>
    <s v="0.00"/>
    <s v="99.29"/>
  </r>
  <r>
    <x v="2"/>
    <x v="61"/>
    <n v="9405979"/>
    <n v="142458"/>
    <n v="2992312"/>
    <s v="1.51"/>
    <s v="0.00"/>
    <s v="98.49"/>
  </r>
  <r>
    <x v="2"/>
    <x v="62"/>
    <n v="5863"/>
    <n v="200"/>
    <n v="2200"/>
    <s v="3.41"/>
    <s v="0.00"/>
    <s v="96.59"/>
  </r>
  <r>
    <x v="2"/>
    <x v="63"/>
    <n v="761067"/>
    <n v="10584"/>
    <n v="628549"/>
    <s v="1.39"/>
    <s v="0.00"/>
    <s v="98.61"/>
  </r>
  <r>
    <x v="2"/>
    <x v="64"/>
    <n v="45143"/>
    <n v="316"/>
    <n v="37062"/>
    <s v="0.70"/>
    <s v="0.00"/>
    <s v="99.30"/>
  </r>
  <r>
    <x v="2"/>
    <x v="65"/>
    <n v="130608"/>
    <n v="1203"/>
    <n v="87286"/>
    <s v="0.92"/>
    <s v="0.00"/>
    <s v="99.08"/>
  </r>
  <r>
    <x v="2"/>
    <x v="66"/>
    <n v="6206"/>
    <n v="98"/>
    <n v="473"/>
    <s v="1.58"/>
    <s v="0.00"/>
    <s v="98.42"/>
  </r>
  <r>
    <x v="2"/>
    <x v="67"/>
    <n v="9979"/>
    <n v="341"/>
    <n v="3980"/>
    <s v="3.42"/>
    <s v="0.00"/>
    <s v="96.58"/>
  </r>
  <r>
    <x v="2"/>
    <x v="68"/>
    <n v="30709"/>
    <n v="387"/>
    <n v="26797"/>
    <s v="1.26"/>
    <s v="0.00"/>
    <s v="98.74"/>
  </r>
  <r>
    <x v="2"/>
    <x v="69"/>
    <n v="54672"/>
    <n v="822"/>
    <n v="29628"/>
    <s v="1.50"/>
    <s v="0.00"/>
    <s v="98.50"/>
  </r>
  <r>
    <x v="2"/>
    <x v="70"/>
    <n v="13459"/>
    <n v="168"/>
    <n v="11185"/>
    <s v="1.25"/>
    <s v="0.00"/>
    <s v="98.75"/>
  </r>
  <r>
    <x v="2"/>
    <x v="71"/>
    <n v="801208"/>
    <n v="16414"/>
    <n v="178433"/>
    <s v="2.05"/>
    <s v="0.00"/>
    <s v="97.95"/>
  </r>
  <r>
    <x v="2"/>
    <x v="72"/>
    <n v="606743"/>
    <n v="15520"/>
    <n v="549246"/>
    <s v="2.56"/>
    <s v="0.00"/>
    <s v="97.44"/>
  </r>
  <r>
    <x v="2"/>
    <x v="73"/>
    <n v="6150"/>
    <n v="143"/>
    <n v="5266"/>
    <s v="2.33"/>
    <s v="0.00"/>
    <s v="97.67"/>
  </r>
  <r>
    <x v="2"/>
    <x v="74"/>
    <n v="36257"/>
    <n v="945"/>
    <n v="3357"/>
    <s v="2.61"/>
    <s v="0.00"/>
    <s v="97.39"/>
  </r>
  <r>
    <x v="2"/>
    <x v="75"/>
    <n v="12369"/>
    <n v="213"/>
    <n v="1224"/>
    <s v="1.72"/>
    <s v="0.00"/>
    <s v="98.28"/>
  </r>
  <r>
    <x v="2"/>
    <x v="76"/>
    <n v="376676"/>
    <n v="10335"/>
    <n v="361933"/>
    <s v="2.74"/>
    <s v="0.00"/>
    <s v="97.26"/>
  </r>
  <r>
    <x v="2"/>
    <x v="77"/>
    <n v="507535"/>
    <n v="9605"/>
    <n v="251145"/>
    <s v="1.89"/>
    <s v="0.00"/>
    <s v="98.11"/>
  </r>
  <r>
    <x v="2"/>
    <x v="78"/>
    <n v="24233"/>
    <n v="702"/>
    <n v="6246"/>
    <s v="2.90"/>
    <s v="0.00"/>
    <s v="97.10"/>
  </r>
  <r>
    <x v="2"/>
    <x v="79"/>
    <n v="914586"/>
    <n v="31521"/>
    <n v="305070"/>
    <s v="3.45"/>
    <s v="0.00"/>
    <s v="96.55"/>
  </r>
  <r>
    <x v="2"/>
    <x v="80"/>
    <n v="4248843"/>
    <n v="143578"/>
    <n v="435240"/>
    <s v="3.38"/>
    <s v="0.00"/>
    <s v="96.62"/>
  </r>
  <r>
    <x v="2"/>
    <x v="81"/>
    <n v="477878"/>
    <n v="5492"/>
    <n v="135116"/>
    <s v="1.15"/>
    <s v="0.00"/>
    <s v="98.85"/>
  </r>
  <r>
    <x v="2"/>
    <x v="82"/>
    <n v="1335184"/>
    <n v="8130"/>
    <n v="161836"/>
    <s v="0.61"/>
    <s v="0.00"/>
    <s v="99.39"/>
  </r>
  <r>
    <x v="2"/>
    <x v="83"/>
    <n v="34388579"/>
    <n v="461849"/>
    <n v="10343956"/>
    <s v="1.34"/>
    <s v="0.00"/>
    <s v="98.66"/>
  </r>
  <r>
    <x v="2"/>
    <x v="84"/>
    <n v="2065127"/>
    <n v="23399"/>
    <n v="825195"/>
    <s v="1.13"/>
    <s v="0.00"/>
    <s v="98.87"/>
  </r>
  <r>
    <x v="2"/>
    <x v="85"/>
    <n v="6004460"/>
    <n v="127551"/>
    <n v="4913689"/>
    <s v="2.12"/>
    <s v="0.00"/>
    <s v="97.88"/>
  </r>
  <r>
    <x v="2"/>
    <x v="86"/>
    <n v="14757"/>
    <n v="34"/>
    <n v="10957"/>
    <s v="0.23"/>
    <s v="0.00"/>
    <s v="99.77"/>
  </r>
  <r>
    <x v="2"/>
    <x v="87"/>
    <n v="4818705"/>
    <n v="132491"/>
    <n v="1315784"/>
    <s v="2.75"/>
    <s v="0.00"/>
    <s v="97.25"/>
  </r>
  <r>
    <x v="2"/>
    <x v="88"/>
    <n v="89788"/>
    <n v="2293"/>
    <n v="26132"/>
    <s v="2.55"/>
    <s v="0.00"/>
    <s v="97.45"/>
  </r>
  <r>
    <x v="2"/>
    <x v="89"/>
    <n v="880943"/>
    <n v="11156"/>
    <n v="500078"/>
    <s v="1.27"/>
    <s v="0.00"/>
    <s v="98.73"/>
  </r>
  <r>
    <x v="2"/>
    <x v="90"/>
    <n v="1723976"/>
    <n v="18312"/>
    <n v="839460"/>
    <s v="1.06"/>
    <s v="0.00"/>
    <s v="98.94"/>
  </r>
  <r>
    <x v="2"/>
    <x v="91"/>
    <n v="253879"/>
    <n v="5314"/>
    <n v="195190"/>
    <s v="2.09"/>
    <s v="0.00"/>
    <s v="97.91"/>
  </r>
  <r>
    <x v="2"/>
    <x v="92"/>
    <n v="181936"/>
    <n v="2691"/>
    <n v="52755"/>
    <s v="1.48"/>
    <s v="0.00"/>
    <s v="98.52"/>
  </r>
  <r>
    <x v="2"/>
    <x v="94"/>
    <n v="2"/>
    <n v="0"/>
    <n v="1"/>
    <s v="0.00"/>
    <s v="0.00"/>
    <s v="100.00"/>
  </r>
  <r>
    <x v="2"/>
    <x v="93"/>
    <n v="119227"/>
    <n v="2840"/>
    <n v="107258"/>
    <s v="2.38"/>
    <s v="0.00"/>
    <s v="97.62"/>
  </r>
  <r>
    <x v="2"/>
    <x v="95"/>
    <n v="4332"/>
    <n v="147"/>
    <n v="953"/>
    <s v="3.39"/>
    <s v="0.00"/>
    <s v="96.61"/>
  </r>
  <r>
    <x v="2"/>
    <x v="96"/>
    <n v="2717"/>
    <n v="25"/>
    <n v="464"/>
    <s v="0.92"/>
    <s v="0.00"/>
    <s v="99.08"/>
  </r>
  <r>
    <x v="2"/>
    <x v="97"/>
    <n v="385831"/>
    <n v="3012"/>
    <n v="82969"/>
    <s v="0.78"/>
    <s v="0.00"/>
    <s v="99.22"/>
  </r>
  <r>
    <x v="2"/>
    <x v="98"/>
    <n v="412893"/>
    <n v="2462"/>
    <n v="125397"/>
    <s v="0.60"/>
    <s v="0.00"/>
    <s v="99.40"/>
  </r>
  <r>
    <x v="2"/>
    <x v="99"/>
    <n v="1032244"/>
    <n v="17364"/>
    <n v="862997"/>
    <s v="1.68"/>
    <s v="0.00"/>
    <s v="98.32"/>
  </r>
  <r>
    <x v="2"/>
    <x v="100"/>
    <n v="48892"/>
    <n v="89"/>
    <n v="4887"/>
    <s v="0.18"/>
    <s v="0.00"/>
    <s v="99.82"/>
  </r>
  <r>
    <x v="2"/>
    <x v="101"/>
    <n v="647778"/>
    <n v="8556"/>
    <n v="17339"/>
    <s v="1.32"/>
    <s v="0.00"/>
    <s v="98.68"/>
  </r>
  <r>
    <x v="2"/>
    <x v="102"/>
    <n v="12748"/>
    <n v="264"/>
    <n v="2735"/>
    <s v="2.07"/>
    <s v="0.00"/>
    <s v="97.93"/>
  </r>
  <r>
    <x v="2"/>
    <x v="103"/>
    <n v="3781"/>
    <n v="61"/>
    <n v="1103"/>
    <s v="1.61"/>
    <s v="0.00"/>
    <s v="98.39"/>
  </r>
  <r>
    <x v="2"/>
    <x v="104"/>
    <n v="546653"/>
    <n v="13892"/>
    <n v="273672"/>
    <s v="2.54"/>
    <s v="0.00"/>
    <s v="97.46"/>
  </r>
  <r>
    <x v="2"/>
    <x v="105"/>
    <n v="5817"/>
    <n v="287"/>
    <n v="689"/>
    <s v="4.93"/>
    <s v="0.00"/>
    <s v="95.07"/>
  </r>
  <r>
    <x v="2"/>
    <x v="106"/>
    <n v="21685"/>
    <n v="659"/>
    <n v="13734"/>
    <s v="3.04"/>
    <s v="0.00"/>
    <s v="96.96"/>
  </r>
  <r>
    <x v="2"/>
    <x v="107"/>
    <n v="430855"/>
    <n v="6175"/>
    <n v="10134"/>
    <s v="1.43"/>
    <s v="0.00"/>
    <s v="98.57"/>
  </r>
  <r>
    <x v="2"/>
    <x v="108"/>
    <n v="83479"/>
    <n v="852"/>
    <n v="69400"/>
    <s v="1.02"/>
    <s v="0.00"/>
    <s v="98.98"/>
  </r>
  <r>
    <x v="2"/>
    <x v="109"/>
    <n v="233698"/>
    <n v="3561"/>
    <n v="150437"/>
    <s v="1.52"/>
    <s v="0.00"/>
    <s v="98.48"/>
  </r>
  <r>
    <x v="2"/>
    <x v="110"/>
    <n v="362318"/>
    <n v="5226"/>
    <n v="247146"/>
    <s v="1.44"/>
    <s v="0.00"/>
    <s v="98.56"/>
  </r>
  <r>
    <x v="2"/>
    <x v="111"/>
    <n v="947610"/>
    <n v="14726"/>
    <n v="70429"/>
    <s v="1.55"/>
    <s v="0.00"/>
    <s v="98.45"/>
  </r>
  <r>
    <x v="2"/>
    <x v="112"/>
    <n v="3451"/>
    <n v="36"/>
    <n v="225"/>
    <s v="1.04"/>
    <s v="0.00"/>
    <s v="98.96"/>
  </r>
  <r>
    <x v="2"/>
    <x v="113"/>
    <n v="348588"/>
    <n v="8193"/>
    <n v="269584"/>
    <s v="2.35"/>
    <s v="0.00"/>
    <s v="97.65"/>
  </r>
  <r>
    <x v="2"/>
    <x v="114"/>
    <n v="149729"/>
    <n v="2169"/>
    <n v="120665"/>
    <s v="1.45"/>
    <s v="0.00"/>
    <s v="98.55"/>
  </r>
  <r>
    <x v="2"/>
    <x v="115"/>
    <n v="3975"/>
    <n v="56"/>
    <n v="3156"/>
    <s v="1.41"/>
    <s v="0.00"/>
    <s v="98.59"/>
  </r>
  <r>
    <x v="2"/>
    <x v="116"/>
    <n v="43632"/>
    <n v="964"/>
    <n v="18957"/>
    <s v="2.21"/>
    <s v="0.00"/>
    <s v="97.79"/>
  </r>
  <r>
    <x v="2"/>
    <x v="117"/>
    <n v="4"/>
    <n v="0"/>
    <n v="3"/>
    <s v="0.00"/>
    <s v="0.00"/>
    <s v="100.00"/>
  </r>
  <r>
    <x v="2"/>
    <x v="118"/>
    <n v="206910"/>
    <n v="7255"/>
    <n v="89134"/>
    <s v="3.51"/>
    <s v="0.00"/>
    <s v="96.49"/>
  </r>
  <r>
    <x v="2"/>
    <x v="119"/>
    <n v="16468"/>
    <n v="579"/>
    <n v="12784"/>
    <s v="3.52"/>
    <s v="0.00"/>
    <s v="96.48"/>
  </r>
  <r>
    <x v="2"/>
    <x v="120"/>
    <n v="508591"/>
    <n v="18855"/>
    <n v="322049"/>
    <s v="3.71"/>
    <s v="0.00"/>
    <s v="96.29"/>
  </r>
  <r>
    <x v="2"/>
    <x v="121"/>
    <n v="368353"/>
    <n v="1829"/>
    <n v="287065"/>
    <s v="0.50"/>
    <s v="0.00"/>
    <s v="99.50"/>
  </r>
  <r>
    <x v="2"/>
    <x v="122"/>
    <n v="77"/>
    <n v="0"/>
    <n v="6"/>
    <s v="0.00"/>
    <s v="0.00"/>
    <s v="100.00"/>
  </r>
  <r>
    <x v="2"/>
    <x v="123"/>
    <n v="43789"/>
    <n v="698"/>
    <n v="22153"/>
    <s v="1.59"/>
    <s v="0.00"/>
    <s v="98.41"/>
  </r>
  <r>
    <x v="2"/>
    <x v="124"/>
    <n v="37755"/>
    <n v="802"/>
    <n v="34448"/>
    <s v="2.12"/>
    <s v="0.00"/>
    <s v="97.88"/>
  </r>
  <r>
    <x v="2"/>
    <x v="125"/>
    <n v="37966"/>
    <n v="462"/>
    <n v="3430"/>
    <s v="1.22"/>
    <s v="0.00"/>
    <s v="98.78"/>
  </r>
  <r>
    <x v="2"/>
    <x v="126"/>
    <n v="18979"/>
    <n v="240"/>
    <n v="2148"/>
    <s v="1.26"/>
    <s v="0.00"/>
    <s v="98.74"/>
  </r>
  <r>
    <x v="2"/>
    <x v="127"/>
    <n v="89126"/>
    <n v="246"/>
    <n v="65403"/>
    <s v="0.28"/>
    <s v="0.00"/>
    <s v="99.72"/>
  </r>
  <r>
    <x v="2"/>
    <x v="128"/>
    <n v="61821"/>
    <n v="2302"/>
    <n v="55721"/>
    <s v="3.72"/>
    <s v="0.00"/>
    <s v="96.28"/>
  </r>
  <r>
    <x v="2"/>
    <x v="129"/>
    <n v="3831259"/>
    <n v="290110"/>
    <n v="364183"/>
    <s v="7.57"/>
    <s v="0.00"/>
    <s v="92.43"/>
  </r>
  <r>
    <x v="2"/>
    <x v="130"/>
    <n v="2517173"/>
    <n v="29427"/>
    <n v="1030651"/>
    <s v="1.17"/>
    <s v="0.00"/>
    <s v="98.83"/>
  </r>
  <r>
    <x v="2"/>
    <x v="131"/>
    <n v="151382"/>
    <n v="1934"/>
    <n v="56489"/>
    <s v="1.28"/>
    <s v="0.00"/>
    <s v="98.72"/>
  </r>
  <r>
    <x v="2"/>
    <x v="132"/>
    <n v="129023"/>
    <n v="3564"/>
    <n v="23485"/>
    <s v="2.76"/>
    <s v="0.00"/>
    <s v="97.24"/>
  </r>
  <r>
    <x v="2"/>
    <x v="133"/>
    <n v="11404"/>
    <n v="271"/>
    <n v="6672"/>
    <s v="2.38"/>
    <s v="0.00"/>
    <s v="97.62"/>
  </r>
  <r>
    <x v="2"/>
    <x v="134"/>
    <n v="6569"/>
    <n v="227"/>
    <n v="4263"/>
    <s v="3.46"/>
    <s v="0.00"/>
    <s v="96.54"/>
  </r>
  <r>
    <x v="2"/>
    <x v="135"/>
    <n v="212829"/>
    <n v="2914"/>
    <n v="160149"/>
    <s v="1.37"/>
    <s v="0.00"/>
    <s v="98.63"/>
  </r>
  <r>
    <x v="2"/>
    <x v="136"/>
    <n v="16699"/>
    <n v="209"/>
    <n v="838"/>
    <s v="1.25"/>
    <s v="0.00"/>
    <s v="98.75"/>
  </r>
  <r>
    <x v="2"/>
    <x v="137"/>
    <n v="2264308"/>
    <n v="19054"/>
    <n v="2238892"/>
    <s v="0.84"/>
    <s v="0.00"/>
    <s v="99.16"/>
  </r>
  <r>
    <x v="2"/>
    <x v="138"/>
    <n v="220513"/>
    <n v="924"/>
    <n v="46980"/>
    <s v="0.42"/>
    <s v="0.00"/>
    <s v="99.58"/>
  </r>
  <r>
    <x v="2"/>
    <x v="139"/>
    <n v="815372"/>
    <n v="11454"/>
    <n v="42442"/>
    <s v="1.40"/>
    <s v="0.00"/>
    <s v="98.60"/>
  </r>
  <r>
    <x v="2"/>
    <x v="140"/>
    <n v="7923"/>
    <n v="32"/>
    <n v="1912"/>
    <s v="0.40"/>
    <s v="0.00"/>
    <s v="99.60"/>
  </r>
  <r>
    <x v="2"/>
    <x v="141"/>
    <n v="304389"/>
    <n v="4113"/>
    <n v="246040"/>
    <s v="1.35"/>
    <s v="0.00"/>
    <s v="98.65"/>
  </r>
  <r>
    <x v="2"/>
    <x v="142"/>
    <n v="473522"/>
    <n v="7335"/>
    <n v="152490"/>
    <s v="1.55"/>
    <s v="0.00"/>
    <s v="98.45"/>
  </r>
  <r>
    <x v="2"/>
    <x v="143"/>
    <n v="2207890"/>
    <n v="200469"/>
    <n v="933519"/>
    <s v="9.08"/>
    <s v="0.00"/>
    <s v="90.92"/>
  </r>
  <r>
    <x v="2"/>
    <x v="144"/>
    <n v="45573"/>
    <n v="636"/>
    <n v="34199"/>
    <s v="1.40"/>
    <s v="0.00"/>
    <s v="98.60"/>
  </r>
  <r>
    <x v="2"/>
    <x v="145"/>
    <n v="31893"/>
    <n v="413"/>
    <n v="26576"/>
    <s v="1.29"/>
    <s v="0.00"/>
    <s v="98.71"/>
  </r>
  <r>
    <x v="2"/>
    <x v="146"/>
    <n v="2806694"/>
    <n v="44567"/>
    <n v="2132841"/>
    <s v="1.59"/>
    <s v="0.00"/>
    <s v="98.41"/>
  </r>
  <r>
    <x v="2"/>
    <x v="147"/>
    <n v="1278114"/>
    <n v="28566"/>
    <n v="288329"/>
    <s v="2.24"/>
    <s v="0.00"/>
    <s v="97.76"/>
  </r>
  <r>
    <x v="2"/>
    <x v="148"/>
    <n v="3125179"/>
    <n v="77980"/>
    <n v="2135505"/>
    <s v="2.50"/>
    <s v="0.00"/>
    <s v="97.50"/>
  </r>
  <r>
    <x v="2"/>
    <x v="149"/>
    <n v="455949"/>
    <n v="4731"/>
    <n v="114770"/>
    <s v="1.04"/>
    <s v="0.00"/>
    <s v="98.96"/>
  </r>
  <r>
    <x v="2"/>
    <x v="150"/>
    <n v="1099307"/>
    <n v="18217"/>
    <n v="382543"/>
    <s v="1.66"/>
    <s v="0.00"/>
    <s v="98.34"/>
  </r>
  <r>
    <x v="2"/>
    <x v="151"/>
    <n v="8"/>
    <n v="0"/>
    <n v="7"/>
    <s v="0.00"/>
    <s v="0.00"/>
    <s v="100.00"/>
  </r>
  <r>
    <x v="2"/>
    <x v="152"/>
    <n v="461413"/>
    <n v="16266"/>
    <n v="12519"/>
    <s v="3.53"/>
    <s v="0.00"/>
    <s v="96.47"/>
  </r>
  <r>
    <x v="2"/>
    <x v="153"/>
    <n v="240385"/>
    <n v="611"/>
    <n v="70187"/>
    <s v="0.25"/>
    <s v="0.00"/>
    <s v="99.75"/>
  </r>
  <r>
    <x v="2"/>
    <x v="154"/>
    <n v="55125"/>
    <n v="376"/>
    <n v="2095"/>
    <s v="0.68"/>
    <s v="0.00"/>
    <s v="99.32"/>
  </r>
  <r>
    <x v="2"/>
    <x v="155"/>
    <n v="1718726"/>
    <n v="51483"/>
    <n v="1243374"/>
    <s v="3.00"/>
    <s v="0.00"/>
    <s v="97.00"/>
  </r>
  <r>
    <x v="2"/>
    <x v="156"/>
    <n v="1192476"/>
    <n v="10534"/>
    <n v="319727"/>
    <s v="0.88"/>
    <s v="0.00"/>
    <s v="99.12"/>
  </r>
  <r>
    <x v="2"/>
    <x v="157"/>
    <n v="8727817"/>
    <n v="244588"/>
    <n v="402550"/>
    <s v="2.80"/>
    <s v="0.00"/>
    <s v="97.20"/>
  </r>
  <r>
    <x v="2"/>
    <x v="158"/>
    <n v="100000"/>
    <n v="1335"/>
    <n v="82523"/>
    <s v="1.34"/>
    <s v="0.00"/>
    <s v="98.67"/>
  </r>
  <r>
    <x v="2"/>
    <x v="159"/>
    <n v="549022"/>
    <n v="8806"/>
    <n v="361646"/>
    <s v="1.60"/>
    <s v="0.00"/>
    <s v="98.40"/>
  </r>
  <r>
    <x v="2"/>
    <x v="160"/>
    <n v="20"/>
    <n v="0"/>
    <n v="1"/>
    <s v="0.00"/>
    <s v="0.00"/>
    <s v="100.00"/>
  </r>
  <r>
    <x v="2"/>
    <x v="161"/>
    <n v="22457"/>
    <n v="119"/>
    <n v="10352"/>
    <s v="0.53"/>
    <s v="0.00"/>
    <s v="99.47"/>
  </r>
  <r>
    <x v="2"/>
    <x v="162"/>
    <n v="41019"/>
    <n v="3099"/>
    <n v="12783"/>
    <s v="7.56"/>
    <s v="0.00"/>
    <s v="92.44"/>
  </r>
  <r>
    <x v="2"/>
    <x v="163"/>
    <n v="1179192"/>
    <n v="15065"/>
    <n v="64539"/>
    <s v="1.28"/>
    <s v="0.00"/>
    <s v="98.72"/>
  </r>
  <r>
    <x v="2"/>
    <x v="164"/>
    <n v="224200"/>
    <n v="523"/>
    <n v="169345"/>
    <s v="0.23"/>
    <s v="0.00"/>
    <s v="99.77"/>
  </r>
  <r>
    <x v="2"/>
    <x v="165"/>
    <n v="360614"/>
    <n v="4855"/>
    <n v="142962"/>
    <s v="1.35"/>
    <s v="0.00"/>
    <s v="98.65"/>
  </r>
  <r>
    <x v="2"/>
    <x v="166"/>
    <n v="526608"/>
    <n v="13314"/>
    <n v="78942"/>
    <s v="2.53"/>
    <s v="0.00"/>
    <s v="97.47"/>
  </r>
  <r>
    <x v="2"/>
    <x v="167"/>
    <n v="6398"/>
    <n v="121"/>
    <n v="962"/>
    <s v="1.89"/>
    <s v="0.00"/>
    <s v="98.11"/>
  </r>
  <r>
    <x v="2"/>
    <x v="168"/>
    <n v="5610"/>
    <n v="92"/>
    <n v="4805"/>
    <s v="1.64"/>
    <s v="0.00"/>
    <s v="98.36"/>
  </r>
  <r>
    <x v="2"/>
    <x v="169"/>
    <n v="73942"/>
    <n v="1881"/>
    <n v="33608"/>
    <s v="2.54"/>
    <s v="0.00"/>
    <s v="97.46"/>
  </r>
  <r>
    <x v="2"/>
    <x v="170"/>
    <n v="22693"/>
    <n v="1294"/>
    <n v="7585"/>
    <s v="5.70"/>
    <s v="0.00"/>
    <s v="94.30"/>
  </r>
  <r>
    <x v="2"/>
    <x v="171"/>
    <n v="49812"/>
    <n v="1122"/>
    <n v="31374"/>
    <s v="2.25"/>
    <s v="0.00"/>
    <s v="97.75"/>
  </r>
  <r>
    <x v="2"/>
    <x v="172"/>
    <n v="12517"/>
    <n v="133"/>
    <n v="6311"/>
    <s v="1.06"/>
    <s v="0.00"/>
    <s v="98.94"/>
  </r>
  <r>
    <x v="2"/>
    <x v="173"/>
    <n v="3730"/>
    <n v="56"/>
    <n v="2030"/>
    <s v="1.50"/>
    <s v="0.00"/>
    <s v="98.50"/>
  </r>
  <r>
    <x v="2"/>
    <x v="174"/>
    <n v="116258"/>
    <n v="3695"/>
    <n v="83084"/>
    <s v="3.18"/>
    <s v="0.00"/>
    <s v="96.82"/>
  </r>
  <r>
    <x v="2"/>
    <x v="175"/>
    <n v="45468"/>
    <n v="2637"/>
    <n v="41997"/>
    <s v="5.80"/>
    <s v="0.00"/>
    <s v="94.20"/>
  </r>
  <r>
    <x v="2"/>
    <x v="176"/>
    <n v="46462"/>
    <n v="1244"/>
    <n v="23186"/>
    <s v="2.68"/>
    <s v="0.00"/>
    <s v="97.32"/>
  </r>
  <r>
    <x v="2"/>
    <x v="177"/>
    <n v="5107"/>
    <n v="175"/>
    <n v="1077"/>
    <s v="3.43"/>
    <s v="0.00"/>
    <s v="96.57"/>
  </r>
  <r>
    <x v="2"/>
    <x v="178"/>
    <n v="26125"/>
    <n v="243"/>
    <n v="20595"/>
    <s v="0.93"/>
    <s v="0.00"/>
    <s v="99.07"/>
  </r>
  <r>
    <x v="2"/>
    <x v="179"/>
    <n v="1982495"/>
    <n v="19764"/>
    <n v="652966"/>
    <s v="1.00"/>
    <s v="0.00"/>
    <s v="99.00"/>
  </r>
  <r>
    <x v="2"/>
    <x v="180"/>
    <n v="17486"/>
    <n v="125"/>
    <n v="16821"/>
    <s v="0.71"/>
    <s v="0.00"/>
    <s v="99.29"/>
  </r>
  <r>
    <x v="2"/>
    <x v="181"/>
    <n v="19804"/>
    <n v="122"/>
    <n v="15347"/>
    <s v="0.62"/>
    <s v="0.00"/>
    <s v="99.38"/>
  </r>
  <r>
    <x v="2"/>
    <x v="182"/>
    <n v="713352"/>
    <n v="25281"/>
    <n v="105669"/>
    <s v="3.54"/>
    <s v="0.00"/>
    <s v="96.46"/>
  </r>
  <r>
    <x v="2"/>
    <x v="183"/>
    <n v="1"/>
    <n v="0"/>
    <n v="0"/>
    <s v="0.00"/>
    <s v="0.00"/>
    <s v="100.00"/>
  </r>
  <r>
    <x v="2"/>
    <x v="184"/>
    <n v="8290135"/>
    <n v="72510"/>
    <n v="6736138"/>
    <s v="0.87"/>
    <s v="0.00"/>
    <s v="99.13"/>
  </r>
  <r>
    <x v="2"/>
    <x v="185"/>
    <n v="59963"/>
    <n v="1794"/>
    <n v="16637"/>
    <s v="2.99"/>
    <s v="0.00"/>
    <s v="97.01"/>
  </r>
  <r>
    <x v="2"/>
    <x v="186"/>
    <n v="16451"/>
    <n v="848"/>
    <n v="1566"/>
    <s v="5.15"/>
    <s v="0.00"/>
    <s v="94.85"/>
  </r>
  <r>
    <x v="2"/>
    <x v="187"/>
    <n v="26196"/>
    <n v="725"/>
    <n v="134"/>
    <s v="2.77"/>
    <s v="0.00"/>
    <s v="97.23"/>
  </r>
  <r>
    <x v="2"/>
    <x v="188"/>
    <n v="3253327"/>
    <n v="78017"/>
    <n v="2446299"/>
    <s v="2.40"/>
    <s v="0.00"/>
    <s v="97.60"/>
  </r>
  <r>
    <x v="2"/>
    <x v="189"/>
    <n v="126644"/>
    <n v="3230"/>
    <n v="111425"/>
    <s v="2.55"/>
    <s v="0.00"/>
    <s v="97.45"/>
  </r>
  <r>
    <x v="2"/>
    <x v="190"/>
    <n v="46693111"/>
    <n v="757309"/>
    <n v="113040"/>
    <s v="1.62"/>
    <s v="0.00"/>
    <s v="98.38"/>
  </r>
  <r>
    <x v="2"/>
    <x v="191"/>
    <n v="395610"/>
    <n v="6093"/>
    <n v="239302"/>
    <s v="1.54"/>
    <s v="0.00"/>
    <s v="98.46"/>
  </r>
  <r>
    <x v="2"/>
    <x v="192"/>
    <n v="188398"/>
    <n v="1343"/>
    <n v="15843"/>
    <s v="0.71"/>
    <s v="0.00"/>
    <s v="99.29"/>
  </r>
  <r>
    <x v="2"/>
    <x v="193"/>
    <n v="27"/>
    <n v="0"/>
    <n v="1"/>
    <s v="0.00"/>
    <s v="0.00"/>
    <s v="100.00"/>
  </r>
  <r>
    <x v="2"/>
    <x v="194"/>
    <n v="5123"/>
    <n v="69"/>
    <n v="3939"/>
    <s v="1.35"/>
    <s v="0.00"/>
    <s v="98.65"/>
  </r>
  <r>
    <x v="2"/>
    <x v="195"/>
    <n v="414220"/>
    <n v="4976"/>
    <n v="231553"/>
    <s v="1.20"/>
    <s v="0.00"/>
    <s v="98.80"/>
  </r>
  <r>
    <x v="2"/>
    <x v="196"/>
    <n v="984805"/>
    <n v="22686"/>
    <n v="141688"/>
    <s v="2.30"/>
    <s v="0.00"/>
    <s v="97.70"/>
  </r>
  <r>
    <x v="2"/>
    <x v="197"/>
    <n v="6"/>
    <n v="1"/>
    <n v="1"/>
    <s v="16.67"/>
    <s v="0.00"/>
    <s v="83.33"/>
  </r>
  <r>
    <x v="2"/>
    <x v="198"/>
    <n v="3"/>
    <n v="0"/>
    <n v="2"/>
    <s v="0.00"/>
    <s v="0.00"/>
    <s v="100.00"/>
  </r>
  <r>
    <x v="2"/>
    <x v="199"/>
    <n v="160891"/>
    <n v="2978"/>
    <n v="156121"/>
    <s v="1.85"/>
    <s v="0.00"/>
    <s v="98.15"/>
  </r>
  <r>
    <x v="2"/>
    <x v="200"/>
    <n v="9891"/>
    <n v="1915"/>
    <n v="6639"/>
    <s v="19.36"/>
    <s v="0.00"/>
    <s v="80.64"/>
  </r>
  <r>
    <x v="2"/>
    <x v="201"/>
    <n v="20709"/>
    <n v="185"/>
    <n v="20255"/>
    <s v="0.89"/>
    <s v="0.00"/>
    <s v="99.11"/>
  </r>
  <r>
    <x v="2"/>
    <x v="202"/>
    <n v="2924317"/>
    <n v="89387"/>
    <n v="1091073"/>
    <s v="3.06"/>
    <s v="0.00"/>
    <s v="96.94"/>
  </r>
  <r>
    <x v="2"/>
    <x v="203"/>
    <n v="209918"/>
    <n v="3664"/>
    <n v="198954"/>
    <s v="1.75"/>
    <s v="0.00"/>
    <s v="98.25"/>
  </r>
  <r>
    <x v="2"/>
    <x v="204"/>
    <n v="133242"/>
    <n v="4691"/>
    <n v="52640"/>
    <s v="3.52"/>
    <s v="0.00"/>
    <s v="96.48"/>
  </r>
  <r>
    <x v="2"/>
    <x v="205"/>
    <n v="721"/>
    <n v="15"/>
    <n v="207"/>
    <s v="2.08"/>
    <s v="0.00"/>
    <s v="97.92"/>
  </r>
  <r>
    <x v="3"/>
    <x v="205"/>
    <n v="721"/>
    <n v="15"/>
    <n v="438"/>
    <s v="2.08"/>
    <s v="0.00"/>
    <s v="97.92"/>
  </r>
  <r>
    <x v="3"/>
    <x v="204"/>
    <n v="133205"/>
    <n v="4690"/>
    <n v="29964"/>
    <s v="3.52"/>
    <s v="0.00"/>
    <s v="96.48"/>
  </r>
  <r>
    <x v="3"/>
    <x v="203"/>
    <n v="209908"/>
    <n v="3664"/>
    <n v="155265"/>
    <s v="1.75"/>
    <s v="0.00"/>
    <s v="98.25"/>
  </r>
  <r>
    <x v="3"/>
    <x v="202"/>
    <n v="2924072"/>
    <n v="89352"/>
    <n v="114866"/>
    <s v="3.06"/>
    <s v="0.00"/>
    <s v="96.94"/>
  </r>
  <r>
    <x v="3"/>
    <x v="201"/>
    <n v="20709"/>
    <n v="185"/>
    <n v="1355"/>
    <s v="0.89"/>
    <s v="0.00"/>
    <s v="99.11"/>
  </r>
  <r>
    <x v="3"/>
    <x v="200"/>
    <n v="9883"/>
    <n v="1909"/>
    <n v="6321"/>
    <s v="19.32"/>
    <s v="0.00"/>
    <s v="80.68"/>
  </r>
  <r>
    <x v="3"/>
    <x v="199"/>
    <n v="160880"/>
    <n v="2978"/>
    <n v="18417"/>
    <s v="1.85"/>
    <s v="0.00"/>
    <s v="98.15"/>
  </r>
  <r>
    <x v="3"/>
    <x v="198"/>
    <n v="3"/>
    <n v="0"/>
    <n v="2"/>
    <s v="0.00"/>
    <s v="0.00"/>
    <s v="100.00"/>
  </r>
  <r>
    <x v="3"/>
    <x v="197"/>
    <n v="6"/>
    <n v="1"/>
    <n v="5"/>
    <s v="16.67"/>
    <s v="0.00"/>
    <s v="83.33"/>
  </r>
  <r>
    <x v="3"/>
    <x v="196"/>
    <n v="976672"/>
    <n v="22598"/>
    <n v="904190"/>
    <s v="2.31"/>
    <s v="0.00"/>
    <s v="97.69"/>
  </r>
  <r>
    <x v="3"/>
    <x v="195"/>
    <n v="414220"/>
    <n v="4976"/>
    <n v="162024"/>
    <s v="1.20"/>
    <s v="0.00"/>
    <s v="98.80"/>
  </r>
  <r>
    <x v="3"/>
    <x v="194"/>
    <n v="5123"/>
    <n v="69"/>
    <n v="3099"/>
    <s v="1.35"/>
    <s v="0.00"/>
    <s v="98.65"/>
  </r>
  <r>
    <x v="3"/>
    <x v="193"/>
    <n v="27"/>
    <n v="0"/>
    <n v="23"/>
    <s v="0.00"/>
    <s v="0.00"/>
    <s v="100.00"/>
  </r>
  <r>
    <x v="3"/>
    <x v="192"/>
    <n v="188169"/>
    <n v="1340"/>
    <n v="88973"/>
    <s v="0.71"/>
    <s v="0.00"/>
    <s v="99.29"/>
  </r>
  <r>
    <x v="3"/>
    <x v="191"/>
    <n v="395410"/>
    <n v="6088"/>
    <n v="294954"/>
    <s v="1.54"/>
    <s v="0.00"/>
    <s v="98.46"/>
  </r>
  <r>
    <x v="3"/>
    <x v="190"/>
    <n v="46613282"/>
    <n v="755647"/>
    <n v="9291442"/>
    <s v="1.62"/>
    <s v="0.00"/>
    <s v="98.38"/>
  </r>
  <r>
    <x v="3"/>
    <x v="189"/>
    <n v="126625"/>
    <n v="3228"/>
    <n v="22197"/>
    <s v="2.55"/>
    <s v="0.00"/>
    <s v="97.45"/>
  </r>
  <r>
    <x v="3"/>
    <x v="188"/>
    <n v="3233178"/>
    <n v="77156"/>
    <n v="682279"/>
    <s v="2.39"/>
    <s v="0.00"/>
    <s v="97.61"/>
  </r>
  <r>
    <x v="3"/>
    <x v="187"/>
    <n v="26196"/>
    <n v="725"/>
    <n v="11013"/>
    <s v="2.77"/>
    <s v="0.00"/>
    <s v="97.23"/>
  </r>
  <r>
    <x v="3"/>
    <x v="186"/>
    <n v="16445"/>
    <n v="847"/>
    <n v="12122"/>
    <s v="5.15"/>
    <s v="0.00"/>
    <s v="94.85"/>
  </r>
  <r>
    <x v="3"/>
    <x v="185"/>
    <n v="59658"/>
    <n v="1785"/>
    <n v="10630"/>
    <s v="2.99"/>
    <s v="0.00"/>
    <s v="97.01"/>
  </r>
  <r>
    <x v="3"/>
    <x v="184"/>
    <n v="8261473"/>
    <n v="72314"/>
    <n v="5190079"/>
    <s v="0.88"/>
    <s v="0.00"/>
    <s v="99.12"/>
  </r>
  <r>
    <x v="3"/>
    <x v="183"/>
    <n v="1"/>
    <n v="0"/>
    <n v="0"/>
    <s v="0.00"/>
    <s v="0.00"/>
    <s v="100.00"/>
  </r>
  <r>
    <x v="3"/>
    <x v="182"/>
    <n v="713352"/>
    <n v="25281"/>
    <n v="154214"/>
    <s v="3.54"/>
    <s v="0.00"/>
    <s v="96.46"/>
  </r>
  <r>
    <x v="3"/>
    <x v="181"/>
    <n v="19799"/>
    <n v="122"/>
    <n v="8335"/>
    <s v="0.62"/>
    <s v="0.00"/>
    <s v="99.38"/>
  </r>
  <r>
    <x v="3"/>
    <x v="180"/>
    <n v="17486"/>
    <n v="125"/>
    <n v="14615"/>
    <s v="0.71"/>
    <s v="0.00"/>
    <s v="99.29"/>
  </r>
  <r>
    <x v="3"/>
    <x v="179"/>
    <n v="1975591"/>
    <n v="19703"/>
    <n v="1174612"/>
    <s v="1.00"/>
    <s v="0.00"/>
    <s v="99.00"/>
  </r>
  <r>
    <x v="3"/>
    <x v="178"/>
    <n v="26122"/>
    <n v="243"/>
    <n v="12541"/>
    <s v="0.93"/>
    <s v="0.00"/>
    <s v="99.07"/>
  </r>
  <r>
    <x v="3"/>
    <x v="177"/>
    <n v="5107"/>
    <n v="175"/>
    <n v="4857"/>
    <s v="3.43"/>
    <s v="0.00"/>
    <s v="96.57"/>
  </r>
  <r>
    <x v="3"/>
    <x v="176"/>
    <n v="46460"/>
    <n v="1244"/>
    <n v="42611"/>
    <s v="2.68"/>
    <s v="0.00"/>
    <s v="97.32"/>
  </r>
  <r>
    <x v="3"/>
    <x v="175"/>
    <n v="45096"/>
    <n v="2620"/>
    <n v="6104"/>
    <s v="5.81"/>
    <s v="0.00"/>
    <s v="94.19"/>
  </r>
  <r>
    <x v="3"/>
    <x v="174"/>
    <n v="116258"/>
    <n v="3690"/>
    <n v="34373"/>
    <s v="3.17"/>
    <s v="0.00"/>
    <s v="96.83"/>
  </r>
  <r>
    <x v="3"/>
    <x v="173"/>
    <n v="3729"/>
    <n v="56"/>
    <n v="1495"/>
    <s v="1.50"/>
    <s v="0.00"/>
    <s v="98.50"/>
  </r>
  <r>
    <x v="3"/>
    <x v="172"/>
    <n v="12514"/>
    <n v="133"/>
    <n v="3872"/>
    <s v="1.06"/>
    <s v="0.00"/>
    <s v="98.94"/>
  </r>
  <r>
    <x v="3"/>
    <x v="171"/>
    <n v="49602"/>
    <n v="1117"/>
    <n v="18245"/>
    <s v="2.25"/>
    <s v="0.00"/>
    <s v="97.75"/>
  </r>
  <r>
    <x v="3"/>
    <x v="170"/>
    <n v="22693"/>
    <n v="1294"/>
    <n v="14351"/>
    <s v="5.70"/>
    <s v="0.00"/>
    <s v="94.30"/>
  </r>
  <r>
    <x v="3"/>
    <x v="169"/>
    <n v="73939"/>
    <n v="1880"/>
    <n v="11637"/>
    <s v="2.54"/>
    <s v="0.00"/>
    <s v="97.46"/>
  </r>
  <r>
    <x v="3"/>
    <x v="168"/>
    <n v="5598"/>
    <n v="92"/>
    <n v="2228"/>
    <s v="1.64"/>
    <s v="0.00"/>
    <s v="98.36"/>
  </r>
  <r>
    <x v="3"/>
    <x v="167"/>
    <n v="6398"/>
    <n v="121"/>
    <n v="2691"/>
    <s v="1.89"/>
    <s v="0.00"/>
    <s v="98.11"/>
  </r>
  <r>
    <x v="3"/>
    <x v="166"/>
    <n v="521650"/>
    <n v="13269"/>
    <n v="338275"/>
    <s v="2.54"/>
    <s v="0.00"/>
    <s v="97.46"/>
  </r>
  <r>
    <x v="3"/>
    <x v="165"/>
    <n v="357262"/>
    <n v="4843"/>
    <n v="348682"/>
    <s v="1.36"/>
    <s v="0.00"/>
    <s v="98.64"/>
  </r>
  <r>
    <x v="3"/>
    <x v="164"/>
    <n v="220803"/>
    <n v="511"/>
    <n v="154351"/>
    <s v="0.23"/>
    <s v="0.00"/>
    <s v="99.77"/>
  </r>
  <r>
    <x v="3"/>
    <x v="163"/>
    <n v="1177094"/>
    <n v="15057"/>
    <n v="637406"/>
    <s v="1.28"/>
    <s v="0.00"/>
    <s v="98.72"/>
  </r>
  <r>
    <x v="3"/>
    <x v="162"/>
    <n v="40433"/>
    <n v="3099"/>
    <n v="6291"/>
    <s v="7.66"/>
    <s v="0.00"/>
    <s v="92.34"/>
  </r>
  <r>
    <x v="3"/>
    <x v="161"/>
    <n v="22441"/>
    <n v="119"/>
    <n v="11482"/>
    <s v="0.53"/>
    <s v="0.00"/>
    <s v="99.47"/>
  </r>
  <r>
    <x v="3"/>
    <x v="160"/>
    <n v="20"/>
    <n v="0"/>
    <n v="6"/>
    <s v="0.00"/>
    <s v="0.00"/>
    <s v="100.00"/>
  </r>
  <r>
    <x v="3"/>
    <x v="159"/>
    <n v="548973"/>
    <n v="8805"/>
    <n v="90039"/>
    <s v="1.60"/>
    <s v="0.00"/>
    <s v="98.40"/>
  </r>
  <r>
    <x v="3"/>
    <x v="158"/>
    <n v="99978"/>
    <n v="1334"/>
    <n v="17670"/>
    <s v="1.33"/>
    <s v="0.00"/>
    <s v="98.67"/>
  </r>
  <r>
    <x v="3"/>
    <x v="157"/>
    <n v="8689818"/>
    <n v="243405"/>
    <n v="6195799"/>
    <s v="2.80"/>
    <s v="0.00"/>
    <s v="97.20"/>
  </r>
  <r>
    <x v="3"/>
    <x v="156"/>
    <n v="1187373"/>
    <n v="10472"/>
    <n v="1043355"/>
    <s v="0.88"/>
    <s v="0.00"/>
    <s v="99.12"/>
  </r>
  <r>
    <x v="3"/>
    <x v="155"/>
    <n v="1711137"/>
    <n v="50996"/>
    <n v="409312"/>
    <s v="2.98"/>
    <s v="0.00"/>
    <s v="97.02"/>
  </r>
  <r>
    <x v="3"/>
    <x v="154"/>
    <n v="55125"/>
    <n v="376"/>
    <n v="53329"/>
    <s v="0.68"/>
    <s v="0.00"/>
    <s v="99.32"/>
  </r>
  <r>
    <x v="3"/>
    <x v="153"/>
    <n v="240247"/>
    <n v="611"/>
    <n v="170163"/>
    <s v="0.25"/>
    <s v="0.00"/>
    <s v="99.75"/>
  </r>
  <r>
    <x v="3"/>
    <x v="152"/>
    <n v="461413"/>
    <n v="16266"/>
    <n v="420594"/>
    <s v="3.53"/>
    <s v="0.00"/>
    <s v="96.47"/>
  </r>
  <r>
    <x v="3"/>
    <x v="151"/>
    <n v="8"/>
    <n v="0"/>
    <n v="3"/>
    <s v="0.00"/>
    <s v="0.00"/>
    <s v="100.00"/>
  </r>
  <r>
    <x v="3"/>
    <x v="150"/>
    <n v="1098125"/>
    <n v="18209"/>
    <n v="665011"/>
    <s v="1.66"/>
    <s v="0.00"/>
    <s v="98.34"/>
  </r>
  <r>
    <x v="3"/>
    <x v="149"/>
    <n v="455689"/>
    <n v="4724"/>
    <n v="431127"/>
    <s v="1.04"/>
    <s v="0.00"/>
    <s v="98.96"/>
  </r>
  <r>
    <x v="3"/>
    <x v="148"/>
    <n v="3111534"/>
    <n v="77760"/>
    <n v="2467549"/>
    <s v="2.50"/>
    <s v="0.00"/>
    <s v="97.50"/>
  </r>
  <r>
    <x v="3"/>
    <x v="147"/>
    <n v="1277560"/>
    <n v="28558"/>
    <n v="759940"/>
    <s v="2.24"/>
    <s v="0.00"/>
    <s v="97.76"/>
  </r>
  <r>
    <x v="3"/>
    <x v="146"/>
    <n v="2805294"/>
    <n v="44521"/>
    <n v="53087"/>
    <s v="1.59"/>
    <s v="0.00"/>
    <s v="98.41"/>
  </r>
  <r>
    <x v="3"/>
    <x v="145"/>
    <n v="31791"/>
    <n v="407"/>
    <n v="19749"/>
    <s v="1.28"/>
    <s v="0.00"/>
    <s v="98.72"/>
  </r>
  <r>
    <x v="3"/>
    <x v="144"/>
    <n v="45573"/>
    <n v="636"/>
    <n v="37360"/>
    <s v="1.40"/>
    <s v="0.00"/>
    <s v="98.60"/>
  </r>
  <r>
    <x v="3"/>
    <x v="143"/>
    <n v="2207890"/>
    <n v="200469"/>
    <n v="1964767"/>
    <s v="9.08"/>
    <s v="0.00"/>
    <s v="90.92"/>
  </r>
  <r>
    <x v="3"/>
    <x v="142"/>
    <n v="473522"/>
    <n v="7335"/>
    <n v="363038"/>
    <s v="1.55"/>
    <s v="0.00"/>
    <s v="98.45"/>
  </r>
  <r>
    <x v="3"/>
    <x v="141"/>
    <n v="304375"/>
    <n v="4113"/>
    <n v="226928"/>
    <s v="1.35"/>
    <s v="0.00"/>
    <s v="98.65"/>
  </r>
  <r>
    <x v="3"/>
    <x v="140"/>
    <n v="7776"/>
    <n v="32"/>
    <n v="5718"/>
    <s v="0.41"/>
    <s v="0.00"/>
    <s v="99.59"/>
  </r>
  <r>
    <x v="3"/>
    <x v="139"/>
    <n v="814929"/>
    <n v="11453"/>
    <n v="262292"/>
    <s v="1.41"/>
    <s v="0.00"/>
    <s v="98.59"/>
  </r>
  <r>
    <x v="3"/>
    <x v="138"/>
    <n v="218387"/>
    <n v="921"/>
    <n v="171683"/>
    <s v="0.42"/>
    <s v="0.00"/>
    <s v="99.58"/>
  </r>
  <r>
    <x v="3"/>
    <x v="137"/>
    <n v="2253015"/>
    <n v="19025"/>
    <n v="365467"/>
    <s v="0.84"/>
    <s v="0.00"/>
    <s v="99.16"/>
  </r>
  <r>
    <x v="3"/>
    <x v="136"/>
    <n v="16699"/>
    <n v="209"/>
    <n v="10366"/>
    <s v="1.25"/>
    <s v="0.00"/>
    <s v="98.75"/>
  </r>
  <r>
    <x v="3"/>
    <x v="135"/>
    <n v="212765"/>
    <n v="2906"/>
    <n v="68113"/>
    <s v="1.37"/>
    <s v="0.00"/>
    <s v="98.63"/>
  </r>
  <r>
    <x v="3"/>
    <x v="134"/>
    <n v="6511"/>
    <n v="221"/>
    <n v="4912"/>
    <s v="3.39"/>
    <s v="0.00"/>
    <s v="96.61"/>
  </r>
  <r>
    <x v="3"/>
    <x v="133"/>
    <n v="11350"/>
    <n v="269"/>
    <n v="10251"/>
    <s v="2.37"/>
    <s v="0.00"/>
    <s v="97.63"/>
  </r>
  <r>
    <x v="3"/>
    <x v="132"/>
    <n v="129014"/>
    <n v="3563"/>
    <n v="14217"/>
    <s v="2.76"/>
    <s v="0.00"/>
    <s v="97.24"/>
  </r>
  <r>
    <x v="3"/>
    <x v="131"/>
    <n v="151371"/>
    <n v="1934"/>
    <n v="45700"/>
    <s v="1.28"/>
    <s v="0.00"/>
    <s v="98.72"/>
  </r>
  <r>
    <x v="3"/>
    <x v="130"/>
    <n v="2510852"/>
    <n v="29349"/>
    <n v="1421126"/>
    <s v="1.17"/>
    <s v="0.00"/>
    <s v="98.83"/>
  </r>
  <r>
    <x v="3"/>
    <x v="129"/>
    <n v="3826786"/>
    <n v="289734"/>
    <n v="1151368"/>
    <s v="7.57"/>
    <s v="0.00"/>
    <s v="92.43"/>
  </r>
  <r>
    <x v="3"/>
    <x v="128"/>
    <n v="61818"/>
    <n v="2302"/>
    <n v="28326"/>
    <s v="3.72"/>
    <s v="0.00"/>
    <s v="96.28"/>
  </r>
  <r>
    <x v="3"/>
    <x v="127"/>
    <n v="88966"/>
    <n v="245"/>
    <n v="25430"/>
    <s v="0.28"/>
    <s v="0.00"/>
    <s v="99.72"/>
  </r>
  <r>
    <x v="3"/>
    <x v="126"/>
    <n v="18531"/>
    <n v="213"/>
    <n v="16587"/>
    <s v="1.15"/>
    <s v="0.00"/>
    <s v="98.85"/>
  </r>
  <r>
    <x v="3"/>
    <x v="125"/>
    <n v="37931"/>
    <n v="462"/>
    <n v="14654"/>
    <s v="1.22"/>
    <s v="0.00"/>
    <s v="98.78"/>
  </r>
  <r>
    <x v="3"/>
    <x v="124"/>
    <n v="37755"/>
    <n v="802"/>
    <n v="34982"/>
    <s v="2.12"/>
    <s v="0.00"/>
    <s v="97.88"/>
  </r>
  <r>
    <x v="3"/>
    <x v="123"/>
    <n v="43665"/>
    <n v="696"/>
    <n v="2469"/>
    <s v="1.59"/>
    <s v="0.00"/>
    <s v="98.41"/>
  </r>
  <r>
    <x v="3"/>
    <x v="122"/>
    <n v="77"/>
    <n v="0"/>
    <n v="16"/>
    <s v="0.00"/>
    <s v="0.00"/>
    <s v="100.00"/>
  </r>
  <r>
    <x v="3"/>
    <x v="121"/>
    <n v="367412"/>
    <n v="1817"/>
    <n v="214564"/>
    <s v="0.49"/>
    <s v="0.00"/>
    <s v="99.51"/>
  </r>
  <r>
    <x v="3"/>
    <x v="120"/>
    <n v="507815"/>
    <n v="18839"/>
    <n v="55206"/>
    <s v="3.71"/>
    <s v="0.00"/>
    <s v="96.29"/>
  </r>
  <r>
    <x v="3"/>
    <x v="119"/>
    <n v="16406"/>
    <n v="576"/>
    <n v="6287"/>
    <s v="3.51"/>
    <s v="0.00"/>
    <s v="96.49"/>
  </r>
  <r>
    <x v="3"/>
    <x v="118"/>
    <n v="206233"/>
    <n v="7242"/>
    <n v="113775"/>
    <s v="3.51"/>
    <s v="0.00"/>
    <s v="96.49"/>
  </r>
  <r>
    <x v="3"/>
    <x v="117"/>
    <n v="4"/>
    <n v="0"/>
    <n v="2"/>
    <s v="0.00"/>
    <s v="0.00"/>
    <s v="100.00"/>
  </r>
  <r>
    <x v="3"/>
    <x v="116"/>
    <n v="43632"/>
    <n v="964"/>
    <n v="28980"/>
    <s v="2.21"/>
    <s v="0.00"/>
    <s v="97.79"/>
  </r>
  <r>
    <x v="3"/>
    <x v="115"/>
    <n v="3941"/>
    <n v="56"/>
    <n v="2696"/>
    <s v="1.42"/>
    <s v="0.00"/>
    <s v="98.58"/>
  </r>
  <r>
    <x v="3"/>
    <x v="114"/>
    <n v="148997"/>
    <n v="2163"/>
    <n v="118615"/>
    <s v="1.45"/>
    <s v="0.00"/>
    <s v="98.55"/>
  </r>
  <r>
    <x v="3"/>
    <x v="113"/>
    <n v="347105"/>
    <n v="8144"/>
    <n v="98075"/>
    <s v="2.35"/>
    <s v="0.00"/>
    <s v="97.65"/>
  </r>
  <r>
    <x v="3"/>
    <x v="112"/>
    <n v="3439"/>
    <n v="36"/>
    <n v="1333"/>
    <s v="1.05"/>
    <s v="0.00"/>
    <s v="98.95"/>
  </r>
  <r>
    <x v="3"/>
    <x v="111"/>
    <n v="947451"/>
    <n v="14721"/>
    <n v="831603"/>
    <s v="1.55"/>
    <s v="0.00"/>
    <s v="98.45"/>
  </r>
  <r>
    <x v="3"/>
    <x v="110"/>
    <n v="361709"/>
    <n v="5218"/>
    <n v="226148"/>
    <s v="1.44"/>
    <s v="0.00"/>
    <s v="98.56"/>
  </r>
  <r>
    <x v="3"/>
    <x v="109"/>
    <n v="232247"/>
    <n v="3515"/>
    <n v="15886"/>
    <s v="1.51"/>
    <s v="0.00"/>
    <s v="98.49"/>
  </r>
  <r>
    <x v="3"/>
    <x v="108"/>
    <n v="83294"/>
    <n v="851"/>
    <n v="74036"/>
    <s v="1.02"/>
    <s v="0.00"/>
    <s v="98.98"/>
  </r>
  <r>
    <x v="3"/>
    <x v="107"/>
    <n v="428541"/>
    <n v="6135"/>
    <n v="150945"/>
    <s v="1.43"/>
    <s v="0.00"/>
    <s v="98.57"/>
  </r>
  <r>
    <x v="3"/>
    <x v="106"/>
    <n v="21685"/>
    <n v="659"/>
    <n v="4466"/>
    <s v="3.04"/>
    <s v="0.00"/>
    <s v="96.96"/>
  </r>
  <r>
    <x v="3"/>
    <x v="105"/>
    <n v="5815"/>
    <n v="287"/>
    <n v="850"/>
    <s v="4.94"/>
    <s v="0.00"/>
    <s v="95.06"/>
  </r>
  <r>
    <x v="3"/>
    <x v="104"/>
    <n v="545935"/>
    <n v="13875"/>
    <n v="529694"/>
    <s v="2.54"/>
    <s v="0.00"/>
    <s v="97.46"/>
  </r>
  <r>
    <x v="3"/>
    <x v="103"/>
    <n v="3738"/>
    <n v="61"/>
    <n v="1973"/>
    <s v="1.63"/>
    <s v="0.00"/>
    <s v="98.37"/>
  </r>
  <r>
    <x v="3"/>
    <x v="102"/>
    <n v="12748"/>
    <n v="264"/>
    <n v="10720"/>
    <s v="2.07"/>
    <s v="0.00"/>
    <s v="97.93"/>
  </r>
  <r>
    <x v="3"/>
    <x v="101"/>
    <n v="646869"/>
    <n v="8551"/>
    <n v="424724"/>
    <s v="1.32"/>
    <s v="0.00"/>
    <s v="98.68"/>
  </r>
  <r>
    <x v="3"/>
    <x v="100"/>
    <n v="47842"/>
    <n v="86"/>
    <n v="29587"/>
    <s v="0.18"/>
    <s v="0.00"/>
    <s v="99.82"/>
  </r>
  <r>
    <x v="3"/>
    <x v="99"/>
    <n v="1030911"/>
    <n v="17330"/>
    <n v="609916"/>
    <s v="1.68"/>
    <s v="0.00"/>
    <s v="98.32"/>
  </r>
  <r>
    <x v="3"/>
    <x v="98"/>
    <n v="412869"/>
    <n v="2462"/>
    <n v="179525"/>
    <s v="0.60"/>
    <s v="0.00"/>
    <s v="99.40"/>
  </r>
  <r>
    <x v="3"/>
    <x v="97"/>
    <n v="383407"/>
    <n v="2998"/>
    <n v="283403"/>
    <s v="0.78"/>
    <s v="0.00"/>
    <s v="99.22"/>
  </r>
  <r>
    <x v="3"/>
    <x v="96"/>
    <n v="2717"/>
    <n v="25"/>
    <n v="2380"/>
    <s v="0.92"/>
    <s v="0.00"/>
    <s v="99.08"/>
  </r>
  <r>
    <x v="3"/>
    <x v="95"/>
    <n v="4321"/>
    <n v="147"/>
    <n v="3501"/>
    <s v="3.40"/>
    <s v="0.00"/>
    <s v="96.60"/>
  </r>
  <r>
    <x v="3"/>
    <x v="93"/>
    <n v="119160"/>
    <n v="2835"/>
    <n v="104847"/>
    <s v="2.38"/>
    <s v="0.00"/>
    <s v="97.62"/>
  </r>
  <r>
    <x v="3"/>
    <x v="94"/>
    <n v="2"/>
    <n v="0"/>
    <n v="0"/>
    <s v="0.00"/>
    <s v="0.00"/>
    <s v="100.00"/>
  </r>
  <r>
    <x v="3"/>
    <x v="92"/>
    <n v="181882"/>
    <n v="2689"/>
    <n v="80964"/>
    <s v="1.48"/>
    <s v="0.00"/>
    <s v="98.52"/>
  </r>
  <r>
    <x v="3"/>
    <x v="91"/>
    <n v="253853"/>
    <n v="5312"/>
    <n v="63750"/>
    <s v="2.09"/>
    <s v="0.00"/>
    <s v="97.91"/>
  </r>
  <r>
    <x v="3"/>
    <x v="90"/>
    <n v="1723782"/>
    <n v="18309"/>
    <n v="1665367"/>
    <s v="1.06"/>
    <s v="0.00"/>
    <s v="98.94"/>
  </r>
  <r>
    <x v="3"/>
    <x v="89"/>
    <n v="878366"/>
    <n v="11145"/>
    <n v="46266"/>
    <s v="1.27"/>
    <s v="0.00"/>
    <s v="98.73"/>
  </r>
  <r>
    <x v="3"/>
    <x v="88"/>
    <n v="89746"/>
    <n v="2287"/>
    <n v="67939"/>
    <s v="2.55"/>
    <s v="0.00"/>
    <s v="97.45"/>
  </r>
  <r>
    <x v="3"/>
    <x v="87"/>
    <n v="4812594"/>
    <n v="132423"/>
    <n v="3619151"/>
    <s v="2.75"/>
    <s v="0.00"/>
    <s v="97.25"/>
  </r>
  <r>
    <x v="3"/>
    <x v="86"/>
    <n v="14571"/>
    <n v="34"/>
    <n v="4761"/>
    <s v="0.23"/>
    <s v="0.00"/>
    <s v="99.77"/>
  </r>
  <r>
    <x v="3"/>
    <x v="85"/>
    <n v="5996155"/>
    <n v="127439"/>
    <n v="2680900"/>
    <s v="2.13"/>
    <s v="0.00"/>
    <s v="97.87"/>
  </r>
  <r>
    <x v="3"/>
    <x v="84"/>
    <n v="2064011"/>
    <n v="23372"/>
    <n v="1446123"/>
    <s v="1.13"/>
    <s v="0.00"/>
    <s v="98.87"/>
  </r>
  <r>
    <x v="3"/>
    <x v="83"/>
    <n v="34377113"/>
    <n v="461389"/>
    <n v="15491779"/>
    <s v="1.34"/>
    <s v="0.00"/>
    <s v="98.66"/>
  </r>
  <r>
    <x v="3"/>
    <x v="82"/>
    <n v="1334766"/>
    <n v="8124"/>
    <n v="978945"/>
    <s v="0.61"/>
    <s v="0.00"/>
    <s v="99.39"/>
  </r>
  <r>
    <x v="3"/>
    <x v="81"/>
    <n v="472547"/>
    <n v="5492"/>
    <n v="201952"/>
    <s v="1.16"/>
    <s v="0.00"/>
    <s v="98.84"/>
  </r>
  <r>
    <x v="3"/>
    <x v="80"/>
    <n v="4248409"/>
    <n v="143557"/>
    <n v="638292"/>
    <s v="3.38"/>
    <s v="0.00"/>
    <s v="96.62"/>
  </r>
  <r>
    <x v="3"/>
    <x v="79"/>
    <n v="909998"/>
    <n v="31398"/>
    <n v="20110"/>
    <s v="3.45"/>
    <s v="0.00"/>
    <s v="96.55"/>
  </r>
  <r>
    <x v="3"/>
    <x v="78"/>
    <n v="24233"/>
    <n v="702"/>
    <n v="26"/>
    <s v="2.90"/>
    <s v="0.00"/>
    <s v="97.10"/>
  </r>
  <r>
    <x v="3"/>
    <x v="77"/>
    <n v="502569"/>
    <n v="9546"/>
    <n v="147040"/>
    <s v="1.90"/>
    <s v="0.00"/>
    <s v="98.10"/>
  </r>
  <r>
    <x v="3"/>
    <x v="76"/>
    <n v="376595"/>
    <n v="10312"/>
    <n v="157704"/>
    <s v="2.74"/>
    <s v="0.00"/>
    <s v="97.26"/>
  </r>
  <r>
    <x v="3"/>
    <x v="75"/>
    <n v="12368"/>
    <n v="213"/>
    <n v="8979"/>
    <s v="1.72"/>
    <s v="0.00"/>
    <s v="98.28"/>
  </r>
  <r>
    <x v="3"/>
    <x v="74"/>
    <n v="36257"/>
    <n v="945"/>
    <n v="18616"/>
    <s v="2.61"/>
    <s v="0.00"/>
    <s v="97.39"/>
  </r>
  <r>
    <x v="3"/>
    <x v="73"/>
    <n v="6150"/>
    <n v="143"/>
    <n v="389"/>
    <s v="2.33"/>
    <s v="0.00"/>
    <s v="97.67"/>
  </r>
  <r>
    <x v="3"/>
    <x v="72"/>
    <n v="605749"/>
    <n v="15474"/>
    <n v="181438"/>
    <s v="2.55"/>
    <s v="0.00"/>
    <s v="97.45"/>
  </r>
  <r>
    <x v="3"/>
    <x v="71"/>
    <n v="792239"/>
    <n v="16361"/>
    <n v="173701"/>
    <s v="2.07"/>
    <s v="0.00"/>
    <s v="97.93"/>
  </r>
  <r>
    <x v="3"/>
    <x v="70"/>
    <n v="13459"/>
    <n v="168"/>
    <n v="4739"/>
    <s v="1.25"/>
    <s v="0.00"/>
    <s v="98.75"/>
  </r>
  <r>
    <x v="3"/>
    <x v="69"/>
    <n v="54474"/>
    <n v="820"/>
    <n v="23593"/>
    <s v="1.51"/>
    <s v="0.00"/>
    <s v="98.49"/>
  </r>
  <r>
    <x v="3"/>
    <x v="68"/>
    <n v="30709"/>
    <n v="387"/>
    <n v="11202"/>
    <s v="1.26"/>
    <s v="0.00"/>
    <s v="98.74"/>
  </r>
  <r>
    <x v="3"/>
    <x v="67"/>
    <n v="9973"/>
    <n v="341"/>
    <n v="4727"/>
    <s v="3.42"/>
    <s v="0.00"/>
    <s v="96.58"/>
  </r>
  <r>
    <x v="3"/>
    <x v="66"/>
    <n v="6168"/>
    <n v="98"/>
    <n v="1878"/>
    <s v="1.59"/>
    <s v="0.00"/>
    <s v="98.41"/>
  </r>
  <r>
    <x v="3"/>
    <x v="65"/>
    <n v="130391"/>
    <n v="1188"/>
    <n v="115788"/>
    <s v="0.91"/>
    <s v="0.00"/>
    <s v="99.09"/>
  </r>
  <r>
    <x v="3"/>
    <x v="64"/>
    <n v="45028"/>
    <n v="315"/>
    <n v="44312"/>
    <s v="0.70"/>
    <s v="0.00"/>
    <s v="99.30"/>
  </r>
  <r>
    <x v="3"/>
    <x v="63"/>
    <n v="755046"/>
    <n v="10509"/>
    <n v="179554"/>
    <s v="1.39"/>
    <s v="0.00"/>
    <s v="98.61"/>
  </r>
  <r>
    <x v="3"/>
    <x v="62"/>
    <n v="5863"/>
    <n v="200"/>
    <n v="1255"/>
    <s v="3.41"/>
    <s v="0.00"/>
    <s v="96.59"/>
  </r>
  <r>
    <x v="3"/>
    <x v="61"/>
    <n v="9373118"/>
    <n v="142195"/>
    <n v="6023751"/>
    <s v="1.52"/>
    <s v="0.00"/>
    <s v="98.48"/>
  </r>
  <r>
    <x v="3"/>
    <x v="60"/>
    <n v="36310"/>
    <n v="259"/>
    <n v="10669"/>
    <s v="0.71"/>
    <s v="0.00"/>
    <s v="99.29"/>
  </r>
  <r>
    <x v="3"/>
    <x v="59"/>
    <n v="7040242"/>
    <n v="115565"/>
    <n v="109702"/>
    <s v="1.64"/>
    <s v="0.00"/>
    <s v="98.36"/>
  </r>
  <r>
    <x v="3"/>
    <x v="58"/>
    <n v="2667"/>
    <n v="6"/>
    <n v="471"/>
    <s v="0.22"/>
    <s v="0.00"/>
    <s v="99.78"/>
  </r>
  <r>
    <x v="3"/>
    <x v="57"/>
    <n v="52298"/>
    <n v="675"/>
    <n v="28690"/>
    <s v="1.29"/>
    <s v="0.00"/>
    <s v="98.71"/>
  </r>
  <r>
    <x v="3"/>
    <x v="56"/>
    <n v="164492"/>
    <n v="1200"/>
    <n v="153361"/>
    <s v="0.73"/>
    <s v="0.00"/>
    <s v="99.27"/>
  </r>
  <r>
    <x v="3"/>
    <x v="55"/>
    <n v="367369"/>
    <n v="6551"/>
    <n v="150811"/>
    <s v="1.78"/>
    <s v="0.00"/>
    <s v="98.22"/>
  </r>
  <r>
    <x v="3"/>
    <x v="54"/>
    <n v="5032056"/>
    <n v="87558"/>
    <n v="3452461"/>
    <s v="1.74"/>
    <s v="0.00"/>
    <s v="98.26"/>
  </r>
  <r>
    <x v="3"/>
    <x v="53"/>
    <n v="6959"/>
    <n v="47"/>
    <n v="352"/>
    <s v="0.68"/>
    <s v="0.00"/>
    <s v="99.32"/>
  </r>
  <r>
    <x v="3"/>
    <x v="52"/>
    <n v="338414"/>
    <n v="19130"/>
    <n v="214067"/>
    <s v="5.65"/>
    <s v="0.00"/>
    <s v="94.35"/>
  </r>
  <r>
    <x v="3"/>
    <x v="51"/>
    <n v="205883"/>
    <n v="1617"/>
    <n v="129102"/>
    <s v="0.79"/>
    <s v="0.00"/>
    <s v="99.21"/>
  </r>
  <r>
    <x v="3"/>
    <x v="50"/>
    <n v="519386"/>
    <n v="32989"/>
    <n v="77193"/>
    <s v="6.35"/>
    <s v="0.00"/>
    <s v="93.65"/>
  </r>
  <r>
    <x v="3"/>
    <x v="49"/>
    <n v="207254"/>
    <n v="5950"/>
    <n v="127972"/>
    <s v="2.87"/>
    <s v="0.00"/>
    <s v="97.13"/>
  </r>
  <r>
    <x v="3"/>
    <x v="48"/>
    <n v="389090"/>
    <n v="4153"/>
    <n v="374272"/>
    <s v="1.07"/>
    <s v="0.00"/>
    <s v="98.93"/>
  </r>
  <r>
    <x v="3"/>
    <x v="47"/>
    <n v="5070"/>
    <n v="33"/>
    <n v="1688"/>
    <s v="0.65"/>
    <s v="0.00"/>
    <s v="99.35"/>
  </r>
  <r>
    <x v="3"/>
    <x v="46"/>
    <n v="405737"/>
    <n v="2740"/>
    <n v="328667"/>
    <s v="0.68"/>
    <s v="0.00"/>
    <s v="99.32"/>
  </r>
  <r>
    <x v="3"/>
    <x v="45"/>
    <n v="13493"/>
    <n v="186"/>
    <n v="898"/>
    <s v="1.38"/>
    <s v="0.00"/>
    <s v="98.62"/>
  </r>
  <r>
    <x v="3"/>
    <x v="44"/>
    <n v="4816177"/>
    <n v="96731"/>
    <n v="518113"/>
    <s v="2.01"/>
    <s v="0.00"/>
    <s v="97.99"/>
  </r>
  <r>
    <x v="3"/>
    <x v="43"/>
    <n v="1819158"/>
    <n v="31053"/>
    <n v="119802"/>
    <s v="1.71"/>
    <s v="0.00"/>
    <s v="98.29"/>
  </r>
  <r>
    <x v="3"/>
    <x v="42"/>
    <n v="125947"/>
    <n v="577"/>
    <n v="9269"/>
    <s v="0.46"/>
    <s v="0.00"/>
    <s v="99.54"/>
  </r>
  <r>
    <x v="3"/>
    <x v="41"/>
    <n v="38263"/>
    <n v="350"/>
    <n v="23479"/>
    <s v="0.91"/>
    <s v="0.00"/>
    <s v="99.09"/>
  </r>
  <r>
    <x v="3"/>
    <x v="40"/>
    <n v="956452"/>
    <n v="8265"/>
    <n v="776852"/>
    <s v="0.86"/>
    <s v="0.00"/>
    <s v="99.14"/>
  </r>
  <r>
    <x v="3"/>
    <x v="39"/>
    <n v="562966"/>
    <n v="7164"/>
    <n v="551231"/>
    <s v="1.27"/>
    <s v="0.00"/>
    <s v="98.73"/>
  </r>
  <r>
    <x v="3"/>
    <x v="38"/>
    <n v="5016959"/>
    <n v="127571"/>
    <n v="3679047"/>
    <s v="2.54"/>
    <s v="0.00"/>
    <s v="97.46"/>
  </r>
  <r>
    <x v="3"/>
    <x v="37"/>
    <n v="97885"/>
    <n v="4636"/>
    <n v="40226"/>
    <s v="4.74"/>
    <s v="0.00"/>
    <s v="95.26"/>
  </r>
  <r>
    <x v="3"/>
    <x v="36"/>
    <n v="104348"/>
    <n v="1731"/>
    <n v="90149"/>
    <s v="1.66"/>
    <s v="0.00"/>
    <s v="98.34"/>
  </r>
  <r>
    <x v="3"/>
    <x v="35"/>
    <n v="1711442"/>
    <n v="37879"/>
    <n v="83323"/>
    <s v="2.21"/>
    <s v="0.00"/>
    <s v="97.79"/>
  </r>
  <r>
    <x v="3"/>
    <x v="34"/>
    <n v="61426"/>
    <n v="699"/>
    <n v="27728"/>
    <s v="1.14"/>
    <s v="0.00"/>
    <s v="98.86"/>
  </r>
  <r>
    <x v="3"/>
    <x v="33"/>
    <n v="894093"/>
    <n v="11282"/>
    <n v="690789"/>
    <s v="1.26"/>
    <s v="0.00"/>
    <s v="98.74"/>
  </r>
  <r>
    <x v="3"/>
    <x v="32"/>
    <n v="18153"/>
    <n v="309"/>
    <n v="7758"/>
    <s v="1.70"/>
    <s v="0.00"/>
    <s v="98.30"/>
  </r>
  <r>
    <x v="3"/>
    <x v="31"/>
    <n v="11579"/>
    <n v="100"/>
    <n v="4975"/>
    <s v="0.86"/>
    <s v="0.00"/>
    <s v="99.14"/>
  </r>
  <r>
    <x v="3"/>
    <x v="30"/>
    <n v="57638"/>
    <n v="1099"/>
    <n v="38195"/>
    <s v="1.91"/>
    <s v="0.00"/>
    <s v="98.09"/>
  </r>
  <r>
    <x v="3"/>
    <x v="29"/>
    <n v="1743338"/>
    <n v="29246"/>
    <n v="1612969"/>
    <s v="1.68"/>
    <s v="0.00"/>
    <s v="98.32"/>
  </r>
  <r>
    <x v="3"/>
    <x v="28"/>
    <n v="28162"/>
    <n v="509"/>
    <n v="19812"/>
    <s v="1.81"/>
    <s v="0.00"/>
    <s v="98.19"/>
  </r>
  <r>
    <x v="3"/>
    <x v="27"/>
    <n v="615814"/>
    <n v="4758"/>
    <n v="220002"/>
    <s v="0.77"/>
    <s v="0.00"/>
    <s v="99.23"/>
  </r>
  <r>
    <x v="3"/>
    <x v="26"/>
    <n v="193449"/>
    <n v="2409"/>
    <n v="188247"/>
    <s v="1.25"/>
    <s v="0.00"/>
    <s v="98.75"/>
  </r>
  <r>
    <x v="3"/>
    <x v="25"/>
    <n v="2623"/>
    <n v="3"/>
    <n v="689"/>
    <s v="0.11"/>
    <s v="0.00"/>
    <s v="99.89"/>
  </r>
  <r>
    <x v="3"/>
    <x v="24"/>
    <n v="22529"/>
    <n v="661"/>
    <n v="13472"/>
    <s v="2.93"/>
    <s v="0.00"/>
    <s v="97.07"/>
  </r>
  <r>
    <x v="3"/>
    <x v="23"/>
    <n v="21886077"/>
    <n v="609573"/>
    <n v="4718114"/>
    <s v="2.79"/>
    <s v="0.00"/>
    <s v="97.21"/>
  </r>
  <r>
    <x v="3"/>
    <x v="22"/>
    <n v="518266"/>
    <n v="18967"/>
    <n v="248993"/>
    <s v="3.66"/>
    <s v="0.00"/>
    <s v="96.34"/>
  </r>
  <r>
    <x v="3"/>
    <x v="21"/>
    <n v="13782"/>
    <n v="93"/>
    <n v="5481"/>
    <s v="0.67"/>
    <s v="0.00"/>
    <s v="99.33"/>
  </r>
  <r>
    <x v="3"/>
    <x v="20"/>
    <n v="1660"/>
    <n v="6"/>
    <n v="1316"/>
    <s v="0.36"/>
    <s v="0.00"/>
    <s v="99.64"/>
  </r>
  <r>
    <x v="3"/>
    <x v="19"/>
    <n v="24804"/>
    <n v="161"/>
    <n v="6162"/>
    <s v="0.65"/>
    <s v="0.00"/>
    <s v="99.35"/>
  </r>
  <r>
    <x v="3"/>
    <x v="18"/>
    <n v="20162"/>
    <n v="38"/>
    <n v="4391"/>
    <s v="0.19"/>
    <s v="0.00"/>
    <s v="99.81"/>
  </r>
  <r>
    <x v="3"/>
    <x v="17"/>
    <n v="277098"/>
    <n v="1393"/>
    <n v="89605"/>
    <s v="0.50"/>
    <s v="0.00"/>
    <s v="99.50"/>
  </r>
  <r>
    <x v="3"/>
    <x v="16"/>
    <n v="638048"/>
    <n v="25408"/>
    <n v="314986"/>
    <s v="3.98"/>
    <s v="0.00"/>
    <s v="96.02"/>
  </r>
  <r>
    <x v="3"/>
    <x v="15"/>
    <n v="15103"/>
    <n v="221"/>
    <n v="9302"/>
    <s v="1.46"/>
    <s v="0.00"/>
    <s v="98.54"/>
  </r>
  <r>
    <x v="3"/>
    <x v="14"/>
    <n v="1438830"/>
    <n v="26200"/>
    <n v="783304"/>
    <s v="1.82"/>
    <s v="0.00"/>
    <s v="98.18"/>
  </r>
  <r>
    <x v="3"/>
    <x v="13"/>
    <n v="1571228"/>
    <n v="27901"/>
    <n v="678732"/>
    <s v="1.78"/>
    <s v="0.00"/>
    <s v="98.22"/>
  </r>
  <r>
    <x v="3"/>
    <x v="12"/>
    <n v="20265"/>
    <n v="181"/>
    <n v="13397"/>
    <s v="0.89"/>
    <s v="0.00"/>
    <s v="99.11"/>
  </r>
  <r>
    <x v="3"/>
    <x v="11"/>
    <n v="259913"/>
    <n v="11840"/>
    <n v="149109"/>
    <s v="4.56"/>
    <s v="0.00"/>
    <s v="95.44"/>
  </r>
  <r>
    <x v="3"/>
    <x v="10"/>
    <n v="548591"/>
    <n v="7293"/>
    <n v="298281"/>
    <s v="1.33"/>
    <s v="0.00"/>
    <s v="98.67"/>
  </r>
  <r>
    <x v="3"/>
    <x v="9"/>
    <n v="182870"/>
    <n v="1841"/>
    <n v="142652"/>
    <s v="1.01"/>
    <s v="0.00"/>
    <s v="98.99"/>
  </r>
  <r>
    <x v="3"/>
    <x v="8"/>
    <n v="892065"/>
    <n v="11515"/>
    <n v="649385"/>
    <s v="1.29"/>
    <s v="0.00"/>
    <s v="98.71"/>
  </r>
  <r>
    <x v="3"/>
    <x v="7"/>
    <n v="5298069"/>
    <n v="116143"/>
    <n v="1156464"/>
    <s v="2.19"/>
    <s v="0.00"/>
    <s v="97.81"/>
  </r>
  <r>
    <x v="3"/>
    <x v="6"/>
    <n v="64724"/>
    <n v="1721"/>
    <n v="49487"/>
    <s v="2.66"/>
    <s v="0.00"/>
    <s v="97.34"/>
  </r>
  <r>
    <x v="3"/>
    <x v="5"/>
    <n v="321243"/>
    <n v="6700"/>
    <n v="5373"/>
    <s v="2.09"/>
    <s v="0.00"/>
    <s v="97.91"/>
  </r>
  <r>
    <x v="3"/>
    <x v="4"/>
    <n v="189355"/>
    <n v="2966"/>
    <n v="81993"/>
    <s v="1.57"/>
    <s v="0.00"/>
    <s v="98.43"/>
  </r>
  <r>
    <x v="3"/>
    <x v="3"/>
    <n v="4091"/>
    <n v="105"/>
    <n v="1170"/>
    <s v="2.57"/>
    <s v="0.00"/>
    <s v="97.43"/>
  </r>
  <r>
    <x v="3"/>
    <x v="2"/>
    <n v="156397"/>
    <n v="7288"/>
    <n v="55409"/>
    <s v="4.66"/>
    <s v="0.00"/>
    <s v="95.34"/>
  </r>
  <r>
    <x v="3"/>
    <x v="1"/>
    <n v="740500"/>
    <n v="2142"/>
    <n v="279060"/>
    <s v="0.29"/>
    <s v="0.00"/>
    <s v="99.71"/>
  </r>
  <r>
    <x v="3"/>
    <x v="0"/>
    <n v="15705"/>
    <n v="130"/>
    <n v="6298"/>
    <s v="0.83"/>
    <s v="0.00"/>
    <s v="99.17"/>
  </r>
  <r>
    <x v="4"/>
    <x v="0"/>
    <n v="15618"/>
    <n v="130"/>
    <n v="13201"/>
    <s v="0.83"/>
    <s v="0.00"/>
    <s v="99.17"/>
  </r>
  <r>
    <x v="4"/>
    <x v="1"/>
    <n v="740432"/>
    <n v="2140"/>
    <n v="634788"/>
    <s v="0.29"/>
    <s v="0.00"/>
    <s v="99.71"/>
  </r>
  <r>
    <x v="4"/>
    <x v="2"/>
    <n v="156397"/>
    <n v="7284"/>
    <n v="126534"/>
    <s v="4.66"/>
    <s v="0.00"/>
    <s v="95.34"/>
  </r>
  <r>
    <x v="4"/>
    <x v="3"/>
    <n v="4091"/>
    <n v="105"/>
    <n v="937"/>
    <s v="2.57"/>
    <s v="0.00"/>
    <s v="97.43"/>
  </r>
  <r>
    <x v="4"/>
    <x v="4"/>
    <n v="189125"/>
    <n v="2955"/>
    <n v="110860"/>
    <s v="1.56"/>
    <s v="0.00"/>
    <s v="98.44"/>
  </r>
  <r>
    <x v="4"/>
    <x v="5"/>
    <n v="320433"/>
    <n v="6670"/>
    <n v="164933"/>
    <s v="2.08"/>
    <s v="0.00"/>
    <s v="97.92"/>
  </r>
  <r>
    <x v="4"/>
    <x v="6"/>
    <n v="64674"/>
    <n v="1720"/>
    <n v="3107"/>
    <s v="2.66"/>
    <s v="0.00"/>
    <s v="97.34"/>
  </r>
  <r>
    <x v="4"/>
    <x v="7"/>
    <n v="5296781"/>
    <n v="116104"/>
    <n v="1302880"/>
    <s v="2.19"/>
    <s v="0.00"/>
    <s v="97.81"/>
  </r>
  <r>
    <x v="4"/>
    <x v="8"/>
    <n v="883887"/>
    <n v="11502"/>
    <n v="133499"/>
    <s v="1.30"/>
    <s v="0.00"/>
    <s v="98.70"/>
  </r>
  <r>
    <x v="4"/>
    <x v="9"/>
    <n v="181578"/>
    <n v="1827"/>
    <n v="140757"/>
    <s v="1.01"/>
    <s v="0.00"/>
    <s v="98.99"/>
  </r>
  <r>
    <x v="4"/>
    <x v="10"/>
    <n v="547281"/>
    <n v="7269"/>
    <n v="372813"/>
    <s v="1.33"/>
    <s v="0.00"/>
    <s v="98.67"/>
  </r>
  <r>
    <x v="4"/>
    <x v="11"/>
    <n v="257401"/>
    <n v="11717"/>
    <n v="47280"/>
    <s v="4.55"/>
    <s v="0.00"/>
    <s v="95.45"/>
  </r>
  <r>
    <x v="4"/>
    <x v="12"/>
    <n v="20069"/>
    <n v="180"/>
    <n v="1830"/>
    <s v="0.90"/>
    <s v="0.00"/>
    <s v="99.10"/>
  </r>
  <r>
    <x v="4"/>
    <x v="13"/>
    <n v="1571013"/>
    <n v="27895"/>
    <n v="205796"/>
    <s v="1.78"/>
    <s v="0.00"/>
    <s v="98.22"/>
  </r>
  <r>
    <x v="4"/>
    <x v="14"/>
    <n v="1414463"/>
    <n v="26131"/>
    <n v="1199828"/>
    <s v="1.85"/>
    <s v="0.00"/>
    <s v="98.15"/>
  </r>
  <r>
    <x v="4"/>
    <x v="15"/>
    <n v="15103"/>
    <n v="221"/>
    <n v="7082"/>
    <s v="1.46"/>
    <s v="0.00"/>
    <s v="98.54"/>
  </r>
  <r>
    <x v="4"/>
    <x v="16"/>
    <n v="632762"/>
    <n v="25074"/>
    <n v="375696"/>
    <s v="3.96"/>
    <s v="0.00"/>
    <s v="96.04"/>
  </r>
  <r>
    <x v="4"/>
    <x v="17"/>
    <n v="277081"/>
    <n v="1393"/>
    <n v="63910"/>
    <s v="0.50"/>
    <s v="0.00"/>
    <s v="99.50"/>
  </r>
  <r>
    <x v="4"/>
    <x v="18"/>
    <n v="20136"/>
    <n v="38"/>
    <n v="13812"/>
    <s v="0.19"/>
    <s v="0.00"/>
    <s v="99.81"/>
  </r>
  <r>
    <x v="4"/>
    <x v="19"/>
    <n v="24804"/>
    <n v="161"/>
    <n v="12941"/>
    <s v="0.65"/>
    <s v="0.00"/>
    <s v="99.35"/>
  </r>
  <r>
    <x v="4"/>
    <x v="20"/>
    <n v="1660"/>
    <n v="6"/>
    <n v="1509"/>
    <s v="0.36"/>
    <s v="0.00"/>
    <s v="99.64"/>
  </r>
  <r>
    <x v="4"/>
    <x v="21"/>
    <n v="13742"/>
    <n v="93"/>
    <n v="1878"/>
    <s v="0.68"/>
    <s v="0.00"/>
    <s v="99.32"/>
  </r>
  <r>
    <x v="4"/>
    <x v="22"/>
    <n v="517902"/>
    <n v="18964"/>
    <n v="212019"/>
    <s v="3.66"/>
    <s v="0.00"/>
    <s v="96.34"/>
  </r>
  <r>
    <x v="4"/>
    <x v="23"/>
    <n v="21880439"/>
    <n v="609447"/>
    <n v="6564293"/>
    <s v="2.79"/>
    <s v="0.00"/>
    <s v="97.21"/>
  </r>
  <r>
    <x v="4"/>
    <x v="24"/>
    <n v="22485"/>
    <n v="657"/>
    <n v="201"/>
    <s v="2.92"/>
    <s v="0.00"/>
    <s v="97.08"/>
  </r>
  <r>
    <x v="4"/>
    <x v="25"/>
    <n v="2623"/>
    <n v="3"/>
    <n v="840"/>
    <s v="0.11"/>
    <s v="0.00"/>
    <s v="99.89"/>
  </r>
  <r>
    <x v="4"/>
    <x v="26"/>
    <n v="192935"/>
    <n v="2407"/>
    <n v="70555"/>
    <s v="1.25"/>
    <s v="0.00"/>
    <s v="98.75"/>
  </r>
  <r>
    <x v="4"/>
    <x v="27"/>
    <n v="613927"/>
    <n v="4745"/>
    <n v="275207"/>
    <s v="0.77"/>
    <s v="0.00"/>
    <s v="99.23"/>
  </r>
  <r>
    <x v="4"/>
    <x v="28"/>
    <n v="27894"/>
    <n v="509"/>
    <n v="16918"/>
    <s v="1.82"/>
    <s v="0.00"/>
    <s v="98.18"/>
  </r>
  <r>
    <x v="4"/>
    <x v="29"/>
    <n v="1738543"/>
    <n v="29203"/>
    <n v="322474"/>
    <s v="1.68"/>
    <s v="0.00"/>
    <s v="98.32"/>
  </r>
  <r>
    <x v="4"/>
    <x v="30"/>
    <n v="57605"/>
    <n v="1098"/>
    <n v="40903"/>
    <s v="1.91"/>
    <s v="0.00"/>
    <s v="98.09"/>
  </r>
  <r>
    <x v="4"/>
    <x v="31"/>
    <n v="11579"/>
    <n v="100"/>
    <n v="5461"/>
    <s v="0.86"/>
    <s v="0.00"/>
    <s v="99.14"/>
  </r>
  <r>
    <x v="4"/>
    <x v="32"/>
    <n v="17944"/>
    <n v="297"/>
    <n v="16922"/>
    <s v="1.66"/>
    <s v="0.00"/>
    <s v="98.34"/>
  </r>
  <r>
    <x v="4"/>
    <x v="33"/>
    <n v="887446"/>
    <n v="11274"/>
    <n v="269774"/>
    <s v="1.27"/>
    <s v="0.00"/>
    <s v="98.73"/>
  </r>
  <r>
    <x v="4"/>
    <x v="34"/>
    <n v="61421"/>
    <n v="699"/>
    <n v="6194"/>
    <s v="1.14"/>
    <s v="0.00"/>
    <s v="98.86"/>
  </r>
  <r>
    <x v="4"/>
    <x v="35"/>
    <n v="1709189"/>
    <n v="37862"/>
    <n v="488949"/>
    <s v="2.22"/>
    <s v="0.00"/>
    <s v="97.78"/>
  </r>
  <r>
    <x v="4"/>
    <x v="36"/>
    <n v="104348"/>
    <n v="1731"/>
    <n v="24584"/>
    <s v="1.66"/>
    <s v="0.00"/>
    <s v="98.34"/>
  </r>
  <r>
    <x v="4"/>
    <x v="37"/>
    <n v="97823"/>
    <n v="4636"/>
    <n v="82723"/>
    <s v="4.74"/>
    <s v="0.00"/>
    <s v="95.26"/>
  </r>
  <r>
    <x v="4"/>
    <x v="38"/>
    <n v="5015042"/>
    <n v="127533"/>
    <n v="4007855"/>
    <s v="2.54"/>
    <s v="0.00"/>
    <s v="97.46"/>
  </r>
  <r>
    <x v="4"/>
    <x v="39"/>
    <n v="562316"/>
    <n v="7134"/>
    <n v="868"/>
    <s v="1.27"/>
    <s v="0.00"/>
    <s v="98.73"/>
  </r>
  <r>
    <x v="4"/>
    <x v="40"/>
    <n v="955981"/>
    <n v="8262"/>
    <n v="674692"/>
    <s v="0.86"/>
    <s v="0.00"/>
    <s v="99.14"/>
  </r>
  <r>
    <x v="4"/>
    <x v="41"/>
    <n v="38256"/>
    <n v="349"/>
    <n v="5616"/>
    <s v="0.91"/>
    <s v="0.00"/>
    <s v="99.09"/>
  </r>
  <r>
    <x v="4"/>
    <x v="42"/>
    <n v="125413"/>
    <n v="577"/>
    <n v="34891"/>
    <s v="0.46"/>
    <s v="0.00"/>
    <s v="99.54"/>
  </r>
  <r>
    <x v="4"/>
    <x v="43"/>
    <n v="1816161"/>
    <n v="31022"/>
    <n v="488092"/>
    <s v="1.71"/>
    <s v="0.00"/>
    <s v="98.29"/>
  </r>
  <r>
    <x v="4"/>
    <x v="44"/>
    <n v="4792463"/>
    <n v="96563"/>
    <n v="955849"/>
    <s v="2.01"/>
    <s v="0.00"/>
    <s v="97.99"/>
  </r>
  <r>
    <x v="4"/>
    <x v="45"/>
    <n v="13491"/>
    <n v="186"/>
    <n v="1221"/>
    <s v="1.38"/>
    <s v="0.00"/>
    <s v="98.62"/>
  </r>
  <r>
    <x v="4"/>
    <x v="46"/>
    <n v="403420"/>
    <n v="2738"/>
    <n v="86544"/>
    <s v="0.68"/>
    <s v="0.00"/>
    <s v="99.32"/>
  </r>
  <r>
    <x v="4"/>
    <x v="47"/>
    <n v="4961"/>
    <n v="32"/>
    <n v="1396"/>
    <s v="0.65"/>
    <s v="0.00"/>
    <s v="99.35"/>
  </r>
  <r>
    <x v="4"/>
    <x v="48"/>
    <n v="388165"/>
    <n v="4150"/>
    <n v="32436"/>
    <s v="1.07"/>
    <s v="0.00"/>
    <s v="98.93"/>
  </r>
  <r>
    <x v="4"/>
    <x v="49"/>
    <n v="207156"/>
    <n v="5945"/>
    <n v="70100"/>
    <s v="2.87"/>
    <s v="0.00"/>
    <s v="97.13"/>
  </r>
  <r>
    <x v="4"/>
    <x v="50"/>
    <n v="519386"/>
    <n v="32989"/>
    <n v="282560"/>
    <s v="6.35"/>
    <s v="0.00"/>
    <s v="93.65"/>
  </r>
  <r>
    <x v="4"/>
    <x v="51"/>
    <n v="205096"/>
    <n v="1610"/>
    <n v="82657"/>
    <s v="0.78"/>
    <s v="0.00"/>
    <s v="99.22"/>
  </r>
  <r>
    <x v="4"/>
    <x v="52"/>
    <n v="337485"/>
    <n v="19076"/>
    <n v="207759"/>
    <s v="5.65"/>
    <s v="0.00"/>
    <s v="94.35"/>
  </r>
  <r>
    <x v="4"/>
    <x v="53"/>
    <n v="6948"/>
    <n v="46"/>
    <n v="5259"/>
    <s v="0.66"/>
    <s v="0.00"/>
    <s v="99.34"/>
  </r>
  <r>
    <x v="4"/>
    <x v="54"/>
    <n v="5025639"/>
    <n v="87504"/>
    <n v="270583"/>
    <s v="1.74"/>
    <s v="0.00"/>
    <s v="98.26"/>
  </r>
  <r>
    <x v="4"/>
    <x v="55"/>
    <n v="367210"/>
    <n v="6542"/>
    <n v="175519"/>
    <s v="1.78"/>
    <s v="0.00"/>
    <s v="98.22"/>
  </r>
  <r>
    <x v="4"/>
    <x v="56"/>
    <n v="162476"/>
    <n v="1188"/>
    <n v="156078"/>
    <s v="0.73"/>
    <s v="0.00"/>
    <s v="99.27"/>
  </r>
  <r>
    <x v="4"/>
    <x v="57"/>
    <n v="52247"/>
    <n v="674"/>
    <n v="5312"/>
    <s v="1.29"/>
    <s v="0.00"/>
    <s v="98.71"/>
  </r>
  <r>
    <x v="4"/>
    <x v="58"/>
    <n v="2615"/>
    <n v="5"/>
    <n v="2142"/>
    <s v="0.19"/>
    <s v="0.00"/>
    <s v="99.81"/>
  </r>
  <r>
    <x v="4"/>
    <x v="59"/>
    <n v="7038485"/>
    <n v="115523"/>
    <n v="6562266"/>
    <s v="1.64"/>
    <s v="0.00"/>
    <s v="98.36"/>
  </r>
  <r>
    <x v="4"/>
    <x v="60"/>
    <n v="36174"/>
    <n v="254"/>
    <n v="24177"/>
    <s v="0.70"/>
    <s v="0.00"/>
    <s v="99.30"/>
  </r>
  <r>
    <x v="4"/>
    <x v="61"/>
    <n v="9340808"/>
    <n v="142138"/>
    <n v="4029304"/>
    <s v="1.52"/>
    <s v="0.00"/>
    <s v="98.48"/>
  </r>
  <r>
    <x v="4"/>
    <x v="62"/>
    <n v="5861"/>
    <n v="198"/>
    <n v="1406"/>
    <s v="3.38"/>
    <s v="0.00"/>
    <s v="96.62"/>
  </r>
  <r>
    <x v="4"/>
    <x v="63"/>
    <n v="752855"/>
    <n v="10435"/>
    <n v="80567"/>
    <s v="1.39"/>
    <s v="0.00"/>
    <s v="98.61"/>
  </r>
  <r>
    <x v="4"/>
    <x v="64"/>
    <n v="44964"/>
    <n v="313"/>
    <n v="10455"/>
    <s v="0.70"/>
    <s v="0.00"/>
    <s v="99.30"/>
  </r>
  <r>
    <x v="4"/>
    <x v="65"/>
    <n v="130391"/>
    <n v="1188"/>
    <n v="122549"/>
    <s v="0.91"/>
    <s v="0.00"/>
    <s v="99.09"/>
  </r>
  <r>
    <x v="4"/>
    <x v="66"/>
    <n v="6153"/>
    <n v="98"/>
    <n v="5888"/>
    <s v="1.59"/>
    <s v="0.00"/>
    <s v="98.41"/>
  </r>
  <r>
    <x v="4"/>
    <x v="67"/>
    <n v="9973"/>
    <n v="341"/>
    <n v="2142"/>
    <s v="3.42"/>
    <s v="0.00"/>
    <s v="96.58"/>
  </r>
  <r>
    <x v="4"/>
    <x v="68"/>
    <n v="30681"/>
    <n v="385"/>
    <n v="23210"/>
    <s v="1.25"/>
    <s v="0.00"/>
    <s v="98.75"/>
  </r>
  <r>
    <x v="4"/>
    <x v="69"/>
    <n v="54474"/>
    <n v="820"/>
    <n v="24823"/>
    <s v="1.51"/>
    <s v="0.00"/>
    <s v="98.49"/>
  </r>
  <r>
    <x v="4"/>
    <x v="70"/>
    <n v="13407"/>
    <n v="168"/>
    <n v="3538"/>
    <s v="1.25"/>
    <s v="0.00"/>
    <s v="98.75"/>
  </r>
  <r>
    <x v="4"/>
    <x v="71"/>
    <n v="784904"/>
    <n v="16295"/>
    <n v="75011"/>
    <s v="2.08"/>
    <s v="0.00"/>
    <s v="97.92"/>
  </r>
  <r>
    <x v="4"/>
    <x v="72"/>
    <n v="605664"/>
    <n v="15437"/>
    <n v="214146"/>
    <s v="2.55"/>
    <s v="0.00"/>
    <s v="97.45"/>
  </r>
  <r>
    <x v="4"/>
    <x v="73"/>
    <n v="6150"/>
    <n v="143"/>
    <n v="5172"/>
    <s v="2.33"/>
    <s v="0.00"/>
    <s v="97.67"/>
  </r>
  <r>
    <x v="4"/>
    <x v="74"/>
    <n v="36079"/>
    <n v="941"/>
    <n v="13888"/>
    <s v="2.61"/>
    <s v="0.00"/>
    <s v="97.39"/>
  </r>
  <r>
    <x v="4"/>
    <x v="75"/>
    <n v="12368"/>
    <n v="213"/>
    <n v="3084"/>
    <s v="1.72"/>
    <s v="0.00"/>
    <s v="98.28"/>
  </r>
  <r>
    <x v="4"/>
    <x v="76"/>
    <n v="376281"/>
    <n v="10308"/>
    <n v="223142"/>
    <s v="2.74"/>
    <s v="0.00"/>
    <s v="97.26"/>
  </r>
  <r>
    <x v="4"/>
    <x v="77"/>
    <n v="501327"/>
    <n v="9500"/>
    <n v="102245"/>
    <s v="1.89"/>
    <s v="0.00"/>
    <s v="98.11"/>
  </r>
  <r>
    <x v="4"/>
    <x v="78"/>
    <n v="24073"/>
    <n v="685"/>
    <n v="3400"/>
    <s v="2.85"/>
    <s v="0.00"/>
    <s v="97.15"/>
  </r>
  <r>
    <x v="4"/>
    <x v="79"/>
    <n v="892164"/>
    <n v="31184"/>
    <n v="417756"/>
    <s v="3.50"/>
    <s v="0.00"/>
    <s v="96.50"/>
  </r>
  <r>
    <x v="4"/>
    <x v="80"/>
    <n v="4248165"/>
    <n v="143545"/>
    <n v="2936132"/>
    <s v="3.38"/>
    <s v="0.00"/>
    <s v="96.62"/>
  </r>
  <r>
    <x v="4"/>
    <x v="81"/>
    <n v="469386"/>
    <n v="5492"/>
    <n v="158264"/>
    <s v="1.17"/>
    <s v="0.00"/>
    <s v="98.83"/>
  </r>
  <r>
    <x v="4"/>
    <x v="82"/>
    <n v="1333989"/>
    <n v="8122"/>
    <n v="611590"/>
    <s v="0.61"/>
    <s v="0.00"/>
    <s v="99.39"/>
  </r>
  <r>
    <x v="4"/>
    <x v="83"/>
    <n v="34366987"/>
    <n v="461057"/>
    <n v="33556828"/>
    <s v="1.34"/>
    <s v="0.00"/>
    <s v="98.66"/>
  </r>
  <r>
    <x v="4"/>
    <x v="84"/>
    <n v="2062863"/>
    <n v="23344"/>
    <n v="1562355"/>
    <s v="1.13"/>
    <s v="0.00"/>
    <s v="98.87"/>
  </r>
  <r>
    <x v="4"/>
    <x v="85"/>
    <n v="5987814"/>
    <n v="127299"/>
    <n v="3375510"/>
    <s v="2.13"/>
    <s v="0.00"/>
    <s v="97.87"/>
  </r>
  <r>
    <x v="4"/>
    <x v="86"/>
    <n v="14255"/>
    <n v="34"/>
    <n v="5340"/>
    <s v="0.24"/>
    <s v="0.00"/>
    <s v="99.76"/>
  </r>
  <r>
    <x v="4"/>
    <x v="87"/>
    <n v="4808047"/>
    <n v="132391"/>
    <n v="3328263"/>
    <s v="2.75"/>
    <s v="0.00"/>
    <s v="97.25"/>
  </r>
  <r>
    <x v="4"/>
    <x v="88"/>
    <n v="89681"/>
    <n v="2275"/>
    <n v="3514"/>
    <s v="2.54"/>
    <s v="0.00"/>
    <s v="97.46"/>
  </r>
  <r>
    <x v="4"/>
    <x v="89"/>
    <n v="875804"/>
    <n v="11128"/>
    <n v="815010"/>
    <s v="1.27"/>
    <s v="0.00"/>
    <s v="98.73"/>
  </r>
  <r>
    <x v="4"/>
    <x v="90"/>
    <n v="1723682"/>
    <n v="18306"/>
    <n v="1665882"/>
    <s v="1.06"/>
    <s v="0.00"/>
    <s v="98.94"/>
  </r>
  <r>
    <x v="4"/>
    <x v="91"/>
    <n v="253833"/>
    <n v="5312"/>
    <n v="44781"/>
    <s v="2.09"/>
    <s v="0.00"/>
    <s v="97.91"/>
  </r>
  <r>
    <x v="4"/>
    <x v="92"/>
    <n v="181830"/>
    <n v="2686"/>
    <n v="114855"/>
    <s v="1.48"/>
    <s v="0.00"/>
    <s v="98.52"/>
  </r>
  <r>
    <x v="4"/>
    <x v="94"/>
    <n v="2"/>
    <n v="0"/>
    <n v="0"/>
    <s v="0.00"/>
    <s v="0.00"/>
    <s v="100.00"/>
  </r>
  <r>
    <x v="4"/>
    <x v="93"/>
    <n v="119092"/>
    <n v="2829"/>
    <n v="13314"/>
    <s v="2.38"/>
    <s v="0.00"/>
    <s v="97.62"/>
  </r>
  <r>
    <x v="4"/>
    <x v="95"/>
    <n v="4315"/>
    <n v="147"/>
    <n v="2162"/>
    <s v="3.41"/>
    <s v="0.00"/>
    <s v="96.59"/>
  </r>
  <r>
    <x v="4"/>
    <x v="96"/>
    <n v="2717"/>
    <n v="25"/>
    <n v="2300"/>
    <s v="0.92"/>
    <s v="0.00"/>
    <s v="99.08"/>
  </r>
  <r>
    <x v="4"/>
    <x v="97"/>
    <n v="381694"/>
    <n v="2980"/>
    <n v="6813"/>
    <s v="0.78"/>
    <s v="0.00"/>
    <s v="99.22"/>
  </r>
  <r>
    <x v="4"/>
    <x v="98"/>
    <n v="412844"/>
    <n v="2462"/>
    <n v="171695"/>
    <s v="0.60"/>
    <s v="0.00"/>
    <s v="99.40"/>
  </r>
  <r>
    <x v="4"/>
    <x v="99"/>
    <n v="1029986"/>
    <n v="17263"/>
    <n v="175917"/>
    <s v="1.68"/>
    <s v="0.00"/>
    <s v="98.32"/>
  </r>
  <r>
    <x v="4"/>
    <x v="100"/>
    <n v="47056"/>
    <n v="82"/>
    <n v="4767"/>
    <s v="0.17"/>
    <s v="0.00"/>
    <s v="99.83"/>
  </r>
  <r>
    <x v="4"/>
    <x v="101"/>
    <n v="646629"/>
    <n v="8546"/>
    <n v="583340"/>
    <s v="1.32"/>
    <s v="0.00"/>
    <s v="98.68"/>
  </r>
  <r>
    <x v="4"/>
    <x v="102"/>
    <n v="12688"/>
    <n v="260"/>
    <n v="3222"/>
    <s v="2.05"/>
    <s v="0.00"/>
    <s v="97.95"/>
  </r>
  <r>
    <x v="4"/>
    <x v="103"/>
    <n v="3728"/>
    <n v="61"/>
    <n v="2192"/>
    <s v="1.64"/>
    <s v="0.00"/>
    <s v="98.36"/>
  </r>
  <r>
    <x v="4"/>
    <x v="104"/>
    <n v="545256"/>
    <n v="13856"/>
    <n v="45041"/>
    <s v="2.54"/>
    <s v="0.00"/>
    <s v="97.46"/>
  </r>
  <r>
    <x v="4"/>
    <x v="105"/>
    <n v="5815"/>
    <n v="287"/>
    <n v="2212"/>
    <s v="4.94"/>
    <s v="0.00"/>
    <s v="95.06"/>
  </r>
  <r>
    <x v="4"/>
    <x v="106"/>
    <n v="21685"/>
    <n v="659"/>
    <n v="18092"/>
    <s v="3.04"/>
    <s v="0.00"/>
    <s v="96.96"/>
  </r>
  <r>
    <x v="4"/>
    <x v="107"/>
    <n v="427118"/>
    <n v="6111"/>
    <n v="26533"/>
    <s v="1.43"/>
    <s v="0.00"/>
    <s v="98.57"/>
  </r>
  <r>
    <x v="4"/>
    <x v="108"/>
    <n v="82842"/>
    <n v="849"/>
    <n v="47605"/>
    <s v="1.02"/>
    <s v="0.00"/>
    <s v="98.98"/>
  </r>
  <r>
    <x v="4"/>
    <x v="109"/>
    <n v="231824"/>
    <n v="3499"/>
    <n v="142767"/>
    <s v="1.51"/>
    <s v="0.00"/>
    <s v="98.49"/>
  </r>
  <r>
    <x v="4"/>
    <x v="110"/>
    <n v="360914"/>
    <n v="5207"/>
    <n v="289400"/>
    <s v="1.44"/>
    <s v="0.00"/>
    <s v="98.56"/>
  </r>
  <r>
    <x v="4"/>
    <x v="111"/>
    <n v="947396"/>
    <n v="14713"/>
    <n v="631039"/>
    <s v="1.55"/>
    <s v="0.00"/>
    <s v="98.45"/>
  </r>
  <r>
    <x v="4"/>
    <x v="112"/>
    <n v="3436"/>
    <n v="36"/>
    <n v="1087"/>
    <s v="1.05"/>
    <s v="0.00"/>
    <s v="98.95"/>
  </r>
  <r>
    <x v="4"/>
    <x v="113"/>
    <n v="345964"/>
    <n v="8099"/>
    <n v="268356"/>
    <s v="2.34"/>
    <s v="0.00"/>
    <s v="97.66"/>
  </r>
  <r>
    <x v="4"/>
    <x v="114"/>
    <n v="148579"/>
    <n v="2148"/>
    <n v="112893"/>
    <s v="1.45"/>
    <s v="0.00"/>
    <s v="98.55"/>
  </r>
  <r>
    <x v="4"/>
    <x v="115"/>
    <n v="3941"/>
    <n v="56"/>
    <n v="2060"/>
    <s v="1.42"/>
    <s v="0.00"/>
    <s v="98.58"/>
  </r>
  <r>
    <x v="4"/>
    <x v="116"/>
    <n v="43632"/>
    <n v="964"/>
    <n v="38030"/>
    <s v="2.21"/>
    <s v="0.00"/>
    <s v="97.79"/>
  </r>
  <r>
    <x v="4"/>
    <x v="117"/>
    <n v="4"/>
    <n v="0"/>
    <n v="3"/>
    <s v="0.00"/>
    <s v="0.00"/>
    <s v="100.00"/>
  </r>
  <r>
    <x v="4"/>
    <x v="118"/>
    <n v="206077"/>
    <n v="7232"/>
    <n v="103562"/>
    <s v="3.51"/>
    <s v="0.00"/>
    <s v="96.49"/>
  </r>
  <r>
    <x v="4"/>
    <x v="119"/>
    <n v="16371"/>
    <n v="576"/>
    <n v="15580"/>
    <s v="3.52"/>
    <s v="0.00"/>
    <s v="96.48"/>
  </r>
  <r>
    <x v="4"/>
    <x v="120"/>
    <n v="506816"/>
    <n v="18821"/>
    <n v="53215"/>
    <s v="3.71"/>
    <s v="0.00"/>
    <s v="96.29"/>
  </r>
  <r>
    <x v="4"/>
    <x v="121"/>
    <n v="367412"/>
    <n v="1817"/>
    <n v="346600"/>
    <s v="0.49"/>
    <s v="0.00"/>
    <s v="99.51"/>
  </r>
  <r>
    <x v="4"/>
    <x v="122"/>
    <n v="77"/>
    <n v="0"/>
    <n v="62"/>
    <s v="0.00"/>
    <s v="0.00"/>
    <s v="100.00"/>
  </r>
  <r>
    <x v="4"/>
    <x v="123"/>
    <n v="43347"/>
    <n v="683"/>
    <n v="2246"/>
    <s v="1.58"/>
    <s v="0.00"/>
    <s v="98.42"/>
  </r>
  <r>
    <x v="4"/>
    <x v="124"/>
    <n v="37703"/>
    <n v="801"/>
    <n v="3401"/>
    <s v="2.12"/>
    <s v="0.00"/>
    <s v="97.88"/>
  </r>
  <r>
    <x v="4"/>
    <x v="125"/>
    <n v="37904"/>
    <n v="462"/>
    <n v="4642"/>
    <s v="1.22"/>
    <s v="0.00"/>
    <s v="98.78"/>
  </r>
  <r>
    <x v="4"/>
    <x v="126"/>
    <n v="18314"/>
    <n v="199"/>
    <n v="669"/>
    <s v="1.09"/>
    <s v="0.00"/>
    <s v="98.91"/>
  </r>
  <r>
    <x v="4"/>
    <x v="127"/>
    <n v="88817"/>
    <n v="245"/>
    <n v="48368"/>
    <s v="0.28"/>
    <s v="0.00"/>
    <s v="99.72"/>
  </r>
  <r>
    <x v="4"/>
    <x v="128"/>
    <n v="61815"/>
    <n v="2302"/>
    <n v="10470"/>
    <s v="3.72"/>
    <s v="0.00"/>
    <s v="96.28"/>
  </r>
  <r>
    <x v="4"/>
    <x v="129"/>
    <n v="3826786"/>
    <n v="289734"/>
    <n v="2965659"/>
    <s v="7.57"/>
    <s v="0.00"/>
    <s v="92.43"/>
  </r>
  <r>
    <x v="4"/>
    <x v="130"/>
    <n v="2506309"/>
    <n v="29291"/>
    <n v="2137760"/>
    <s v="1.17"/>
    <s v="0.00"/>
    <s v="98.83"/>
  </r>
  <r>
    <x v="4"/>
    <x v="131"/>
    <n v="151368"/>
    <n v="1934"/>
    <n v="129083"/>
    <s v="1.28"/>
    <s v="0.00"/>
    <s v="98.72"/>
  </r>
  <r>
    <x v="4"/>
    <x v="132"/>
    <n v="129009"/>
    <n v="3563"/>
    <n v="17159"/>
    <s v="2.76"/>
    <s v="0.00"/>
    <s v="97.24"/>
  </r>
  <r>
    <x v="4"/>
    <x v="133"/>
    <n v="11306"/>
    <n v="268"/>
    <n v="7027"/>
    <s v="2.37"/>
    <s v="0.00"/>
    <s v="97.63"/>
  </r>
  <r>
    <x v="4"/>
    <x v="134"/>
    <n v="6490"/>
    <n v="220"/>
    <n v="1354"/>
    <s v="3.39"/>
    <s v="0.00"/>
    <s v="96.61"/>
  </r>
  <r>
    <x v="4"/>
    <x v="135"/>
    <n v="212713"/>
    <n v="2906"/>
    <n v="23726"/>
    <s v="1.37"/>
    <s v="0.00"/>
    <s v="98.63"/>
  </r>
  <r>
    <x v="4"/>
    <x v="136"/>
    <n v="16699"/>
    <n v="209"/>
    <n v="12873"/>
    <s v="1.25"/>
    <s v="0.00"/>
    <s v="98.75"/>
  </r>
  <r>
    <x v="4"/>
    <x v="137"/>
    <n v="2241183"/>
    <n v="19003"/>
    <n v="1481968"/>
    <s v="0.85"/>
    <s v="0.00"/>
    <s v="99.15"/>
  </r>
  <r>
    <x v="4"/>
    <x v="138"/>
    <n v="216855"/>
    <n v="922"/>
    <n v="98634"/>
    <s v="0.43"/>
    <s v="0.00"/>
    <s v="99.57"/>
  </r>
  <r>
    <x v="4"/>
    <x v="139"/>
    <n v="814558"/>
    <n v="11448"/>
    <n v="637926"/>
    <s v="1.41"/>
    <s v="0.00"/>
    <s v="98.59"/>
  </r>
  <r>
    <x v="4"/>
    <x v="140"/>
    <n v="7649"/>
    <n v="32"/>
    <n v="3235"/>
    <s v="0.42"/>
    <s v="0.00"/>
    <s v="99.58"/>
  </r>
  <r>
    <x v="4"/>
    <x v="141"/>
    <n v="304365"/>
    <n v="4112"/>
    <n v="228849"/>
    <s v="1.35"/>
    <s v="0.00"/>
    <s v="98.65"/>
  </r>
  <r>
    <x v="4"/>
    <x v="142"/>
    <n v="473416"/>
    <n v="7329"/>
    <n v="182048"/>
    <s v="1.55"/>
    <s v="0.00"/>
    <s v="98.45"/>
  </r>
  <r>
    <x v="4"/>
    <x v="143"/>
    <n v="2207550"/>
    <n v="200430"/>
    <n v="1936675"/>
    <s v="9.08"/>
    <s v="0.00"/>
    <s v="90.92"/>
  </r>
  <r>
    <x v="4"/>
    <x v="144"/>
    <n v="45573"/>
    <n v="636"/>
    <n v="43011"/>
    <s v="1.40"/>
    <s v="0.00"/>
    <s v="98.60"/>
  </r>
  <r>
    <x v="4"/>
    <x v="145"/>
    <n v="31479"/>
    <n v="407"/>
    <n v="6342"/>
    <s v="1.29"/>
    <s v="0.00"/>
    <s v="98.71"/>
  </r>
  <r>
    <x v="4"/>
    <x v="146"/>
    <n v="2803213"/>
    <n v="44430"/>
    <n v="2562417"/>
    <s v="1.58"/>
    <s v="0.00"/>
    <s v="98.42"/>
  </r>
  <r>
    <x v="4"/>
    <x v="147"/>
    <n v="1277160"/>
    <n v="28547"/>
    <n v="231651"/>
    <s v="2.24"/>
    <s v="0.00"/>
    <s v="97.76"/>
  </r>
  <r>
    <x v="4"/>
    <x v="148"/>
    <n v="3104220"/>
    <n v="77757"/>
    <n v="1532693"/>
    <s v="2.50"/>
    <s v="0.00"/>
    <s v="97.50"/>
  </r>
  <r>
    <x v="4"/>
    <x v="149"/>
    <n v="455099"/>
    <n v="4705"/>
    <n v="17391"/>
    <s v="1.03"/>
    <s v="0.00"/>
    <s v="98.97"/>
  </r>
  <r>
    <x v="4"/>
    <x v="150"/>
    <n v="1097557"/>
    <n v="18203"/>
    <n v="915103"/>
    <s v="1.66"/>
    <s v="0.00"/>
    <s v="98.34"/>
  </r>
  <r>
    <x v="4"/>
    <x v="151"/>
    <n v="8"/>
    <n v="0"/>
    <n v="6"/>
    <s v="0.00"/>
    <s v="0.00"/>
    <s v="100.00"/>
  </r>
  <r>
    <x v="4"/>
    <x v="152"/>
    <n v="461313"/>
    <n v="16259"/>
    <n v="367871"/>
    <s v="3.52"/>
    <s v="0.00"/>
    <s v="96.48"/>
  </r>
  <r>
    <x v="4"/>
    <x v="153"/>
    <n v="240098"/>
    <n v="611"/>
    <n v="222357"/>
    <s v="0.25"/>
    <s v="0.00"/>
    <s v="99.75"/>
  </r>
  <r>
    <x v="4"/>
    <x v="154"/>
    <n v="55125"/>
    <n v="376"/>
    <n v="40630"/>
    <s v="0.68"/>
    <s v="0.00"/>
    <s v="99.32"/>
  </r>
  <r>
    <x v="4"/>
    <x v="155"/>
    <n v="1706882"/>
    <n v="50755"/>
    <n v="193060"/>
    <s v="2.97"/>
    <s v="0.00"/>
    <s v="97.03"/>
  </r>
  <r>
    <x v="4"/>
    <x v="156"/>
    <n v="1183025"/>
    <n v="10405"/>
    <n v="825787"/>
    <s v="0.88"/>
    <s v="0.00"/>
    <s v="99.12"/>
  </r>
  <r>
    <x v="4"/>
    <x v="157"/>
    <n v="8651561"/>
    <n v="242241"/>
    <n v="5807919"/>
    <s v="2.80"/>
    <s v="0.00"/>
    <s v="97.20"/>
  </r>
  <r>
    <x v="4"/>
    <x v="158"/>
    <n v="99947"/>
    <n v="1334"/>
    <n v="56457"/>
    <s v="1.33"/>
    <s v="0.00"/>
    <s v="98.67"/>
  </r>
  <r>
    <x v="4"/>
    <x v="159"/>
    <n v="548930"/>
    <n v="8804"/>
    <n v="158938"/>
    <s v="1.60"/>
    <s v="0.00"/>
    <s v="98.40"/>
  </r>
  <r>
    <x v="4"/>
    <x v="160"/>
    <n v="20"/>
    <n v="0"/>
    <n v="12"/>
    <s v="0.00"/>
    <s v="0.00"/>
    <s v="100.00"/>
  </r>
  <r>
    <x v="4"/>
    <x v="161"/>
    <n v="22381"/>
    <n v="119"/>
    <n v="15839"/>
    <s v="0.53"/>
    <s v="0.00"/>
    <s v="99.47"/>
  </r>
  <r>
    <x v="4"/>
    <x v="162"/>
    <n v="40433"/>
    <n v="3099"/>
    <n v="5297"/>
    <s v="7.66"/>
    <s v="0.00"/>
    <s v="92.34"/>
  </r>
  <r>
    <x v="4"/>
    <x v="163"/>
    <n v="1177094"/>
    <n v="15057"/>
    <n v="766258"/>
    <s v="1.28"/>
    <s v="0.00"/>
    <s v="98.72"/>
  </r>
  <r>
    <x v="4"/>
    <x v="164"/>
    <n v="218333"/>
    <n v="497"/>
    <n v="157469"/>
    <s v="0.23"/>
    <s v="0.00"/>
    <s v="99.77"/>
  </r>
  <r>
    <x v="4"/>
    <x v="165"/>
    <n v="355979"/>
    <n v="4830"/>
    <n v="79815"/>
    <s v="1.36"/>
    <s v="0.00"/>
    <s v="98.64"/>
  </r>
  <r>
    <x v="4"/>
    <x v="166"/>
    <n v="518635"/>
    <n v="13229"/>
    <n v="420668"/>
    <s v="2.55"/>
    <s v="0.00"/>
    <s v="97.45"/>
  </r>
  <r>
    <x v="4"/>
    <x v="167"/>
    <n v="6398"/>
    <n v="121"/>
    <n v="3828"/>
    <s v="1.89"/>
    <s v="0.00"/>
    <s v="98.11"/>
  </r>
  <r>
    <x v="4"/>
    <x v="168"/>
    <n v="5588"/>
    <n v="92"/>
    <n v="2203"/>
    <s v="1.65"/>
    <s v="0.00"/>
    <s v="98.35"/>
  </r>
  <r>
    <x v="4"/>
    <x v="169"/>
    <n v="73935"/>
    <n v="1880"/>
    <n v="28556"/>
    <s v="2.54"/>
    <s v="0.00"/>
    <s v="97.46"/>
  </r>
  <r>
    <x v="4"/>
    <x v="170"/>
    <n v="22693"/>
    <n v="1294"/>
    <n v="342"/>
    <s v="5.70"/>
    <s v="0.00"/>
    <s v="94.30"/>
  </r>
  <r>
    <x v="4"/>
    <x v="171"/>
    <n v="49550"/>
    <n v="1114"/>
    <n v="34432"/>
    <s v="2.25"/>
    <s v="0.00"/>
    <s v="97.75"/>
  </r>
  <r>
    <x v="4"/>
    <x v="172"/>
    <n v="12453"/>
    <n v="133"/>
    <n v="7251"/>
    <s v="1.07"/>
    <s v="0.00"/>
    <s v="98.93"/>
  </r>
  <r>
    <x v="4"/>
    <x v="173"/>
    <n v="3729"/>
    <n v="56"/>
    <n v="2724"/>
    <s v="1.50"/>
    <s v="0.00"/>
    <s v="98.50"/>
  </r>
  <r>
    <x v="4"/>
    <x v="174"/>
    <n v="116258"/>
    <n v="3682"/>
    <n v="66164"/>
    <s v="3.17"/>
    <s v="0.00"/>
    <s v="96.83"/>
  </r>
  <r>
    <x v="4"/>
    <x v="175"/>
    <n v="44191"/>
    <n v="2593"/>
    <n v="5540"/>
    <s v="5.87"/>
    <s v="0.00"/>
    <s v="94.13"/>
  </r>
  <r>
    <x v="4"/>
    <x v="176"/>
    <n v="46457"/>
    <n v="1244"/>
    <n v="38777"/>
    <s v="2.68"/>
    <s v="0.00"/>
    <s v="97.32"/>
  </r>
  <r>
    <x v="4"/>
    <x v="177"/>
    <n v="5107"/>
    <n v="175"/>
    <n v="1378"/>
    <s v="3.43"/>
    <s v="0.00"/>
    <s v="96.57"/>
  </r>
  <r>
    <x v="4"/>
    <x v="178"/>
    <n v="26114"/>
    <n v="243"/>
    <n v="24817"/>
    <s v="0.93"/>
    <s v="0.00"/>
    <s v="99.07"/>
  </r>
  <r>
    <x v="4"/>
    <x v="179"/>
    <n v="1967999"/>
    <n v="19664"/>
    <n v="1706831"/>
    <s v="1.00"/>
    <s v="0.00"/>
    <s v="99.00"/>
  </r>
  <r>
    <x v="4"/>
    <x v="180"/>
    <n v="17486"/>
    <n v="125"/>
    <n v="9879"/>
    <s v="0.71"/>
    <s v="0.00"/>
    <s v="99.29"/>
  </r>
  <r>
    <x v="4"/>
    <x v="181"/>
    <n v="19799"/>
    <n v="122"/>
    <n v="6337"/>
    <s v="0.62"/>
    <s v="0.00"/>
    <s v="99.38"/>
  </r>
  <r>
    <x v="4"/>
    <x v="182"/>
    <n v="713308"/>
    <n v="25276"/>
    <n v="145134"/>
    <s v="3.54"/>
    <s v="0.00"/>
    <s v="96.46"/>
  </r>
  <r>
    <x v="4"/>
    <x v="183"/>
    <n v="1"/>
    <n v="0"/>
    <n v="1"/>
    <s v="0.00"/>
    <s v="0.00"/>
    <s v="100.00"/>
  </r>
  <r>
    <x v="4"/>
    <x v="184"/>
    <n v="8233649"/>
    <n v="72127"/>
    <n v="3579112"/>
    <s v="0.88"/>
    <s v="0.00"/>
    <s v="99.12"/>
  </r>
  <r>
    <x v="4"/>
    <x v="185"/>
    <n v="59304"/>
    <n v="1772"/>
    <n v="38188"/>
    <s v="2.99"/>
    <s v="0.00"/>
    <s v="97.01"/>
  </r>
  <r>
    <x v="4"/>
    <x v="186"/>
    <n v="16442"/>
    <n v="847"/>
    <n v="5759"/>
    <s v="5.15"/>
    <s v="0.00"/>
    <s v="94.85"/>
  </r>
  <r>
    <x v="4"/>
    <x v="187"/>
    <n v="26196"/>
    <n v="725"/>
    <n v="12834"/>
    <s v="2.77"/>
    <s v="0.00"/>
    <s v="97.23"/>
  </r>
  <r>
    <x v="4"/>
    <x v="188"/>
    <n v="3218967"/>
    <n v="76657"/>
    <n v="770570"/>
    <s v="2.38"/>
    <s v="0.00"/>
    <s v="97.62"/>
  </r>
  <r>
    <x v="4"/>
    <x v="189"/>
    <n v="126570"/>
    <n v="3227"/>
    <n v="27795"/>
    <s v="2.55"/>
    <s v="0.00"/>
    <s v="97.45"/>
  </r>
  <r>
    <x v="4"/>
    <x v="190"/>
    <n v="46487244"/>
    <n v="754425"/>
    <n v="5318104"/>
    <s v="1.62"/>
    <s v="0.00"/>
    <s v="98.38"/>
  </r>
  <r>
    <x v="4"/>
    <x v="191"/>
    <n v="395268"/>
    <n v="6086"/>
    <n v="139099"/>
    <s v="1.54"/>
    <s v="0.00"/>
    <s v="98.46"/>
  </r>
  <r>
    <x v="4"/>
    <x v="192"/>
    <n v="187924"/>
    <n v="1338"/>
    <n v="34799"/>
    <s v="0.71"/>
    <s v="0.00"/>
    <s v="99.29"/>
  </r>
  <r>
    <x v="4"/>
    <x v="193"/>
    <n v="27"/>
    <n v="0"/>
    <n v="7"/>
    <s v="0.00"/>
    <s v="0.00"/>
    <s v="100.00"/>
  </r>
  <r>
    <x v="4"/>
    <x v="194"/>
    <n v="5092"/>
    <n v="69"/>
    <n v="765"/>
    <s v="1.36"/>
    <s v="0.00"/>
    <s v="98.64"/>
  </r>
  <r>
    <x v="4"/>
    <x v="195"/>
    <n v="413135"/>
    <n v="4965"/>
    <n v="1819"/>
    <s v="1.20"/>
    <s v="0.00"/>
    <s v="98.80"/>
  </r>
  <r>
    <x v="4"/>
    <x v="196"/>
    <n v="968684"/>
    <n v="22531"/>
    <n v="127611"/>
    <s v="2.33"/>
    <s v="0.00"/>
    <s v="97.67"/>
  </r>
  <r>
    <x v="4"/>
    <x v="197"/>
    <n v="6"/>
    <n v="1"/>
    <n v="1"/>
    <s v="16.67"/>
    <s v="0.00"/>
    <s v="83.33"/>
  </r>
  <r>
    <x v="4"/>
    <x v="198"/>
    <n v="3"/>
    <n v="0"/>
    <n v="2"/>
    <s v="0.00"/>
    <s v="0.00"/>
    <s v="100.00"/>
  </r>
  <r>
    <x v="4"/>
    <x v="199"/>
    <n v="160872"/>
    <n v="2978"/>
    <n v="15924"/>
    <s v="1.85"/>
    <s v="0.00"/>
    <s v="98.15"/>
  </r>
  <r>
    <x v="4"/>
    <x v="200"/>
    <n v="9870"/>
    <n v="1909"/>
    <n v="3634"/>
    <s v="19.34"/>
    <s v="0.00"/>
    <s v="80.66"/>
  </r>
  <r>
    <x v="4"/>
    <x v="201"/>
    <n v="20651"/>
    <n v="185"/>
    <n v="3790"/>
    <s v="0.90"/>
    <s v="0.00"/>
    <s v="99.10"/>
  </r>
  <r>
    <x v="4"/>
    <x v="202"/>
    <n v="2923956"/>
    <n v="89332"/>
    <n v="61369"/>
    <s v="3.06"/>
    <s v="0.00"/>
    <s v="96.94"/>
  </r>
  <r>
    <x v="4"/>
    <x v="203"/>
    <n v="209902"/>
    <n v="3664"/>
    <n v="168266"/>
    <s v="1.75"/>
    <s v="0.00"/>
    <s v="98.25"/>
  </r>
  <r>
    <x v="4"/>
    <x v="204"/>
    <n v="133187"/>
    <n v="4685"/>
    <n v="39002"/>
    <s v="3.52"/>
    <s v="0.00"/>
    <s v="96.48"/>
  </r>
  <r>
    <x v="4"/>
    <x v="205"/>
    <n v="721"/>
    <n v="15"/>
    <n v="563"/>
    <s v="2.08"/>
    <s v="0.00"/>
    <s v="97.92"/>
  </r>
  <r>
    <x v="5"/>
    <x v="205"/>
    <n v="721"/>
    <n v="15"/>
    <n v="22"/>
    <s v="2.08"/>
    <s v="0.00"/>
    <s v="97.92"/>
  </r>
  <r>
    <x v="5"/>
    <x v="204"/>
    <n v="133168"/>
    <n v="4685"/>
    <n v="51491"/>
    <s v="3.52"/>
    <s v="0.00"/>
    <s v="96.48"/>
  </r>
  <r>
    <x v="5"/>
    <x v="203"/>
    <n v="209869"/>
    <n v="3663"/>
    <n v="132257"/>
    <s v="1.75"/>
    <s v="0.00"/>
    <s v="98.25"/>
  </r>
  <r>
    <x v="5"/>
    <x v="202"/>
    <n v="2923751"/>
    <n v="89319"/>
    <n v="2399289"/>
    <s v="3.05"/>
    <s v="0.00"/>
    <s v="96.95"/>
  </r>
  <r>
    <x v="5"/>
    <x v="201"/>
    <n v="20651"/>
    <n v="185"/>
    <n v="17855"/>
    <s v="0.90"/>
    <s v="0.00"/>
    <s v="99.10"/>
  </r>
  <r>
    <x v="5"/>
    <x v="200"/>
    <n v="9858"/>
    <n v="1907"/>
    <n v="4196"/>
    <s v="19.34"/>
    <s v="0.00"/>
    <s v="80.66"/>
  </r>
  <r>
    <x v="5"/>
    <x v="199"/>
    <n v="160853"/>
    <n v="2978"/>
    <n v="28756"/>
    <s v="1.85"/>
    <s v="0.00"/>
    <s v="98.15"/>
  </r>
  <r>
    <x v="5"/>
    <x v="198"/>
    <n v="3"/>
    <n v="0"/>
    <n v="3"/>
    <s v="0.00"/>
    <s v="0.00"/>
    <s v="100.00"/>
  </r>
  <r>
    <x v="5"/>
    <x v="197"/>
    <n v="6"/>
    <n v="1"/>
    <n v="0"/>
    <s v="16.67"/>
    <s v="0.00"/>
    <s v="83.33"/>
  </r>
  <r>
    <x v="5"/>
    <x v="196"/>
    <n v="961038"/>
    <n v="22470"/>
    <n v="486977"/>
    <s v="2.34"/>
    <s v="0.00"/>
    <s v="97.66"/>
  </r>
  <r>
    <x v="5"/>
    <x v="195"/>
    <n v="412472"/>
    <n v="4955"/>
    <n v="86177"/>
    <s v="1.20"/>
    <s v="0.00"/>
    <s v="98.80"/>
  </r>
  <r>
    <x v="5"/>
    <x v="194"/>
    <n v="5092"/>
    <n v="69"/>
    <n v="48"/>
    <s v="1.36"/>
    <s v="0.00"/>
    <s v="98.64"/>
  </r>
  <r>
    <x v="5"/>
    <x v="193"/>
    <n v="27"/>
    <n v="0"/>
    <n v="15"/>
    <s v="0.00"/>
    <s v="0.00"/>
    <s v="100.00"/>
  </r>
  <r>
    <x v="5"/>
    <x v="192"/>
    <n v="187666"/>
    <n v="1336"/>
    <n v="159745"/>
    <s v="0.71"/>
    <s v="0.00"/>
    <s v="99.29"/>
  </r>
  <r>
    <x v="5"/>
    <x v="191"/>
    <n v="395099"/>
    <n v="6085"/>
    <n v="345366"/>
    <s v="1.54"/>
    <s v="0.00"/>
    <s v="98.46"/>
  </r>
  <r>
    <x v="5"/>
    <x v="190"/>
    <n v="46465253"/>
    <n v="754306"/>
    <n v="25254132"/>
    <s v="1.62"/>
    <s v="0.00"/>
    <s v="98.38"/>
  </r>
  <r>
    <x v="5"/>
    <x v="189"/>
    <n v="126492"/>
    <n v="3226"/>
    <n v="67866"/>
    <s v="2.55"/>
    <s v="0.00"/>
    <s v="97.45"/>
  </r>
  <r>
    <x v="5"/>
    <x v="188"/>
    <n v="3200411"/>
    <n v="76175"/>
    <n v="24022"/>
    <s v="2.38"/>
    <s v="0.00"/>
    <s v="97.62"/>
  </r>
  <r>
    <x v="5"/>
    <x v="187"/>
    <n v="26196"/>
    <n v="725"/>
    <n v="3311"/>
    <s v="2.77"/>
    <s v="0.00"/>
    <s v="97.23"/>
  </r>
  <r>
    <x v="5"/>
    <x v="186"/>
    <n v="16438"/>
    <n v="847"/>
    <n v="14179"/>
    <s v="5.15"/>
    <s v="0.00"/>
    <s v="94.85"/>
  </r>
  <r>
    <x v="5"/>
    <x v="185"/>
    <n v="58975"/>
    <n v="1764"/>
    <n v="55479"/>
    <s v="2.99"/>
    <s v="0.00"/>
    <s v="97.01"/>
  </r>
  <r>
    <x v="5"/>
    <x v="184"/>
    <n v="8206345"/>
    <n v="71927"/>
    <n v="5977522"/>
    <s v="0.88"/>
    <s v="0.00"/>
    <s v="99.12"/>
  </r>
  <r>
    <x v="5"/>
    <x v="183"/>
    <n v="1"/>
    <n v="0"/>
    <n v="1"/>
    <s v="0.00"/>
    <s v="0.00"/>
    <s v="100.00"/>
  </r>
  <r>
    <x v="5"/>
    <x v="182"/>
    <n v="713254"/>
    <n v="25272"/>
    <n v="156965"/>
    <s v="3.54"/>
    <s v="0.00"/>
    <s v="96.46"/>
  </r>
  <r>
    <x v="5"/>
    <x v="181"/>
    <n v="19799"/>
    <n v="122"/>
    <n v="10853"/>
    <s v="0.62"/>
    <s v="0.00"/>
    <s v="99.38"/>
  </r>
  <r>
    <x v="5"/>
    <x v="180"/>
    <n v="17486"/>
    <n v="125"/>
    <n v="7632"/>
    <s v="0.71"/>
    <s v="0.00"/>
    <s v="99.29"/>
  </r>
  <r>
    <x v="5"/>
    <x v="179"/>
    <n v="1960039"/>
    <n v="19611"/>
    <n v="1049863"/>
    <s v="1.00"/>
    <s v="0.00"/>
    <s v="99.00"/>
  </r>
  <r>
    <x v="5"/>
    <x v="178"/>
    <n v="26114"/>
    <n v="243"/>
    <n v="15008"/>
    <s v="0.93"/>
    <s v="0.00"/>
    <s v="99.07"/>
  </r>
  <r>
    <x v="5"/>
    <x v="177"/>
    <n v="5107"/>
    <n v="175"/>
    <n v="2444"/>
    <s v="3.43"/>
    <s v="0.00"/>
    <s v="96.57"/>
  </r>
  <r>
    <x v="5"/>
    <x v="176"/>
    <n v="46457"/>
    <n v="1244"/>
    <n v="43109"/>
    <s v="2.68"/>
    <s v="0.00"/>
    <s v="97.32"/>
  </r>
  <r>
    <x v="5"/>
    <x v="175"/>
    <n v="44191"/>
    <n v="2593"/>
    <n v="30102"/>
    <s v="5.87"/>
    <s v="0.00"/>
    <s v="94.13"/>
  </r>
  <r>
    <x v="5"/>
    <x v="174"/>
    <n v="116258"/>
    <n v="3675"/>
    <n v="35284"/>
    <s v="3.16"/>
    <s v="0.00"/>
    <s v="96.84"/>
  </r>
  <r>
    <x v="5"/>
    <x v="173"/>
    <n v="3721"/>
    <n v="56"/>
    <n v="1581"/>
    <s v="1.50"/>
    <s v="0.00"/>
    <s v="98.50"/>
  </r>
  <r>
    <x v="5"/>
    <x v="172"/>
    <n v="12453"/>
    <n v="133"/>
    <n v="1825"/>
    <s v="1.07"/>
    <s v="0.00"/>
    <s v="98.93"/>
  </r>
  <r>
    <x v="5"/>
    <x v="171"/>
    <n v="49504"/>
    <n v="1112"/>
    <n v="26759"/>
    <s v="2.25"/>
    <s v="0.00"/>
    <s v="97.75"/>
  </r>
  <r>
    <x v="5"/>
    <x v="170"/>
    <n v="22693"/>
    <n v="1294"/>
    <n v="13306"/>
    <s v="5.70"/>
    <s v="0.00"/>
    <s v="94.30"/>
  </r>
  <r>
    <x v="5"/>
    <x v="169"/>
    <n v="73935"/>
    <n v="1880"/>
    <n v="63698"/>
    <s v="2.54"/>
    <s v="0.00"/>
    <s v="97.46"/>
  </r>
  <r>
    <x v="5"/>
    <x v="168"/>
    <n v="5588"/>
    <n v="92"/>
    <n v="25"/>
    <s v="1.65"/>
    <s v="0.00"/>
    <s v="98.35"/>
  </r>
  <r>
    <x v="5"/>
    <x v="167"/>
    <n v="6398"/>
    <n v="121"/>
    <n v="380"/>
    <s v="1.89"/>
    <s v="0.00"/>
    <s v="98.11"/>
  </r>
  <r>
    <x v="5"/>
    <x v="166"/>
    <n v="513297"/>
    <n v="13205"/>
    <n v="405096"/>
    <s v="2.57"/>
    <s v="0.00"/>
    <s v="97.43"/>
  </r>
  <r>
    <x v="5"/>
    <x v="165"/>
    <n v="353660"/>
    <n v="4820"/>
    <n v="311712"/>
    <s v="1.36"/>
    <s v="0.00"/>
    <s v="98.64"/>
  </r>
  <r>
    <x v="5"/>
    <x v="164"/>
    <n v="215780"/>
    <n v="480"/>
    <n v="144933"/>
    <s v="0.22"/>
    <s v="0.00"/>
    <s v="99.78"/>
  </r>
  <r>
    <x v="5"/>
    <x v="163"/>
    <n v="1177094"/>
    <n v="15057"/>
    <n v="106313"/>
    <s v="1.28"/>
    <s v="0.00"/>
    <s v="98.72"/>
  </r>
  <r>
    <x v="5"/>
    <x v="162"/>
    <n v="40433"/>
    <n v="3099"/>
    <n v="32491"/>
    <s v="7.66"/>
    <s v="0.00"/>
    <s v="92.34"/>
  </r>
  <r>
    <x v="5"/>
    <x v="161"/>
    <n v="22381"/>
    <n v="119"/>
    <n v="19791"/>
    <s v="0.53"/>
    <s v="0.00"/>
    <s v="99.47"/>
  </r>
  <r>
    <x v="5"/>
    <x v="160"/>
    <n v="20"/>
    <n v="0"/>
    <n v="17"/>
    <s v="0.00"/>
    <s v="0.00"/>
    <s v="100.00"/>
  </r>
  <r>
    <x v="5"/>
    <x v="159"/>
    <n v="548890"/>
    <n v="8803"/>
    <n v="6177"/>
    <s v="1.60"/>
    <s v="0.00"/>
    <s v="98.40"/>
  </r>
  <r>
    <x v="5"/>
    <x v="158"/>
    <n v="99931"/>
    <n v="1332"/>
    <n v="68004"/>
    <s v="1.33"/>
    <s v="0.00"/>
    <s v="98.67"/>
  </r>
  <r>
    <x v="5"/>
    <x v="157"/>
    <n v="8613533"/>
    <n v="241095"/>
    <n v="7096030"/>
    <s v="2.80"/>
    <s v="0.00"/>
    <s v="97.20"/>
  </r>
  <r>
    <x v="5"/>
    <x v="156"/>
    <n v="1179137"/>
    <n v="10336"/>
    <n v="507041"/>
    <s v="0.88"/>
    <s v="0.00"/>
    <s v="99.12"/>
  </r>
  <r>
    <x v="5"/>
    <x v="155"/>
    <n v="1701589"/>
    <n v="50482"/>
    <n v="254956"/>
    <s v="2.97"/>
    <s v="0.00"/>
    <s v="97.03"/>
  </r>
  <r>
    <x v="5"/>
    <x v="154"/>
    <n v="55125"/>
    <n v="376"/>
    <n v="40929"/>
    <s v="0.68"/>
    <s v="0.00"/>
    <s v="99.32"/>
  </r>
  <r>
    <x v="5"/>
    <x v="153"/>
    <n v="239995"/>
    <n v="611"/>
    <n v="3169"/>
    <s v="0.25"/>
    <s v="0.00"/>
    <s v="99.75"/>
  </r>
  <r>
    <x v="5"/>
    <x v="152"/>
    <n v="461275"/>
    <n v="16258"/>
    <n v="323653"/>
    <s v="3.52"/>
    <s v="0.00"/>
    <s v="96.48"/>
  </r>
  <r>
    <x v="5"/>
    <x v="151"/>
    <n v="8"/>
    <n v="0"/>
    <n v="1"/>
    <s v="0.00"/>
    <s v="0.00"/>
    <s v="100.00"/>
  </r>
  <r>
    <x v="5"/>
    <x v="150"/>
    <n v="1096534"/>
    <n v="18198"/>
    <n v="674567"/>
    <s v="1.66"/>
    <s v="0.00"/>
    <s v="98.34"/>
  </r>
  <r>
    <x v="5"/>
    <x v="149"/>
    <n v="455099"/>
    <n v="4705"/>
    <n v="16135"/>
    <s v="1.03"/>
    <s v="0.00"/>
    <s v="98.97"/>
  </r>
  <r>
    <x v="5"/>
    <x v="148"/>
    <n v="3091713"/>
    <n v="77733"/>
    <n v="1817707"/>
    <s v="2.51"/>
    <s v="0.00"/>
    <s v="97.49"/>
  </r>
  <r>
    <x v="5"/>
    <x v="147"/>
    <n v="1276711"/>
    <n v="28538"/>
    <n v="31703"/>
    <s v="2.24"/>
    <s v="0.00"/>
    <s v="97.76"/>
  </r>
  <r>
    <x v="5"/>
    <x v="146"/>
    <n v="2800621"/>
    <n v="44239"/>
    <n v="2658613"/>
    <s v="1.58"/>
    <s v="0.00"/>
    <s v="98.42"/>
  </r>
  <r>
    <x v="5"/>
    <x v="145"/>
    <n v="31287"/>
    <n v="406"/>
    <n v="16602"/>
    <s v="1.30"/>
    <s v="0.00"/>
    <s v="98.70"/>
  </r>
  <r>
    <x v="5"/>
    <x v="144"/>
    <n v="45573"/>
    <n v="636"/>
    <n v="17876"/>
    <s v="1.40"/>
    <s v="0.00"/>
    <s v="98.60"/>
  </r>
  <r>
    <x v="5"/>
    <x v="143"/>
    <n v="2206556"/>
    <n v="200409"/>
    <n v="1380179"/>
    <s v="9.08"/>
    <s v="0.00"/>
    <s v="90.92"/>
  </r>
  <r>
    <x v="5"/>
    <x v="142"/>
    <n v="473303"/>
    <n v="7325"/>
    <n v="356616"/>
    <s v="1.55"/>
    <s v="0.00"/>
    <s v="98.45"/>
  </r>
  <r>
    <x v="5"/>
    <x v="141"/>
    <n v="304329"/>
    <n v="4112"/>
    <n v="219737"/>
    <s v="1.35"/>
    <s v="0.00"/>
    <s v="98.65"/>
  </r>
  <r>
    <x v="5"/>
    <x v="140"/>
    <n v="7457"/>
    <n v="31"/>
    <n v="6352"/>
    <s v="0.42"/>
    <s v="0.00"/>
    <s v="99.58"/>
  </r>
  <r>
    <x v="5"/>
    <x v="139"/>
    <n v="814417"/>
    <n v="11439"/>
    <n v="152619"/>
    <s v="1.40"/>
    <s v="0.00"/>
    <s v="98.60"/>
  </r>
  <r>
    <x v="5"/>
    <x v="138"/>
    <n v="215857"/>
    <n v="922"/>
    <n v="398"/>
    <s v="0.43"/>
    <s v="0.00"/>
    <s v="99.57"/>
  </r>
  <r>
    <x v="5"/>
    <x v="137"/>
    <n v="2229807"/>
    <n v="18995"/>
    <n v="941944"/>
    <s v="0.85"/>
    <s v="0.00"/>
    <s v="99.15"/>
  </r>
  <r>
    <x v="5"/>
    <x v="136"/>
    <n v="16699"/>
    <n v="209"/>
    <n v="6169"/>
    <s v="1.25"/>
    <s v="0.00"/>
    <s v="98.75"/>
  </r>
  <r>
    <x v="5"/>
    <x v="135"/>
    <n v="212627"/>
    <n v="2905"/>
    <n v="44068"/>
    <s v="1.37"/>
    <s v="0.00"/>
    <s v="98.63"/>
  </r>
  <r>
    <x v="5"/>
    <x v="134"/>
    <n v="6457"/>
    <n v="220"/>
    <n v="1355"/>
    <s v="3.41"/>
    <s v="0.00"/>
    <s v="96.59"/>
  </r>
  <r>
    <x v="5"/>
    <x v="133"/>
    <n v="11294"/>
    <n v="267"/>
    <n v="4526"/>
    <s v="2.36"/>
    <s v="0.00"/>
    <s v="97.64"/>
  </r>
  <r>
    <x v="5"/>
    <x v="132"/>
    <n v="128999"/>
    <n v="3561"/>
    <n v="68407"/>
    <s v="2.76"/>
    <s v="0.00"/>
    <s v="97.24"/>
  </r>
  <r>
    <x v="5"/>
    <x v="131"/>
    <n v="151367"/>
    <n v="1934"/>
    <n v="84138"/>
    <s v="1.28"/>
    <s v="0.00"/>
    <s v="98.72"/>
  </r>
  <r>
    <x v="5"/>
    <x v="130"/>
    <n v="2501966"/>
    <n v="29256"/>
    <n v="2454009"/>
    <s v="1.17"/>
    <s v="0.00"/>
    <s v="98.83"/>
  </r>
  <r>
    <x v="5"/>
    <x v="129"/>
    <n v="3825404"/>
    <n v="289674"/>
    <n v="2898200"/>
    <s v="7.57"/>
    <s v="0.00"/>
    <s v="92.43"/>
  </r>
  <r>
    <x v="5"/>
    <x v="128"/>
    <n v="61815"/>
    <n v="2302"/>
    <n v="20167"/>
    <s v="3.72"/>
    <s v="0.00"/>
    <s v="96.28"/>
  </r>
  <r>
    <x v="5"/>
    <x v="127"/>
    <n v="88635"/>
    <n v="245"/>
    <n v="22909"/>
    <s v="0.28"/>
    <s v="0.00"/>
    <s v="99.72"/>
  </r>
  <r>
    <x v="5"/>
    <x v="126"/>
    <n v="18314"/>
    <n v="199"/>
    <n v="1388"/>
    <s v="1.09"/>
    <s v="0.00"/>
    <s v="98.91"/>
  </r>
  <r>
    <x v="5"/>
    <x v="125"/>
    <n v="37854"/>
    <n v="462"/>
    <n v="9369"/>
    <s v="1.22"/>
    <s v="0.00"/>
    <s v="98.78"/>
  </r>
  <r>
    <x v="5"/>
    <x v="124"/>
    <n v="37659"/>
    <n v="801"/>
    <n v="16840"/>
    <s v="2.13"/>
    <s v="0.00"/>
    <s v="97.87"/>
  </r>
  <r>
    <x v="5"/>
    <x v="123"/>
    <n v="43347"/>
    <n v="683"/>
    <n v="34374"/>
    <s v="1.58"/>
    <s v="0.00"/>
    <s v="98.42"/>
  </r>
  <r>
    <x v="5"/>
    <x v="122"/>
    <n v="77"/>
    <n v="0"/>
    <n v="20"/>
    <s v="0.00"/>
    <s v="0.00"/>
    <s v="100.00"/>
  </r>
  <r>
    <x v="5"/>
    <x v="121"/>
    <n v="366962"/>
    <n v="1809"/>
    <n v="345494"/>
    <s v="0.49"/>
    <s v="0.00"/>
    <s v="99.51"/>
  </r>
  <r>
    <x v="5"/>
    <x v="120"/>
    <n v="505998"/>
    <n v="18804"/>
    <n v="468944"/>
    <s v="3.72"/>
    <s v="0.00"/>
    <s v="96.28"/>
  </r>
  <r>
    <x v="5"/>
    <x v="119"/>
    <n v="16342"/>
    <n v="574"/>
    <n v="15486"/>
    <s v="3.51"/>
    <s v="0.00"/>
    <s v="96.49"/>
  </r>
  <r>
    <x v="5"/>
    <x v="118"/>
    <n v="205623"/>
    <n v="7217"/>
    <n v="48896"/>
    <s v="3.51"/>
    <s v="0.00"/>
    <s v="96.49"/>
  </r>
  <r>
    <x v="5"/>
    <x v="117"/>
    <n v="4"/>
    <n v="0"/>
    <n v="1"/>
    <s v="0.00"/>
    <s v="0.00"/>
    <s v="100.00"/>
  </r>
  <r>
    <x v="5"/>
    <x v="116"/>
    <n v="43632"/>
    <n v="964"/>
    <n v="33201"/>
    <s v="2.21"/>
    <s v="0.00"/>
    <s v="97.79"/>
  </r>
  <r>
    <x v="5"/>
    <x v="115"/>
    <n v="3941"/>
    <n v="56"/>
    <n v="1938"/>
    <s v="1.42"/>
    <s v="0.00"/>
    <s v="98.58"/>
  </r>
  <r>
    <x v="5"/>
    <x v="114"/>
    <n v="148027"/>
    <n v="2145"/>
    <n v="52613"/>
    <s v="1.45"/>
    <s v="0.00"/>
    <s v="98.55"/>
  </r>
  <r>
    <x v="5"/>
    <x v="113"/>
    <n v="345517"/>
    <n v="8056"/>
    <n v="222804"/>
    <s v="2.33"/>
    <s v="0.00"/>
    <s v="97.67"/>
  </r>
  <r>
    <x v="5"/>
    <x v="112"/>
    <n v="3436"/>
    <n v="36"/>
    <n v="1915"/>
    <s v="1.05"/>
    <s v="0.00"/>
    <s v="98.95"/>
  </r>
  <r>
    <x v="5"/>
    <x v="111"/>
    <n v="947307"/>
    <n v="14706"/>
    <n v="798851"/>
    <s v="1.55"/>
    <s v="0.00"/>
    <s v="98.45"/>
  </r>
  <r>
    <x v="5"/>
    <x v="110"/>
    <n v="360266"/>
    <n v="5186"/>
    <n v="239141"/>
    <s v="1.44"/>
    <s v="0.00"/>
    <s v="98.56"/>
  </r>
  <r>
    <x v="5"/>
    <x v="109"/>
    <n v="230569"/>
    <n v="3472"/>
    <n v="34712"/>
    <s v="1.51"/>
    <s v="0.00"/>
    <s v="98.49"/>
  </r>
  <r>
    <x v="5"/>
    <x v="108"/>
    <n v="82842"/>
    <n v="849"/>
    <n v="65897"/>
    <s v="1.02"/>
    <s v="0.00"/>
    <s v="98.98"/>
  </r>
  <r>
    <x v="5"/>
    <x v="107"/>
    <n v="424884"/>
    <n v="6084"/>
    <n v="364055"/>
    <s v="1.43"/>
    <s v="0.00"/>
    <s v="98.57"/>
  </r>
  <r>
    <x v="5"/>
    <x v="106"/>
    <n v="21685"/>
    <n v="659"/>
    <n v="17832"/>
    <s v="3.04"/>
    <s v="0.00"/>
    <s v="96.96"/>
  </r>
  <r>
    <x v="5"/>
    <x v="105"/>
    <n v="5815"/>
    <n v="287"/>
    <n v="351"/>
    <s v="4.94"/>
    <s v="0.00"/>
    <s v="95.06"/>
  </r>
  <r>
    <x v="5"/>
    <x v="104"/>
    <n v="544630"/>
    <n v="13841"/>
    <n v="456069"/>
    <s v="2.54"/>
    <s v="0.00"/>
    <s v="97.46"/>
  </r>
  <r>
    <x v="5"/>
    <x v="103"/>
    <n v="3728"/>
    <n v="61"/>
    <n v="1004"/>
    <s v="1.64"/>
    <s v="0.00"/>
    <s v="98.36"/>
  </r>
  <r>
    <x v="5"/>
    <x v="102"/>
    <n v="12688"/>
    <n v="260"/>
    <n v="7997"/>
    <s v="2.05"/>
    <s v="0.00"/>
    <s v="97.95"/>
  </r>
  <r>
    <x v="5"/>
    <x v="101"/>
    <n v="645805"/>
    <n v="8540"/>
    <n v="210781"/>
    <s v="1.32"/>
    <s v="0.00"/>
    <s v="98.68"/>
  </r>
  <r>
    <x v="5"/>
    <x v="100"/>
    <n v="45980"/>
    <n v="81"/>
    <n v="14428"/>
    <s v="0.18"/>
    <s v="0.00"/>
    <s v="99.82"/>
  </r>
  <r>
    <x v="5"/>
    <x v="99"/>
    <n v="1028928"/>
    <n v="17263"/>
    <n v="241173"/>
    <s v="1.68"/>
    <s v="0.00"/>
    <s v="98.32"/>
  </r>
  <r>
    <x v="5"/>
    <x v="98"/>
    <n v="412821"/>
    <n v="2462"/>
    <n v="4901"/>
    <s v="0.60"/>
    <s v="0.00"/>
    <s v="99.40"/>
  </r>
  <r>
    <x v="5"/>
    <x v="97"/>
    <n v="379935"/>
    <n v="2967"/>
    <n v="195507"/>
    <s v="0.78"/>
    <s v="0.00"/>
    <s v="99.22"/>
  </r>
  <r>
    <x v="5"/>
    <x v="96"/>
    <n v="2708"/>
    <n v="25"/>
    <n v="1308"/>
    <s v="0.92"/>
    <s v="0.00"/>
    <s v="99.08"/>
  </r>
  <r>
    <x v="5"/>
    <x v="95"/>
    <n v="4307"/>
    <n v="147"/>
    <n v="3463"/>
    <s v="3.41"/>
    <s v="0.00"/>
    <s v="96.59"/>
  </r>
  <r>
    <x v="5"/>
    <x v="93"/>
    <n v="119021"/>
    <n v="2824"/>
    <n v="108314"/>
    <s v="2.37"/>
    <s v="0.00"/>
    <s v="97.63"/>
  </r>
  <r>
    <x v="5"/>
    <x v="94"/>
    <n v="2"/>
    <n v="0"/>
    <n v="2"/>
    <s v="0.00"/>
    <s v="0.00"/>
    <s v="100.00"/>
  </r>
  <r>
    <x v="5"/>
    <x v="92"/>
    <n v="181764"/>
    <n v="2683"/>
    <n v="107916"/>
    <s v="1.48"/>
    <s v="0.00"/>
    <s v="98.52"/>
  </r>
  <r>
    <x v="5"/>
    <x v="91"/>
    <n v="253813"/>
    <n v="5305"/>
    <n v="213923"/>
    <s v="2.09"/>
    <s v="0.00"/>
    <s v="97.91"/>
  </r>
  <r>
    <x v="5"/>
    <x v="90"/>
    <n v="1723525"/>
    <n v="18306"/>
    <n v="889312"/>
    <s v="1.06"/>
    <s v="0.00"/>
    <s v="98.94"/>
  </r>
  <r>
    <x v="5"/>
    <x v="89"/>
    <n v="873707"/>
    <n v="11114"/>
    <n v="654196"/>
    <s v="1.27"/>
    <s v="0.00"/>
    <s v="98.73"/>
  </r>
  <r>
    <x v="5"/>
    <x v="88"/>
    <n v="89587"/>
    <n v="2274"/>
    <n v="49847"/>
    <s v="2.54"/>
    <s v="0.00"/>
    <s v="97.46"/>
  </r>
  <r>
    <x v="5"/>
    <x v="87"/>
    <n v="4802225"/>
    <n v="132365"/>
    <n v="1768775"/>
    <s v="2.76"/>
    <s v="0.00"/>
    <s v="97.24"/>
  </r>
  <r>
    <x v="5"/>
    <x v="86"/>
    <n v="14255"/>
    <n v="34"/>
    <n v="13647"/>
    <s v="0.24"/>
    <s v="0.00"/>
    <s v="99.76"/>
  </r>
  <r>
    <x v="5"/>
    <x v="85"/>
    <n v="5980260"/>
    <n v="127173"/>
    <n v="2003749"/>
    <s v="2.13"/>
    <s v="0.00"/>
    <s v="97.87"/>
  </r>
  <r>
    <x v="5"/>
    <x v="84"/>
    <n v="2061939"/>
    <n v="23319"/>
    <n v="1548025"/>
    <s v="1.13"/>
    <s v="0.00"/>
    <s v="98.87"/>
  </r>
  <r>
    <x v="5"/>
    <x v="83"/>
    <n v="34355509"/>
    <n v="460791"/>
    <n v="31484283"/>
    <s v="1.34"/>
    <s v="0.00"/>
    <s v="98.66"/>
  </r>
  <r>
    <x v="5"/>
    <x v="82"/>
    <n v="1333605"/>
    <n v="8114"/>
    <n v="25139"/>
    <s v="0.61"/>
    <s v="0.00"/>
    <s v="99.39"/>
  </r>
  <r>
    <x v="5"/>
    <x v="81"/>
    <n v="465958"/>
    <n v="5492"/>
    <n v="239247"/>
    <s v="1.18"/>
    <s v="0.00"/>
    <s v="98.82"/>
  </r>
  <r>
    <x v="5"/>
    <x v="80"/>
    <n v="4247721"/>
    <n v="143534"/>
    <n v="848050"/>
    <s v="3.38"/>
    <s v="0.00"/>
    <s v="96.62"/>
  </r>
  <r>
    <x v="5"/>
    <x v="79"/>
    <n v="892164"/>
    <n v="31184"/>
    <n v="746362"/>
    <s v="3.50"/>
    <s v="0.00"/>
    <s v="96.50"/>
  </r>
  <r>
    <x v="5"/>
    <x v="78"/>
    <n v="24073"/>
    <n v="685"/>
    <n v="10893"/>
    <s v="2.85"/>
    <s v="0.00"/>
    <s v="97.15"/>
  </r>
  <r>
    <x v="5"/>
    <x v="77"/>
    <n v="497168"/>
    <n v="9450"/>
    <n v="416046"/>
    <s v="1.90"/>
    <s v="0.00"/>
    <s v="98.10"/>
  </r>
  <r>
    <x v="5"/>
    <x v="76"/>
    <n v="376281"/>
    <n v="10308"/>
    <n v="328480"/>
    <s v="2.74"/>
    <s v="0.00"/>
    <s v="97.26"/>
  </r>
  <r>
    <x v="5"/>
    <x v="75"/>
    <n v="12367"/>
    <n v="213"/>
    <n v="3538"/>
    <s v="1.72"/>
    <s v="0.00"/>
    <s v="98.28"/>
  </r>
  <r>
    <x v="5"/>
    <x v="74"/>
    <n v="36079"/>
    <n v="941"/>
    <n v="5510"/>
    <s v="2.61"/>
    <s v="0.00"/>
    <s v="97.39"/>
  </r>
  <r>
    <x v="5"/>
    <x v="73"/>
    <n v="6150"/>
    <n v="143"/>
    <n v="939"/>
    <s v="2.33"/>
    <s v="0.00"/>
    <s v="97.67"/>
  </r>
  <r>
    <x v="5"/>
    <x v="72"/>
    <n v="605415"/>
    <n v="15389"/>
    <n v="549445"/>
    <s v="2.54"/>
    <s v="0.00"/>
    <s v="97.46"/>
  </r>
  <r>
    <x v="5"/>
    <x v="71"/>
    <n v="780621"/>
    <n v="16243"/>
    <n v="256013"/>
    <s v="2.08"/>
    <s v="0.00"/>
    <s v="97.92"/>
  </r>
  <r>
    <x v="5"/>
    <x v="70"/>
    <n v="13407"/>
    <n v="168"/>
    <n v="8288"/>
    <s v="1.25"/>
    <s v="0.00"/>
    <s v="98.75"/>
  </r>
  <r>
    <x v="5"/>
    <x v="69"/>
    <n v="54474"/>
    <n v="820"/>
    <n v="29300"/>
    <s v="1.51"/>
    <s v="0.00"/>
    <s v="98.49"/>
  </r>
  <r>
    <x v="5"/>
    <x v="68"/>
    <n v="30681"/>
    <n v="385"/>
    <n v="23358"/>
    <s v="1.25"/>
    <s v="0.00"/>
    <s v="98.75"/>
  </r>
  <r>
    <x v="5"/>
    <x v="67"/>
    <n v="9973"/>
    <n v="341"/>
    <n v="5033"/>
    <s v="3.42"/>
    <s v="0.00"/>
    <s v="96.58"/>
  </r>
  <r>
    <x v="5"/>
    <x v="66"/>
    <n v="6138"/>
    <n v="98"/>
    <n v="4432"/>
    <s v="1.60"/>
    <s v="0.00"/>
    <s v="98.40"/>
  </r>
  <r>
    <x v="5"/>
    <x v="65"/>
    <n v="130391"/>
    <n v="1188"/>
    <n v="56397"/>
    <s v="0.91"/>
    <s v="0.00"/>
    <s v="99.09"/>
  </r>
  <r>
    <x v="5"/>
    <x v="64"/>
    <n v="44964"/>
    <n v="313"/>
    <n v="22119"/>
    <s v="0.70"/>
    <s v="0.00"/>
    <s v="99.30"/>
  </r>
  <r>
    <x v="5"/>
    <x v="63"/>
    <n v="748751"/>
    <n v="10368"/>
    <n v="229527"/>
    <s v="1.38"/>
    <s v="0.00"/>
    <s v="98.62"/>
  </r>
  <r>
    <x v="5"/>
    <x v="62"/>
    <n v="5861"/>
    <n v="198"/>
    <n v="1356"/>
    <s v="3.38"/>
    <s v="0.00"/>
    <s v="96.62"/>
  </r>
  <r>
    <x v="5"/>
    <x v="61"/>
    <n v="9310934"/>
    <n v="142076"/>
    <n v="3093132"/>
    <s v="1.53"/>
    <s v="0.00"/>
    <s v="98.47"/>
  </r>
  <r>
    <x v="5"/>
    <x v="60"/>
    <n v="36174"/>
    <n v="254"/>
    <n v="14277"/>
    <s v="0.70"/>
    <s v="0.00"/>
    <s v="99.30"/>
  </r>
  <r>
    <x v="5"/>
    <x v="59"/>
    <n v="7029938"/>
    <n v="115513"/>
    <n v="4259832"/>
    <s v="1.64"/>
    <s v="0.00"/>
    <s v="98.36"/>
  </r>
  <r>
    <x v="5"/>
    <x v="58"/>
    <n v="2586"/>
    <n v="5"/>
    <n v="2573"/>
    <s v="0.19"/>
    <s v="0.00"/>
    <s v="99.81"/>
  </r>
  <r>
    <x v="5"/>
    <x v="57"/>
    <n v="52247"/>
    <n v="674"/>
    <n v="1668"/>
    <s v="1.29"/>
    <s v="0.00"/>
    <s v="98.71"/>
  </r>
  <r>
    <x v="5"/>
    <x v="56"/>
    <n v="162476"/>
    <n v="1188"/>
    <n v="594"/>
    <s v="0.73"/>
    <s v="0.00"/>
    <s v="99.27"/>
  </r>
  <r>
    <x v="5"/>
    <x v="55"/>
    <n v="367062"/>
    <n v="6531"/>
    <n v="291728"/>
    <s v="1.78"/>
    <s v="0.00"/>
    <s v="98.22"/>
  </r>
  <r>
    <x v="5"/>
    <x v="54"/>
    <n v="5025639"/>
    <n v="87504"/>
    <n v="4449969"/>
    <s v="1.74"/>
    <s v="0.00"/>
    <s v="98.26"/>
  </r>
  <r>
    <x v="5"/>
    <x v="53"/>
    <n v="6943"/>
    <n v="46"/>
    <n v="2758"/>
    <s v="0.66"/>
    <s v="0.00"/>
    <s v="99.34"/>
  </r>
  <r>
    <x v="5"/>
    <x v="52"/>
    <n v="336582"/>
    <n v="19011"/>
    <n v="41090"/>
    <s v="5.65"/>
    <s v="0.00"/>
    <s v="94.35"/>
  </r>
  <r>
    <x v="5"/>
    <x v="51"/>
    <n v="204148"/>
    <n v="1598"/>
    <n v="47861"/>
    <s v="0.78"/>
    <s v="0.00"/>
    <s v="99.22"/>
  </r>
  <r>
    <x v="5"/>
    <x v="50"/>
    <n v="519386"/>
    <n v="32989"/>
    <n v="135399"/>
    <s v="6.35"/>
    <s v="0.00"/>
    <s v="93.65"/>
  </r>
  <r>
    <x v="5"/>
    <x v="49"/>
    <n v="207079"/>
    <n v="5941"/>
    <n v="97626"/>
    <s v="2.87"/>
    <s v="0.00"/>
    <s v="97.13"/>
  </r>
  <r>
    <x v="5"/>
    <x v="48"/>
    <n v="387269"/>
    <n v="4150"/>
    <n v="216352"/>
    <s v="1.07"/>
    <s v="0.00"/>
    <s v="98.93"/>
  </r>
  <r>
    <x v="5"/>
    <x v="47"/>
    <n v="4961"/>
    <n v="32"/>
    <n v="2364"/>
    <s v="0.65"/>
    <s v="0.00"/>
    <s v="99.35"/>
  </r>
  <r>
    <x v="5"/>
    <x v="46"/>
    <n v="401004"/>
    <n v="2735"/>
    <n v="24317"/>
    <s v="0.68"/>
    <s v="0.00"/>
    <s v="99.32"/>
  </r>
  <r>
    <x v="5"/>
    <x v="45"/>
    <n v="13491"/>
    <n v="186"/>
    <n v="3088"/>
    <s v="1.38"/>
    <s v="0.00"/>
    <s v="98.62"/>
  </r>
  <r>
    <x v="5"/>
    <x v="44"/>
    <n v="4779675"/>
    <n v="96529"/>
    <n v="3630303"/>
    <s v="2.02"/>
    <s v="0.00"/>
    <s v="97.98"/>
  </r>
  <r>
    <x v="5"/>
    <x v="43"/>
    <n v="1810395"/>
    <n v="30985"/>
    <n v="535463"/>
    <s v="1.71"/>
    <s v="0.00"/>
    <s v="98.29"/>
  </r>
  <r>
    <x v="5"/>
    <x v="42"/>
    <n v="125413"/>
    <n v="577"/>
    <n v="81422"/>
    <s v="0.46"/>
    <s v="0.00"/>
    <s v="99.54"/>
  </r>
  <r>
    <x v="5"/>
    <x v="41"/>
    <n v="38253"/>
    <n v="349"/>
    <n v="10565"/>
    <s v="0.91"/>
    <s v="0.00"/>
    <s v="99.09"/>
  </r>
  <r>
    <x v="5"/>
    <x v="40"/>
    <n v="955498"/>
    <n v="8261"/>
    <n v="65121"/>
    <s v="0.86"/>
    <s v="0.00"/>
    <s v="99.14"/>
  </r>
  <r>
    <x v="5"/>
    <x v="39"/>
    <n v="562316"/>
    <n v="7134"/>
    <n v="445088"/>
    <s v="1.27"/>
    <s v="0.00"/>
    <s v="98.73"/>
  </r>
  <r>
    <x v="5"/>
    <x v="38"/>
    <n v="5012981"/>
    <n v="127488"/>
    <n v="3102102"/>
    <s v="2.54"/>
    <s v="0.00"/>
    <s v="97.46"/>
  </r>
  <r>
    <x v="5"/>
    <x v="37"/>
    <n v="97734"/>
    <n v="4636"/>
    <n v="2136"/>
    <s v="4.74"/>
    <s v="0.00"/>
    <s v="95.26"/>
  </r>
  <r>
    <x v="5"/>
    <x v="36"/>
    <n v="104348"/>
    <n v="1731"/>
    <n v="24887"/>
    <s v="1.66"/>
    <s v="0.00"/>
    <s v="98.34"/>
  </r>
  <r>
    <x v="5"/>
    <x v="35"/>
    <n v="1706622"/>
    <n v="37841"/>
    <n v="130718"/>
    <s v="2.22"/>
    <s v="0.00"/>
    <s v="97.78"/>
  </r>
  <r>
    <x v="5"/>
    <x v="34"/>
    <n v="61404"/>
    <n v="699"/>
    <n v="15317"/>
    <s v="1.14"/>
    <s v="0.00"/>
    <s v="98.86"/>
  </r>
  <r>
    <x v="5"/>
    <x v="33"/>
    <n v="887446"/>
    <n v="11274"/>
    <n v="828888"/>
    <s v="1.27"/>
    <s v="0.00"/>
    <s v="98.73"/>
  </r>
  <r>
    <x v="5"/>
    <x v="32"/>
    <n v="17944"/>
    <n v="297"/>
    <n v="7411"/>
    <s v="1.66"/>
    <s v="0.00"/>
    <s v="98.34"/>
  </r>
  <r>
    <x v="5"/>
    <x v="31"/>
    <n v="11579"/>
    <n v="100"/>
    <n v="3072"/>
    <s v="0.86"/>
    <s v="0.00"/>
    <s v="99.14"/>
  </r>
  <r>
    <x v="5"/>
    <x v="30"/>
    <n v="57605"/>
    <n v="1098"/>
    <n v="46682"/>
    <s v="1.91"/>
    <s v="0.00"/>
    <s v="98.09"/>
  </r>
  <r>
    <x v="5"/>
    <x v="29"/>
    <n v="1737252"/>
    <n v="29192"/>
    <n v="1166893"/>
    <s v="1.68"/>
    <s v="0.00"/>
    <s v="98.32"/>
  </r>
  <r>
    <x v="5"/>
    <x v="28"/>
    <n v="27894"/>
    <n v="509"/>
    <n v="6524"/>
    <s v="1.82"/>
    <s v="0.00"/>
    <s v="98.18"/>
  </r>
  <r>
    <x v="5"/>
    <x v="27"/>
    <n v="612015"/>
    <n v="4730"/>
    <n v="342430"/>
    <s v="0.77"/>
    <s v="0.00"/>
    <s v="99.23"/>
  </r>
  <r>
    <x v="5"/>
    <x v="26"/>
    <n v="192935"/>
    <n v="2407"/>
    <n v="81396"/>
    <s v="1.25"/>
    <s v="0.00"/>
    <s v="98.75"/>
  </r>
  <r>
    <x v="5"/>
    <x v="25"/>
    <n v="2623"/>
    <n v="3"/>
    <n v="627"/>
    <s v="0.11"/>
    <s v="0.00"/>
    <s v="99.89"/>
  </r>
  <r>
    <x v="5"/>
    <x v="24"/>
    <n v="22485"/>
    <n v="657"/>
    <n v="17841"/>
    <s v="2.92"/>
    <s v="0.00"/>
    <s v="97.08"/>
  </r>
  <r>
    <x v="5"/>
    <x v="23"/>
    <n v="21874324"/>
    <n v="609388"/>
    <n v="13226319"/>
    <s v="2.79"/>
    <s v="0.00"/>
    <s v="97.21"/>
  </r>
  <r>
    <x v="5"/>
    <x v="22"/>
    <n v="517229"/>
    <n v="18960"/>
    <n v="281195"/>
    <s v="3.67"/>
    <s v="0.00"/>
    <s v="96.33"/>
  </r>
  <r>
    <x v="5"/>
    <x v="21"/>
    <n v="13742"/>
    <n v="93"/>
    <n v="13325"/>
    <s v="0.68"/>
    <s v="0.00"/>
    <s v="99.32"/>
  </r>
  <r>
    <x v="5"/>
    <x v="20"/>
    <n v="1660"/>
    <n v="6"/>
    <n v="1599"/>
    <s v="0.36"/>
    <s v="0.00"/>
    <s v="99.64"/>
  </r>
  <r>
    <x v="5"/>
    <x v="19"/>
    <n v="24804"/>
    <n v="161"/>
    <n v="7048"/>
    <s v="0.65"/>
    <s v="0.00"/>
    <s v="99.35"/>
  </r>
  <r>
    <x v="5"/>
    <x v="18"/>
    <n v="20136"/>
    <n v="38"/>
    <n v="2007"/>
    <s v="0.19"/>
    <s v="0.00"/>
    <s v="99.81"/>
  </r>
  <r>
    <x v="5"/>
    <x v="17"/>
    <n v="277041"/>
    <n v="1393"/>
    <n v="132362"/>
    <s v="0.50"/>
    <s v="0.00"/>
    <s v="99.50"/>
  </r>
  <r>
    <x v="5"/>
    <x v="16"/>
    <n v="631506"/>
    <n v="25005"/>
    <n v="506965"/>
    <s v="3.96"/>
    <s v="0.00"/>
    <s v="96.04"/>
  </r>
  <r>
    <x v="5"/>
    <x v="15"/>
    <n v="15103"/>
    <n v="221"/>
    <n v="2089"/>
    <s v="1.46"/>
    <s v="0.00"/>
    <s v="98.54"/>
  </r>
  <r>
    <x v="5"/>
    <x v="14"/>
    <n v="1414463"/>
    <n v="26131"/>
    <n v="209337"/>
    <s v="1.85"/>
    <s v="0.00"/>
    <s v="98.15"/>
  </r>
  <r>
    <x v="5"/>
    <x v="13"/>
    <n v="1570835"/>
    <n v="27891"/>
    <n v="1112327"/>
    <s v="1.78"/>
    <s v="0.00"/>
    <s v="98.22"/>
  </r>
  <r>
    <x v="5"/>
    <x v="12"/>
    <n v="19831"/>
    <n v="172"/>
    <n v="6026"/>
    <s v="0.87"/>
    <s v="0.00"/>
    <s v="99.13"/>
  </r>
  <r>
    <x v="5"/>
    <x v="11"/>
    <n v="257401"/>
    <n v="11717"/>
    <n v="156450"/>
    <s v="4.55"/>
    <s v="0.00"/>
    <s v="95.45"/>
  </r>
  <r>
    <x v="5"/>
    <x v="10"/>
    <n v="544650"/>
    <n v="7241"/>
    <n v="28401"/>
    <s v="1.33"/>
    <s v="0.00"/>
    <s v="98.67"/>
  </r>
  <r>
    <x v="5"/>
    <x v="9"/>
    <n v="180314"/>
    <n v="1815"/>
    <n v="150336"/>
    <s v="1.01"/>
    <s v="0.00"/>
    <s v="98.99"/>
  </r>
  <r>
    <x v="5"/>
    <x v="8"/>
    <n v="875333"/>
    <n v="11482"/>
    <n v="338731"/>
    <s v="1.31"/>
    <s v="0.00"/>
    <s v="98.69"/>
  </r>
  <r>
    <x v="5"/>
    <x v="7"/>
    <n v="5296188"/>
    <n v="116091"/>
    <n v="939403"/>
    <s v="2.19"/>
    <s v="0.00"/>
    <s v="97.81"/>
  </r>
  <r>
    <x v="5"/>
    <x v="6"/>
    <n v="64654"/>
    <n v="1719"/>
    <n v="11412"/>
    <s v="2.66"/>
    <s v="0.00"/>
    <s v="97.34"/>
  </r>
  <r>
    <x v="5"/>
    <x v="5"/>
    <n v="319016"/>
    <n v="6628"/>
    <n v="150197"/>
    <s v="2.08"/>
    <s v="0.00"/>
    <s v="97.92"/>
  </r>
  <r>
    <x v="5"/>
    <x v="4"/>
    <n v="187994"/>
    <n v="2948"/>
    <n v="151040"/>
    <s v="1.57"/>
    <s v="0.00"/>
    <s v="98.43"/>
  </r>
  <r>
    <x v="5"/>
    <x v="3"/>
    <n v="4091"/>
    <n v="105"/>
    <n v="1195"/>
    <s v="2.57"/>
    <s v="0.00"/>
    <s v="97.43"/>
  </r>
  <r>
    <x v="5"/>
    <x v="2"/>
    <n v="156397"/>
    <n v="7284"/>
    <n v="5599"/>
    <s v="4.66"/>
    <s v="0.00"/>
    <s v="95.34"/>
  </r>
  <r>
    <x v="5"/>
    <x v="1"/>
    <n v="740362"/>
    <n v="2139"/>
    <n v="272259"/>
    <s v="0.29"/>
    <s v="0.00"/>
    <s v="99.71"/>
  </r>
  <r>
    <x v="5"/>
    <x v="0"/>
    <n v="15618"/>
    <n v="130"/>
    <n v="5563"/>
    <s v="0.83"/>
    <s v="0.00"/>
    <s v="99.17"/>
  </r>
  <r>
    <x v="6"/>
    <x v="0"/>
    <n v="15618"/>
    <n v="130"/>
    <n v="11807"/>
    <s v="0.83"/>
    <s v="0.00"/>
    <s v="99.17"/>
  </r>
  <r>
    <x v="6"/>
    <x v="1"/>
    <n v="740289"/>
    <n v="2138"/>
    <n v="505815"/>
    <s v="0.29"/>
    <s v="0.00"/>
    <s v="99.71"/>
  </r>
  <r>
    <x v="6"/>
    <x v="2"/>
    <n v="156392"/>
    <n v="7284"/>
    <n v="71689"/>
    <s v="4.66"/>
    <s v="0.00"/>
    <s v="95.34"/>
  </r>
  <r>
    <x v="6"/>
    <x v="3"/>
    <n v="4078"/>
    <n v="104"/>
    <n v="744"/>
    <s v="2.55"/>
    <s v="0.00"/>
    <s v="97.45"/>
  </r>
  <r>
    <x v="6"/>
    <x v="4"/>
    <n v="187994"/>
    <n v="2948"/>
    <n v="12521"/>
    <s v="1.57"/>
    <s v="0.00"/>
    <s v="98.43"/>
  </r>
  <r>
    <x v="6"/>
    <x v="5"/>
    <n v="316839"/>
    <n v="6582"/>
    <n v="36335"/>
    <s v="2.08"/>
    <s v="0.00"/>
    <s v="97.92"/>
  </r>
  <r>
    <x v="6"/>
    <x v="6"/>
    <n v="64612"/>
    <n v="1719"/>
    <n v="15825"/>
    <s v="2.66"/>
    <s v="0.00"/>
    <s v="97.34"/>
  </r>
  <r>
    <x v="6"/>
    <x v="7"/>
    <n v="5295260"/>
    <n v="116083"/>
    <n v="3284148"/>
    <s v="2.19"/>
    <s v="0.00"/>
    <s v="97.81"/>
  </r>
  <r>
    <x v="6"/>
    <x v="8"/>
    <n v="865390"/>
    <n v="11451"/>
    <n v="20770"/>
    <s v="1.32"/>
    <s v="0.00"/>
    <s v="98.68"/>
  </r>
  <r>
    <x v="6"/>
    <x v="9"/>
    <n v="178927"/>
    <n v="1805"/>
    <n v="139703"/>
    <s v="1.01"/>
    <s v="0.00"/>
    <s v="98.99"/>
  </r>
  <r>
    <x v="6"/>
    <x v="10"/>
    <n v="542150"/>
    <n v="7208"/>
    <n v="84836"/>
    <s v="1.33"/>
    <s v="0.00"/>
    <s v="98.67"/>
  </r>
  <r>
    <x v="6"/>
    <x v="11"/>
    <n v="257401"/>
    <n v="11717"/>
    <n v="45971"/>
    <s v="4.55"/>
    <s v="0.00"/>
    <s v="95.45"/>
  </r>
  <r>
    <x v="6"/>
    <x v="12"/>
    <n v="19516"/>
    <n v="170"/>
    <n v="928"/>
    <s v="0.87"/>
    <s v="0.00"/>
    <s v="99.13"/>
  </r>
  <r>
    <x v="6"/>
    <x v="13"/>
    <n v="1570485"/>
    <n v="27887"/>
    <n v="1293303"/>
    <s v="1.78"/>
    <s v="0.00"/>
    <s v="98.22"/>
  </r>
  <r>
    <x v="6"/>
    <x v="14"/>
    <n v="1403548"/>
    <n v="26105"/>
    <n v="862417"/>
    <s v="1.86"/>
    <s v="0.00"/>
    <s v="98.14"/>
  </r>
  <r>
    <x v="6"/>
    <x v="15"/>
    <n v="15103"/>
    <n v="221"/>
    <n v="13617"/>
    <s v="1.46"/>
    <s v="0.00"/>
    <s v="98.54"/>
  </r>
  <r>
    <x v="6"/>
    <x v="16"/>
    <n v="628680"/>
    <n v="24940"/>
    <n v="175515"/>
    <s v="3.97"/>
    <s v="0.00"/>
    <s v="96.03"/>
  </r>
  <r>
    <x v="6"/>
    <x v="17"/>
    <n v="277011"/>
    <n v="1393"/>
    <n v="213865"/>
    <s v="0.50"/>
    <s v="0.00"/>
    <s v="99.50"/>
  </r>
  <r>
    <x v="6"/>
    <x v="18"/>
    <n v="20136"/>
    <n v="38"/>
    <n v="4024"/>
    <s v="0.19"/>
    <s v="0.00"/>
    <s v="99.81"/>
  </r>
  <r>
    <x v="6"/>
    <x v="19"/>
    <n v="24804"/>
    <n v="161"/>
    <n v="286"/>
    <s v="0.65"/>
    <s v="0.00"/>
    <s v="99.35"/>
  </r>
  <r>
    <x v="6"/>
    <x v="20"/>
    <n v="1660"/>
    <n v="6"/>
    <n v="229"/>
    <s v="0.36"/>
    <s v="0.00"/>
    <s v="99.64"/>
  </r>
  <r>
    <x v="6"/>
    <x v="21"/>
    <n v="13545"/>
    <n v="91"/>
    <n v="13296"/>
    <s v="0.67"/>
    <s v="0.00"/>
    <s v="99.33"/>
  </r>
  <r>
    <x v="6"/>
    <x v="22"/>
    <n v="517229"/>
    <n v="18960"/>
    <n v="352264"/>
    <s v="3.67"/>
    <s v="0.00"/>
    <s v="96.33"/>
  </r>
  <r>
    <x v="6"/>
    <x v="23"/>
    <n v="21862458"/>
    <n v="609060"/>
    <n v="3636865"/>
    <s v="2.79"/>
    <s v="0.00"/>
    <s v="97.21"/>
  </r>
  <r>
    <x v="6"/>
    <x v="24"/>
    <n v="22485"/>
    <n v="657"/>
    <n v="5370"/>
    <s v="2.92"/>
    <s v="0.00"/>
    <s v="97.08"/>
  </r>
  <r>
    <x v="6"/>
    <x v="25"/>
    <n v="2623"/>
    <n v="3"/>
    <n v="666"/>
    <s v="0.11"/>
    <s v="0.00"/>
    <s v="99.89"/>
  </r>
  <r>
    <x v="6"/>
    <x v="26"/>
    <n v="192935"/>
    <n v="2407"/>
    <n v="33724"/>
    <s v="1.25"/>
    <s v="0.00"/>
    <s v="98.75"/>
  </r>
  <r>
    <x v="6"/>
    <x v="27"/>
    <n v="610022"/>
    <n v="4712"/>
    <n v="108569"/>
    <s v="0.77"/>
    <s v="0.00"/>
    <s v="99.23"/>
  </r>
  <r>
    <x v="6"/>
    <x v="28"/>
    <n v="27894"/>
    <n v="509"/>
    <n v="25485"/>
    <s v="1.82"/>
    <s v="0.00"/>
    <s v="98.18"/>
  </r>
  <r>
    <x v="6"/>
    <x v="29"/>
    <n v="1735964"/>
    <n v="29185"/>
    <n v="785097"/>
    <s v="1.68"/>
    <s v="0.00"/>
    <s v="98.32"/>
  </r>
  <r>
    <x v="6"/>
    <x v="30"/>
    <n v="57605"/>
    <n v="1098"/>
    <n v="31192"/>
    <s v="1.91"/>
    <s v="0.00"/>
    <s v="98.09"/>
  </r>
  <r>
    <x v="6"/>
    <x v="31"/>
    <n v="11579"/>
    <n v="100"/>
    <n v="5520"/>
    <s v="0.86"/>
    <s v="0.00"/>
    <s v="99.14"/>
  </r>
  <r>
    <x v="6"/>
    <x v="32"/>
    <n v="17944"/>
    <n v="297"/>
    <n v="2778"/>
    <s v="1.66"/>
    <s v="0.00"/>
    <s v="98.34"/>
  </r>
  <r>
    <x v="6"/>
    <x v="33"/>
    <n v="887446"/>
    <n v="11273"/>
    <n v="79752"/>
    <s v="1.27"/>
    <s v="0.00"/>
    <s v="98.73"/>
  </r>
  <r>
    <x v="6"/>
    <x v="34"/>
    <n v="61387"/>
    <n v="698"/>
    <n v="46003"/>
    <s v="1.14"/>
    <s v="0.00"/>
    <s v="98.86"/>
  </r>
  <r>
    <x v="6"/>
    <x v="35"/>
    <n v="1703826"/>
    <n v="37814"/>
    <n v="1048432"/>
    <s v="2.22"/>
    <s v="0.00"/>
    <s v="97.78"/>
  </r>
  <r>
    <x v="6"/>
    <x v="36"/>
    <n v="104348"/>
    <n v="1731"/>
    <n v="93151"/>
    <s v="1.66"/>
    <s v="0.00"/>
    <s v="98.34"/>
  </r>
  <r>
    <x v="6"/>
    <x v="37"/>
    <n v="97665"/>
    <n v="4636"/>
    <n v="36570"/>
    <s v="4.75"/>
    <s v="0.00"/>
    <s v="95.25"/>
  </r>
  <r>
    <x v="6"/>
    <x v="38"/>
    <n v="5010982"/>
    <n v="127456"/>
    <n v="2653687"/>
    <s v="2.54"/>
    <s v="0.00"/>
    <s v="97.46"/>
  </r>
  <r>
    <x v="6"/>
    <x v="39"/>
    <n v="562316"/>
    <n v="7134"/>
    <n v="350080"/>
    <s v="1.27"/>
    <s v="0.00"/>
    <s v="98.73"/>
  </r>
  <r>
    <x v="6"/>
    <x v="40"/>
    <n v="954948"/>
    <n v="8257"/>
    <n v="591874"/>
    <s v="0.86"/>
    <s v="0.00"/>
    <s v="99.14"/>
  </r>
  <r>
    <x v="6"/>
    <x v="41"/>
    <n v="38242"/>
    <n v="349"/>
    <n v="33671"/>
    <s v="0.91"/>
    <s v="0.00"/>
    <s v="99.09"/>
  </r>
  <r>
    <x v="6"/>
    <x v="42"/>
    <n v="125413"/>
    <n v="576"/>
    <n v="43520"/>
    <s v="0.46"/>
    <s v="0.00"/>
    <s v="99.54"/>
  </r>
  <r>
    <x v="6"/>
    <x v="43"/>
    <n v="1801154"/>
    <n v="30938"/>
    <n v="1700859"/>
    <s v="1.72"/>
    <s v="0.00"/>
    <s v="98.28"/>
  </r>
  <r>
    <x v="6"/>
    <x v="44"/>
    <n v="4755887"/>
    <n v="96492"/>
    <n v="4079306"/>
    <s v="2.03"/>
    <s v="0.00"/>
    <s v="97.97"/>
  </r>
  <r>
    <x v="6"/>
    <x v="45"/>
    <n v="13491"/>
    <n v="183"/>
    <n v="9192"/>
    <s v="1.36"/>
    <s v="0.00"/>
    <s v="98.64"/>
  </r>
  <r>
    <x v="6"/>
    <x v="46"/>
    <n v="396656"/>
    <n v="2722"/>
    <n v="36806"/>
    <s v="0.69"/>
    <s v="0.00"/>
    <s v="99.31"/>
  </r>
  <r>
    <x v="6"/>
    <x v="47"/>
    <n v="4961"/>
    <n v="32"/>
    <n v="1580"/>
    <s v="0.65"/>
    <s v="0.00"/>
    <s v="99.35"/>
  </r>
  <r>
    <x v="6"/>
    <x v="48"/>
    <n v="386285"/>
    <n v="4148"/>
    <n v="258499"/>
    <s v="1.07"/>
    <s v="0.00"/>
    <s v="98.93"/>
  </r>
  <r>
    <x v="6"/>
    <x v="49"/>
    <n v="206995"/>
    <n v="5939"/>
    <n v="29462"/>
    <s v="2.87"/>
    <s v="0.00"/>
    <s v="97.13"/>
  </r>
  <r>
    <x v="6"/>
    <x v="50"/>
    <n v="518274"/>
    <n v="32983"/>
    <n v="434606"/>
    <s v="6.36"/>
    <s v="0.00"/>
    <s v="93.64"/>
  </r>
  <r>
    <x v="6"/>
    <x v="51"/>
    <n v="202629"/>
    <n v="1581"/>
    <n v="154522"/>
    <s v="0.78"/>
    <s v="0.00"/>
    <s v="99.22"/>
  </r>
  <r>
    <x v="6"/>
    <x v="52"/>
    <n v="335673"/>
    <n v="18949"/>
    <n v="131374"/>
    <s v="5.65"/>
    <s v="0.00"/>
    <s v="94.35"/>
  </r>
  <r>
    <x v="6"/>
    <x v="53"/>
    <n v="6910"/>
    <n v="45"/>
    <n v="878"/>
    <s v="0.65"/>
    <s v="0.00"/>
    <s v="99.35"/>
  </r>
  <r>
    <x v="6"/>
    <x v="54"/>
    <n v="5025639"/>
    <n v="87504"/>
    <n v="366262"/>
    <s v="1.74"/>
    <s v="0.00"/>
    <s v="98.26"/>
  </r>
  <r>
    <x v="6"/>
    <x v="55"/>
    <n v="366783"/>
    <n v="6517"/>
    <n v="311093"/>
    <s v="1.78"/>
    <s v="0.00"/>
    <s v="98.22"/>
  </r>
  <r>
    <x v="6"/>
    <x v="56"/>
    <n v="162476"/>
    <n v="1188"/>
    <n v="125154"/>
    <s v="0.73"/>
    <s v="0.00"/>
    <s v="99.27"/>
  </r>
  <r>
    <x v="6"/>
    <x v="57"/>
    <n v="52247"/>
    <n v="674"/>
    <n v="1978"/>
    <s v="1.29"/>
    <s v="0.00"/>
    <s v="98.71"/>
  </r>
  <r>
    <x v="6"/>
    <x v="58"/>
    <n v="2538"/>
    <n v="5"/>
    <n v="421"/>
    <s v="0.20"/>
    <s v="0.00"/>
    <s v="99.80"/>
  </r>
  <r>
    <x v="6"/>
    <x v="59"/>
    <n v="7020333"/>
    <n v="115488"/>
    <n v="87685"/>
    <s v="1.65"/>
    <s v="0.00"/>
    <s v="98.35"/>
  </r>
  <r>
    <x v="6"/>
    <x v="60"/>
    <n v="36020"/>
    <n v="249"/>
    <n v="22367"/>
    <s v="0.69"/>
    <s v="0.00"/>
    <s v="99.31"/>
  </r>
  <r>
    <x v="6"/>
    <x v="61"/>
    <n v="9280503"/>
    <n v="141921"/>
    <n v="1431277"/>
    <s v="1.53"/>
    <s v="0.00"/>
    <s v="98.47"/>
  </r>
  <r>
    <x v="6"/>
    <x v="62"/>
    <n v="5857"/>
    <n v="198"/>
    <n v="3269"/>
    <s v="3.38"/>
    <s v="0.00"/>
    <s v="96.62"/>
  </r>
  <r>
    <x v="6"/>
    <x v="63"/>
    <n v="743511"/>
    <n v="10300"/>
    <n v="245785"/>
    <s v="1.39"/>
    <s v="0.00"/>
    <s v="98.61"/>
  </r>
  <r>
    <x v="6"/>
    <x v="64"/>
    <n v="44964"/>
    <n v="313"/>
    <n v="31596"/>
    <s v="0.70"/>
    <s v="0.00"/>
    <s v="99.30"/>
  </r>
  <r>
    <x v="6"/>
    <x v="65"/>
    <n v="130391"/>
    <n v="1188"/>
    <n v="31577"/>
    <s v="0.91"/>
    <s v="0.00"/>
    <s v="99.09"/>
  </r>
  <r>
    <x v="6"/>
    <x v="66"/>
    <n v="6115"/>
    <n v="98"/>
    <n v="2297"/>
    <s v="1.60"/>
    <s v="0.00"/>
    <s v="98.40"/>
  </r>
  <r>
    <x v="6"/>
    <x v="67"/>
    <n v="9973"/>
    <n v="341"/>
    <n v="8416"/>
    <s v="3.42"/>
    <s v="0.00"/>
    <s v="96.58"/>
  </r>
  <r>
    <x v="6"/>
    <x v="68"/>
    <n v="30681"/>
    <n v="385"/>
    <n v="1437"/>
    <s v="1.25"/>
    <s v="0.00"/>
    <s v="98.75"/>
  </r>
  <r>
    <x v="6"/>
    <x v="69"/>
    <n v="54474"/>
    <n v="820"/>
    <n v="20023"/>
    <s v="1.51"/>
    <s v="0.00"/>
    <s v="98.49"/>
  </r>
  <r>
    <x v="6"/>
    <x v="70"/>
    <n v="13407"/>
    <n v="168"/>
    <n v="7708"/>
    <s v="1.25"/>
    <s v="0.00"/>
    <s v="98.75"/>
  </r>
  <r>
    <x v="6"/>
    <x v="71"/>
    <n v="774265"/>
    <n v="16200"/>
    <n v="707639"/>
    <s v="2.09"/>
    <s v="0.00"/>
    <s v="97.91"/>
  </r>
  <r>
    <x v="6"/>
    <x v="72"/>
    <n v="604586"/>
    <n v="15338"/>
    <n v="175821"/>
    <s v="2.54"/>
    <s v="0.00"/>
    <s v="97.46"/>
  </r>
  <r>
    <x v="6"/>
    <x v="73"/>
    <n v="6150"/>
    <n v="143"/>
    <n v="3849"/>
    <s v="2.33"/>
    <s v="0.00"/>
    <s v="97.67"/>
  </r>
  <r>
    <x v="6"/>
    <x v="74"/>
    <n v="35993"/>
    <n v="933"/>
    <n v="27925"/>
    <s v="2.59"/>
    <s v="0.00"/>
    <s v="97.41"/>
  </r>
  <r>
    <x v="6"/>
    <x v="75"/>
    <n v="12360"/>
    <n v="213"/>
    <n v="1167"/>
    <s v="1.72"/>
    <s v="0.00"/>
    <s v="98.28"/>
  </r>
  <r>
    <x v="6"/>
    <x v="76"/>
    <n v="376281"/>
    <n v="10308"/>
    <n v="282350"/>
    <s v="2.74"/>
    <s v="0.00"/>
    <s v="97.26"/>
  </r>
  <r>
    <x v="6"/>
    <x v="77"/>
    <n v="490074"/>
    <n v="9400"/>
    <n v="3214"/>
    <s v="1.92"/>
    <s v="0.00"/>
    <s v="98.08"/>
  </r>
  <r>
    <x v="6"/>
    <x v="78"/>
    <n v="24073"/>
    <n v="685"/>
    <n v="19282"/>
    <s v="2.85"/>
    <s v="0.00"/>
    <s v="97.15"/>
  </r>
  <r>
    <x v="6"/>
    <x v="79"/>
    <n v="892164"/>
    <n v="31184"/>
    <n v="469331"/>
    <s v="3.50"/>
    <s v="0.00"/>
    <s v="96.50"/>
  </r>
  <r>
    <x v="6"/>
    <x v="80"/>
    <n v="4247320"/>
    <n v="143519"/>
    <n v="2991447"/>
    <s v="3.38"/>
    <s v="0.00"/>
    <s v="96.62"/>
  </r>
  <r>
    <x v="6"/>
    <x v="81"/>
    <n v="462273"/>
    <n v="5492"/>
    <n v="232159"/>
    <s v="1.19"/>
    <s v="0.00"/>
    <s v="98.81"/>
  </r>
  <r>
    <x v="6"/>
    <x v="82"/>
    <n v="1333263"/>
    <n v="8112"/>
    <n v="864631"/>
    <s v="0.61"/>
    <s v="0.00"/>
    <s v="99.39"/>
  </r>
  <r>
    <x v="6"/>
    <x v="83"/>
    <n v="34344683"/>
    <n v="460265"/>
    <n v="23534998"/>
    <s v="1.34"/>
    <s v="0.00"/>
    <s v="98.66"/>
  </r>
  <r>
    <x v="6"/>
    <x v="84"/>
    <n v="2061222"/>
    <n v="23297"/>
    <n v="706589"/>
    <s v="1.13"/>
    <s v="0.00"/>
    <s v="98.87"/>
  </r>
  <r>
    <x v="6"/>
    <x v="85"/>
    <n v="5973457"/>
    <n v="127053"/>
    <n v="5699802"/>
    <s v="2.13"/>
    <s v="0.00"/>
    <s v="97.87"/>
  </r>
  <r>
    <x v="6"/>
    <x v="86"/>
    <n v="14255"/>
    <n v="34"/>
    <n v="12619"/>
    <s v="0.24"/>
    <s v="0.00"/>
    <s v="99.76"/>
  </r>
  <r>
    <x v="6"/>
    <x v="87"/>
    <n v="4795465"/>
    <n v="132334"/>
    <n v="2717989"/>
    <s v="2.76"/>
    <s v="0.00"/>
    <s v="97.24"/>
  </r>
  <r>
    <x v="6"/>
    <x v="88"/>
    <n v="89466"/>
    <n v="2272"/>
    <n v="11333"/>
    <s v="2.54"/>
    <s v="0.00"/>
    <s v="97.46"/>
  </r>
  <r>
    <x v="6"/>
    <x v="89"/>
    <n v="872585"/>
    <n v="11102"/>
    <n v="481045"/>
    <s v="1.27"/>
    <s v="0.00"/>
    <s v="98.73"/>
  </r>
  <r>
    <x v="6"/>
    <x v="90"/>
    <n v="1723295"/>
    <n v="18304"/>
    <n v="1427524"/>
    <s v="1.06"/>
    <s v="0.00"/>
    <s v="98.94"/>
  </r>
  <r>
    <x v="6"/>
    <x v="91"/>
    <n v="253737"/>
    <n v="5296"/>
    <n v="41834"/>
    <s v="2.09"/>
    <s v="0.00"/>
    <s v="97.91"/>
  </r>
  <r>
    <x v="6"/>
    <x v="92"/>
    <n v="181668"/>
    <n v="2681"/>
    <n v="74077"/>
    <s v="1.48"/>
    <s v="0.00"/>
    <s v="98.52"/>
  </r>
  <r>
    <x v="6"/>
    <x v="94"/>
    <n v="2"/>
    <n v="0"/>
    <n v="2"/>
    <s v="0.00"/>
    <s v="0.00"/>
    <s v="100.00"/>
  </r>
  <r>
    <x v="6"/>
    <x v="93"/>
    <n v="118948"/>
    <n v="2818"/>
    <n v="54724"/>
    <s v="2.37"/>
    <s v="0.00"/>
    <s v="97.63"/>
  </r>
  <r>
    <x v="6"/>
    <x v="95"/>
    <n v="4300"/>
    <n v="147"/>
    <n v="1448"/>
    <s v="3.42"/>
    <s v="0.00"/>
    <s v="96.58"/>
  </r>
  <r>
    <x v="6"/>
    <x v="96"/>
    <n v="2708"/>
    <n v="25"/>
    <n v="1758"/>
    <s v="0.92"/>
    <s v="0.00"/>
    <s v="99.08"/>
  </r>
  <r>
    <x v="6"/>
    <x v="97"/>
    <n v="377712"/>
    <n v="2956"/>
    <n v="3021"/>
    <s v="0.78"/>
    <s v="0.00"/>
    <s v="99.22"/>
  </r>
  <r>
    <x v="6"/>
    <x v="98"/>
    <n v="412793"/>
    <n v="2462"/>
    <n v="98178"/>
    <s v="0.60"/>
    <s v="0.00"/>
    <s v="99.40"/>
  </r>
  <r>
    <x v="6"/>
    <x v="99"/>
    <n v="1027434"/>
    <n v="17263"/>
    <n v="89877"/>
    <s v="1.68"/>
    <s v="0.00"/>
    <s v="98.32"/>
  </r>
  <r>
    <x v="6"/>
    <x v="100"/>
    <n v="45020"/>
    <n v="77"/>
    <n v="5680"/>
    <s v="0.17"/>
    <s v="0.00"/>
    <s v="99.83"/>
  </r>
  <r>
    <x v="6"/>
    <x v="101"/>
    <n v="645104"/>
    <n v="8534"/>
    <n v="344437"/>
    <s v="1.32"/>
    <s v="0.00"/>
    <s v="98.68"/>
  </r>
  <r>
    <x v="6"/>
    <x v="102"/>
    <n v="12673"/>
    <n v="260"/>
    <n v="5418"/>
    <s v="2.05"/>
    <s v="0.00"/>
    <s v="97.95"/>
  </r>
  <r>
    <x v="6"/>
    <x v="103"/>
    <n v="3728"/>
    <n v="61"/>
    <n v="2417"/>
    <s v="1.64"/>
    <s v="0.00"/>
    <s v="98.36"/>
  </r>
  <r>
    <x v="6"/>
    <x v="104"/>
    <n v="544013"/>
    <n v="13821"/>
    <n v="112499"/>
    <s v="2.54"/>
    <s v="0.00"/>
    <s v="97.46"/>
  </r>
  <r>
    <x v="6"/>
    <x v="105"/>
    <n v="5815"/>
    <n v="287"/>
    <n v="4826"/>
    <s v="4.94"/>
    <s v="0.00"/>
    <s v="95.06"/>
  </r>
  <r>
    <x v="6"/>
    <x v="106"/>
    <n v="21677"/>
    <n v="659"/>
    <n v="10672"/>
    <s v="3.04"/>
    <s v="0.00"/>
    <s v="96.96"/>
  </r>
  <r>
    <x v="6"/>
    <x v="107"/>
    <n v="421360"/>
    <n v="6047"/>
    <n v="156450"/>
    <s v="1.44"/>
    <s v="0.00"/>
    <s v="98.56"/>
  </r>
  <r>
    <x v="6"/>
    <x v="108"/>
    <n v="82842"/>
    <n v="849"/>
    <n v="79319"/>
    <s v="1.02"/>
    <s v="0.00"/>
    <s v="98.98"/>
  </r>
  <r>
    <x v="6"/>
    <x v="109"/>
    <n v="228681"/>
    <n v="3444"/>
    <n v="59420"/>
    <s v="1.51"/>
    <s v="0.00"/>
    <s v="98.49"/>
  </r>
  <r>
    <x v="6"/>
    <x v="110"/>
    <n v="360266"/>
    <n v="5186"/>
    <n v="305713"/>
    <s v="1.44"/>
    <s v="0.00"/>
    <s v="98.56"/>
  </r>
  <r>
    <x v="6"/>
    <x v="111"/>
    <n v="947139"/>
    <n v="14701"/>
    <n v="373013"/>
    <s v="1.55"/>
    <s v="0.00"/>
    <s v="98.45"/>
  </r>
  <r>
    <x v="6"/>
    <x v="112"/>
    <n v="3434"/>
    <n v="36"/>
    <n v="218"/>
    <s v="1.05"/>
    <s v="0.00"/>
    <s v="98.95"/>
  </r>
  <r>
    <x v="6"/>
    <x v="113"/>
    <n v="344563"/>
    <n v="8007"/>
    <n v="323097"/>
    <s v="2.32"/>
    <s v="0.00"/>
    <s v="97.68"/>
  </r>
  <r>
    <x v="6"/>
    <x v="114"/>
    <n v="147401"/>
    <n v="2140"/>
    <n v="55686"/>
    <s v="1.45"/>
    <s v="0.00"/>
    <s v="98.55"/>
  </r>
  <r>
    <x v="6"/>
    <x v="115"/>
    <n v="3941"/>
    <n v="56"/>
    <n v="1886"/>
    <s v="1.42"/>
    <s v="0.00"/>
    <s v="98.58"/>
  </r>
  <r>
    <x v="6"/>
    <x v="116"/>
    <n v="43632"/>
    <n v="964"/>
    <n v="29893"/>
    <s v="2.21"/>
    <s v="0.00"/>
    <s v="97.79"/>
  </r>
  <r>
    <x v="6"/>
    <x v="117"/>
    <n v="4"/>
    <n v="0"/>
    <n v="0"/>
    <s v="0.00"/>
    <s v="0.00"/>
    <s v="100.00"/>
  </r>
  <r>
    <x v="6"/>
    <x v="118"/>
    <n v="205022"/>
    <n v="7204"/>
    <n v="24701"/>
    <s v="3.51"/>
    <s v="0.00"/>
    <s v="96.49"/>
  </r>
  <r>
    <x v="6"/>
    <x v="119"/>
    <n v="16294"/>
    <n v="571"/>
    <n v="13365"/>
    <s v="3.50"/>
    <s v="0.00"/>
    <s v="96.50"/>
  </r>
  <r>
    <x v="6"/>
    <x v="120"/>
    <n v="505038"/>
    <n v="18783"/>
    <n v="51470"/>
    <s v="3.72"/>
    <s v="0.00"/>
    <s v="96.28"/>
  </r>
  <r>
    <x v="6"/>
    <x v="121"/>
    <n v="365233"/>
    <n v="1788"/>
    <n v="278828"/>
    <s v="0.49"/>
    <s v="0.00"/>
    <s v="99.51"/>
  </r>
  <r>
    <x v="6"/>
    <x v="122"/>
    <n v="77"/>
    <n v="0"/>
    <n v="36"/>
    <s v="0.00"/>
    <s v="0.00"/>
    <s v="100.00"/>
  </r>
  <r>
    <x v="6"/>
    <x v="123"/>
    <n v="43347"/>
    <n v="683"/>
    <n v="33255"/>
    <s v="1.58"/>
    <s v="0.00"/>
    <s v="98.42"/>
  </r>
  <r>
    <x v="6"/>
    <x v="124"/>
    <n v="37608"/>
    <n v="801"/>
    <n v="8623"/>
    <s v="2.13"/>
    <s v="0.00"/>
    <s v="97.87"/>
  </r>
  <r>
    <x v="6"/>
    <x v="125"/>
    <n v="37813"/>
    <n v="462"/>
    <n v="14422"/>
    <s v="1.22"/>
    <s v="0.00"/>
    <s v="98.78"/>
  </r>
  <r>
    <x v="6"/>
    <x v="126"/>
    <n v="18314"/>
    <n v="199"/>
    <n v="7373"/>
    <s v="1.09"/>
    <s v="0.00"/>
    <s v="98.91"/>
  </r>
  <r>
    <x v="6"/>
    <x v="127"/>
    <n v="88516"/>
    <n v="245"/>
    <n v="26101"/>
    <s v="0.28"/>
    <s v="0.00"/>
    <s v="99.72"/>
  </r>
  <r>
    <x v="6"/>
    <x v="128"/>
    <n v="61803"/>
    <n v="2302"/>
    <n v="42371"/>
    <s v="3.72"/>
    <s v="0.00"/>
    <s v="96.28"/>
  </r>
  <r>
    <x v="6"/>
    <x v="129"/>
    <n v="3818216"/>
    <n v="289131"/>
    <n v="25522"/>
    <s v="7.57"/>
    <s v="0.00"/>
    <s v="92.43"/>
  </r>
  <r>
    <x v="6"/>
    <x v="130"/>
    <n v="2497265"/>
    <n v="29202"/>
    <n v="659415"/>
    <s v="1.17"/>
    <s v="0.00"/>
    <s v="98.83"/>
  </r>
  <r>
    <x v="6"/>
    <x v="131"/>
    <n v="151352"/>
    <n v="1933"/>
    <n v="72983"/>
    <s v="1.28"/>
    <s v="0.00"/>
    <s v="98.72"/>
  </r>
  <r>
    <x v="6"/>
    <x v="132"/>
    <n v="128985"/>
    <n v="3560"/>
    <n v="2020"/>
    <s v="2.76"/>
    <s v="0.00"/>
    <s v="97.24"/>
  </r>
  <r>
    <x v="6"/>
    <x v="133"/>
    <n v="11235"/>
    <n v="267"/>
    <n v="8954"/>
    <s v="2.38"/>
    <s v="0.00"/>
    <s v="97.62"/>
  </r>
  <r>
    <x v="6"/>
    <x v="134"/>
    <n v="6434"/>
    <n v="220"/>
    <n v="4884"/>
    <s v="3.42"/>
    <s v="0.00"/>
    <s v="96.58"/>
  </r>
  <r>
    <x v="6"/>
    <x v="135"/>
    <n v="212511"/>
    <n v="2902"/>
    <n v="38957"/>
    <s v="1.37"/>
    <s v="0.00"/>
    <s v="98.63"/>
  </r>
  <r>
    <x v="6"/>
    <x v="136"/>
    <n v="16699"/>
    <n v="209"/>
    <n v="2803"/>
    <s v="1.25"/>
    <s v="0.00"/>
    <s v="98.75"/>
  </r>
  <r>
    <x v="6"/>
    <x v="137"/>
    <n v="2217816"/>
    <n v="18958"/>
    <n v="203195"/>
    <s v="0.85"/>
    <s v="0.00"/>
    <s v="99.15"/>
  </r>
  <r>
    <x v="6"/>
    <x v="138"/>
    <n v="214795"/>
    <n v="922"/>
    <n v="155497"/>
    <s v="0.43"/>
    <s v="0.00"/>
    <s v="99.57"/>
  </r>
  <r>
    <x v="6"/>
    <x v="139"/>
    <n v="814289"/>
    <n v="11438"/>
    <n v="716468"/>
    <s v="1.40"/>
    <s v="0.00"/>
    <s v="98.60"/>
  </r>
  <r>
    <x v="6"/>
    <x v="140"/>
    <n v="7343"/>
    <n v="31"/>
    <n v="4382"/>
    <s v="0.42"/>
    <s v="0.00"/>
    <s v="99.58"/>
  </r>
  <r>
    <x v="6"/>
    <x v="141"/>
    <n v="304329"/>
    <n v="4112"/>
    <n v="184762"/>
    <s v="1.35"/>
    <s v="0.00"/>
    <s v="98.65"/>
  </r>
  <r>
    <x v="6"/>
    <x v="142"/>
    <n v="473183"/>
    <n v="7322"/>
    <n v="326003"/>
    <s v="1.55"/>
    <s v="0.00"/>
    <s v="98.45"/>
  </r>
  <r>
    <x v="6"/>
    <x v="143"/>
    <n v="2205486"/>
    <n v="200373"/>
    <n v="1717031"/>
    <s v="9.09"/>
    <s v="0.00"/>
    <s v="90.91"/>
  </r>
  <r>
    <x v="6"/>
    <x v="144"/>
    <n v="45573"/>
    <n v="636"/>
    <n v="16678"/>
    <s v="1.40"/>
    <s v="0.00"/>
    <s v="98.60"/>
  </r>
  <r>
    <x v="6"/>
    <x v="145"/>
    <n v="31287"/>
    <n v="406"/>
    <n v="25417"/>
    <s v="1.30"/>
    <s v="0.00"/>
    <s v="98.70"/>
  </r>
  <r>
    <x v="6"/>
    <x v="146"/>
    <n v="2797986"/>
    <n v="44085"/>
    <n v="259509"/>
    <s v="1.58"/>
    <s v="0.00"/>
    <s v="98.42"/>
  </r>
  <r>
    <x v="6"/>
    <x v="147"/>
    <n v="1276240"/>
    <n v="28518"/>
    <n v="617226"/>
    <s v="2.23"/>
    <s v="0.00"/>
    <s v="97.77"/>
  </r>
  <r>
    <x v="6"/>
    <x v="148"/>
    <n v="3076518"/>
    <n v="77547"/>
    <n v="1826316"/>
    <s v="2.52"/>
    <s v="0.00"/>
    <s v="97.48"/>
  </r>
  <r>
    <x v="6"/>
    <x v="149"/>
    <n v="455099"/>
    <n v="4705"/>
    <n v="250874"/>
    <s v="1.03"/>
    <s v="0.00"/>
    <s v="98.97"/>
  </r>
  <r>
    <x v="6"/>
    <x v="150"/>
    <n v="1095337"/>
    <n v="18193"/>
    <n v="1067173"/>
    <s v="1.66"/>
    <s v="0.00"/>
    <s v="98.34"/>
  </r>
  <r>
    <x v="6"/>
    <x v="151"/>
    <n v="8"/>
    <n v="0"/>
    <n v="4"/>
    <s v="0.00"/>
    <s v="0.00"/>
    <s v="100.00"/>
  </r>
  <r>
    <x v="6"/>
    <x v="152"/>
    <n v="461275"/>
    <n v="16258"/>
    <n v="4931"/>
    <s v="3.52"/>
    <s v="0.00"/>
    <s v="96.48"/>
  </r>
  <r>
    <x v="6"/>
    <x v="153"/>
    <n v="239871"/>
    <n v="611"/>
    <n v="120745"/>
    <s v="0.25"/>
    <s v="0.00"/>
    <s v="99.75"/>
  </r>
  <r>
    <x v="6"/>
    <x v="154"/>
    <n v="55125"/>
    <n v="376"/>
    <n v="40494"/>
    <s v="0.68"/>
    <s v="0.00"/>
    <s v="99.32"/>
  </r>
  <r>
    <x v="6"/>
    <x v="155"/>
    <n v="1693532"/>
    <n v="50087"/>
    <n v="490663"/>
    <s v="2.96"/>
    <s v="0.00"/>
    <s v="97.04"/>
  </r>
  <r>
    <x v="6"/>
    <x v="156"/>
    <n v="1174333"/>
    <n v="10271"/>
    <n v="731704"/>
    <s v="0.87"/>
    <s v="0.00"/>
    <s v="99.13"/>
  </r>
  <r>
    <x v="6"/>
    <x v="157"/>
    <n v="8573323"/>
    <n v="239943"/>
    <n v="7270927"/>
    <s v="2.80"/>
    <s v="0.00"/>
    <s v="97.20"/>
  </r>
  <r>
    <x v="6"/>
    <x v="158"/>
    <n v="99898"/>
    <n v="1332"/>
    <n v="4245"/>
    <s v="1.33"/>
    <s v="0.00"/>
    <s v="98.67"/>
  </r>
  <r>
    <x v="6"/>
    <x v="159"/>
    <n v="548848"/>
    <n v="8802"/>
    <n v="133138"/>
    <s v="1.60"/>
    <s v="0.00"/>
    <s v="98.40"/>
  </r>
  <r>
    <x v="6"/>
    <x v="160"/>
    <n v="20"/>
    <n v="0"/>
    <n v="1"/>
    <s v="0.00"/>
    <s v="0.00"/>
    <s v="100.00"/>
  </r>
  <r>
    <x v="6"/>
    <x v="161"/>
    <n v="22381"/>
    <n v="119"/>
    <n v="9820"/>
    <s v="0.53"/>
    <s v="0.00"/>
    <s v="99.47"/>
  </r>
  <r>
    <x v="6"/>
    <x v="162"/>
    <n v="40433"/>
    <n v="3099"/>
    <n v="36346"/>
    <s v="7.66"/>
    <s v="0.00"/>
    <s v="92.34"/>
  </r>
  <r>
    <x v="6"/>
    <x v="163"/>
    <n v="1177094"/>
    <n v="15057"/>
    <n v="1104829"/>
    <s v="1.28"/>
    <s v="0.00"/>
    <s v="98.72"/>
  </r>
  <r>
    <x v="6"/>
    <x v="164"/>
    <n v="212745"/>
    <n v="468"/>
    <n v="170035"/>
    <s v="0.22"/>
    <s v="0.00"/>
    <s v="99.78"/>
  </r>
  <r>
    <x v="6"/>
    <x v="165"/>
    <n v="349996"/>
    <n v="4806"/>
    <n v="339932"/>
    <s v="1.37"/>
    <s v="0.00"/>
    <s v="98.63"/>
  </r>
  <r>
    <x v="6"/>
    <x v="166"/>
    <n v="506795"/>
    <n v="13166"/>
    <n v="468989"/>
    <s v="2.60"/>
    <s v="0.00"/>
    <s v="97.40"/>
  </r>
  <r>
    <x v="6"/>
    <x v="167"/>
    <n v="6398"/>
    <n v="121"/>
    <n v="3174"/>
    <s v="1.89"/>
    <s v="0.00"/>
    <s v="98.11"/>
  </r>
  <r>
    <x v="6"/>
    <x v="168"/>
    <n v="5588"/>
    <n v="92"/>
    <n v="1654"/>
    <s v="1.65"/>
    <s v="0.00"/>
    <s v="98.35"/>
  </r>
  <r>
    <x v="6"/>
    <x v="169"/>
    <n v="73933"/>
    <n v="1880"/>
    <n v="67739"/>
    <s v="2.54"/>
    <s v="0.00"/>
    <s v="97.46"/>
  </r>
  <r>
    <x v="6"/>
    <x v="170"/>
    <n v="22693"/>
    <n v="1294"/>
    <n v="3750"/>
    <s v="5.70"/>
    <s v="0.00"/>
    <s v="94.30"/>
  </r>
  <r>
    <x v="6"/>
    <x v="171"/>
    <n v="49400"/>
    <n v="1107"/>
    <n v="9861"/>
    <s v="2.24"/>
    <s v="0.00"/>
    <s v="97.76"/>
  </r>
  <r>
    <x v="6"/>
    <x v="172"/>
    <n v="12453"/>
    <n v="133"/>
    <n v="10758"/>
    <s v="1.07"/>
    <s v="0.00"/>
    <s v="98.93"/>
  </r>
  <r>
    <x v="6"/>
    <x v="173"/>
    <n v="3720"/>
    <n v="56"/>
    <n v="1176"/>
    <s v="1.51"/>
    <s v="0.00"/>
    <s v="98.49"/>
  </r>
  <r>
    <x v="6"/>
    <x v="174"/>
    <n v="113422"/>
    <n v="3670"/>
    <n v="33653"/>
    <s v="3.24"/>
    <s v="0.00"/>
    <s v="96.76"/>
  </r>
  <r>
    <x v="6"/>
    <x v="175"/>
    <n v="44191"/>
    <n v="2593"/>
    <n v="37150"/>
    <s v="5.87"/>
    <s v="0.00"/>
    <s v="94.13"/>
  </r>
  <r>
    <x v="6"/>
    <x v="176"/>
    <n v="46455"/>
    <n v="1243"/>
    <n v="16247"/>
    <s v="2.68"/>
    <s v="0.00"/>
    <s v="97.32"/>
  </r>
  <r>
    <x v="6"/>
    <x v="177"/>
    <n v="5107"/>
    <n v="175"/>
    <n v="4285"/>
    <s v="3.43"/>
    <s v="0.00"/>
    <s v="96.57"/>
  </r>
  <r>
    <x v="6"/>
    <x v="178"/>
    <n v="26107"/>
    <n v="243"/>
    <n v="22143"/>
    <s v="0.93"/>
    <s v="0.00"/>
    <s v="99.07"/>
  </r>
  <r>
    <x v="6"/>
    <x v="179"/>
    <n v="1960039"/>
    <n v="19611"/>
    <n v="322403"/>
    <s v="1.00"/>
    <s v="0.00"/>
    <s v="99.00"/>
  </r>
  <r>
    <x v="6"/>
    <x v="180"/>
    <n v="17486"/>
    <n v="125"/>
    <n v="3638"/>
    <s v="0.71"/>
    <s v="0.00"/>
    <s v="99.29"/>
  </r>
  <r>
    <x v="6"/>
    <x v="181"/>
    <n v="19795"/>
    <n v="122"/>
    <n v="16513"/>
    <s v="0.62"/>
    <s v="0.00"/>
    <s v="99.38"/>
  </r>
  <r>
    <x v="6"/>
    <x v="182"/>
    <n v="713071"/>
    <n v="25261"/>
    <n v="426354"/>
    <s v="3.54"/>
    <s v="0.00"/>
    <s v="96.46"/>
  </r>
  <r>
    <x v="6"/>
    <x v="183"/>
    <n v="1"/>
    <n v="0"/>
    <n v="1"/>
    <s v="0.00"/>
    <s v="0.00"/>
    <s v="100.00"/>
  </r>
  <r>
    <x v="6"/>
    <x v="184"/>
    <n v="8178871"/>
    <n v="71724"/>
    <n v="6463146"/>
    <s v="0.88"/>
    <s v="0.00"/>
    <s v="99.12"/>
  </r>
  <r>
    <x v="6"/>
    <x v="185"/>
    <n v="58581"/>
    <n v="1753"/>
    <n v="5188"/>
    <s v="2.99"/>
    <s v="0.00"/>
    <s v="97.01"/>
  </r>
  <r>
    <x v="6"/>
    <x v="186"/>
    <n v="16437"/>
    <n v="847"/>
    <n v="3635"/>
    <s v="5.15"/>
    <s v="0.00"/>
    <s v="94.85"/>
  </r>
  <r>
    <x v="6"/>
    <x v="187"/>
    <n v="26196"/>
    <n v="725"/>
    <n v="9761"/>
    <s v="2.77"/>
    <s v="0.00"/>
    <s v="97.23"/>
  </r>
  <r>
    <x v="6"/>
    <x v="188"/>
    <n v="3174223"/>
    <n v="75346"/>
    <n v="1721727"/>
    <s v="2.37"/>
    <s v="0.00"/>
    <s v="97.63"/>
  </r>
  <r>
    <x v="6"/>
    <x v="189"/>
    <n v="126407"/>
    <n v="3224"/>
    <n v="115798"/>
    <s v="2.55"/>
    <s v="0.00"/>
    <s v="97.45"/>
  </r>
  <r>
    <x v="6"/>
    <x v="190"/>
    <n v="46435397"/>
    <n v="753922"/>
    <n v="40262325"/>
    <s v="1.62"/>
    <s v="0.00"/>
    <s v="98.38"/>
  </r>
  <r>
    <x v="6"/>
    <x v="191"/>
    <n v="394914"/>
    <n v="6084"/>
    <n v="364800"/>
    <s v="1.54"/>
    <s v="0.00"/>
    <s v="98.46"/>
  </r>
  <r>
    <x v="6"/>
    <x v="192"/>
    <n v="187381"/>
    <n v="1334"/>
    <n v="49923"/>
    <s v="0.71"/>
    <s v="0.00"/>
    <s v="99.29"/>
  </r>
  <r>
    <x v="6"/>
    <x v="193"/>
    <n v="27"/>
    <n v="0"/>
    <n v="17"/>
    <s v="0.00"/>
    <s v="0.00"/>
    <s v="100.00"/>
  </r>
  <r>
    <x v="6"/>
    <x v="194"/>
    <n v="5092"/>
    <n v="69"/>
    <n v="2682"/>
    <s v="1.36"/>
    <s v="0.00"/>
    <s v="98.64"/>
  </r>
  <r>
    <x v="6"/>
    <x v="195"/>
    <n v="411574"/>
    <n v="4946"/>
    <n v="57285"/>
    <s v="1.20"/>
    <s v="0.00"/>
    <s v="98.80"/>
  </r>
  <r>
    <x v="6"/>
    <x v="196"/>
    <n v="953547"/>
    <n v="22412"/>
    <n v="841895"/>
    <s v="2.35"/>
    <s v="0.00"/>
    <s v="97.65"/>
  </r>
  <r>
    <x v="6"/>
    <x v="197"/>
    <n v="6"/>
    <n v="1"/>
    <n v="4"/>
    <s v="16.67"/>
    <s v="0.00"/>
    <s v="83.33"/>
  </r>
  <r>
    <x v="6"/>
    <x v="198"/>
    <n v="3"/>
    <n v="0"/>
    <n v="1"/>
    <s v="0.00"/>
    <s v="0.00"/>
    <s v="100.00"/>
  </r>
  <r>
    <x v="6"/>
    <x v="199"/>
    <n v="160837"/>
    <n v="2978"/>
    <n v="134718"/>
    <s v="1.85"/>
    <s v="0.00"/>
    <s v="98.15"/>
  </r>
  <r>
    <x v="6"/>
    <x v="200"/>
    <n v="9843"/>
    <n v="1905"/>
    <n v="2592"/>
    <s v="19.35"/>
    <s v="0.00"/>
    <s v="80.65"/>
  </r>
  <r>
    <x v="6"/>
    <x v="201"/>
    <n v="20651"/>
    <n v="185"/>
    <n v="14553"/>
    <s v="0.90"/>
    <s v="0.00"/>
    <s v="99.10"/>
  </r>
  <r>
    <x v="6"/>
    <x v="202"/>
    <n v="2923393"/>
    <n v="89295"/>
    <n v="1070382"/>
    <s v="3.05"/>
    <s v="0.00"/>
    <s v="96.95"/>
  </r>
  <r>
    <x v="6"/>
    <x v="203"/>
    <n v="209852"/>
    <n v="3662"/>
    <n v="114908"/>
    <s v="1.75"/>
    <s v="0.00"/>
    <s v="98.25"/>
  </r>
  <r>
    <x v="6"/>
    <x v="204"/>
    <n v="133112"/>
    <n v="4685"/>
    <n v="58314"/>
    <s v="3.52"/>
    <s v="0.00"/>
    <s v="96.48"/>
  </r>
  <r>
    <x v="6"/>
    <x v="205"/>
    <n v="721"/>
    <n v="15"/>
    <n v="1"/>
    <s v="2.08"/>
    <s v="0.00"/>
    <s v="97.92"/>
  </r>
  <r>
    <x v="7"/>
    <x v="205"/>
    <n v="721"/>
    <n v="15"/>
    <n v="341"/>
    <s v="2.08"/>
    <s v="0.00"/>
    <s v="97.92"/>
  </r>
  <r>
    <x v="7"/>
    <x v="204"/>
    <n v="133112"/>
    <n v="4685"/>
    <n v="75268"/>
    <s v="3.52"/>
    <s v="0.00"/>
    <s v="96.48"/>
  </r>
  <r>
    <x v="7"/>
    <x v="203"/>
    <n v="209815"/>
    <n v="3662"/>
    <n v="201774"/>
    <s v="1.75"/>
    <s v="0.00"/>
    <s v="98.25"/>
  </r>
  <r>
    <x v="7"/>
    <x v="202"/>
    <n v="2923054"/>
    <n v="89251"/>
    <n v="2115081"/>
    <s v="3.05"/>
    <s v="0.00"/>
    <s v="96.95"/>
  </r>
  <r>
    <x v="7"/>
    <x v="201"/>
    <n v="20612"/>
    <n v="185"/>
    <n v="10336"/>
    <s v="0.90"/>
    <s v="0.00"/>
    <s v="99.10"/>
  </r>
  <r>
    <x v="7"/>
    <x v="200"/>
    <n v="9831"/>
    <n v="1901"/>
    <n v="7814"/>
    <s v="19.34"/>
    <s v="0.00"/>
    <s v="80.66"/>
  </r>
  <r>
    <x v="7"/>
    <x v="199"/>
    <n v="160823"/>
    <n v="2978"/>
    <n v="116826"/>
    <s v="1.85"/>
    <s v="0.00"/>
    <s v="98.15"/>
  </r>
  <r>
    <x v="7"/>
    <x v="198"/>
    <n v="3"/>
    <n v="0"/>
    <n v="0"/>
    <s v="0.00"/>
    <s v="0.00"/>
    <s v="100.00"/>
  </r>
  <r>
    <x v="7"/>
    <x v="197"/>
    <n v="6"/>
    <n v="1"/>
    <n v="3"/>
    <s v="16.67"/>
    <s v="0.00"/>
    <s v="83.33"/>
  </r>
  <r>
    <x v="7"/>
    <x v="196"/>
    <n v="946043"/>
    <n v="22342"/>
    <n v="359824"/>
    <s v="2.36"/>
    <s v="0.00"/>
    <s v="97.64"/>
  </r>
  <r>
    <x v="7"/>
    <x v="195"/>
    <n v="410648"/>
    <n v="4936"/>
    <n v="188012"/>
    <s v="1.20"/>
    <s v="0.00"/>
    <s v="98.80"/>
  </r>
  <r>
    <x v="7"/>
    <x v="194"/>
    <n v="5073"/>
    <n v="69"/>
    <n v="1429"/>
    <s v="1.36"/>
    <s v="0.00"/>
    <s v="98.64"/>
  </r>
  <r>
    <x v="7"/>
    <x v="193"/>
    <n v="27"/>
    <n v="0"/>
    <n v="25"/>
    <s v="0.00"/>
    <s v="0.00"/>
    <s v="100.00"/>
  </r>
  <r>
    <x v="7"/>
    <x v="192"/>
    <n v="187085"/>
    <n v="1332"/>
    <n v="60487"/>
    <s v="0.71"/>
    <s v="0.00"/>
    <s v="99.29"/>
  </r>
  <r>
    <x v="7"/>
    <x v="191"/>
    <n v="394679"/>
    <n v="6082"/>
    <n v="174229"/>
    <s v="1.54"/>
    <s v="0.00"/>
    <s v="98.46"/>
  </r>
  <r>
    <x v="7"/>
    <x v="190"/>
    <n v="46338732"/>
    <n v="751855"/>
    <n v="24883389"/>
    <s v="1.62"/>
    <s v="0.00"/>
    <s v="98.38"/>
  </r>
  <r>
    <x v="7"/>
    <x v="189"/>
    <n v="126348"/>
    <n v="3222"/>
    <n v="72021"/>
    <s v="2.55"/>
    <s v="0.00"/>
    <s v="97.45"/>
  </r>
  <r>
    <x v="7"/>
    <x v="188"/>
    <n v="3146617"/>
    <n v="74617"/>
    <n v="1543691"/>
    <s v="2.37"/>
    <s v="0.00"/>
    <s v="97.63"/>
  </r>
  <r>
    <x v="7"/>
    <x v="187"/>
    <n v="26196"/>
    <n v="725"/>
    <n v="20794"/>
    <s v="2.77"/>
    <s v="0.00"/>
    <s v="97.23"/>
  </r>
  <r>
    <x v="7"/>
    <x v="186"/>
    <n v="16430"/>
    <n v="847"/>
    <n v="8786"/>
    <s v="5.16"/>
    <s v="0.00"/>
    <s v="94.84"/>
  </r>
  <r>
    <x v="7"/>
    <x v="185"/>
    <n v="58441"/>
    <n v="1739"/>
    <n v="52512"/>
    <s v="2.98"/>
    <s v="0.00"/>
    <s v="97.02"/>
  </r>
  <r>
    <x v="7"/>
    <x v="184"/>
    <n v="8150678"/>
    <n v="71526"/>
    <n v="4263750"/>
    <s v="0.88"/>
    <s v="0.00"/>
    <s v="99.12"/>
  </r>
  <r>
    <x v="7"/>
    <x v="183"/>
    <n v="1"/>
    <n v="0"/>
    <n v="0"/>
    <s v="0.00"/>
    <s v="0.00"/>
    <s v="100.00"/>
  </r>
  <r>
    <x v="7"/>
    <x v="182"/>
    <n v="713071"/>
    <n v="25261"/>
    <n v="161251"/>
    <s v="3.54"/>
    <s v="0.00"/>
    <s v="96.46"/>
  </r>
  <r>
    <x v="7"/>
    <x v="181"/>
    <n v="19794"/>
    <n v="122"/>
    <n v="1455"/>
    <s v="0.62"/>
    <s v="0.00"/>
    <s v="99.38"/>
  </r>
  <r>
    <x v="7"/>
    <x v="180"/>
    <n v="17486"/>
    <n v="125"/>
    <n v="4549"/>
    <s v="0.71"/>
    <s v="0.00"/>
    <s v="99.29"/>
  </r>
  <r>
    <x v="7"/>
    <x v="179"/>
    <n v="1951572"/>
    <n v="19542"/>
    <n v="892794"/>
    <s v="1.00"/>
    <s v="0.00"/>
    <s v="99.00"/>
  </r>
  <r>
    <x v="7"/>
    <x v="178"/>
    <n v="26102"/>
    <n v="243"/>
    <n v="24107"/>
    <s v="0.93"/>
    <s v="0.00"/>
    <s v="99.07"/>
  </r>
  <r>
    <x v="7"/>
    <x v="177"/>
    <n v="5107"/>
    <n v="175"/>
    <n v="4924"/>
    <s v="3.43"/>
    <s v="0.00"/>
    <s v="96.57"/>
  </r>
  <r>
    <x v="7"/>
    <x v="176"/>
    <n v="46454"/>
    <n v="1243"/>
    <n v="44077"/>
    <s v="2.68"/>
    <s v="0.00"/>
    <s v="97.32"/>
  </r>
  <r>
    <x v="7"/>
    <x v="175"/>
    <n v="44191"/>
    <n v="2593"/>
    <n v="30050"/>
    <s v="5.87"/>
    <s v="0.00"/>
    <s v="94.13"/>
  </r>
  <r>
    <x v="7"/>
    <x v="174"/>
    <n v="113422"/>
    <n v="3664"/>
    <n v="2000"/>
    <s v="3.23"/>
    <s v="0.00"/>
    <s v="96.77"/>
  </r>
  <r>
    <x v="7"/>
    <x v="173"/>
    <n v="3718"/>
    <n v="56"/>
    <n v="2131"/>
    <s v="1.51"/>
    <s v="0.00"/>
    <s v="98.49"/>
  </r>
  <r>
    <x v="7"/>
    <x v="172"/>
    <n v="12448"/>
    <n v="133"/>
    <n v="7877"/>
    <s v="1.07"/>
    <s v="0.00"/>
    <s v="98.93"/>
  </r>
  <r>
    <x v="7"/>
    <x v="171"/>
    <n v="49362"/>
    <n v="1101"/>
    <n v="15680"/>
    <s v="2.23"/>
    <s v="0.00"/>
    <s v="97.77"/>
  </r>
  <r>
    <x v="7"/>
    <x v="170"/>
    <n v="21998"/>
    <n v="1208"/>
    <n v="18368"/>
    <s v="5.49"/>
    <s v="0.00"/>
    <s v="94.51"/>
  </r>
  <r>
    <x v="7"/>
    <x v="169"/>
    <n v="73931"/>
    <n v="1879"/>
    <n v="16162"/>
    <s v="2.54"/>
    <s v="0.00"/>
    <s v="97.46"/>
  </r>
  <r>
    <x v="7"/>
    <x v="168"/>
    <n v="5582"/>
    <n v="92"/>
    <n v="5320"/>
    <s v="1.65"/>
    <s v="0.00"/>
    <s v="98.35"/>
  </r>
  <r>
    <x v="7"/>
    <x v="167"/>
    <n v="6398"/>
    <n v="121"/>
    <n v="1614"/>
    <s v="1.89"/>
    <s v="0.00"/>
    <s v="98.11"/>
  </r>
  <r>
    <x v="7"/>
    <x v="166"/>
    <n v="499990"/>
    <n v="13146"/>
    <n v="232211"/>
    <s v="2.63"/>
    <s v="0.00"/>
    <s v="97.37"/>
  </r>
  <r>
    <x v="7"/>
    <x v="165"/>
    <n v="346220"/>
    <n v="4793"/>
    <n v="18209"/>
    <s v="1.38"/>
    <s v="0.00"/>
    <s v="98.62"/>
  </r>
  <r>
    <x v="7"/>
    <x v="164"/>
    <n v="210978"/>
    <n v="459"/>
    <n v="206454"/>
    <s v="0.22"/>
    <s v="0.00"/>
    <s v="99.78"/>
  </r>
  <r>
    <x v="7"/>
    <x v="163"/>
    <n v="1176269"/>
    <n v="15050"/>
    <n v="689686"/>
    <s v="1.28"/>
    <s v="0.00"/>
    <s v="98.72"/>
  </r>
  <r>
    <x v="7"/>
    <x v="162"/>
    <n v="40433"/>
    <n v="3099"/>
    <n v="36660"/>
    <s v="7.66"/>
    <s v="0.00"/>
    <s v="92.34"/>
  </r>
  <r>
    <x v="7"/>
    <x v="161"/>
    <n v="22336"/>
    <n v="119"/>
    <n v="10154"/>
    <s v="0.53"/>
    <s v="0.00"/>
    <s v="99.47"/>
  </r>
  <r>
    <x v="7"/>
    <x v="160"/>
    <n v="20"/>
    <n v="0"/>
    <n v="17"/>
    <s v="0.00"/>
    <s v="0.00"/>
    <s v="100.00"/>
  </r>
  <r>
    <x v="7"/>
    <x v="159"/>
    <n v="548805"/>
    <n v="8800"/>
    <n v="176390"/>
    <s v="1.60"/>
    <s v="0.00"/>
    <s v="98.40"/>
  </r>
  <r>
    <x v="7"/>
    <x v="158"/>
    <n v="99854"/>
    <n v="1332"/>
    <n v="16328"/>
    <s v="1.33"/>
    <s v="0.00"/>
    <s v="98.67"/>
  </r>
  <r>
    <x v="7"/>
    <x v="157"/>
    <n v="8533706"/>
    <n v="238784"/>
    <n v="3118101"/>
    <s v="2.80"/>
    <s v="0.00"/>
    <s v="97.20"/>
  </r>
  <r>
    <x v="7"/>
    <x v="156"/>
    <n v="1168608"/>
    <n v="10203"/>
    <n v="958869"/>
    <s v="0.87"/>
    <s v="0.00"/>
    <s v="99.13"/>
  </r>
  <r>
    <x v="7"/>
    <x v="155"/>
    <n v="1685264"/>
    <n v="49604"/>
    <n v="969398"/>
    <s v="2.94"/>
    <s v="0.00"/>
    <s v="97.06"/>
  </r>
  <r>
    <x v="7"/>
    <x v="154"/>
    <n v="55125"/>
    <n v="376"/>
    <n v="47542"/>
    <s v="0.68"/>
    <s v="0.00"/>
    <s v="99.32"/>
  </r>
  <r>
    <x v="7"/>
    <x v="153"/>
    <n v="239752"/>
    <n v="611"/>
    <n v="35566"/>
    <s v="0.25"/>
    <s v="0.00"/>
    <s v="99.75"/>
  </r>
  <r>
    <x v="7"/>
    <x v="152"/>
    <n v="461225"/>
    <n v="16256"/>
    <n v="181923"/>
    <s v="3.52"/>
    <s v="0.00"/>
    <s v="96.48"/>
  </r>
  <r>
    <x v="7"/>
    <x v="151"/>
    <n v="8"/>
    <n v="0"/>
    <n v="7"/>
    <s v="0.00"/>
    <s v="0.00"/>
    <s v="100.00"/>
  </r>
  <r>
    <x v="7"/>
    <x v="150"/>
    <n v="1094048"/>
    <n v="18184"/>
    <n v="426242"/>
    <s v="1.66"/>
    <s v="0.00"/>
    <s v="98.34"/>
  </r>
  <r>
    <x v="7"/>
    <x v="149"/>
    <n v="454799"/>
    <n v="4697"/>
    <n v="10904"/>
    <s v="1.03"/>
    <s v="0.00"/>
    <s v="98.97"/>
  </r>
  <r>
    <x v="7"/>
    <x v="148"/>
    <n v="3060613"/>
    <n v="77395"/>
    <n v="2016841"/>
    <s v="2.53"/>
    <s v="0.00"/>
    <s v="97.47"/>
  </r>
  <r>
    <x v="7"/>
    <x v="147"/>
    <n v="1275673"/>
    <n v="28507"/>
    <n v="1208118"/>
    <s v="2.23"/>
    <s v="0.00"/>
    <s v="97.77"/>
  </r>
  <r>
    <x v="7"/>
    <x v="146"/>
    <n v="2795642"/>
    <n v="43825"/>
    <n v="473314"/>
    <s v="1.57"/>
    <s v="0.00"/>
    <s v="98.43"/>
  </r>
  <r>
    <x v="7"/>
    <x v="145"/>
    <n v="31010"/>
    <n v="392"/>
    <n v="23361"/>
    <s v="1.26"/>
    <s v="0.00"/>
    <s v="98.74"/>
  </r>
  <r>
    <x v="7"/>
    <x v="144"/>
    <n v="45541"/>
    <n v="636"/>
    <n v="19172"/>
    <s v="1.40"/>
    <s v="0.00"/>
    <s v="98.60"/>
  </r>
  <r>
    <x v="7"/>
    <x v="143"/>
    <n v="2204424"/>
    <n v="200350"/>
    <n v="1881899"/>
    <s v="9.09"/>
    <s v="0.00"/>
    <s v="90.91"/>
  </r>
  <r>
    <x v="7"/>
    <x v="142"/>
    <n v="473089"/>
    <n v="7321"/>
    <n v="383376"/>
    <s v="1.55"/>
    <s v="0.00"/>
    <s v="98.45"/>
  </r>
  <r>
    <x v="7"/>
    <x v="141"/>
    <n v="304329"/>
    <n v="4112"/>
    <n v="828"/>
    <s v="1.35"/>
    <s v="0.00"/>
    <s v="98.65"/>
  </r>
  <r>
    <x v="7"/>
    <x v="140"/>
    <n v="7139"/>
    <n v="29"/>
    <n v="5250"/>
    <s v="0.41"/>
    <s v="0.00"/>
    <s v="99.59"/>
  </r>
  <r>
    <x v="7"/>
    <x v="139"/>
    <n v="814115"/>
    <n v="11436"/>
    <n v="316768"/>
    <s v="1.40"/>
    <s v="0.00"/>
    <s v="98.60"/>
  </r>
  <r>
    <x v="7"/>
    <x v="138"/>
    <n v="213289"/>
    <n v="920"/>
    <n v="17911"/>
    <s v="0.43"/>
    <s v="0.00"/>
    <s v="99.57"/>
  </r>
  <r>
    <x v="7"/>
    <x v="137"/>
    <n v="2206853"/>
    <n v="18937"/>
    <n v="1576295"/>
    <s v="0.86"/>
    <s v="0.00"/>
    <s v="99.14"/>
  </r>
  <r>
    <x v="7"/>
    <x v="136"/>
    <n v="16699"/>
    <n v="209"/>
    <n v="790"/>
    <s v="1.25"/>
    <s v="0.00"/>
    <s v="98.75"/>
  </r>
  <r>
    <x v="7"/>
    <x v="135"/>
    <n v="212446"/>
    <n v="2902"/>
    <n v="163345"/>
    <s v="1.37"/>
    <s v="0.00"/>
    <s v="98.63"/>
  </r>
  <r>
    <x v="7"/>
    <x v="134"/>
    <n v="6434"/>
    <n v="220"/>
    <n v="1204"/>
    <s v="3.42"/>
    <s v="0.00"/>
    <s v="96.58"/>
  </r>
  <r>
    <x v="7"/>
    <x v="133"/>
    <n v="11182"/>
    <n v="267"/>
    <n v="5830"/>
    <s v="2.39"/>
    <s v="0.00"/>
    <s v="97.61"/>
  </r>
  <r>
    <x v="7"/>
    <x v="132"/>
    <n v="128967"/>
    <n v="3558"/>
    <n v="42248"/>
    <s v="2.76"/>
    <s v="0.00"/>
    <s v="97.24"/>
  </r>
  <r>
    <x v="7"/>
    <x v="131"/>
    <n v="151339"/>
    <n v="1932"/>
    <n v="79896"/>
    <s v="1.28"/>
    <s v="0.00"/>
    <s v="98.72"/>
  </r>
  <r>
    <x v="7"/>
    <x v="130"/>
    <n v="2492343"/>
    <n v="29155"/>
    <n v="1003953"/>
    <s v="1.17"/>
    <s v="0.00"/>
    <s v="98.83"/>
  </r>
  <r>
    <x v="7"/>
    <x v="129"/>
    <n v="3814453"/>
    <n v="288887"/>
    <n v="1366100"/>
    <s v="7.57"/>
    <s v="0.00"/>
    <s v="92.43"/>
  </r>
  <r>
    <x v="7"/>
    <x v="128"/>
    <n v="61803"/>
    <n v="2302"/>
    <n v="13395"/>
    <s v="3.72"/>
    <s v="0.00"/>
    <s v="96.28"/>
  </r>
  <r>
    <x v="7"/>
    <x v="127"/>
    <n v="88386"/>
    <n v="244"/>
    <n v="12517"/>
    <s v="0.28"/>
    <s v="0.00"/>
    <s v="99.72"/>
  </r>
  <r>
    <x v="7"/>
    <x v="126"/>
    <n v="18314"/>
    <n v="199"/>
    <n v="7610"/>
    <s v="1.09"/>
    <s v="0.00"/>
    <s v="98.91"/>
  </r>
  <r>
    <x v="7"/>
    <x v="125"/>
    <n v="37773"/>
    <n v="462"/>
    <n v="16716"/>
    <s v="1.22"/>
    <s v="0.00"/>
    <s v="98.78"/>
  </r>
  <r>
    <x v="7"/>
    <x v="124"/>
    <n v="37535"/>
    <n v="801"/>
    <n v="32678"/>
    <s v="2.13"/>
    <s v="0.00"/>
    <s v="97.87"/>
  </r>
  <r>
    <x v="7"/>
    <x v="123"/>
    <n v="43347"/>
    <n v="683"/>
    <n v="14722"/>
    <s v="1.58"/>
    <s v="0.00"/>
    <s v="98.42"/>
  </r>
  <r>
    <x v="7"/>
    <x v="122"/>
    <n v="77"/>
    <n v="0"/>
    <n v="38"/>
    <s v="0.00"/>
    <s v="0.00"/>
    <s v="100.00"/>
  </r>
  <r>
    <x v="7"/>
    <x v="121"/>
    <n v="364051"/>
    <n v="1777"/>
    <n v="38937"/>
    <s v="0.49"/>
    <s v="0.00"/>
    <s v="99.51"/>
  </r>
  <r>
    <x v="7"/>
    <x v="120"/>
    <n v="503981"/>
    <n v="18766"/>
    <n v="86435"/>
    <s v="3.72"/>
    <s v="0.00"/>
    <s v="96.28"/>
  </r>
  <r>
    <x v="7"/>
    <x v="119"/>
    <n v="16233"/>
    <n v="570"/>
    <n v="1053"/>
    <s v="3.51"/>
    <s v="0.00"/>
    <s v="96.49"/>
  </r>
  <r>
    <x v="7"/>
    <x v="118"/>
    <n v="204416"/>
    <n v="7194"/>
    <n v="69492"/>
    <s v="3.52"/>
    <s v="0.00"/>
    <s v="96.48"/>
  </r>
  <r>
    <x v="7"/>
    <x v="117"/>
    <n v="4"/>
    <n v="0"/>
    <n v="1"/>
    <s v="0.00"/>
    <s v="0.00"/>
    <s v="100.00"/>
  </r>
  <r>
    <x v="7"/>
    <x v="116"/>
    <n v="43632"/>
    <n v="964"/>
    <n v="28194"/>
    <s v="2.21"/>
    <s v="0.00"/>
    <s v="97.79"/>
  </r>
  <r>
    <x v="7"/>
    <x v="115"/>
    <n v="3941"/>
    <n v="56"/>
    <n v="273"/>
    <s v="1.42"/>
    <s v="0.00"/>
    <s v="98.58"/>
  </r>
  <r>
    <x v="7"/>
    <x v="114"/>
    <n v="146663"/>
    <n v="2125"/>
    <n v="121497"/>
    <s v="1.45"/>
    <s v="0.00"/>
    <s v="98.55"/>
  </r>
  <r>
    <x v="7"/>
    <x v="113"/>
    <n v="343261"/>
    <n v="7958"/>
    <n v="196935"/>
    <s v="2.32"/>
    <s v="0.00"/>
    <s v="97.68"/>
  </r>
  <r>
    <x v="7"/>
    <x v="112"/>
    <n v="3424"/>
    <n v="36"/>
    <n v="1883"/>
    <s v="1.05"/>
    <s v="0.00"/>
    <s v="98.95"/>
  </r>
  <r>
    <x v="7"/>
    <x v="111"/>
    <n v="946957"/>
    <n v="14698"/>
    <n v="270612"/>
    <s v="1.55"/>
    <s v="0.00"/>
    <s v="98.45"/>
  </r>
  <r>
    <x v="7"/>
    <x v="110"/>
    <n v="359667"/>
    <n v="5171"/>
    <n v="90119"/>
    <s v="1.44"/>
    <s v="0.00"/>
    <s v="98.56"/>
  </r>
  <r>
    <x v="7"/>
    <x v="109"/>
    <n v="226860"/>
    <n v="3401"/>
    <n v="47240"/>
    <s v="1.50"/>
    <s v="0.00"/>
    <s v="98.50"/>
  </r>
  <r>
    <x v="7"/>
    <x v="108"/>
    <n v="82623"/>
    <n v="849"/>
    <n v="9139"/>
    <s v="1.03"/>
    <s v="0.00"/>
    <s v="98.97"/>
  </r>
  <r>
    <x v="7"/>
    <x v="107"/>
    <n v="418078"/>
    <n v="6010"/>
    <n v="131832"/>
    <s v="1.44"/>
    <s v="0.00"/>
    <s v="98.56"/>
  </r>
  <r>
    <x v="7"/>
    <x v="106"/>
    <n v="21672"/>
    <n v="658"/>
    <n v="11986"/>
    <s v="3.04"/>
    <s v="0.00"/>
    <s v="96.96"/>
  </r>
  <r>
    <x v="7"/>
    <x v="105"/>
    <n v="5815"/>
    <n v="287"/>
    <n v="1134"/>
    <s v="4.94"/>
    <s v="0.00"/>
    <s v="95.06"/>
  </r>
  <r>
    <x v="7"/>
    <x v="104"/>
    <n v="543385"/>
    <n v="13806"/>
    <n v="208230"/>
    <s v="2.54"/>
    <s v="0.00"/>
    <s v="97.46"/>
  </r>
  <r>
    <x v="7"/>
    <x v="103"/>
    <n v="3708"/>
    <n v="61"/>
    <n v="2161"/>
    <s v="1.65"/>
    <s v="0.00"/>
    <s v="98.35"/>
  </r>
  <r>
    <x v="7"/>
    <x v="102"/>
    <n v="12645"/>
    <n v="260"/>
    <n v="7403"/>
    <s v="2.06"/>
    <s v="0.00"/>
    <s v="97.94"/>
  </r>
  <r>
    <x v="7"/>
    <x v="101"/>
    <n v="644391"/>
    <n v="8528"/>
    <n v="230124"/>
    <s v="1.32"/>
    <s v="0.00"/>
    <s v="98.68"/>
  </r>
  <r>
    <x v="7"/>
    <x v="100"/>
    <n v="44061"/>
    <n v="76"/>
    <n v="7164"/>
    <s v="0.17"/>
    <s v="0.00"/>
    <s v="99.83"/>
  </r>
  <r>
    <x v="7"/>
    <x v="99"/>
    <n v="1025990"/>
    <n v="17238"/>
    <n v="205935"/>
    <s v="1.68"/>
    <s v="0.00"/>
    <s v="98.32"/>
  </r>
  <r>
    <x v="7"/>
    <x v="98"/>
    <n v="412768"/>
    <n v="2462"/>
    <n v="9553"/>
    <s v="0.60"/>
    <s v="0.00"/>
    <s v="99.40"/>
  </r>
  <r>
    <x v="7"/>
    <x v="97"/>
    <n v="375464"/>
    <n v="2936"/>
    <n v="204840"/>
    <s v="0.78"/>
    <s v="0.00"/>
    <s v="99.22"/>
  </r>
  <r>
    <x v="7"/>
    <x v="96"/>
    <n v="2701"/>
    <n v="25"/>
    <n v="2322"/>
    <s v="0.93"/>
    <s v="0.00"/>
    <s v="99.07"/>
  </r>
  <r>
    <x v="7"/>
    <x v="95"/>
    <n v="4291"/>
    <n v="147"/>
    <n v="161"/>
    <s v="3.43"/>
    <s v="0.00"/>
    <s v="96.57"/>
  </r>
  <r>
    <x v="7"/>
    <x v="93"/>
    <n v="118870"/>
    <n v="2813"/>
    <n v="7737"/>
    <s v="2.37"/>
    <s v="0.00"/>
    <s v="97.63"/>
  </r>
  <r>
    <x v="7"/>
    <x v="94"/>
    <n v="2"/>
    <n v="0"/>
    <n v="2"/>
    <s v="0.00"/>
    <s v="0.00"/>
    <s v="100.00"/>
  </r>
  <r>
    <x v="7"/>
    <x v="92"/>
    <n v="181590"/>
    <n v="2679"/>
    <n v="67580"/>
    <s v="1.48"/>
    <s v="0.00"/>
    <s v="98.52"/>
  </r>
  <r>
    <x v="7"/>
    <x v="91"/>
    <n v="253661"/>
    <n v="5296"/>
    <n v="43122"/>
    <s v="2.09"/>
    <s v="0.00"/>
    <s v="97.91"/>
  </r>
  <r>
    <x v="7"/>
    <x v="90"/>
    <n v="1723070"/>
    <n v="18292"/>
    <n v="675691"/>
    <s v="1.06"/>
    <s v="0.00"/>
    <s v="98.94"/>
  </r>
  <r>
    <x v="7"/>
    <x v="89"/>
    <n v="870505"/>
    <n v="11088"/>
    <n v="13512"/>
    <s v="1.27"/>
    <s v="0.00"/>
    <s v="98.73"/>
  </r>
  <r>
    <x v="7"/>
    <x v="88"/>
    <n v="89349"/>
    <n v="2257"/>
    <n v="10073"/>
    <s v="2.53"/>
    <s v="0.00"/>
    <s v="97.47"/>
  </r>
  <r>
    <x v="7"/>
    <x v="87"/>
    <n v="4788704"/>
    <n v="132283"/>
    <n v="1659198"/>
    <s v="2.76"/>
    <s v="0.00"/>
    <s v="97.24"/>
  </r>
  <r>
    <x v="7"/>
    <x v="86"/>
    <n v="14087"/>
    <n v="34"/>
    <n v="10713"/>
    <s v="0.24"/>
    <s v="0.00"/>
    <s v="99.76"/>
  </r>
  <r>
    <x v="7"/>
    <x v="85"/>
    <n v="5964824"/>
    <n v="126921"/>
    <n v="1228758"/>
    <s v="2.13"/>
    <s v="0.00"/>
    <s v="97.87"/>
  </r>
  <r>
    <x v="7"/>
    <x v="84"/>
    <n v="2060066"/>
    <n v="23271"/>
    <n v="1911018"/>
    <s v="1.13"/>
    <s v="0.00"/>
    <s v="98.87"/>
  </r>
  <r>
    <x v="7"/>
    <x v="83"/>
    <n v="34333754"/>
    <n v="459873"/>
    <n v="18468185"/>
    <s v="1.34"/>
    <s v="0.00"/>
    <s v="98.66"/>
  </r>
  <r>
    <x v="7"/>
    <x v="82"/>
    <n v="1332801"/>
    <n v="8112"/>
    <n v="1153129"/>
    <s v="0.61"/>
    <s v="0.00"/>
    <s v="99.39"/>
  </r>
  <r>
    <x v="7"/>
    <x v="81"/>
    <n v="458370"/>
    <n v="5492"/>
    <n v="297083"/>
    <s v="1.20"/>
    <s v="0.00"/>
    <s v="98.80"/>
  </r>
  <r>
    <x v="7"/>
    <x v="80"/>
    <n v="4246802"/>
    <n v="143500"/>
    <n v="2300963"/>
    <s v="3.38"/>
    <s v="0.00"/>
    <s v="96.62"/>
  </r>
  <r>
    <x v="7"/>
    <x v="79"/>
    <n v="885360"/>
    <n v="31101"/>
    <n v="337948"/>
    <s v="3.51"/>
    <s v="0.00"/>
    <s v="96.49"/>
  </r>
  <r>
    <x v="7"/>
    <x v="78"/>
    <n v="24032"/>
    <n v="679"/>
    <n v="3031"/>
    <s v="2.83"/>
    <s v="0.00"/>
    <s v="97.17"/>
  </r>
  <r>
    <x v="7"/>
    <x v="77"/>
    <n v="483142"/>
    <n v="9364"/>
    <n v="187117"/>
    <s v="1.94"/>
    <s v="0.00"/>
    <s v="98.06"/>
  </r>
  <r>
    <x v="7"/>
    <x v="76"/>
    <n v="375983"/>
    <n v="10284"/>
    <n v="334791"/>
    <s v="2.74"/>
    <s v="0.00"/>
    <s v="97.26"/>
  </r>
  <r>
    <x v="7"/>
    <x v="75"/>
    <n v="12359"/>
    <n v="213"/>
    <n v="8591"/>
    <s v="1.72"/>
    <s v="0.00"/>
    <s v="98.28"/>
  </r>
  <r>
    <x v="7"/>
    <x v="74"/>
    <n v="35929"/>
    <n v="930"/>
    <n v="31379"/>
    <s v="2.59"/>
    <s v="0.00"/>
    <s v="97.41"/>
  </r>
  <r>
    <x v="7"/>
    <x v="73"/>
    <n v="6149"/>
    <n v="143"/>
    <n v="2229"/>
    <s v="2.33"/>
    <s v="0.00"/>
    <s v="97.67"/>
  </r>
  <r>
    <x v="7"/>
    <x v="72"/>
    <n v="603641"/>
    <n v="15281"/>
    <n v="111956"/>
    <s v="2.53"/>
    <s v="0.00"/>
    <s v="97.47"/>
  </r>
  <r>
    <x v="7"/>
    <x v="71"/>
    <n v="767376"/>
    <n v="16151"/>
    <n v="636498"/>
    <s v="2.10"/>
    <s v="0.00"/>
    <s v="97.90"/>
  </r>
  <r>
    <x v="7"/>
    <x v="70"/>
    <n v="13407"/>
    <n v="168"/>
    <n v="5731"/>
    <s v="1.25"/>
    <s v="0.00"/>
    <s v="98.75"/>
  </r>
  <r>
    <x v="7"/>
    <x v="69"/>
    <n v="54474"/>
    <n v="820"/>
    <n v="50993"/>
    <s v="1.51"/>
    <s v="0.00"/>
    <s v="98.49"/>
  </r>
  <r>
    <x v="7"/>
    <x v="68"/>
    <n v="30681"/>
    <n v="385"/>
    <n v="1900"/>
    <s v="1.25"/>
    <s v="0.00"/>
    <s v="98.75"/>
  </r>
  <r>
    <x v="7"/>
    <x v="67"/>
    <n v="9973"/>
    <n v="341"/>
    <n v="8948"/>
    <s v="3.42"/>
    <s v="0.00"/>
    <s v="96.58"/>
  </r>
  <r>
    <x v="7"/>
    <x v="66"/>
    <n v="6091"/>
    <n v="98"/>
    <n v="2819"/>
    <s v="1.61"/>
    <s v="0.00"/>
    <s v="98.39"/>
  </r>
  <r>
    <x v="7"/>
    <x v="65"/>
    <n v="130287"/>
    <n v="1182"/>
    <n v="31412"/>
    <s v="0.91"/>
    <s v="0.00"/>
    <s v="99.09"/>
  </r>
  <r>
    <x v="7"/>
    <x v="64"/>
    <n v="44784"/>
    <n v="311"/>
    <n v="29605"/>
    <s v="0.69"/>
    <s v="0.00"/>
    <s v="99.31"/>
  </r>
  <r>
    <x v="7"/>
    <x v="63"/>
    <n v="738171"/>
    <n v="10238"/>
    <n v="496558"/>
    <s v="1.39"/>
    <s v="0.00"/>
    <s v="98.61"/>
  </r>
  <r>
    <x v="7"/>
    <x v="62"/>
    <n v="5857"/>
    <n v="198"/>
    <n v="2754"/>
    <s v="3.38"/>
    <s v="0.00"/>
    <s v="96.62"/>
  </r>
  <r>
    <x v="7"/>
    <x v="61"/>
    <n v="9246555"/>
    <n v="141728"/>
    <n v="2067457"/>
    <s v="1.53"/>
    <s v="0.00"/>
    <s v="98.47"/>
  </r>
  <r>
    <x v="7"/>
    <x v="60"/>
    <n v="36020"/>
    <n v="249"/>
    <n v="33358"/>
    <s v="0.69"/>
    <s v="0.00"/>
    <s v="99.31"/>
  </r>
  <r>
    <x v="7"/>
    <x v="59"/>
    <n v="7011554"/>
    <n v="115464"/>
    <n v="5529091"/>
    <s v="1.65"/>
    <s v="0.00"/>
    <s v="98.35"/>
  </r>
  <r>
    <x v="7"/>
    <x v="58"/>
    <n v="2484"/>
    <n v="5"/>
    <n v="184"/>
    <s v="0.20"/>
    <s v="0.00"/>
    <s v="99.80"/>
  </r>
  <r>
    <x v="7"/>
    <x v="57"/>
    <n v="52209"/>
    <n v="674"/>
    <n v="43314"/>
    <s v="1.29"/>
    <s v="0.00"/>
    <s v="98.71"/>
  </r>
  <r>
    <x v="7"/>
    <x v="56"/>
    <n v="161688"/>
    <n v="1184"/>
    <n v="120"/>
    <s v="0.73"/>
    <s v="0.00"/>
    <s v="99.27"/>
  </r>
  <r>
    <x v="7"/>
    <x v="55"/>
    <n v="366424"/>
    <n v="6509"/>
    <n v="276984"/>
    <s v="1.78"/>
    <s v="0.00"/>
    <s v="98.22"/>
  </r>
  <r>
    <x v="7"/>
    <x v="54"/>
    <n v="5022546"/>
    <n v="87477"/>
    <n v="2977706"/>
    <s v="1.74"/>
    <s v="0.00"/>
    <s v="98.26"/>
  </r>
  <r>
    <x v="7"/>
    <x v="53"/>
    <n v="6910"/>
    <n v="45"/>
    <n v="2427"/>
    <s v="0.65"/>
    <s v="0.00"/>
    <s v="99.35"/>
  </r>
  <r>
    <x v="7"/>
    <x v="52"/>
    <n v="334751"/>
    <n v="18889"/>
    <n v="118563"/>
    <s v="5.64"/>
    <s v="0.00"/>
    <s v="94.36"/>
  </r>
  <r>
    <x v="7"/>
    <x v="51"/>
    <n v="201194"/>
    <n v="1574"/>
    <n v="89025"/>
    <s v="0.78"/>
    <s v="0.00"/>
    <s v="99.22"/>
  </r>
  <r>
    <x v="7"/>
    <x v="50"/>
    <n v="518274"/>
    <n v="32983"/>
    <n v="456941"/>
    <s v="6.36"/>
    <s v="0.00"/>
    <s v="93.64"/>
  </r>
  <r>
    <x v="7"/>
    <x v="49"/>
    <n v="206878"/>
    <n v="5936"/>
    <n v="199218"/>
    <s v="2.87"/>
    <s v="0.00"/>
    <s v="97.13"/>
  </r>
  <r>
    <x v="7"/>
    <x v="48"/>
    <n v="385181"/>
    <n v="4146"/>
    <n v="147711"/>
    <s v="1.08"/>
    <s v="0.00"/>
    <s v="98.92"/>
  </r>
  <r>
    <x v="7"/>
    <x v="47"/>
    <n v="4961"/>
    <n v="32"/>
    <n v="1839"/>
    <s v="0.65"/>
    <s v="0.00"/>
    <s v="99.35"/>
  </r>
  <r>
    <x v="7"/>
    <x v="46"/>
    <n v="396643"/>
    <n v="2722"/>
    <n v="292405"/>
    <s v="0.69"/>
    <s v="0.00"/>
    <s v="99.31"/>
  </r>
  <r>
    <x v="7"/>
    <x v="45"/>
    <n v="13489"/>
    <n v="183"/>
    <n v="7137"/>
    <s v="1.36"/>
    <s v="0.00"/>
    <s v="98.64"/>
  </r>
  <r>
    <x v="7"/>
    <x v="44"/>
    <n v="4722102"/>
    <n v="96351"/>
    <n v="1170869"/>
    <s v="2.04"/>
    <s v="0.00"/>
    <s v="97.96"/>
  </r>
  <r>
    <x v="7"/>
    <x v="43"/>
    <n v="1792707"/>
    <n v="30878"/>
    <n v="277429"/>
    <s v="1.72"/>
    <s v="0.00"/>
    <s v="98.28"/>
  </r>
  <r>
    <x v="7"/>
    <x v="42"/>
    <n v="125161"/>
    <n v="576"/>
    <n v="25622"/>
    <s v="0.46"/>
    <s v="0.00"/>
    <s v="99.54"/>
  </r>
  <r>
    <x v="7"/>
    <x v="41"/>
    <n v="38233"/>
    <n v="349"/>
    <n v="35281"/>
    <s v="0.91"/>
    <s v="0.00"/>
    <s v="99.09"/>
  </r>
  <r>
    <x v="7"/>
    <x v="40"/>
    <n v="954342"/>
    <n v="8252"/>
    <n v="5280"/>
    <s v="0.86"/>
    <s v="0.00"/>
    <s v="99.14"/>
  </r>
  <r>
    <x v="7"/>
    <x v="39"/>
    <n v="561829"/>
    <n v="7124"/>
    <n v="206410"/>
    <s v="1.27"/>
    <s v="0.00"/>
    <s v="98.73"/>
  </r>
  <r>
    <x v="7"/>
    <x v="38"/>
    <n v="5009007"/>
    <n v="127417"/>
    <n v="865963"/>
    <s v="2.54"/>
    <s v="0.00"/>
    <s v="97.46"/>
  </r>
  <r>
    <x v="7"/>
    <x v="37"/>
    <n v="97605"/>
    <n v="4636"/>
    <n v="12507"/>
    <s v="4.75"/>
    <s v="0.00"/>
    <s v="95.25"/>
  </r>
  <r>
    <x v="7"/>
    <x v="36"/>
    <n v="104348"/>
    <n v="1731"/>
    <n v="30264"/>
    <s v="1.66"/>
    <s v="0.00"/>
    <s v="98.34"/>
  </r>
  <r>
    <x v="7"/>
    <x v="35"/>
    <n v="1701316"/>
    <n v="37795"/>
    <n v="1310949"/>
    <s v="2.22"/>
    <s v="0.00"/>
    <s v="97.78"/>
  </r>
  <r>
    <x v="7"/>
    <x v="34"/>
    <n v="61370"/>
    <n v="696"/>
    <n v="482"/>
    <s v="1.13"/>
    <s v="0.00"/>
    <s v="98.87"/>
  </r>
  <r>
    <x v="7"/>
    <x v="33"/>
    <n v="884597"/>
    <n v="11265"/>
    <n v="253721"/>
    <s v="1.27"/>
    <s v="0.00"/>
    <s v="98.73"/>
  </r>
  <r>
    <x v="7"/>
    <x v="32"/>
    <n v="17944"/>
    <n v="297"/>
    <n v="2234"/>
    <s v="1.66"/>
    <s v="0.00"/>
    <s v="98.34"/>
  </r>
  <r>
    <x v="7"/>
    <x v="31"/>
    <n v="11579"/>
    <n v="100"/>
    <n v="8885"/>
    <s v="0.86"/>
    <s v="0.00"/>
    <s v="99.14"/>
  </r>
  <r>
    <x v="7"/>
    <x v="30"/>
    <n v="57587"/>
    <n v="1098"/>
    <n v="41317"/>
    <s v="1.91"/>
    <s v="0.00"/>
    <s v="98.09"/>
  </r>
  <r>
    <x v="7"/>
    <x v="29"/>
    <n v="1733440"/>
    <n v="29169"/>
    <n v="866070"/>
    <s v="1.68"/>
    <s v="0.00"/>
    <s v="98.32"/>
  </r>
  <r>
    <x v="7"/>
    <x v="28"/>
    <n v="27673"/>
    <n v="505"/>
    <n v="12967"/>
    <s v="1.82"/>
    <s v="0.00"/>
    <s v="98.18"/>
  </r>
  <r>
    <x v="7"/>
    <x v="27"/>
    <n v="608031"/>
    <n v="4696"/>
    <n v="102070"/>
    <s v="0.77"/>
    <s v="0.00"/>
    <s v="99.23"/>
  </r>
  <r>
    <x v="7"/>
    <x v="26"/>
    <n v="187281"/>
    <n v="2407"/>
    <n v="5969"/>
    <s v="1.29"/>
    <s v="0.00"/>
    <s v="98.71"/>
  </r>
  <r>
    <x v="7"/>
    <x v="25"/>
    <n v="2622"/>
    <n v="3"/>
    <n v="1562"/>
    <s v="0.11"/>
    <s v="0.00"/>
    <s v="99.89"/>
  </r>
  <r>
    <x v="7"/>
    <x v="24"/>
    <n v="22485"/>
    <n v="657"/>
    <n v="12019"/>
    <s v="2.92"/>
    <s v="0.00"/>
    <s v="97.08"/>
  </r>
  <r>
    <x v="7"/>
    <x v="23"/>
    <n v="21849137"/>
    <n v="608671"/>
    <n v="11191884"/>
    <s v="2.79"/>
    <s v="0.00"/>
    <s v="97.21"/>
  </r>
  <r>
    <x v="7"/>
    <x v="22"/>
    <n v="515373"/>
    <n v="18942"/>
    <n v="396561"/>
    <s v="3.68"/>
    <s v="0.00"/>
    <s v="96.32"/>
  </r>
  <r>
    <x v="7"/>
    <x v="21"/>
    <n v="13545"/>
    <n v="91"/>
    <n v="822"/>
    <s v="0.67"/>
    <s v="0.00"/>
    <s v="99.33"/>
  </r>
  <r>
    <x v="7"/>
    <x v="20"/>
    <n v="1660"/>
    <n v="6"/>
    <n v="472"/>
    <s v="0.36"/>
    <s v="0.00"/>
    <s v="99.64"/>
  </r>
  <r>
    <x v="7"/>
    <x v="19"/>
    <n v="24804"/>
    <n v="161"/>
    <n v="5779"/>
    <s v="0.65"/>
    <s v="0.00"/>
    <s v="99.35"/>
  </r>
  <r>
    <x v="7"/>
    <x v="18"/>
    <n v="20106"/>
    <n v="38"/>
    <n v="1042"/>
    <s v="0.19"/>
    <s v="0.00"/>
    <s v="99.81"/>
  </r>
  <r>
    <x v="7"/>
    <x v="17"/>
    <n v="276983"/>
    <n v="1393"/>
    <n v="170480"/>
    <s v="0.50"/>
    <s v="0.00"/>
    <s v="99.50"/>
  </r>
  <r>
    <x v="7"/>
    <x v="16"/>
    <n v="623946"/>
    <n v="24755"/>
    <n v="411245"/>
    <s v="3.97"/>
    <s v="0.00"/>
    <s v="96.03"/>
  </r>
  <r>
    <x v="7"/>
    <x v="15"/>
    <n v="15103"/>
    <n v="221"/>
    <n v="6850"/>
    <s v="1.46"/>
    <s v="0.00"/>
    <s v="98.54"/>
  </r>
  <r>
    <x v="7"/>
    <x v="14"/>
    <n v="1403548"/>
    <n v="26105"/>
    <n v="1235562"/>
    <s v="1.86"/>
    <s v="0.00"/>
    <s v="98.14"/>
  </r>
  <r>
    <x v="7"/>
    <x v="13"/>
    <n v="1570485"/>
    <n v="27887"/>
    <n v="743432"/>
    <s v="1.78"/>
    <s v="0.00"/>
    <s v="98.22"/>
  </r>
  <r>
    <x v="7"/>
    <x v="12"/>
    <n v="19188"/>
    <n v="167"/>
    <n v="9841"/>
    <s v="0.87"/>
    <s v="0.00"/>
    <s v="99.13"/>
  </r>
  <r>
    <x v="7"/>
    <x v="11"/>
    <n v="257401"/>
    <n v="11717"/>
    <n v="69533"/>
    <s v="4.55"/>
    <s v="0.00"/>
    <s v="95.45"/>
  </r>
  <r>
    <x v="7"/>
    <x v="10"/>
    <n v="539710"/>
    <n v="7182"/>
    <n v="328451"/>
    <s v="1.33"/>
    <s v="0.00"/>
    <s v="98.67"/>
  </r>
  <r>
    <x v="7"/>
    <x v="9"/>
    <n v="177393"/>
    <n v="1795"/>
    <n v="50396"/>
    <s v="1.01"/>
    <s v="0.00"/>
    <s v="98.99"/>
  </r>
  <r>
    <x v="7"/>
    <x v="8"/>
    <n v="856002"/>
    <n v="11419"/>
    <n v="802429"/>
    <s v="1.33"/>
    <s v="0.00"/>
    <s v="98.67"/>
  </r>
  <r>
    <x v="7"/>
    <x v="7"/>
    <n v="5293989"/>
    <n v="116055"/>
    <n v="185827"/>
    <s v="2.19"/>
    <s v="0.00"/>
    <s v="97.81"/>
  </r>
  <r>
    <x v="7"/>
    <x v="6"/>
    <n v="64583"/>
    <n v="1718"/>
    <n v="33778"/>
    <s v="2.66"/>
    <s v="0.00"/>
    <s v="97.34"/>
  </r>
  <r>
    <x v="7"/>
    <x v="5"/>
    <n v="315004"/>
    <n v="6532"/>
    <n v="121993"/>
    <s v="2.07"/>
    <s v="0.00"/>
    <s v="97.93"/>
  </r>
  <r>
    <x v="7"/>
    <x v="4"/>
    <n v="187363"/>
    <n v="2944"/>
    <n v="66439"/>
    <s v="1.57"/>
    <s v="0.00"/>
    <s v="98.43"/>
  </r>
  <r>
    <x v="7"/>
    <x v="3"/>
    <n v="4072"/>
    <n v="104"/>
    <n v="2782"/>
    <s v="2.55"/>
    <s v="0.00"/>
    <s v="97.45"/>
  </r>
  <r>
    <x v="7"/>
    <x v="2"/>
    <n v="156363"/>
    <n v="7284"/>
    <n v="37574"/>
    <s v="4.66"/>
    <s v="0.00"/>
    <s v="95.34"/>
  </r>
  <r>
    <x v="7"/>
    <x v="1"/>
    <n v="740209"/>
    <n v="2137"/>
    <n v="282070"/>
    <s v="0.29"/>
    <s v="0.00"/>
    <s v="99.71"/>
  </r>
  <r>
    <x v="7"/>
    <x v="0"/>
    <n v="15618"/>
    <n v="130"/>
    <n v="9432"/>
    <s v="0.83"/>
    <s v="0.00"/>
    <s v="99.17"/>
  </r>
  <r>
    <x v="8"/>
    <x v="0"/>
    <n v="15572"/>
    <n v="130"/>
    <n v="6265"/>
    <s v="0.83"/>
    <s v="0.00"/>
    <s v="99.17"/>
  </r>
  <r>
    <x v="8"/>
    <x v="1"/>
    <n v="740136"/>
    <n v="2137"/>
    <n v="280929"/>
    <s v="0.29"/>
    <s v="0.00"/>
    <s v="99.71"/>
  </r>
  <r>
    <x v="8"/>
    <x v="2"/>
    <n v="156323"/>
    <n v="7284"/>
    <n v="24758"/>
    <s v="4.66"/>
    <s v="0.00"/>
    <s v="95.34"/>
  </r>
  <r>
    <x v="8"/>
    <x v="3"/>
    <n v="4069"/>
    <n v="102"/>
    <n v="3225"/>
    <s v="2.51"/>
    <s v="0.00"/>
    <s v="97.49"/>
  </r>
  <r>
    <x v="8"/>
    <x v="4"/>
    <n v="186793"/>
    <n v="2940"/>
    <n v="47331"/>
    <s v="1.57"/>
    <s v="0.00"/>
    <s v="98.43"/>
  </r>
  <r>
    <x v="8"/>
    <x v="5"/>
    <n v="312674"/>
    <n v="6491"/>
    <n v="223947"/>
    <s v="2.08"/>
    <s v="0.00"/>
    <s v="97.92"/>
  </r>
  <r>
    <x v="8"/>
    <x v="6"/>
    <n v="64533"/>
    <n v="1716"/>
    <n v="40136"/>
    <s v="2.66"/>
    <s v="0.00"/>
    <s v="97.34"/>
  </r>
  <r>
    <x v="8"/>
    <x v="7"/>
    <n v="5292549"/>
    <n v="116029"/>
    <n v="4370395"/>
    <s v="2.19"/>
    <s v="0.00"/>
    <s v="97.81"/>
  </r>
  <r>
    <x v="8"/>
    <x v="8"/>
    <n v="847408"/>
    <n v="11400"/>
    <n v="8758"/>
    <s v="1.35"/>
    <s v="0.00"/>
    <s v="98.65"/>
  </r>
  <r>
    <x v="8"/>
    <x v="9"/>
    <n v="175813"/>
    <n v="1781"/>
    <n v="55921"/>
    <s v="1.01"/>
    <s v="0.00"/>
    <s v="98.99"/>
  </r>
  <r>
    <x v="8"/>
    <x v="10"/>
    <n v="537004"/>
    <n v="7153"/>
    <n v="197563"/>
    <s v="1.33"/>
    <s v="0.00"/>
    <s v="98.67"/>
  </r>
  <r>
    <x v="8"/>
    <x v="11"/>
    <n v="256307"/>
    <n v="11685"/>
    <n v="237272"/>
    <s v="4.56"/>
    <s v="0.00"/>
    <s v="95.44"/>
  </r>
  <r>
    <x v="8"/>
    <x v="12"/>
    <n v="18852"/>
    <n v="164"/>
    <n v="3499"/>
    <s v="0.87"/>
    <s v="0.00"/>
    <s v="99.13"/>
  </r>
  <r>
    <x v="8"/>
    <x v="13"/>
    <n v="1570238"/>
    <n v="27880"/>
    <n v="537438"/>
    <s v="1.78"/>
    <s v="0.00"/>
    <s v="98.22"/>
  </r>
  <r>
    <x v="8"/>
    <x v="14"/>
    <n v="1393358"/>
    <n v="26083"/>
    <n v="1047561"/>
    <s v="1.87"/>
    <s v="0.00"/>
    <s v="98.13"/>
  </r>
  <r>
    <x v="8"/>
    <x v="15"/>
    <n v="15103"/>
    <n v="221"/>
    <n v="10504"/>
    <s v="1.46"/>
    <s v="0.00"/>
    <s v="98.54"/>
  </r>
  <r>
    <x v="8"/>
    <x v="16"/>
    <n v="619284"/>
    <n v="24589"/>
    <n v="47367"/>
    <s v="3.97"/>
    <s v="0.00"/>
    <s v="96.03"/>
  </r>
  <r>
    <x v="8"/>
    <x v="17"/>
    <n v="276956"/>
    <n v="1393"/>
    <n v="63703"/>
    <s v="0.50"/>
    <s v="0.00"/>
    <s v="99.50"/>
  </r>
  <r>
    <x v="8"/>
    <x v="18"/>
    <n v="20106"/>
    <n v="38"/>
    <n v="10432"/>
    <s v="0.19"/>
    <s v="0.00"/>
    <s v="99.81"/>
  </r>
  <r>
    <x v="8"/>
    <x v="19"/>
    <n v="24804"/>
    <n v="161"/>
    <n v="876"/>
    <s v="0.65"/>
    <s v="0.00"/>
    <s v="99.35"/>
  </r>
  <r>
    <x v="8"/>
    <x v="20"/>
    <n v="1659"/>
    <n v="6"/>
    <n v="870"/>
    <s v="0.36"/>
    <s v="0.00"/>
    <s v="99.64"/>
  </r>
  <r>
    <x v="8"/>
    <x v="21"/>
    <n v="13446"/>
    <n v="89"/>
    <n v="10425"/>
    <s v="0.66"/>
    <s v="0.00"/>
    <s v="99.34"/>
  </r>
  <r>
    <x v="8"/>
    <x v="22"/>
    <n v="514679"/>
    <n v="18936"/>
    <n v="3901"/>
    <s v="3.68"/>
    <s v="0.00"/>
    <s v="96.32"/>
  </r>
  <r>
    <x v="8"/>
    <x v="23"/>
    <n v="21835785"/>
    <n v="608235"/>
    <n v="17526862"/>
    <s v="2.79"/>
    <s v="0.00"/>
    <s v="97.21"/>
  </r>
  <r>
    <x v="8"/>
    <x v="24"/>
    <n v="22429"/>
    <n v="643"/>
    <n v="15971"/>
    <s v="2.87"/>
    <s v="0.00"/>
    <s v="97.13"/>
  </r>
  <r>
    <x v="8"/>
    <x v="25"/>
    <n v="2622"/>
    <n v="3"/>
    <n v="784"/>
    <s v="0.11"/>
    <s v="0.00"/>
    <s v="99.89"/>
  </r>
  <r>
    <x v="8"/>
    <x v="26"/>
    <n v="187281"/>
    <n v="2407"/>
    <n v="163527"/>
    <s v="1.29"/>
    <s v="0.00"/>
    <s v="98.71"/>
  </r>
  <r>
    <x v="8"/>
    <x v="27"/>
    <n v="606033"/>
    <n v="4679"/>
    <n v="218071"/>
    <s v="0.77"/>
    <s v="0.00"/>
    <s v="99.23"/>
  </r>
  <r>
    <x v="8"/>
    <x v="28"/>
    <n v="27523"/>
    <n v="499"/>
    <n v="15495"/>
    <s v="1.81"/>
    <s v="0.00"/>
    <s v="98.19"/>
  </r>
  <r>
    <x v="8"/>
    <x v="29"/>
    <n v="1730818"/>
    <n v="29149"/>
    <n v="27833"/>
    <s v="1.68"/>
    <s v="0.00"/>
    <s v="98.32"/>
  </r>
  <r>
    <x v="8"/>
    <x v="30"/>
    <n v="57582"/>
    <n v="1098"/>
    <n v="21932"/>
    <s v="1.91"/>
    <s v="0.00"/>
    <s v="98.09"/>
  </r>
  <r>
    <x v="8"/>
    <x v="31"/>
    <n v="11579"/>
    <n v="100"/>
    <n v="6432"/>
    <s v="0.86"/>
    <s v="0.00"/>
    <s v="99.14"/>
  </r>
  <r>
    <x v="8"/>
    <x v="32"/>
    <n v="17670"/>
    <n v="278"/>
    <n v="10545"/>
    <s v="1.57"/>
    <s v="0.00"/>
    <s v="98.43"/>
  </r>
  <r>
    <x v="8"/>
    <x v="33"/>
    <n v="881660"/>
    <n v="11261"/>
    <n v="621135"/>
    <s v="1.28"/>
    <s v="0.00"/>
    <s v="98.72"/>
  </r>
  <r>
    <x v="8"/>
    <x v="34"/>
    <n v="61330"/>
    <n v="696"/>
    <n v="57999"/>
    <s v="1.13"/>
    <s v="0.00"/>
    <s v="98.87"/>
  </r>
  <r>
    <x v="8"/>
    <x v="35"/>
    <n v="1699427"/>
    <n v="37790"/>
    <n v="1594020"/>
    <s v="2.22"/>
    <s v="0.00"/>
    <s v="97.78"/>
  </r>
  <r>
    <x v="8"/>
    <x v="36"/>
    <n v="104348"/>
    <n v="1731"/>
    <n v="57947"/>
    <s v="1.66"/>
    <s v="0.00"/>
    <s v="98.34"/>
  </r>
  <r>
    <x v="8"/>
    <x v="37"/>
    <n v="97527"/>
    <n v="4636"/>
    <n v="2965"/>
    <s v="4.75"/>
    <s v="0.00"/>
    <s v="95.25"/>
  </r>
  <r>
    <x v="8"/>
    <x v="38"/>
    <n v="5007099"/>
    <n v="127380"/>
    <n v="194388"/>
    <s v="2.54"/>
    <s v="0.00"/>
    <s v="97.46"/>
  </r>
  <r>
    <x v="8"/>
    <x v="39"/>
    <n v="561432"/>
    <n v="7111"/>
    <n v="433790"/>
    <s v="1.27"/>
    <s v="0.00"/>
    <s v="98.73"/>
  </r>
  <r>
    <x v="8"/>
    <x v="40"/>
    <n v="953750"/>
    <n v="8250"/>
    <n v="252875"/>
    <s v="0.87"/>
    <s v="0.00"/>
    <s v="99.13"/>
  </r>
  <r>
    <x v="8"/>
    <x v="41"/>
    <n v="38228"/>
    <n v="349"/>
    <n v="5973"/>
    <s v="0.91"/>
    <s v="0.00"/>
    <s v="99.09"/>
  </r>
  <r>
    <x v="8"/>
    <x v="42"/>
    <n v="124973"/>
    <n v="576"/>
    <n v="115251"/>
    <s v="0.46"/>
    <s v="0.00"/>
    <s v="99.54"/>
  </r>
  <r>
    <x v="8"/>
    <x v="43"/>
    <n v="1783227"/>
    <n v="30840"/>
    <n v="243645"/>
    <s v="1.73"/>
    <s v="0.00"/>
    <s v="98.27"/>
  </r>
  <r>
    <x v="8"/>
    <x v="44"/>
    <n v="4684462"/>
    <n v="96196"/>
    <n v="2961153"/>
    <s v="2.05"/>
    <s v="0.00"/>
    <s v="97.95"/>
  </r>
  <r>
    <x v="8"/>
    <x v="45"/>
    <n v="13487"/>
    <n v="183"/>
    <n v="5907"/>
    <s v="1.36"/>
    <s v="0.00"/>
    <s v="98.64"/>
  </r>
  <r>
    <x v="8"/>
    <x v="46"/>
    <n v="394034"/>
    <n v="2717"/>
    <n v="364520"/>
    <s v="0.69"/>
    <s v="0.00"/>
    <s v="99.31"/>
  </r>
  <r>
    <x v="8"/>
    <x v="47"/>
    <n v="4823"/>
    <n v="32"/>
    <n v="2390"/>
    <s v="0.66"/>
    <s v="0.00"/>
    <s v="99.34"/>
  </r>
  <r>
    <x v="8"/>
    <x v="48"/>
    <n v="384208"/>
    <n v="4144"/>
    <n v="32139"/>
    <s v="1.08"/>
    <s v="0.00"/>
    <s v="98.92"/>
  </r>
  <r>
    <x v="8"/>
    <x v="49"/>
    <n v="206754"/>
    <n v="5931"/>
    <n v="111400"/>
    <s v="2.87"/>
    <s v="0.00"/>
    <s v="97.13"/>
  </r>
  <r>
    <x v="8"/>
    <x v="50"/>
    <n v="515859"/>
    <n v="32958"/>
    <n v="280021"/>
    <s v="6.39"/>
    <s v="0.00"/>
    <s v="93.61"/>
  </r>
  <r>
    <x v="8"/>
    <x v="51"/>
    <n v="199251"/>
    <n v="1563"/>
    <n v="58894"/>
    <s v="0.78"/>
    <s v="0.00"/>
    <s v="99.22"/>
  </r>
  <r>
    <x v="8"/>
    <x v="52"/>
    <n v="333840"/>
    <n v="18832"/>
    <n v="39172"/>
    <s v="5.64"/>
    <s v="0.00"/>
    <s v="94.36"/>
  </r>
  <r>
    <x v="8"/>
    <x v="53"/>
    <n v="6881"/>
    <n v="45"/>
    <n v="6749"/>
    <s v="0.65"/>
    <s v="0.00"/>
    <s v="99.35"/>
  </r>
  <r>
    <x v="8"/>
    <x v="54"/>
    <n v="5019255"/>
    <n v="87462"/>
    <n v="2488213"/>
    <s v="1.74"/>
    <s v="0.00"/>
    <s v="98.26"/>
  </r>
  <r>
    <x v="8"/>
    <x v="55"/>
    <n v="366097"/>
    <n v="6494"/>
    <n v="256497"/>
    <s v="1.77"/>
    <s v="0.00"/>
    <s v="98.23"/>
  </r>
  <r>
    <x v="8"/>
    <x v="56"/>
    <n v="160948"/>
    <n v="1176"/>
    <n v="86365"/>
    <s v="0.73"/>
    <s v="0.00"/>
    <s v="99.27"/>
  </r>
  <r>
    <x v="8"/>
    <x v="57"/>
    <n v="52209"/>
    <n v="674"/>
    <n v="48593"/>
    <s v="1.29"/>
    <s v="0.00"/>
    <s v="98.71"/>
  </r>
  <r>
    <x v="8"/>
    <x v="58"/>
    <n v="2373"/>
    <n v="4"/>
    <n v="1285"/>
    <s v="0.17"/>
    <s v="0.00"/>
    <s v="99.83"/>
  </r>
  <r>
    <x v="8"/>
    <x v="59"/>
    <n v="7002875"/>
    <n v="115425"/>
    <n v="4590424"/>
    <s v="1.65"/>
    <s v="0.00"/>
    <s v="98.35"/>
  </r>
  <r>
    <x v="8"/>
    <x v="60"/>
    <n v="36020"/>
    <n v="249"/>
    <n v="14029"/>
    <s v="0.69"/>
    <s v="0.00"/>
    <s v="99.31"/>
  </r>
  <r>
    <x v="8"/>
    <x v="61"/>
    <n v="9209618"/>
    <n v="141509"/>
    <n v="2444596"/>
    <s v="1.54"/>
    <s v="0.00"/>
    <s v="98.46"/>
  </r>
  <r>
    <x v="8"/>
    <x v="62"/>
    <n v="5850"/>
    <n v="198"/>
    <n v="180"/>
    <s v="3.38"/>
    <s v="0.00"/>
    <s v="96.62"/>
  </r>
  <r>
    <x v="8"/>
    <x v="63"/>
    <n v="732965"/>
    <n v="10185"/>
    <n v="273672"/>
    <s v="1.39"/>
    <s v="0.00"/>
    <s v="98.61"/>
  </r>
  <r>
    <x v="8"/>
    <x v="64"/>
    <n v="44784"/>
    <n v="311"/>
    <n v="23127"/>
    <s v="0.69"/>
    <s v="0.00"/>
    <s v="99.31"/>
  </r>
  <r>
    <x v="8"/>
    <x v="65"/>
    <n v="130287"/>
    <n v="1182"/>
    <n v="113909"/>
    <s v="0.91"/>
    <s v="0.00"/>
    <s v="99.09"/>
  </r>
  <r>
    <x v="8"/>
    <x v="66"/>
    <n v="6065"/>
    <n v="98"/>
    <n v="2244"/>
    <s v="1.62"/>
    <s v="0.00"/>
    <s v="98.38"/>
  </r>
  <r>
    <x v="8"/>
    <x v="67"/>
    <n v="9973"/>
    <n v="341"/>
    <n v="2316"/>
    <s v="3.42"/>
    <s v="0.00"/>
    <s v="96.58"/>
  </r>
  <r>
    <x v="8"/>
    <x v="68"/>
    <n v="30681"/>
    <n v="385"/>
    <n v="10947"/>
    <s v="1.25"/>
    <s v="0.00"/>
    <s v="98.75"/>
  </r>
  <r>
    <x v="8"/>
    <x v="69"/>
    <n v="54288"/>
    <n v="815"/>
    <n v="957"/>
    <s v="1.50"/>
    <s v="0.00"/>
    <s v="98.50"/>
  </r>
  <r>
    <x v="8"/>
    <x v="70"/>
    <n v="13377"/>
    <n v="167"/>
    <n v="9441"/>
    <s v="1.25"/>
    <s v="0.00"/>
    <s v="98.75"/>
  </r>
  <r>
    <x v="8"/>
    <x v="71"/>
    <n v="760592"/>
    <n v="16109"/>
    <n v="320438"/>
    <s v="2.12"/>
    <s v="0.00"/>
    <s v="97.88"/>
  </r>
  <r>
    <x v="8"/>
    <x v="72"/>
    <n v="602575"/>
    <n v="15222"/>
    <n v="188739"/>
    <s v="2.53"/>
    <s v="0.00"/>
    <s v="97.47"/>
  </r>
  <r>
    <x v="8"/>
    <x v="73"/>
    <n v="6137"/>
    <n v="141"/>
    <n v="5045"/>
    <s v="2.30"/>
    <s v="0.00"/>
    <s v="97.70"/>
  </r>
  <r>
    <x v="8"/>
    <x v="74"/>
    <n v="35800"/>
    <n v="928"/>
    <n v="366"/>
    <s v="2.59"/>
    <s v="0.00"/>
    <s v="97.41"/>
  </r>
  <r>
    <x v="8"/>
    <x v="75"/>
    <n v="12352"/>
    <n v="213"/>
    <n v="2120"/>
    <s v="1.72"/>
    <s v="0.00"/>
    <s v="98.28"/>
  </r>
  <r>
    <x v="8"/>
    <x v="76"/>
    <n v="375983"/>
    <n v="10284"/>
    <n v="73287"/>
    <s v="2.74"/>
    <s v="0.00"/>
    <s v="97.26"/>
  </r>
  <r>
    <x v="8"/>
    <x v="77"/>
    <n v="476832"/>
    <n v="9332"/>
    <n v="15775"/>
    <s v="1.96"/>
    <s v="0.00"/>
    <s v="98.04"/>
  </r>
  <r>
    <x v="8"/>
    <x v="78"/>
    <n v="24004"/>
    <n v="677"/>
    <n v="8557"/>
    <s v="2.82"/>
    <s v="0.00"/>
    <s v="97.18"/>
  </r>
  <r>
    <x v="8"/>
    <x v="79"/>
    <n v="879092"/>
    <n v="30994"/>
    <n v="178996"/>
    <s v="3.53"/>
    <s v="0.00"/>
    <s v="96.47"/>
  </r>
  <r>
    <x v="8"/>
    <x v="80"/>
    <n v="4246174"/>
    <n v="143481"/>
    <n v="742030"/>
    <s v="3.38"/>
    <s v="0.00"/>
    <s v="96.62"/>
  </r>
  <r>
    <x v="8"/>
    <x v="81"/>
    <n v="455346"/>
    <n v="5492"/>
    <n v="424458"/>
    <s v="1.21"/>
    <s v="0.00"/>
    <s v="98.79"/>
  </r>
  <r>
    <x v="8"/>
    <x v="82"/>
    <n v="1332247"/>
    <n v="8109"/>
    <n v="437536"/>
    <s v="0.61"/>
    <s v="0.00"/>
    <s v="99.39"/>
  </r>
  <r>
    <x v="8"/>
    <x v="83"/>
    <n v="34321025"/>
    <n v="459652"/>
    <n v="29130287"/>
    <s v="1.34"/>
    <s v="0.00"/>
    <s v="98.66"/>
  </r>
  <r>
    <x v="8"/>
    <x v="84"/>
    <n v="2058914"/>
    <n v="23248"/>
    <n v="1493272"/>
    <s v="1.13"/>
    <s v="0.00"/>
    <s v="98.87"/>
  </r>
  <r>
    <x v="8"/>
    <x v="85"/>
    <n v="5954962"/>
    <n v="126763"/>
    <n v="1557493"/>
    <s v="2.13"/>
    <s v="0.00"/>
    <s v="97.87"/>
  </r>
  <r>
    <x v="8"/>
    <x v="86"/>
    <n v="13923"/>
    <n v="34"/>
    <n v="3044"/>
    <s v="0.24"/>
    <s v="0.00"/>
    <s v="99.76"/>
  </r>
  <r>
    <x v="8"/>
    <x v="87"/>
    <n v="4782802"/>
    <n v="132224"/>
    <n v="1017060"/>
    <s v="2.76"/>
    <s v="0.00"/>
    <s v="97.24"/>
  </r>
  <r>
    <x v="8"/>
    <x v="88"/>
    <n v="89216"/>
    <n v="2249"/>
    <n v="27628"/>
    <s v="2.52"/>
    <s v="0.00"/>
    <s v="97.48"/>
  </r>
  <r>
    <x v="8"/>
    <x v="89"/>
    <n v="868493"/>
    <n v="11077"/>
    <n v="684564"/>
    <s v="1.28"/>
    <s v="0.00"/>
    <s v="98.72"/>
  </r>
  <r>
    <x v="8"/>
    <x v="90"/>
    <n v="1722912"/>
    <n v="18286"/>
    <n v="1123407"/>
    <s v="1.06"/>
    <s v="0.00"/>
    <s v="98.94"/>
  </r>
  <r>
    <x v="8"/>
    <x v="91"/>
    <n v="253512"/>
    <n v="5282"/>
    <n v="125706"/>
    <s v="2.08"/>
    <s v="0.00"/>
    <s v="97.92"/>
  </r>
  <r>
    <x v="8"/>
    <x v="92"/>
    <n v="181499"/>
    <n v="2676"/>
    <n v="63381"/>
    <s v="1.47"/>
    <s v="0.00"/>
    <s v="98.53"/>
  </r>
  <r>
    <x v="8"/>
    <x v="94"/>
    <n v="2"/>
    <n v="0"/>
    <n v="0"/>
    <s v="0.00"/>
    <s v="0.00"/>
    <s v="100.00"/>
  </r>
  <r>
    <x v="8"/>
    <x v="93"/>
    <n v="118787"/>
    <n v="2807"/>
    <n v="8641"/>
    <s v="2.36"/>
    <s v="0.00"/>
    <s v="97.64"/>
  </r>
  <r>
    <x v="8"/>
    <x v="95"/>
    <n v="4281"/>
    <n v="147"/>
    <n v="3791"/>
    <s v="3.43"/>
    <s v="0.00"/>
    <s v="96.57"/>
  </r>
  <r>
    <x v="8"/>
    <x v="96"/>
    <n v="2696"/>
    <n v="25"/>
    <n v="2506"/>
    <s v="0.93"/>
    <s v="0.00"/>
    <s v="99.07"/>
  </r>
  <r>
    <x v="8"/>
    <x v="97"/>
    <n v="373120"/>
    <n v="2916"/>
    <n v="88414"/>
    <s v="0.78"/>
    <s v="0.00"/>
    <s v="99.22"/>
  </r>
  <r>
    <x v="8"/>
    <x v="98"/>
    <n v="412752"/>
    <n v="2462"/>
    <n v="215717"/>
    <s v="0.60"/>
    <s v="0.00"/>
    <s v="99.40"/>
  </r>
  <r>
    <x v="8"/>
    <x v="99"/>
    <n v="1024449"/>
    <n v="17201"/>
    <n v="880903"/>
    <s v="1.68"/>
    <s v="0.00"/>
    <s v="98.32"/>
  </r>
  <r>
    <x v="8"/>
    <x v="100"/>
    <n v="42891"/>
    <n v="73"/>
    <n v="11075"/>
    <s v="0.17"/>
    <s v="0.00"/>
    <s v="99.83"/>
  </r>
  <r>
    <x v="8"/>
    <x v="101"/>
    <n v="643749"/>
    <n v="8522"/>
    <n v="223010"/>
    <s v="1.32"/>
    <s v="0.00"/>
    <s v="98.68"/>
  </r>
  <r>
    <x v="8"/>
    <x v="102"/>
    <n v="12610"/>
    <n v="259"/>
    <n v="7363"/>
    <s v="2.05"/>
    <s v="0.00"/>
    <s v="97.95"/>
  </r>
  <r>
    <x v="8"/>
    <x v="103"/>
    <n v="3699"/>
    <n v="61"/>
    <n v="2308"/>
    <s v="1.65"/>
    <s v="0.00"/>
    <s v="98.35"/>
  </r>
  <r>
    <x v="8"/>
    <x v="104"/>
    <n v="542793"/>
    <n v="13791"/>
    <n v="349772"/>
    <s v="2.54"/>
    <s v="0.00"/>
    <s v="97.46"/>
  </r>
  <r>
    <x v="8"/>
    <x v="105"/>
    <n v="5815"/>
    <n v="287"/>
    <n v="4290"/>
    <s v="4.94"/>
    <s v="0.00"/>
    <s v="95.06"/>
  </r>
  <r>
    <x v="8"/>
    <x v="106"/>
    <n v="21643"/>
    <n v="658"/>
    <n v="7010"/>
    <s v="3.04"/>
    <s v="0.00"/>
    <s v="96.96"/>
  </r>
  <r>
    <x v="8"/>
    <x v="107"/>
    <n v="414817"/>
    <n v="5971"/>
    <n v="198179"/>
    <s v="1.44"/>
    <s v="0.00"/>
    <s v="98.56"/>
  </r>
  <r>
    <x v="8"/>
    <x v="108"/>
    <n v="82190"/>
    <n v="848"/>
    <n v="58484"/>
    <s v="1.03"/>
    <s v="0.00"/>
    <s v="98.97"/>
  </r>
  <r>
    <x v="8"/>
    <x v="109"/>
    <n v="224513"/>
    <n v="3357"/>
    <n v="62884"/>
    <s v="1.50"/>
    <s v="0.00"/>
    <s v="98.50"/>
  </r>
  <r>
    <x v="8"/>
    <x v="110"/>
    <n v="359019"/>
    <n v="5157"/>
    <n v="304413"/>
    <s v="1.44"/>
    <s v="0.00"/>
    <s v="98.56"/>
  </r>
  <r>
    <x v="8"/>
    <x v="111"/>
    <n v="946766"/>
    <n v="14689"/>
    <n v="306615"/>
    <s v="1.55"/>
    <s v="0.00"/>
    <s v="98.45"/>
  </r>
  <r>
    <x v="8"/>
    <x v="112"/>
    <n v="3424"/>
    <n v="36"/>
    <n v="842"/>
    <s v="1.05"/>
    <s v="0.00"/>
    <s v="98.95"/>
  </r>
  <r>
    <x v="8"/>
    <x v="113"/>
    <n v="341675"/>
    <n v="7912"/>
    <n v="296933"/>
    <s v="2.32"/>
    <s v="0.00"/>
    <s v="97.68"/>
  </r>
  <r>
    <x v="8"/>
    <x v="114"/>
    <n v="145936"/>
    <n v="2119"/>
    <n v="50930"/>
    <s v="1.45"/>
    <s v="0.00"/>
    <s v="98.55"/>
  </r>
  <r>
    <x v="8"/>
    <x v="115"/>
    <n v="3920"/>
    <n v="56"/>
    <n v="2501"/>
    <s v="1.43"/>
    <s v="0.00"/>
    <s v="98.57"/>
  </r>
  <r>
    <x v="8"/>
    <x v="116"/>
    <n v="43632"/>
    <n v="964"/>
    <n v="20806"/>
    <s v="2.21"/>
    <s v="0.00"/>
    <s v="97.79"/>
  </r>
  <r>
    <x v="8"/>
    <x v="117"/>
    <n v="4"/>
    <n v="0"/>
    <n v="1"/>
    <s v="0.00"/>
    <s v="0.00"/>
    <s v="100.00"/>
  </r>
  <r>
    <x v="8"/>
    <x v="118"/>
    <n v="203866"/>
    <n v="7178"/>
    <n v="34764"/>
    <s v="3.52"/>
    <s v="0.00"/>
    <s v="96.48"/>
  </r>
  <r>
    <x v="8"/>
    <x v="119"/>
    <n v="16195"/>
    <n v="569"/>
    <n v="15244"/>
    <s v="3.51"/>
    <s v="0.00"/>
    <s v="96.49"/>
  </r>
  <r>
    <x v="8"/>
    <x v="120"/>
    <n v="502979"/>
    <n v="18744"/>
    <n v="214213"/>
    <s v="3.73"/>
    <s v="0.00"/>
    <s v="96.27"/>
  </r>
  <r>
    <x v="8"/>
    <x v="121"/>
    <n v="362772"/>
    <n v="1767"/>
    <n v="123898"/>
    <s v="0.49"/>
    <s v="0.00"/>
    <s v="99.51"/>
  </r>
  <r>
    <x v="8"/>
    <x v="122"/>
    <n v="77"/>
    <n v="0"/>
    <n v="52"/>
    <s v="0.00"/>
    <s v="0.00"/>
    <s v="100.00"/>
  </r>
  <r>
    <x v="8"/>
    <x v="123"/>
    <n v="43347"/>
    <n v="683"/>
    <n v="123"/>
    <s v="1.58"/>
    <s v="0.00"/>
    <s v="98.42"/>
  </r>
  <r>
    <x v="8"/>
    <x v="124"/>
    <n v="37489"/>
    <n v="799"/>
    <n v="32164"/>
    <s v="2.13"/>
    <s v="0.00"/>
    <s v="97.87"/>
  </r>
  <r>
    <x v="8"/>
    <x v="125"/>
    <n v="37736"/>
    <n v="462"/>
    <n v="5134"/>
    <s v="1.22"/>
    <s v="0.00"/>
    <s v="98.78"/>
  </r>
  <r>
    <x v="8"/>
    <x v="126"/>
    <n v="18205"/>
    <n v="196"/>
    <n v="980"/>
    <s v="1.08"/>
    <s v="0.00"/>
    <s v="98.92"/>
  </r>
  <r>
    <x v="8"/>
    <x v="127"/>
    <n v="88277"/>
    <n v="243"/>
    <n v="1443"/>
    <s v="0.28"/>
    <s v="0.00"/>
    <s v="99.72"/>
  </r>
  <r>
    <x v="8"/>
    <x v="128"/>
    <n v="61803"/>
    <n v="2302"/>
    <n v="41984"/>
    <s v="3.72"/>
    <s v="0.00"/>
    <s v="96.28"/>
  </r>
  <r>
    <x v="8"/>
    <x v="129"/>
    <n v="3811793"/>
    <n v="288733"/>
    <n v="740823"/>
    <s v="7.57"/>
    <s v="0.00"/>
    <s v="92.43"/>
  </r>
  <r>
    <x v="8"/>
    <x v="130"/>
    <n v="2486630"/>
    <n v="29091"/>
    <n v="2337028"/>
    <s v="1.17"/>
    <s v="0.00"/>
    <s v="98.83"/>
  </r>
  <r>
    <x v="8"/>
    <x v="131"/>
    <n v="151325"/>
    <n v="1932"/>
    <n v="111448"/>
    <s v="1.28"/>
    <s v="0.00"/>
    <s v="98.72"/>
  </r>
  <r>
    <x v="8"/>
    <x v="132"/>
    <n v="128963"/>
    <n v="3557"/>
    <n v="8213"/>
    <s v="2.76"/>
    <s v="0.00"/>
    <s v="97.24"/>
  </r>
  <r>
    <x v="8"/>
    <x v="133"/>
    <n v="11129"/>
    <n v="267"/>
    <n v="363"/>
    <s v="2.40"/>
    <s v="0.00"/>
    <s v="97.60"/>
  </r>
  <r>
    <x v="8"/>
    <x v="134"/>
    <n v="6399"/>
    <n v="216"/>
    <n v="1991"/>
    <s v="3.38"/>
    <s v="0.00"/>
    <s v="96.62"/>
  </r>
  <r>
    <x v="8"/>
    <x v="135"/>
    <n v="212359"/>
    <n v="2900"/>
    <n v="55323"/>
    <s v="1.37"/>
    <s v="0.00"/>
    <s v="98.63"/>
  </r>
  <r>
    <x v="8"/>
    <x v="136"/>
    <n v="16699"/>
    <n v="209"/>
    <n v="7376"/>
    <s v="1.25"/>
    <s v="0.00"/>
    <s v="98.75"/>
  </r>
  <r>
    <x v="8"/>
    <x v="137"/>
    <n v="2196598"/>
    <n v="18914"/>
    <n v="1960683"/>
    <s v="0.86"/>
    <s v="0.00"/>
    <s v="99.14"/>
  </r>
  <r>
    <x v="8"/>
    <x v="138"/>
    <n v="211755"/>
    <n v="919"/>
    <n v="177048"/>
    <s v="0.43"/>
    <s v="0.00"/>
    <s v="99.57"/>
  </r>
  <r>
    <x v="8"/>
    <x v="139"/>
    <n v="813828"/>
    <n v="11434"/>
    <n v="7287"/>
    <s v="1.40"/>
    <s v="0.00"/>
    <s v="98.60"/>
  </r>
  <r>
    <x v="8"/>
    <x v="140"/>
    <n v="6973"/>
    <n v="28"/>
    <n v="4417"/>
    <s v="0.40"/>
    <s v="0.00"/>
    <s v="99.60"/>
  </r>
  <r>
    <x v="8"/>
    <x v="141"/>
    <n v="304318"/>
    <n v="4112"/>
    <n v="176217"/>
    <s v="1.35"/>
    <s v="0.00"/>
    <s v="98.65"/>
  </r>
  <r>
    <x v="8"/>
    <x v="142"/>
    <n v="473005"/>
    <n v="7320"/>
    <n v="237566"/>
    <s v="1.55"/>
    <s v="0.00"/>
    <s v="98.45"/>
  </r>
  <r>
    <x v="8"/>
    <x v="143"/>
    <n v="2203310"/>
    <n v="200326"/>
    <n v="1719983"/>
    <s v="9.09"/>
    <s v="0.00"/>
    <s v="90.91"/>
  </r>
  <r>
    <x v="8"/>
    <x v="144"/>
    <n v="45541"/>
    <n v="636"/>
    <n v="3993"/>
    <s v="1.40"/>
    <s v="0.00"/>
    <s v="98.60"/>
  </r>
  <r>
    <x v="8"/>
    <x v="145"/>
    <n v="31010"/>
    <n v="392"/>
    <n v="24646"/>
    <s v="1.26"/>
    <s v="0.00"/>
    <s v="98.74"/>
  </r>
  <r>
    <x v="8"/>
    <x v="146"/>
    <n v="2793898"/>
    <n v="43586"/>
    <n v="1366789"/>
    <s v="1.56"/>
    <s v="0.00"/>
    <s v="98.44"/>
  </r>
  <r>
    <x v="8"/>
    <x v="147"/>
    <n v="1275158"/>
    <n v="28496"/>
    <n v="1135703"/>
    <s v="2.23"/>
    <s v="0.00"/>
    <s v="97.77"/>
  </r>
  <r>
    <x v="8"/>
    <x v="148"/>
    <n v="3045102"/>
    <n v="77145"/>
    <n v="2825497"/>
    <s v="2.53"/>
    <s v="0.00"/>
    <s v="97.47"/>
  </r>
  <r>
    <x v="8"/>
    <x v="149"/>
    <n v="454509"/>
    <n v="4694"/>
    <n v="398528"/>
    <s v="1.03"/>
    <s v="0.00"/>
    <s v="98.97"/>
  </r>
  <r>
    <x v="8"/>
    <x v="150"/>
    <n v="1092666"/>
    <n v="18180"/>
    <n v="922590"/>
    <s v="1.66"/>
    <s v="0.00"/>
    <s v="98.34"/>
  </r>
  <r>
    <x v="8"/>
    <x v="151"/>
    <n v="8"/>
    <n v="0"/>
    <n v="7"/>
    <s v="0.00"/>
    <s v="0.00"/>
    <s v="100.00"/>
  </r>
  <r>
    <x v="8"/>
    <x v="152"/>
    <n v="461184"/>
    <n v="16256"/>
    <n v="230060"/>
    <s v="3.52"/>
    <s v="0.00"/>
    <s v="96.48"/>
  </r>
  <r>
    <x v="8"/>
    <x v="153"/>
    <n v="239646"/>
    <n v="611"/>
    <n v="7463"/>
    <s v="0.25"/>
    <s v="0.00"/>
    <s v="99.75"/>
  </r>
  <r>
    <x v="8"/>
    <x v="154"/>
    <n v="54668"/>
    <n v="374"/>
    <n v="51903"/>
    <s v="0.68"/>
    <s v="0.00"/>
    <s v="99.32"/>
  </r>
  <r>
    <x v="8"/>
    <x v="155"/>
    <n v="1676293"/>
    <n v="49115"/>
    <n v="335156"/>
    <s v="2.93"/>
    <s v="0.00"/>
    <s v="97.07"/>
  </r>
  <r>
    <x v="8"/>
    <x v="156"/>
    <n v="1162482"/>
    <n v="10139"/>
    <n v="857831"/>
    <s v="0.87"/>
    <s v="0.00"/>
    <s v="99.13"/>
  </r>
  <r>
    <x v="8"/>
    <x v="157"/>
    <n v="8494589"/>
    <n v="237619"/>
    <n v="5191712"/>
    <s v="2.80"/>
    <s v="0.00"/>
    <s v="97.20"/>
  </r>
  <r>
    <x v="8"/>
    <x v="158"/>
    <n v="99820"/>
    <n v="1332"/>
    <n v="35594"/>
    <s v="1.33"/>
    <s v="0.00"/>
    <s v="98.67"/>
  </r>
  <r>
    <x v="8"/>
    <x v="159"/>
    <n v="548760"/>
    <n v="8799"/>
    <n v="469"/>
    <s v="1.60"/>
    <s v="0.00"/>
    <s v="98.40"/>
  </r>
  <r>
    <x v="8"/>
    <x v="160"/>
    <n v="20"/>
    <n v="0"/>
    <n v="10"/>
    <s v="0.00"/>
    <s v="0.00"/>
    <s v="100.00"/>
  </r>
  <r>
    <x v="8"/>
    <x v="161"/>
    <n v="22301"/>
    <n v="119"/>
    <n v="20605"/>
    <s v="0.53"/>
    <s v="0.00"/>
    <s v="99.47"/>
  </r>
  <r>
    <x v="8"/>
    <x v="162"/>
    <n v="40433"/>
    <n v="3099"/>
    <n v="34483"/>
    <s v="7.66"/>
    <s v="0.00"/>
    <s v="92.34"/>
  </r>
  <r>
    <x v="8"/>
    <x v="163"/>
    <n v="1175425"/>
    <n v="15043"/>
    <n v="708793"/>
    <s v="1.28"/>
    <s v="0.00"/>
    <s v="98.72"/>
  </r>
  <r>
    <x v="8"/>
    <x v="164"/>
    <n v="207975"/>
    <n v="442"/>
    <n v="97400"/>
    <s v="0.21"/>
    <s v="0.00"/>
    <s v="99.79"/>
  </r>
  <r>
    <x v="8"/>
    <x v="165"/>
    <n v="341699"/>
    <n v="4784"/>
    <n v="140216"/>
    <s v="1.40"/>
    <s v="0.00"/>
    <s v="98.60"/>
  </r>
  <r>
    <x v="8"/>
    <x v="166"/>
    <n v="493277"/>
    <n v="13112"/>
    <n v="342215"/>
    <s v="2.66"/>
    <s v="0.00"/>
    <s v="97.34"/>
  </r>
  <r>
    <x v="8"/>
    <x v="167"/>
    <n v="6398"/>
    <n v="121"/>
    <n v="4845"/>
    <s v="1.89"/>
    <s v="0.00"/>
    <s v="98.11"/>
  </r>
  <r>
    <x v="8"/>
    <x v="168"/>
    <n v="5569"/>
    <n v="92"/>
    <n v="5040"/>
    <s v="1.65"/>
    <s v="0.00"/>
    <s v="98.35"/>
  </r>
  <r>
    <x v="8"/>
    <x v="169"/>
    <n v="73926"/>
    <n v="1879"/>
    <n v="60035"/>
    <s v="2.54"/>
    <s v="0.00"/>
    <s v="97.46"/>
  </r>
  <r>
    <x v="8"/>
    <x v="170"/>
    <n v="21998"/>
    <n v="1208"/>
    <n v="18704"/>
    <s v="5.49"/>
    <s v="0.00"/>
    <s v="94.51"/>
  </r>
  <r>
    <x v="8"/>
    <x v="171"/>
    <n v="49257"/>
    <n v="1098"/>
    <n v="46748"/>
    <s v="2.23"/>
    <s v="0.00"/>
    <s v="97.77"/>
  </r>
  <r>
    <x v="8"/>
    <x v="172"/>
    <n v="12436"/>
    <n v="133"/>
    <n v="4887"/>
    <s v="1.07"/>
    <s v="0.00"/>
    <s v="98.93"/>
  </r>
  <r>
    <x v="8"/>
    <x v="173"/>
    <n v="3715"/>
    <n v="56"/>
    <n v="1955"/>
    <s v="1.51"/>
    <s v="0.00"/>
    <s v="98.49"/>
  </r>
  <r>
    <x v="8"/>
    <x v="174"/>
    <n v="113422"/>
    <n v="3654"/>
    <n v="80061"/>
    <s v="3.22"/>
    <s v="0.00"/>
    <s v="96.78"/>
  </r>
  <r>
    <x v="8"/>
    <x v="175"/>
    <n v="44191"/>
    <n v="2590"/>
    <n v="2936"/>
    <s v="5.86"/>
    <s v="0.00"/>
    <s v="94.14"/>
  </r>
  <r>
    <x v="8"/>
    <x v="176"/>
    <n v="46447"/>
    <n v="1242"/>
    <n v="2295"/>
    <s v="2.67"/>
    <s v="0.00"/>
    <s v="97.33"/>
  </r>
  <r>
    <x v="8"/>
    <x v="177"/>
    <n v="5107"/>
    <n v="175"/>
    <n v="1447"/>
    <s v="3.43"/>
    <s v="0.00"/>
    <s v="96.57"/>
  </r>
  <r>
    <x v="8"/>
    <x v="178"/>
    <n v="26096"/>
    <n v="243"/>
    <n v="12297"/>
    <s v="0.93"/>
    <s v="0.00"/>
    <s v="99.07"/>
  </r>
  <r>
    <x v="8"/>
    <x v="179"/>
    <n v="1935442"/>
    <n v="19394"/>
    <n v="571781"/>
    <s v="1.00"/>
    <s v="0.00"/>
    <s v="99.00"/>
  </r>
  <r>
    <x v="8"/>
    <x v="180"/>
    <n v="17486"/>
    <n v="125"/>
    <n v="17234"/>
    <s v="0.71"/>
    <s v="0.00"/>
    <s v="99.29"/>
  </r>
  <r>
    <x v="8"/>
    <x v="181"/>
    <n v="19790"/>
    <n v="122"/>
    <n v="10856"/>
    <s v="0.62"/>
    <s v="0.00"/>
    <s v="99.38"/>
  </r>
  <r>
    <x v="8"/>
    <x v="182"/>
    <n v="712982"/>
    <n v="25254"/>
    <n v="557996"/>
    <s v="3.54"/>
    <s v="0.00"/>
    <s v="96.46"/>
  </r>
  <r>
    <x v="8"/>
    <x v="183"/>
    <n v="1"/>
    <n v="0"/>
    <n v="0"/>
    <s v="0.00"/>
    <s v="0.00"/>
    <s v="100.00"/>
  </r>
  <r>
    <x v="8"/>
    <x v="184"/>
    <n v="8121196"/>
    <n v="71298"/>
    <n v="605612"/>
    <s v="0.88"/>
    <s v="0.00"/>
    <s v="99.12"/>
  </r>
  <r>
    <x v="8"/>
    <x v="185"/>
    <n v="58106"/>
    <n v="1729"/>
    <n v="5854"/>
    <s v="2.98"/>
    <s v="0.00"/>
    <s v="97.02"/>
  </r>
  <r>
    <x v="8"/>
    <x v="186"/>
    <n v="16428"/>
    <n v="847"/>
    <n v="8685"/>
    <s v="5.16"/>
    <s v="0.00"/>
    <s v="94.84"/>
  </r>
  <r>
    <x v="8"/>
    <x v="187"/>
    <n v="26154"/>
    <n v="725"/>
    <n v="11161"/>
    <s v="2.77"/>
    <s v="0.00"/>
    <s v="97.23"/>
  </r>
  <r>
    <x v="8"/>
    <x v="188"/>
    <n v="3118140"/>
    <n v="73888"/>
    <n v="2427584"/>
    <s v="2.37"/>
    <s v="0.00"/>
    <s v="97.63"/>
  </r>
  <r>
    <x v="8"/>
    <x v="189"/>
    <n v="126321"/>
    <n v="3219"/>
    <n v="80463"/>
    <s v="2.55"/>
    <s v="0.00"/>
    <s v="97.45"/>
  </r>
  <r>
    <x v="8"/>
    <x v="190"/>
    <n v="46257736"/>
    <n v="750728"/>
    <n v="20259282"/>
    <s v="1.62"/>
    <s v="0.00"/>
    <s v="98.38"/>
  </r>
  <r>
    <x v="8"/>
    <x v="191"/>
    <n v="394443"/>
    <n v="6080"/>
    <n v="135340"/>
    <s v="1.54"/>
    <s v="0.00"/>
    <s v="98.46"/>
  </r>
  <r>
    <x v="8"/>
    <x v="192"/>
    <n v="186793"/>
    <n v="1329"/>
    <n v="914"/>
    <s v="0.71"/>
    <s v="0.00"/>
    <s v="99.29"/>
  </r>
  <r>
    <x v="8"/>
    <x v="193"/>
    <n v="27"/>
    <n v="0"/>
    <n v="14"/>
    <s v="0.00"/>
    <s v="0.00"/>
    <s v="100.00"/>
  </r>
  <r>
    <x v="8"/>
    <x v="194"/>
    <n v="5050"/>
    <n v="69"/>
    <n v="995"/>
    <s v="1.37"/>
    <s v="0.00"/>
    <s v="98.63"/>
  </r>
  <r>
    <x v="8"/>
    <x v="195"/>
    <n v="409695"/>
    <n v="4925"/>
    <n v="288448"/>
    <s v="1.20"/>
    <s v="0.00"/>
    <s v="98.80"/>
  </r>
  <r>
    <x v="8"/>
    <x v="196"/>
    <n v="939463"/>
    <n v="22283"/>
    <n v="134040"/>
    <s v="2.37"/>
    <s v="0.00"/>
    <s v="97.63"/>
  </r>
  <r>
    <x v="8"/>
    <x v="197"/>
    <n v="6"/>
    <n v="1"/>
    <n v="3"/>
    <s v="16.67"/>
    <s v="0.00"/>
    <s v="83.33"/>
  </r>
  <r>
    <x v="8"/>
    <x v="198"/>
    <n v="3"/>
    <n v="0"/>
    <n v="0"/>
    <s v="0.00"/>
    <s v="0.00"/>
    <s v="100.00"/>
  </r>
  <r>
    <x v="8"/>
    <x v="199"/>
    <n v="160809"/>
    <n v="2978"/>
    <n v="134778"/>
    <s v="1.85"/>
    <s v="0.00"/>
    <s v="98.15"/>
  </r>
  <r>
    <x v="8"/>
    <x v="200"/>
    <n v="9810"/>
    <n v="1897"/>
    <n v="6281"/>
    <s v="19.34"/>
    <s v="0.00"/>
    <s v="80.66"/>
  </r>
  <r>
    <x v="8"/>
    <x v="201"/>
    <n v="20612"/>
    <n v="185"/>
    <n v="15258"/>
    <s v="0.90"/>
    <s v="0.00"/>
    <s v="99.10"/>
  </r>
  <r>
    <x v="8"/>
    <x v="202"/>
    <n v="2922735"/>
    <n v="89220"/>
    <n v="2388628"/>
    <s v="3.05"/>
    <s v="0.00"/>
    <s v="96.95"/>
  </r>
  <r>
    <x v="8"/>
    <x v="203"/>
    <n v="209781"/>
    <n v="3661"/>
    <n v="68577"/>
    <s v="1.75"/>
    <s v="0.00"/>
    <s v="98.25"/>
  </r>
  <r>
    <x v="8"/>
    <x v="204"/>
    <n v="133091"/>
    <n v="4684"/>
    <n v="43005"/>
    <s v="3.52"/>
    <s v="0.00"/>
    <s v="96.48"/>
  </r>
  <r>
    <x v="8"/>
    <x v="205"/>
    <n v="721"/>
    <n v="15"/>
    <n v="8"/>
    <s v="2.08"/>
    <s v="0.00"/>
    <s v="97.92"/>
  </r>
  <r>
    <x v="9"/>
    <x v="205"/>
    <n v="721"/>
    <n v="15"/>
    <n v="512"/>
    <s v="2.08"/>
    <s v="0.00"/>
    <s v="97.92"/>
  </r>
  <r>
    <x v="9"/>
    <x v="204"/>
    <n v="133047"/>
    <n v="4683"/>
    <n v="125173"/>
    <s v="3.52"/>
    <s v="0.00"/>
    <s v="96.48"/>
  </r>
  <r>
    <x v="9"/>
    <x v="203"/>
    <n v="209760"/>
    <n v="3661"/>
    <n v="79943"/>
    <s v="1.75"/>
    <s v="0.00"/>
    <s v="98.25"/>
  </r>
  <r>
    <x v="9"/>
    <x v="202"/>
    <n v="2922391"/>
    <n v="89197"/>
    <n v="1408198"/>
    <s v="3.05"/>
    <s v="0.00"/>
    <s v="96.95"/>
  </r>
  <r>
    <x v="9"/>
    <x v="201"/>
    <n v="20587"/>
    <n v="185"/>
    <n v="7759"/>
    <s v="0.90"/>
    <s v="0.00"/>
    <s v="99.10"/>
  </r>
  <r>
    <x v="9"/>
    <x v="200"/>
    <n v="9806"/>
    <n v="1894"/>
    <n v="2425"/>
    <s v="19.31"/>
    <s v="0.00"/>
    <s v="80.69"/>
  </r>
  <r>
    <x v="9"/>
    <x v="199"/>
    <n v="160788"/>
    <n v="2977"/>
    <n v="52631"/>
    <s v="1.85"/>
    <s v="0.00"/>
    <s v="98.15"/>
  </r>
  <r>
    <x v="9"/>
    <x v="198"/>
    <n v="3"/>
    <n v="0"/>
    <n v="2"/>
    <s v="0.00"/>
    <s v="0.00"/>
    <s v="100.00"/>
  </r>
  <r>
    <x v="9"/>
    <x v="197"/>
    <n v="6"/>
    <n v="1"/>
    <n v="2"/>
    <s v="16.67"/>
    <s v="0.00"/>
    <s v="83.33"/>
  </r>
  <r>
    <x v="9"/>
    <x v="196"/>
    <n v="932357"/>
    <n v="22205"/>
    <n v="861566"/>
    <s v="2.38"/>
    <s v="0.00"/>
    <s v="97.62"/>
  </r>
  <r>
    <x v="9"/>
    <x v="195"/>
    <n v="408727"/>
    <n v="4915"/>
    <n v="118230"/>
    <s v="1.20"/>
    <s v="0.00"/>
    <s v="98.80"/>
  </r>
  <r>
    <x v="9"/>
    <x v="194"/>
    <n v="5012"/>
    <n v="69"/>
    <n v="1885"/>
    <s v="1.38"/>
    <s v="0.00"/>
    <s v="98.62"/>
  </r>
  <r>
    <x v="9"/>
    <x v="193"/>
    <n v="27"/>
    <n v="0"/>
    <n v="26"/>
    <s v="0.00"/>
    <s v="0.00"/>
    <s v="100.00"/>
  </r>
  <r>
    <x v="9"/>
    <x v="192"/>
    <n v="186793"/>
    <n v="1329"/>
    <n v="16675"/>
    <s v="0.71"/>
    <s v="0.00"/>
    <s v="99.29"/>
  </r>
  <r>
    <x v="9"/>
    <x v="191"/>
    <n v="394248"/>
    <n v="6080"/>
    <n v="163081"/>
    <s v="1.54"/>
    <s v="0.00"/>
    <s v="98.46"/>
  </r>
  <r>
    <x v="9"/>
    <x v="190"/>
    <n v="46173367"/>
    <n v="748822"/>
    <n v="18272856"/>
    <s v="1.62"/>
    <s v="0.00"/>
    <s v="98.38"/>
  </r>
  <r>
    <x v="9"/>
    <x v="189"/>
    <n v="126272"/>
    <n v="3217"/>
    <n v="81407"/>
    <s v="2.55"/>
    <s v="0.00"/>
    <s v="97.45"/>
  </r>
  <r>
    <x v="9"/>
    <x v="188"/>
    <n v="3093661"/>
    <n v="73136"/>
    <n v="2566494"/>
    <s v="2.36"/>
    <s v="0.00"/>
    <s v="97.64"/>
  </r>
  <r>
    <x v="9"/>
    <x v="187"/>
    <n v="26154"/>
    <n v="725"/>
    <n v="16476"/>
    <s v="2.77"/>
    <s v="0.00"/>
    <s v="97.23"/>
  </r>
  <r>
    <x v="9"/>
    <x v="186"/>
    <n v="16421"/>
    <n v="847"/>
    <n v="5521"/>
    <s v="5.16"/>
    <s v="0.00"/>
    <s v="94.84"/>
  </r>
  <r>
    <x v="9"/>
    <x v="185"/>
    <n v="57713"/>
    <n v="1720"/>
    <n v="36785"/>
    <s v="2.98"/>
    <s v="0.00"/>
    <s v="97.02"/>
  </r>
  <r>
    <x v="9"/>
    <x v="184"/>
    <n v="8091432"/>
    <n v="71052"/>
    <n v="2141585"/>
    <s v="0.88"/>
    <s v="0.00"/>
    <s v="99.12"/>
  </r>
  <r>
    <x v="9"/>
    <x v="183"/>
    <n v="1"/>
    <n v="0"/>
    <n v="1"/>
    <s v="0.00"/>
    <s v="0.00"/>
    <s v="100.00"/>
  </r>
  <r>
    <x v="9"/>
    <x v="182"/>
    <n v="712880"/>
    <n v="25250"/>
    <n v="280891"/>
    <s v="3.54"/>
    <s v="0.00"/>
    <s v="96.46"/>
  </r>
  <r>
    <x v="9"/>
    <x v="181"/>
    <n v="19790"/>
    <n v="122"/>
    <n v="6814"/>
    <s v="0.62"/>
    <s v="0.00"/>
    <s v="99.38"/>
  </r>
  <r>
    <x v="9"/>
    <x v="180"/>
    <n v="17486"/>
    <n v="125"/>
    <n v="1746"/>
    <s v="0.71"/>
    <s v="0.00"/>
    <s v="99.29"/>
  </r>
  <r>
    <x v="9"/>
    <x v="179"/>
    <n v="1935442"/>
    <n v="19394"/>
    <n v="644116"/>
    <s v="1.00"/>
    <s v="0.00"/>
    <s v="99.00"/>
  </r>
  <r>
    <x v="9"/>
    <x v="178"/>
    <n v="26086"/>
    <n v="242"/>
    <n v="24819"/>
    <s v="0.93"/>
    <s v="0.00"/>
    <s v="99.07"/>
  </r>
  <r>
    <x v="9"/>
    <x v="177"/>
    <n v="5107"/>
    <n v="175"/>
    <n v="2721"/>
    <s v="3.43"/>
    <s v="0.00"/>
    <s v="96.57"/>
  </r>
  <r>
    <x v="9"/>
    <x v="176"/>
    <n v="46438"/>
    <n v="1242"/>
    <n v="41856"/>
    <s v="2.67"/>
    <s v="0.00"/>
    <s v="97.33"/>
  </r>
  <r>
    <x v="9"/>
    <x v="175"/>
    <n v="43666"/>
    <n v="2576"/>
    <n v="23113"/>
    <s v="5.90"/>
    <s v="0.00"/>
    <s v="94.10"/>
  </r>
  <r>
    <x v="9"/>
    <x v="174"/>
    <n v="113422"/>
    <n v="3647"/>
    <n v="67461"/>
    <s v="3.22"/>
    <s v="0.00"/>
    <s v="96.78"/>
  </r>
  <r>
    <x v="9"/>
    <x v="173"/>
    <n v="3715"/>
    <n v="56"/>
    <n v="1892"/>
    <s v="1.51"/>
    <s v="0.00"/>
    <s v="98.49"/>
  </r>
  <r>
    <x v="9"/>
    <x v="172"/>
    <n v="12421"/>
    <n v="133"/>
    <n v="5838"/>
    <s v="1.07"/>
    <s v="0.00"/>
    <s v="98.93"/>
  </r>
  <r>
    <x v="9"/>
    <x v="171"/>
    <n v="49119"/>
    <n v="1094"/>
    <n v="35765"/>
    <s v="2.23"/>
    <s v="0.00"/>
    <s v="97.77"/>
  </r>
  <r>
    <x v="9"/>
    <x v="170"/>
    <n v="21998"/>
    <n v="1208"/>
    <n v="3998"/>
    <s v="5.49"/>
    <s v="0.00"/>
    <s v="94.51"/>
  </r>
  <r>
    <x v="9"/>
    <x v="169"/>
    <n v="73922"/>
    <n v="1878"/>
    <n v="45784"/>
    <s v="2.54"/>
    <s v="0.00"/>
    <s v="97.46"/>
  </r>
  <r>
    <x v="9"/>
    <x v="168"/>
    <n v="5547"/>
    <n v="92"/>
    <n v="3488"/>
    <s v="1.66"/>
    <s v="0.00"/>
    <s v="98.34"/>
  </r>
  <r>
    <x v="9"/>
    <x v="167"/>
    <n v="6398"/>
    <n v="121"/>
    <n v="3194"/>
    <s v="1.89"/>
    <s v="0.00"/>
    <s v="98.11"/>
  </r>
  <r>
    <x v="9"/>
    <x v="166"/>
    <n v="487916"/>
    <n v="13076"/>
    <n v="176744"/>
    <s v="2.68"/>
    <s v="0.00"/>
    <s v="97.32"/>
  </r>
  <r>
    <x v="9"/>
    <x v="165"/>
    <n v="338246"/>
    <n v="4766"/>
    <n v="50358"/>
    <s v="1.41"/>
    <s v="0.00"/>
    <s v="98.59"/>
  </r>
  <r>
    <x v="9"/>
    <x v="164"/>
    <n v="204340"/>
    <n v="430"/>
    <n v="164284"/>
    <s v="0.21"/>
    <s v="0.00"/>
    <s v="99.79"/>
  </r>
  <r>
    <x v="9"/>
    <x v="163"/>
    <n v="1174273"/>
    <n v="15040"/>
    <n v="801756"/>
    <s v="1.28"/>
    <s v="0.00"/>
    <s v="98.72"/>
  </r>
  <r>
    <x v="9"/>
    <x v="162"/>
    <n v="40433"/>
    <n v="3099"/>
    <n v="17643"/>
    <s v="7.66"/>
    <s v="0.00"/>
    <s v="92.34"/>
  </r>
  <r>
    <x v="9"/>
    <x v="161"/>
    <n v="22280"/>
    <n v="119"/>
    <n v="4809"/>
    <s v="0.53"/>
    <s v="0.00"/>
    <s v="99.47"/>
  </r>
  <r>
    <x v="9"/>
    <x v="160"/>
    <n v="20"/>
    <n v="0"/>
    <n v="13"/>
    <s v="0.00"/>
    <s v="0.00"/>
    <s v="100.00"/>
  </r>
  <r>
    <x v="9"/>
    <x v="159"/>
    <n v="548711"/>
    <n v="8798"/>
    <n v="18648"/>
    <s v="1.60"/>
    <s v="0.00"/>
    <s v="98.40"/>
  </r>
  <r>
    <x v="9"/>
    <x v="158"/>
    <n v="99765"/>
    <n v="1332"/>
    <n v="21910"/>
    <s v="1.34"/>
    <s v="0.00"/>
    <s v="98.66"/>
  </r>
  <r>
    <x v="9"/>
    <x v="157"/>
    <n v="8455232"/>
    <n v="236462"/>
    <n v="2341875"/>
    <s v="2.80"/>
    <s v="0.00"/>
    <s v="97.20"/>
  </r>
  <r>
    <x v="9"/>
    <x v="156"/>
    <n v="1155756"/>
    <n v="10078"/>
    <n v="775725"/>
    <s v="0.87"/>
    <s v="0.00"/>
    <s v="99.13"/>
  </r>
  <r>
    <x v="9"/>
    <x v="155"/>
    <n v="1666097"/>
    <n v="48664"/>
    <n v="1207743"/>
    <s v="2.92"/>
    <s v="0.00"/>
    <s v="97.08"/>
  </r>
  <r>
    <x v="9"/>
    <x v="154"/>
    <n v="54668"/>
    <n v="374"/>
    <n v="1065"/>
    <s v="0.68"/>
    <s v="0.00"/>
    <s v="99.32"/>
  </r>
  <r>
    <x v="9"/>
    <x v="153"/>
    <n v="239508"/>
    <n v="611"/>
    <n v="181582"/>
    <s v="0.26"/>
    <s v="0.00"/>
    <s v="99.74"/>
  </r>
  <r>
    <x v="9"/>
    <x v="152"/>
    <n v="461132"/>
    <n v="16250"/>
    <n v="143114"/>
    <s v="3.52"/>
    <s v="0.00"/>
    <s v="96.48"/>
  </r>
  <r>
    <x v="9"/>
    <x v="151"/>
    <n v="8"/>
    <n v="0"/>
    <n v="7"/>
    <s v="0.00"/>
    <s v="0.00"/>
    <s v="100.00"/>
  </r>
  <r>
    <x v="9"/>
    <x v="150"/>
    <n v="1091592"/>
    <n v="18171"/>
    <n v="178185"/>
    <s v="1.66"/>
    <s v="0.00"/>
    <s v="98.34"/>
  </r>
  <r>
    <x v="9"/>
    <x v="149"/>
    <n v="454172"/>
    <n v="4689"/>
    <n v="6669"/>
    <s v="1.03"/>
    <s v="0.00"/>
    <s v="98.97"/>
  </r>
  <r>
    <x v="9"/>
    <x v="148"/>
    <n v="3034668"/>
    <n v="77021"/>
    <n v="471516"/>
    <s v="2.54"/>
    <s v="0.00"/>
    <s v="97.46"/>
  </r>
  <r>
    <x v="9"/>
    <x v="147"/>
    <n v="1274578"/>
    <n v="28477"/>
    <n v="1096876"/>
    <s v="2.23"/>
    <s v="0.00"/>
    <s v="97.77"/>
  </r>
  <r>
    <x v="9"/>
    <x v="146"/>
    <n v="2792656"/>
    <n v="43404"/>
    <n v="2359012"/>
    <s v="1.55"/>
    <s v="0.00"/>
    <s v="98.45"/>
  </r>
  <r>
    <x v="9"/>
    <x v="145"/>
    <n v="30035"/>
    <n v="385"/>
    <n v="11481"/>
    <s v="1.28"/>
    <s v="0.00"/>
    <s v="98.72"/>
  </r>
  <r>
    <x v="9"/>
    <x v="144"/>
    <n v="45541"/>
    <n v="636"/>
    <n v="12536"/>
    <s v="1.40"/>
    <s v="0.00"/>
    <s v="98.60"/>
  </r>
  <r>
    <x v="9"/>
    <x v="143"/>
    <n v="2202189"/>
    <n v="200276"/>
    <n v="1081999"/>
    <s v="9.09"/>
    <s v="0.00"/>
    <s v="90.91"/>
  </r>
  <r>
    <x v="9"/>
    <x v="142"/>
    <n v="472877"/>
    <n v="7315"/>
    <n v="185994"/>
    <s v="1.55"/>
    <s v="0.00"/>
    <s v="98.45"/>
  </r>
  <r>
    <x v="9"/>
    <x v="141"/>
    <n v="304308"/>
    <n v="4111"/>
    <n v="2652"/>
    <s v="1.35"/>
    <s v="0.00"/>
    <s v="98.65"/>
  </r>
  <r>
    <x v="9"/>
    <x v="140"/>
    <n v="6833"/>
    <n v="28"/>
    <n v="6523"/>
    <s v="0.41"/>
    <s v="0.00"/>
    <s v="99.59"/>
  </r>
  <r>
    <x v="9"/>
    <x v="139"/>
    <n v="813433"/>
    <n v="11427"/>
    <n v="137923"/>
    <s v="1.40"/>
    <s v="0.00"/>
    <s v="98.60"/>
  </r>
  <r>
    <x v="9"/>
    <x v="138"/>
    <n v="210241"/>
    <n v="902"/>
    <n v="164665"/>
    <s v="0.43"/>
    <s v="0.00"/>
    <s v="99.57"/>
  </r>
  <r>
    <x v="9"/>
    <x v="137"/>
    <n v="2187466"/>
    <n v="18881"/>
    <n v="1445529"/>
    <s v="0.86"/>
    <s v="0.00"/>
    <s v="99.14"/>
  </r>
  <r>
    <x v="9"/>
    <x v="136"/>
    <n v="16699"/>
    <n v="208"/>
    <n v="6529"/>
    <s v="1.25"/>
    <s v="0.00"/>
    <s v="98.75"/>
  </r>
  <r>
    <x v="9"/>
    <x v="135"/>
    <n v="212150"/>
    <n v="2899"/>
    <n v="114237"/>
    <s v="1.37"/>
    <s v="0.00"/>
    <s v="98.63"/>
  </r>
  <r>
    <x v="9"/>
    <x v="134"/>
    <n v="6399"/>
    <n v="216"/>
    <n v="5940"/>
    <s v="3.38"/>
    <s v="0.00"/>
    <s v="96.62"/>
  </r>
  <r>
    <x v="9"/>
    <x v="133"/>
    <n v="11052"/>
    <n v="267"/>
    <n v="4845"/>
    <s v="2.42"/>
    <s v="0.00"/>
    <s v="97.58"/>
  </r>
  <r>
    <x v="9"/>
    <x v="132"/>
    <n v="128956"/>
    <n v="3556"/>
    <n v="116715"/>
    <s v="2.76"/>
    <s v="0.00"/>
    <s v="97.24"/>
  </r>
  <r>
    <x v="9"/>
    <x v="131"/>
    <n v="151316"/>
    <n v="1932"/>
    <n v="112381"/>
    <s v="1.28"/>
    <s v="0.00"/>
    <s v="98.72"/>
  </r>
  <r>
    <x v="9"/>
    <x v="130"/>
    <n v="2481339"/>
    <n v="29045"/>
    <n v="1627569"/>
    <s v="1.17"/>
    <s v="0.00"/>
    <s v="98.83"/>
  </r>
  <r>
    <x v="9"/>
    <x v="129"/>
    <n v="3808205"/>
    <n v="288464"/>
    <n v="697905"/>
    <s v="7.57"/>
    <s v="0.00"/>
    <s v="92.43"/>
  </r>
  <r>
    <x v="9"/>
    <x v="128"/>
    <n v="61802"/>
    <n v="2302"/>
    <n v="48132"/>
    <s v="3.72"/>
    <s v="0.00"/>
    <s v="96.28"/>
  </r>
  <r>
    <x v="9"/>
    <x v="127"/>
    <n v="88058"/>
    <n v="243"/>
    <n v="21628"/>
    <s v="0.28"/>
    <s v="0.00"/>
    <s v="99.72"/>
  </r>
  <r>
    <x v="9"/>
    <x v="126"/>
    <n v="17812"/>
    <n v="176"/>
    <n v="11237"/>
    <s v="0.99"/>
    <s v="0.00"/>
    <s v="99.01"/>
  </r>
  <r>
    <x v="9"/>
    <x v="125"/>
    <n v="37702"/>
    <n v="462"/>
    <n v="31671"/>
    <s v="1.23"/>
    <s v="0.00"/>
    <s v="98.77"/>
  </r>
  <r>
    <x v="9"/>
    <x v="124"/>
    <n v="37435"/>
    <n v="798"/>
    <n v="9087"/>
    <s v="2.13"/>
    <s v="0.00"/>
    <s v="97.87"/>
  </r>
  <r>
    <x v="9"/>
    <x v="123"/>
    <n v="43347"/>
    <n v="683"/>
    <n v="15066"/>
    <s v="1.58"/>
    <s v="0.00"/>
    <s v="98.42"/>
  </r>
  <r>
    <x v="9"/>
    <x v="122"/>
    <n v="77"/>
    <n v="0"/>
    <n v="33"/>
    <s v="0.00"/>
    <s v="0.00"/>
    <s v="100.00"/>
  </r>
  <r>
    <x v="9"/>
    <x v="121"/>
    <n v="362772"/>
    <n v="1767"/>
    <n v="67899"/>
    <s v="0.49"/>
    <s v="0.00"/>
    <s v="99.51"/>
  </r>
  <r>
    <x v="9"/>
    <x v="120"/>
    <n v="502024"/>
    <n v="18728"/>
    <n v="163496"/>
    <s v="3.73"/>
    <s v="0.00"/>
    <s v="96.27"/>
  </r>
  <r>
    <x v="9"/>
    <x v="119"/>
    <n v="16148"/>
    <n v="568"/>
    <n v="3061"/>
    <s v="3.52"/>
    <s v="0.00"/>
    <s v="96.48"/>
  </r>
  <r>
    <x v="9"/>
    <x v="118"/>
    <n v="203298"/>
    <n v="7159"/>
    <n v="21997"/>
    <s v="3.52"/>
    <s v="0.00"/>
    <s v="96.48"/>
  </r>
  <r>
    <x v="9"/>
    <x v="117"/>
    <n v="4"/>
    <n v="0"/>
    <n v="1"/>
    <s v="0.00"/>
    <s v="0.00"/>
    <s v="100.00"/>
  </r>
  <r>
    <x v="9"/>
    <x v="116"/>
    <n v="43632"/>
    <n v="964"/>
    <n v="14358"/>
    <s v="2.21"/>
    <s v="0.00"/>
    <s v="97.79"/>
  </r>
  <r>
    <x v="9"/>
    <x v="115"/>
    <n v="3920"/>
    <n v="56"/>
    <n v="2162"/>
    <s v="1.43"/>
    <s v="0.00"/>
    <s v="98.57"/>
  </r>
  <r>
    <x v="9"/>
    <x v="114"/>
    <n v="145314"/>
    <n v="2113"/>
    <n v="79731"/>
    <s v="1.45"/>
    <s v="0.00"/>
    <s v="98.55"/>
  </r>
  <r>
    <x v="9"/>
    <x v="113"/>
    <n v="340188"/>
    <n v="7870"/>
    <n v="223428"/>
    <s v="2.31"/>
    <s v="0.00"/>
    <s v="97.69"/>
  </r>
  <r>
    <x v="9"/>
    <x v="112"/>
    <n v="3414"/>
    <n v="36"/>
    <n v="2294"/>
    <s v="1.05"/>
    <s v="0.00"/>
    <s v="98.95"/>
  </r>
  <r>
    <x v="9"/>
    <x v="111"/>
    <n v="946543"/>
    <n v="14683"/>
    <n v="227055"/>
    <s v="1.55"/>
    <s v="0.00"/>
    <s v="98.45"/>
  </r>
  <r>
    <x v="9"/>
    <x v="110"/>
    <n v="358463"/>
    <n v="5139"/>
    <n v="152183"/>
    <s v="1.43"/>
    <s v="0.00"/>
    <s v="98.57"/>
  </r>
  <r>
    <x v="9"/>
    <x v="109"/>
    <n v="221795"/>
    <n v="3312"/>
    <n v="2618"/>
    <s v="1.49"/>
    <s v="0.00"/>
    <s v="98.51"/>
  </r>
  <r>
    <x v="9"/>
    <x v="108"/>
    <n v="82092"/>
    <n v="848"/>
    <n v="30185"/>
    <s v="1.03"/>
    <s v="0.00"/>
    <s v="98.97"/>
  </r>
  <r>
    <x v="9"/>
    <x v="107"/>
    <n v="412769"/>
    <n v="5936"/>
    <n v="126041"/>
    <s v="1.44"/>
    <s v="0.00"/>
    <s v="98.56"/>
  </r>
  <r>
    <x v="9"/>
    <x v="106"/>
    <n v="21640"/>
    <n v="658"/>
    <n v="8896"/>
    <s v="3.04"/>
    <s v="0.00"/>
    <s v="96.96"/>
  </r>
  <r>
    <x v="9"/>
    <x v="105"/>
    <n v="5815"/>
    <n v="287"/>
    <n v="828"/>
    <s v="4.94"/>
    <s v="0.00"/>
    <s v="95.06"/>
  </r>
  <r>
    <x v="9"/>
    <x v="104"/>
    <n v="542212"/>
    <n v="13770"/>
    <n v="81697"/>
    <s v="2.54"/>
    <s v="0.00"/>
    <s v="97.46"/>
  </r>
  <r>
    <x v="9"/>
    <x v="103"/>
    <n v="3685"/>
    <n v="61"/>
    <n v="488"/>
    <s v="1.66"/>
    <s v="0.00"/>
    <s v="98.34"/>
  </r>
  <r>
    <x v="9"/>
    <x v="102"/>
    <n v="12586"/>
    <n v="258"/>
    <n v="6199"/>
    <s v="2.05"/>
    <s v="0.00"/>
    <s v="97.95"/>
  </r>
  <r>
    <x v="9"/>
    <x v="101"/>
    <n v="643047"/>
    <n v="8515"/>
    <n v="273671"/>
    <s v="1.32"/>
    <s v="0.00"/>
    <s v="98.68"/>
  </r>
  <r>
    <x v="9"/>
    <x v="100"/>
    <n v="41829"/>
    <n v="70"/>
    <n v="17757"/>
    <s v="0.17"/>
    <s v="0.00"/>
    <s v="99.83"/>
  </r>
  <r>
    <x v="9"/>
    <x v="99"/>
    <n v="1022944"/>
    <n v="17175"/>
    <n v="934439"/>
    <s v="1.68"/>
    <s v="0.00"/>
    <s v="98.32"/>
  </r>
  <r>
    <x v="9"/>
    <x v="98"/>
    <n v="412731"/>
    <n v="2462"/>
    <n v="245979"/>
    <s v="0.60"/>
    <s v="0.00"/>
    <s v="99.40"/>
  </r>
  <r>
    <x v="9"/>
    <x v="97"/>
    <n v="370640"/>
    <n v="2892"/>
    <n v="90565"/>
    <s v="0.78"/>
    <s v="0.00"/>
    <s v="99.22"/>
  </r>
  <r>
    <x v="9"/>
    <x v="96"/>
    <n v="2686"/>
    <n v="25"/>
    <n v="841"/>
    <s v="0.93"/>
    <s v="0.00"/>
    <s v="99.07"/>
  </r>
  <r>
    <x v="9"/>
    <x v="95"/>
    <n v="4272"/>
    <n v="147"/>
    <n v="3288"/>
    <s v="3.44"/>
    <s v="0.00"/>
    <s v="96.56"/>
  </r>
  <r>
    <x v="9"/>
    <x v="93"/>
    <n v="118787"/>
    <n v="2807"/>
    <n v="98326"/>
    <s v="2.36"/>
    <s v="0.00"/>
    <s v="97.64"/>
  </r>
  <r>
    <x v="9"/>
    <x v="94"/>
    <n v="2"/>
    <n v="0"/>
    <n v="1"/>
    <s v="0.00"/>
    <s v="0.00"/>
    <s v="100.00"/>
  </r>
  <r>
    <x v="9"/>
    <x v="92"/>
    <n v="181499"/>
    <n v="2676"/>
    <n v="107019"/>
    <s v="1.47"/>
    <s v="0.00"/>
    <s v="98.53"/>
  </r>
  <r>
    <x v="9"/>
    <x v="91"/>
    <n v="253409"/>
    <n v="5282"/>
    <n v="134479"/>
    <s v="2.08"/>
    <s v="0.00"/>
    <s v="97.92"/>
  </r>
  <r>
    <x v="9"/>
    <x v="90"/>
    <n v="1722648"/>
    <n v="18278"/>
    <n v="708443"/>
    <s v="1.06"/>
    <s v="0.00"/>
    <s v="98.94"/>
  </r>
  <r>
    <x v="9"/>
    <x v="89"/>
    <n v="866451"/>
    <n v="11062"/>
    <n v="573339"/>
    <s v="1.28"/>
    <s v="0.00"/>
    <s v="98.72"/>
  </r>
  <r>
    <x v="9"/>
    <x v="88"/>
    <n v="89170"/>
    <n v="2246"/>
    <n v="32711"/>
    <s v="2.52"/>
    <s v="0.00"/>
    <s v="97.48"/>
  </r>
  <r>
    <x v="9"/>
    <x v="87"/>
    <n v="4777614"/>
    <n v="132161"/>
    <n v="3483514"/>
    <s v="2.77"/>
    <s v="0.00"/>
    <s v="97.23"/>
  </r>
  <r>
    <x v="9"/>
    <x v="86"/>
    <n v="13829"/>
    <n v="34"/>
    <n v="8972"/>
    <s v="0.25"/>
    <s v="0.00"/>
    <s v="99.75"/>
  </r>
  <r>
    <x v="9"/>
    <x v="85"/>
    <n v="5944599"/>
    <n v="126616"/>
    <n v="5260731"/>
    <s v="2.13"/>
    <s v="0.00"/>
    <s v="97.87"/>
  </r>
  <r>
    <x v="9"/>
    <x v="84"/>
    <n v="2057716"/>
    <n v="23223"/>
    <n v="696162"/>
    <s v="1.13"/>
    <s v="0.00"/>
    <s v="98.87"/>
  </r>
  <r>
    <x v="9"/>
    <x v="83"/>
    <n v="34308140"/>
    <n v="459191"/>
    <n v="18985247"/>
    <s v="1.34"/>
    <s v="0.00"/>
    <s v="98.66"/>
  </r>
  <r>
    <x v="9"/>
    <x v="82"/>
    <n v="1331597"/>
    <n v="8106"/>
    <n v="762090"/>
    <s v="0.61"/>
    <s v="0.00"/>
    <s v="99.39"/>
  </r>
  <r>
    <x v="9"/>
    <x v="81"/>
    <n v="452172"/>
    <n v="5436"/>
    <n v="319580"/>
    <s v="1.20"/>
    <s v="0.00"/>
    <s v="98.80"/>
  </r>
  <r>
    <x v="9"/>
    <x v="80"/>
    <n v="4245373"/>
    <n v="143457"/>
    <n v="1035543"/>
    <s v="3.38"/>
    <s v="0.00"/>
    <s v="96.62"/>
  </r>
  <r>
    <x v="9"/>
    <x v="79"/>
    <n v="876497"/>
    <n v="30920"/>
    <n v="76438"/>
    <s v="3.53"/>
    <s v="0.00"/>
    <s v="96.47"/>
  </r>
  <r>
    <x v="9"/>
    <x v="78"/>
    <n v="24004"/>
    <n v="677"/>
    <n v="1080"/>
    <s v="2.82"/>
    <s v="0.00"/>
    <s v="97.18"/>
  </r>
  <r>
    <x v="9"/>
    <x v="77"/>
    <n v="472259"/>
    <n v="9291"/>
    <n v="220531"/>
    <s v="1.97"/>
    <s v="0.00"/>
    <s v="98.03"/>
  </r>
  <r>
    <x v="9"/>
    <x v="76"/>
    <n v="375877"/>
    <n v="10273"/>
    <n v="12878"/>
    <s v="2.73"/>
    <s v="0.00"/>
    <s v="97.27"/>
  </r>
  <r>
    <x v="9"/>
    <x v="75"/>
    <n v="12349"/>
    <n v="213"/>
    <n v="7702"/>
    <s v="1.72"/>
    <s v="0.00"/>
    <s v="98.28"/>
  </r>
  <r>
    <x v="9"/>
    <x v="74"/>
    <n v="35719"/>
    <n v="926"/>
    <n v="46"/>
    <s v="2.59"/>
    <s v="0.00"/>
    <s v="97.41"/>
  </r>
  <r>
    <x v="9"/>
    <x v="73"/>
    <n v="6134"/>
    <n v="141"/>
    <n v="5009"/>
    <s v="2.30"/>
    <s v="0.00"/>
    <s v="97.70"/>
  </r>
  <r>
    <x v="9"/>
    <x v="72"/>
    <n v="601793"/>
    <n v="15179"/>
    <n v="568631"/>
    <s v="2.52"/>
    <s v="0.00"/>
    <s v="97.48"/>
  </r>
  <r>
    <x v="9"/>
    <x v="71"/>
    <n v="754451"/>
    <n v="16050"/>
    <n v="435314"/>
    <s v="2.13"/>
    <s v="0.00"/>
    <s v="97.87"/>
  </r>
  <r>
    <x v="9"/>
    <x v="70"/>
    <n v="13377"/>
    <n v="167"/>
    <n v="10509"/>
    <s v="1.25"/>
    <s v="0.00"/>
    <s v="98.75"/>
  </r>
  <r>
    <x v="9"/>
    <x v="69"/>
    <n v="54288"/>
    <n v="815"/>
    <n v="24586"/>
    <s v="1.50"/>
    <s v="0.00"/>
    <s v="98.50"/>
  </r>
  <r>
    <x v="9"/>
    <x v="68"/>
    <n v="30672"/>
    <n v="385"/>
    <n v="13881"/>
    <s v="1.26"/>
    <s v="0.00"/>
    <s v="98.74"/>
  </r>
  <r>
    <x v="9"/>
    <x v="67"/>
    <n v="9973"/>
    <n v="341"/>
    <n v="6831"/>
    <s v="3.42"/>
    <s v="0.00"/>
    <s v="96.58"/>
  </r>
  <r>
    <x v="9"/>
    <x v="66"/>
    <n v="6029"/>
    <n v="98"/>
    <n v="2175"/>
    <s v="1.63"/>
    <s v="0.00"/>
    <s v="98.37"/>
  </r>
  <r>
    <x v="9"/>
    <x v="65"/>
    <n v="130287"/>
    <n v="1182"/>
    <n v="3805"/>
    <s v="0.91"/>
    <s v="0.00"/>
    <s v="99.09"/>
  </r>
  <r>
    <x v="9"/>
    <x v="64"/>
    <n v="44629"/>
    <n v="308"/>
    <n v="5583"/>
    <s v="0.69"/>
    <s v="0.00"/>
    <s v="99.31"/>
  </r>
  <r>
    <x v="9"/>
    <x v="62"/>
    <n v="5850"/>
    <n v="198"/>
    <n v="2201"/>
    <s v="3.38"/>
    <s v="0.00"/>
    <s v="96.62"/>
  </r>
  <r>
    <x v="9"/>
    <x v="63"/>
    <n v="726941"/>
    <n v="10136"/>
    <n v="690210"/>
    <s v="1.39"/>
    <s v="0.00"/>
    <s v="98.61"/>
  </r>
  <r>
    <x v="9"/>
    <x v="61"/>
    <n v="9168124"/>
    <n v="141292"/>
    <n v="5242320"/>
    <s v="1.54"/>
    <s v="0.00"/>
    <s v="98.46"/>
  </r>
  <r>
    <x v="9"/>
    <x v="60"/>
    <n v="35841"/>
    <n v="244"/>
    <n v="28956"/>
    <s v="0.68"/>
    <s v="0.00"/>
    <s v="99.32"/>
  </r>
  <r>
    <x v="9"/>
    <x v="59"/>
    <n v="6992825"/>
    <n v="115390"/>
    <n v="788005"/>
    <s v="1.65"/>
    <s v="0.00"/>
    <s v="98.35"/>
  </r>
  <r>
    <x v="9"/>
    <x v="58"/>
    <n v="2288"/>
    <n v="3"/>
    <n v="485"/>
    <s v="0.13"/>
    <s v="0.00"/>
    <s v="99.87"/>
  </r>
  <r>
    <x v="9"/>
    <x v="57"/>
    <n v="52180"/>
    <n v="674"/>
    <n v="49838"/>
    <s v="1.29"/>
    <s v="0.00"/>
    <s v="98.71"/>
  </r>
  <r>
    <x v="9"/>
    <x v="56"/>
    <n v="159798"/>
    <n v="1173"/>
    <n v="90906"/>
    <s v="0.73"/>
    <s v="0.00"/>
    <s v="99.27"/>
  </r>
  <r>
    <x v="9"/>
    <x v="55"/>
    <n v="365776"/>
    <n v="6486"/>
    <n v="272775"/>
    <s v="1.77"/>
    <s v="0.00"/>
    <s v="98.23"/>
  </r>
  <r>
    <x v="9"/>
    <x v="54"/>
    <n v="5016968"/>
    <n v="87423"/>
    <n v="792573"/>
    <s v="1.74"/>
    <s v="0.00"/>
    <s v="98.26"/>
  </r>
  <r>
    <x v="9"/>
    <x v="53"/>
    <n v="6860"/>
    <n v="45"/>
    <n v="5754"/>
    <s v="0.66"/>
    <s v="0.00"/>
    <s v="99.34"/>
  </r>
  <r>
    <x v="9"/>
    <x v="52"/>
    <n v="332889"/>
    <n v="18769"/>
    <n v="313524"/>
    <s v="5.64"/>
    <s v="0.00"/>
    <s v="94.36"/>
  </r>
  <r>
    <x v="9"/>
    <x v="51"/>
    <n v="196951"/>
    <n v="1550"/>
    <n v="120201"/>
    <s v="0.79"/>
    <s v="0.00"/>
    <s v="99.21"/>
  </r>
  <r>
    <x v="9"/>
    <x v="50"/>
    <n v="515859"/>
    <n v="32958"/>
    <n v="70513"/>
    <s v="6.39"/>
    <s v="0.00"/>
    <s v="93.61"/>
  </r>
  <r>
    <x v="9"/>
    <x v="49"/>
    <n v="206649"/>
    <n v="5927"/>
    <n v="13473"/>
    <s v="2.87"/>
    <s v="0.00"/>
    <s v="97.13"/>
  </r>
  <r>
    <x v="9"/>
    <x v="48"/>
    <n v="383317"/>
    <n v="4138"/>
    <n v="83353"/>
    <s v="1.08"/>
    <s v="0.00"/>
    <s v="98.92"/>
  </r>
  <r>
    <x v="9"/>
    <x v="47"/>
    <n v="4823"/>
    <n v="32"/>
    <n v="2439"/>
    <s v="0.66"/>
    <s v="0.00"/>
    <s v="99.34"/>
  </r>
  <r>
    <x v="9"/>
    <x v="46"/>
    <n v="392044"/>
    <n v="2716"/>
    <n v="81319"/>
    <s v="0.69"/>
    <s v="0.00"/>
    <s v="99.31"/>
  </r>
  <r>
    <x v="9"/>
    <x v="45"/>
    <n v="13486"/>
    <n v="182"/>
    <n v="6087"/>
    <s v="1.35"/>
    <s v="0.00"/>
    <s v="98.65"/>
  </r>
  <r>
    <x v="9"/>
    <x v="44"/>
    <n v="4649964"/>
    <n v="96031"/>
    <n v="3827737"/>
    <s v="2.07"/>
    <s v="0.00"/>
    <s v="97.93"/>
  </r>
  <r>
    <x v="9"/>
    <x v="43"/>
    <n v="1773291"/>
    <n v="30807"/>
    <n v="52742"/>
    <s v="1.74"/>
    <s v="0.00"/>
    <s v="98.26"/>
  </r>
  <r>
    <x v="9"/>
    <x v="42"/>
    <n v="124724"/>
    <n v="576"/>
    <n v="7767"/>
    <s v="0.46"/>
    <s v="0.00"/>
    <s v="99.54"/>
  </r>
  <r>
    <x v="9"/>
    <x v="41"/>
    <n v="38219"/>
    <n v="349"/>
    <n v="13575"/>
    <s v="0.91"/>
    <s v="0.00"/>
    <s v="99.09"/>
  </r>
  <r>
    <x v="9"/>
    <x v="40"/>
    <n v="953183"/>
    <n v="8246"/>
    <n v="819198"/>
    <s v="0.87"/>
    <s v="0.00"/>
    <s v="99.13"/>
  </r>
  <r>
    <x v="9"/>
    <x v="39"/>
    <n v="561054"/>
    <n v="7093"/>
    <n v="204507"/>
    <s v="1.26"/>
    <s v="0.00"/>
    <s v="98.74"/>
  </r>
  <r>
    <x v="9"/>
    <x v="38"/>
    <n v="5005402"/>
    <n v="127348"/>
    <n v="2620729"/>
    <s v="2.54"/>
    <s v="0.00"/>
    <s v="97.46"/>
  </r>
  <r>
    <x v="9"/>
    <x v="37"/>
    <n v="97424"/>
    <n v="4636"/>
    <n v="90093"/>
    <s v="4.76"/>
    <s v="0.00"/>
    <s v="95.24"/>
  </r>
  <r>
    <x v="9"/>
    <x v="36"/>
    <n v="102499"/>
    <n v="1686"/>
    <n v="45753"/>
    <s v="1.64"/>
    <s v="0.00"/>
    <s v="98.36"/>
  </r>
  <r>
    <x v="9"/>
    <x v="35"/>
    <n v="1698127"/>
    <n v="37782"/>
    <n v="1258593"/>
    <s v="2.22"/>
    <s v="0.00"/>
    <s v="97.78"/>
  </r>
  <r>
    <x v="9"/>
    <x v="34"/>
    <n v="61319"/>
    <n v="696"/>
    <n v="36878"/>
    <s v="1.14"/>
    <s v="0.00"/>
    <s v="98.86"/>
  </r>
  <r>
    <x v="9"/>
    <x v="33"/>
    <n v="879051"/>
    <n v="11259"/>
    <n v="53217"/>
    <s v="1.28"/>
    <s v="0.00"/>
    <s v="98.72"/>
  </r>
  <r>
    <x v="9"/>
    <x v="32"/>
    <n v="17670"/>
    <n v="278"/>
    <n v="7517"/>
    <s v="1.57"/>
    <s v="0.00"/>
    <s v="98.43"/>
  </r>
  <r>
    <x v="9"/>
    <x v="31"/>
    <n v="11579"/>
    <n v="100"/>
    <n v="7212"/>
    <s v="0.86"/>
    <s v="0.00"/>
    <s v="99.14"/>
  </r>
  <r>
    <x v="9"/>
    <x v="30"/>
    <n v="57565"/>
    <n v="1098"/>
    <n v="273"/>
    <s v="1.91"/>
    <s v="0.00"/>
    <s v="98.09"/>
  </r>
  <r>
    <x v="9"/>
    <x v="29"/>
    <n v="1728543"/>
    <n v="29110"/>
    <n v="506753"/>
    <s v="1.68"/>
    <s v="0.00"/>
    <s v="98.32"/>
  </r>
  <r>
    <x v="9"/>
    <x v="28"/>
    <n v="27305"/>
    <n v="499"/>
    <n v="13137"/>
    <s v="1.83"/>
    <s v="0.00"/>
    <s v="98.17"/>
  </r>
  <r>
    <x v="9"/>
    <x v="27"/>
    <n v="604037"/>
    <n v="4662"/>
    <n v="496464"/>
    <s v="0.77"/>
    <s v="0.00"/>
    <s v="99.23"/>
  </r>
  <r>
    <x v="9"/>
    <x v="26"/>
    <n v="187281"/>
    <n v="2407"/>
    <n v="91810"/>
    <s v="1.29"/>
    <s v="0.00"/>
    <s v="98.71"/>
  </r>
  <r>
    <x v="9"/>
    <x v="25"/>
    <n v="2621"/>
    <n v="3"/>
    <n v="439"/>
    <s v="0.11"/>
    <s v="0.00"/>
    <s v="99.89"/>
  </r>
  <r>
    <x v="9"/>
    <x v="24"/>
    <n v="22429"/>
    <n v="643"/>
    <n v="19847"/>
    <s v="2.87"/>
    <s v="0.00"/>
    <s v="97.13"/>
  </r>
  <r>
    <x v="9"/>
    <x v="23"/>
    <n v="21821124"/>
    <n v="608071"/>
    <n v="2659884"/>
    <s v="2.79"/>
    <s v="0.00"/>
    <s v="97.21"/>
  </r>
  <r>
    <x v="9"/>
    <x v="22"/>
    <n v="513810"/>
    <n v="18928"/>
    <n v="483083"/>
    <s v="3.68"/>
    <s v="0.00"/>
    <s v="96.32"/>
  </r>
  <r>
    <x v="9"/>
    <x v="21"/>
    <n v="13321"/>
    <n v="89"/>
    <n v="2392"/>
    <s v="0.67"/>
    <s v="0.00"/>
    <s v="99.33"/>
  </r>
  <r>
    <x v="9"/>
    <x v="20"/>
    <n v="1659"/>
    <n v="6"/>
    <n v="853"/>
    <s v="0.36"/>
    <s v="0.00"/>
    <s v="99.64"/>
  </r>
  <r>
    <x v="9"/>
    <x v="19"/>
    <n v="24749"/>
    <n v="161"/>
    <n v="16732"/>
    <s v="0.65"/>
    <s v="0.00"/>
    <s v="99.35"/>
  </r>
  <r>
    <x v="9"/>
    <x v="18"/>
    <n v="20087"/>
    <n v="38"/>
    <n v="12211"/>
    <s v="0.19"/>
    <s v="0.00"/>
    <s v="99.81"/>
  </r>
  <r>
    <x v="9"/>
    <x v="17"/>
    <n v="276917"/>
    <n v="1393"/>
    <n v="202598"/>
    <s v="0.50"/>
    <s v="0.00"/>
    <s v="99.50"/>
  </r>
  <r>
    <x v="9"/>
    <x v="16"/>
    <n v="614362"/>
    <n v="24454"/>
    <n v="231235"/>
    <s v="3.98"/>
    <s v="0.00"/>
    <s v="96.02"/>
  </r>
  <r>
    <x v="9"/>
    <x v="15"/>
    <n v="15103"/>
    <n v="221"/>
    <n v="5855"/>
    <s v="1.46"/>
    <s v="0.00"/>
    <s v="98.54"/>
  </r>
  <r>
    <x v="9"/>
    <x v="14"/>
    <n v="1360650"/>
    <n v="25994"/>
    <n v="947981"/>
    <s v="1.91"/>
    <s v="0.00"/>
    <s v="98.09"/>
  </r>
  <r>
    <x v="9"/>
    <x v="13"/>
    <n v="1569982"/>
    <n v="27873"/>
    <n v="1344739"/>
    <s v="1.78"/>
    <s v="0.00"/>
    <s v="98.22"/>
  </r>
  <r>
    <x v="9"/>
    <x v="12"/>
    <n v="18459"/>
    <n v="158"/>
    <n v="17239"/>
    <s v="0.86"/>
    <s v="0.00"/>
    <s v="99.14"/>
  </r>
  <r>
    <x v="9"/>
    <x v="11"/>
    <n v="255054"/>
    <n v="11654"/>
    <n v="229501"/>
    <s v="4.57"/>
    <s v="0.00"/>
    <s v="95.43"/>
  </r>
  <r>
    <x v="9"/>
    <x v="10"/>
    <n v="534748"/>
    <n v="7132"/>
    <n v="467959"/>
    <s v="1.33"/>
    <s v="0.00"/>
    <s v="98.67"/>
  </r>
  <r>
    <x v="9"/>
    <x v="9"/>
    <n v="174276"/>
    <n v="1768"/>
    <n v="11482"/>
    <s v="1.01"/>
    <s v="0.00"/>
    <s v="98.99"/>
  </r>
  <r>
    <x v="9"/>
    <x v="8"/>
    <n v="840902"/>
    <n v="11380"/>
    <n v="127241"/>
    <s v="1.35"/>
    <s v="0.00"/>
    <s v="98.65"/>
  </r>
  <r>
    <x v="9"/>
    <x v="7"/>
    <n v="5291285"/>
    <n v="116010"/>
    <n v="2620675"/>
    <s v="2.19"/>
    <s v="0.00"/>
    <s v="97.81"/>
  </r>
  <r>
    <x v="9"/>
    <x v="6"/>
    <n v="64487"/>
    <n v="1713"/>
    <n v="21186"/>
    <s v="2.66"/>
    <s v="0.00"/>
    <s v="97.34"/>
  </r>
  <r>
    <x v="9"/>
    <x v="5"/>
    <n v="310629"/>
    <n v="6441"/>
    <n v="211653"/>
    <s v="2.07"/>
    <s v="0.00"/>
    <s v="97.93"/>
  </r>
  <r>
    <x v="9"/>
    <x v="4"/>
    <n v="186222"/>
    <n v="2937"/>
    <n v="11324"/>
    <s v="1.58"/>
    <s v="0.00"/>
    <s v="98.42"/>
  </r>
  <r>
    <x v="9"/>
    <x v="3"/>
    <n v="4069"/>
    <n v="102"/>
    <n v="3960"/>
    <s v="2.51"/>
    <s v="0.00"/>
    <s v="97.49"/>
  </r>
  <r>
    <x v="9"/>
    <x v="2"/>
    <n v="156307"/>
    <n v="7281"/>
    <n v="7881"/>
    <s v="4.66"/>
    <s v="0.00"/>
    <s v="95.34"/>
  </r>
  <r>
    <x v="9"/>
    <x v="1"/>
    <n v="740057"/>
    <n v="2137"/>
    <n v="112023"/>
    <s v="0.29"/>
    <s v="0.00"/>
    <s v="99.71"/>
  </r>
  <r>
    <x v="9"/>
    <x v="0"/>
    <n v="15516"/>
    <n v="130"/>
    <n v="3990"/>
    <s v="0.84"/>
    <s v="0.00"/>
    <s v="99.16"/>
  </r>
  <r>
    <x v="10"/>
    <x v="0"/>
    <n v="15516"/>
    <n v="130"/>
    <n v="9793"/>
    <s v="0.84"/>
    <s v="0.00"/>
    <s v="99.16"/>
  </r>
  <r>
    <x v="10"/>
    <x v="1"/>
    <n v="739983"/>
    <n v="2136"/>
    <n v="170830"/>
    <s v="0.29"/>
    <s v="0.00"/>
    <s v="99.71"/>
  </r>
  <r>
    <x v="10"/>
    <x v="2"/>
    <n v="156284"/>
    <n v="7281"/>
    <n v="115739"/>
    <s v="4.66"/>
    <s v="0.00"/>
    <s v="95.34"/>
  </r>
  <r>
    <x v="10"/>
    <x v="3"/>
    <n v="4062"/>
    <n v="102"/>
    <n v="1442"/>
    <s v="2.51"/>
    <s v="0.00"/>
    <s v="97.49"/>
  </r>
  <r>
    <x v="10"/>
    <x v="4"/>
    <n v="185497"/>
    <n v="2931"/>
    <n v="126024"/>
    <s v="1.58"/>
    <s v="0.00"/>
    <s v="98.42"/>
  </r>
  <r>
    <x v="10"/>
    <x v="5"/>
    <n v="309397"/>
    <n v="6379"/>
    <n v="127303"/>
    <s v="2.06"/>
    <s v="0.00"/>
    <s v="97.94"/>
  </r>
  <r>
    <x v="10"/>
    <x v="6"/>
    <n v="64458"/>
    <n v="1713"/>
    <n v="2386"/>
    <s v="2.66"/>
    <s v="0.00"/>
    <s v="97.34"/>
  </r>
  <r>
    <x v="10"/>
    <x v="7"/>
    <n v="5289945"/>
    <n v="115989"/>
    <n v="1285817"/>
    <s v="2.19"/>
    <s v="0.00"/>
    <s v="97.81"/>
  </r>
  <r>
    <x v="10"/>
    <x v="8"/>
    <n v="835504"/>
    <n v="11369"/>
    <n v="498017"/>
    <s v="1.36"/>
    <s v="0.00"/>
    <s v="98.64"/>
  </r>
  <r>
    <x v="10"/>
    <x v="9"/>
    <n v="173165"/>
    <n v="1756"/>
    <n v="148552"/>
    <s v="1.01"/>
    <s v="0.00"/>
    <s v="98.99"/>
  </r>
  <r>
    <x v="10"/>
    <x v="10"/>
    <n v="532570"/>
    <n v="7101"/>
    <n v="213714"/>
    <s v="1.33"/>
    <s v="0.00"/>
    <s v="98.67"/>
  </r>
  <r>
    <x v="10"/>
    <x v="11"/>
    <n v="254348"/>
    <n v="11607"/>
    <n v="46177"/>
    <s v="4.56"/>
    <s v="0.00"/>
    <s v="95.44"/>
  </r>
  <r>
    <x v="10"/>
    <x v="12"/>
    <n v="18023"/>
    <n v="156"/>
    <n v="10623"/>
    <s v="0.87"/>
    <s v="0.00"/>
    <s v="99.13"/>
  </r>
  <r>
    <x v="10"/>
    <x v="13"/>
    <n v="1569753"/>
    <n v="27870"/>
    <n v="48686"/>
    <s v="1.78"/>
    <s v="0.00"/>
    <s v="98.22"/>
  </r>
  <r>
    <x v="10"/>
    <x v="14"/>
    <n v="1360650"/>
    <n v="25994"/>
    <n v="176513"/>
    <s v="1.91"/>
    <s v="0.00"/>
    <s v="98.09"/>
  </r>
  <r>
    <x v="10"/>
    <x v="15"/>
    <n v="14793"/>
    <n v="214"/>
    <n v="12639"/>
    <s v="1.45"/>
    <s v="0.00"/>
    <s v="98.55"/>
  </r>
  <r>
    <x v="10"/>
    <x v="16"/>
    <n v="608499"/>
    <n v="24309"/>
    <n v="355842"/>
    <s v="3.99"/>
    <s v="0.00"/>
    <s v="96.01"/>
  </r>
  <r>
    <x v="10"/>
    <x v="17"/>
    <n v="276874"/>
    <n v="1393"/>
    <n v="271268"/>
    <s v="0.50"/>
    <s v="0.00"/>
    <s v="99.50"/>
  </r>
  <r>
    <x v="10"/>
    <x v="18"/>
    <n v="20078"/>
    <n v="38"/>
    <n v="15978"/>
    <s v="0.19"/>
    <s v="0.00"/>
    <s v="99.81"/>
  </r>
  <r>
    <x v="10"/>
    <x v="19"/>
    <n v="24749"/>
    <n v="161"/>
    <n v="9224"/>
    <s v="0.65"/>
    <s v="0.00"/>
    <s v="99.35"/>
  </r>
  <r>
    <x v="10"/>
    <x v="20"/>
    <n v="1659"/>
    <n v="6"/>
    <n v="924"/>
    <s v="0.36"/>
    <s v="0.00"/>
    <s v="99.64"/>
  </r>
  <r>
    <x v="10"/>
    <x v="21"/>
    <n v="13246"/>
    <n v="89"/>
    <n v="2874"/>
    <s v="0.67"/>
    <s v="0.00"/>
    <s v="99.33"/>
  </r>
  <r>
    <x v="10"/>
    <x v="22"/>
    <n v="513810"/>
    <n v="18928"/>
    <n v="479533"/>
    <s v="3.68"/>
    <s v="0.00"/>
    <s v="96.32"/>
  </r>
  <r>
    <x v="10"/>
    <x v="23"/>
    <n v="21814693"/>
    <n v="607922"/>
    <n v="5386171"/>
    <s v="2.79"/>
    <s v="0.00"/>
    <s v="97.21"/>
  </r>
  <r>
    <x v="10"/>
    <x v="24"/>
    <n v="22407"/>
    <n v="643"/>
    <n v="18399"/>
    <s v="2.87"/>
    <s v="0.00"/>
    <s v="97.13"/>
  </r>
  <r>
    <x v="10"/>
    <x v="25"/>
    <n v="2621"/>
    <n v="3"/>
    <n v="2597"/>
    <s v="0.11"/>
    <s v="0.00"/>
    <s v="99.89"/>
  </r>
  <r>
    <x v="10"/>
    <x v="26"/>
    <n v="187281"/>
    <n v="2407"/>
    <n v="31921"/>
    <s v="1.29"/>
    <s v="0.00"/>
    <s v="98.71"/>
  </r>
  <r>
    <x v="10"/>
    <x v="27"/>
    <n v="602058"/>
    <n v="4646"/>
    <n v="452592"/>
    <s v="0.77"/>
    <s v="0.00"/>
    <s v="99.23"/>
  </r>
  <r>
    <x v="10"/>
    <x v="28"/>
    <n v="27149"/>
    <n v="495"/>
    <n v="17180"/>
    <s v="1.82"/>
    <s v="0.00"/>
    <s v="98.18"/>
  </r>
  <r>
    <x v="10"/>
    <x v="29"/>
    <n v="1726732"/>
    <n v="29077"/>
    <n v="1438659"/>
    <s v="1.68"/>
    <s v="0.00"/>
    <s v="98.32"/>
  </r>
  <r>
    <x v="10"/>
    <x v="30"/>
    <n v="57565"/>
    <n v="1098"/>
    <n v="45359"/>
    <s v="1.91"/>
    <s v="0.00"/>
    <s v="98.09"/>
  </r>
  <r>
    <x v="10"/>
    <x v="31"/>
    <n v="11579"/>
    <n v="100"/>
    <n v="9417"/>
    <s v="0.86"/>
    <s v="0.00"/>
    <s v="99.14"/>
  </r>
  <r>
    <x v="10"/>
    <x v="32"/>
    <n v="17670"/>
    <n v="278"/>
    <n v="9129"/>
    <s v="1.57"/>
    <s v="0.00"/>
    <s v="98.43"/>
  </r>
  <r>
    <x v="10"/>
    <x v="33"/>
    <n v="877098"/>
    <n v="11242"/>
    <n v="769215"/>
    <s v="1.28"/>
    <s v="0.00"/>
    <s v="98.72"/>
  </r>
  <r>
    <x v="10"/>
    <x v="34"/>
    <n v="61311"/>
    <n v="696"/>
    <n v="58780"/>
    <s v="1.14"/>
    <s v="0.00"/>
    <s v="98.86"/>
  </r>
  <r>
    <x v="10"/>
    <x v="35"/>
    <n v="1696786"/>
    <n v="37777"/>
    <n v="1146527"/>
    <s v="2.23"/>
    <s v="0.00"/>
    <s v="97.77"/>
  </r>
  <r>
    <x v="10"/>
    <x v="36"/>
    <n v="102499"/>
    <n v="1686"/>
    <n v="32761"/>
    <s v="1.64"/>
    <s v="0.00"/>
    <s v="98.36"/>
  </r>
  <r>
    <x v="10"/>
    <x v="37"/>
    <n v="97314"/>
    <n v="4636"/>
    <n v="12360"/>
    <s v="4.76"/>
    <s v="0.00"/>
    <s v="95.24"/>
  </r>
  <r>
    <x v="10"/>
    <x v="38"/>
    <n v="5003977"/>
    <n v="127311"/>
    <n v="4355962"/>
    <s v="2.54"/>
    <s v="0.00"/>
    <s v="97.46"/>
  </r>
  <r>
    <x v="10"/>
    <x v="39"/>
    <n v="560563"/>
    <n v="7078"/>
    <n v="208112"/>
    <s v="1.26"/>
    <s v="0.00"/>
    <s v="98.74"/>
  </r>
  <r>
    <x v="10"/>
    <x v="40"/>
    <n v="952634"/>
    <n v="8240"/>
    <n v="738518"/>
    <s v="0.86"/>
    <s v="0.00"/>
    <s v="99.14"/>
  </r>
  <r>
    <x v="10"/>
    <x v="41"/>
    <n v="38218"/>
    <n v="349"/>
    <n v="14514"/>
    <s v="0.91"/>
    <s v="0.00"/>
    <s v="99.09"/>
  </r>
  <r>
    <x v="10"/>
    <x v="42"/>
    <n v="124444"/>
    <n v="575"/>
    <n v="59126"/>
    <s v="0.46"/>
    <s v="0.00"/>
    <s v="99.54"/>
  </r>
  <r>
    <x v="10"/>
    <x v="43"/>
    <n v="1765654"/>
    <n v="30775"/>
    <n v="166400"/>
    <s v="1.74"/>
    <s v="0.00"/>
    <s v="98.26"/>
  </r>
  <r>
    <x v="10"/>
    <x v="44"/>
    <n v="4619273"/>
    <n v="95838"/>
    <n v="826890"/>
    <s v="2.07"/>
    <s v="0.00"/>
    <s v="97.93"/>
  </r>
  <r>
    <x v="10"/>
    <x v="45"/>
    <n v="13482"/>
    <n v="181"/>
    <n v="8087"/>
    <s v="1.34"/>
    <s v="0.00"/>
    <s v="98.66"/>
  </r>
  <r>
    <x v="10"/>
    <x v="46"/>
    <n v="390050"/>
    <n v="2716"/>
    <n v="326646"/>
    <s v="0.70"/>
    <s v="0.00"/>
    <s v="99.30"/>
  </r>
  <r>
    <x v="10"/>
    <x v="47"/>
    <n v="4823"/>
    <n v="32"/>
    <n v="886"/>
    <s v="0.66"/>
    <s v="0.00"/>
    <s v="99.34"/>
  </r>
  <r>
    <x v="10"/>
    <x v="48"/>
    <n v="382476"/>
    <n v="4133"/>
    <n v="123844"/>
    <s v="1.08"/>
    <s v="0.00"/>
    <s v="98.92"/>
  </r>
  <r>
    <x v="10"/>
    <x v="49"/>
    <n v="206566"/>
    <n v="5924"/>
    <n v="120347"/>
    <s v="2.87"/>
    <s v="0.00"/>
    <s v="97.13"/>
  </r>
  <r>
    <x v="10"/>
    <x v="50"/>
    <n v="515859"/>
    <n v="32958"/>
    <n v="151026"/>
    <s v="6.39"/>
    <s v="0.00"/>
    <s v="93.61"/>
  </r>
  <r>
    <x v="10"/>
    <x v="51"/>
    <n v="195382"/>
    <n v="1540"/>
    <n v="192355"/>
    <s v="0.79"/>
    <s v="0.00"/>
    <s v="99.21"/>
  </r>
  <r>
    <x v="10"/>
    <x v="52"/>
    <n v="331968"/>
    <n v="18711"/>
    <n v="261755"/>
    <s v="5.64"/>
    <s v="0.00"/>
    <s v="94.36"/>
  </r>
  <r>
    <x v="10"/>
    <x v="53"/>
    <n v="6839"/>
    <n v="45"/>
    <n v="2790"/>
    <s v="0.66"/>
    <s v="0.00"/>
    <s v="99.34"/>
  </r>
  <r>
    <x v="10"/>
    <x v="54"/>
    <n v="5011148"/>
    <n v="87368"/>
    <n v="865489"/>
    <s v="1.74"/>
    <s v="0.00"/>
    <s v="98.26"/>
  </r>
  <r>
    <x v="10"/>
    <x v="55"/>
    <n v="365372"/>
    <n v="6467"/>
    <n v="39440"/>
    <s v="1.77"/>
    <s v="0.00"/>
    <s v="98.23"/>
  </r>
  <r>
    <x v="10"/>
    <x v="56"/>
    <n v="158991"/>
    <n v="1170"/>
    <n v="152936"/>
    <s v="0.74"/>
    <s v="0.00"/>
    <s v="99.26"/>
  </r>
  <r>
    <x v="10"/>
    <x v="57"/>
    <n v="52180"/>
    <n v="674"/>
    <n v="15936"/>
    <s v="1.29"/>
    <s v="0.00"/>
    <s v="98.71"/>
  </r>
  <r>
    <x v="10"/>
    <x v="58"/>
    <n v="2212"/>
    <n v="3"/>
    <n v="788"/>
    <s v="0.14"/>
    <s v="0.00"/>
    <s v="99.86"/>
  </r>
  <r>
    <x v="10"/>
    <x v="59"/>
    <n v="6990818"/>
    <n v="115303"/>
    <n v="2525513"/>
    <s v="1.65"/>
    <s v="0.00"/>
    <s v="98.35"/>
  </r>
  <r>
    <x v="10"/>
    <x v="60"/>
    <n v="35525"/>
    <n v="239"/>
    <n v="22497"/>
    <s v="0.67"/>
    <s v="0.00"/>
    <s v="99.33"/>
  </r>
  <r>
    <x v="10"/>
    <x v="61"/>
    <n v="9134444"/>
    <n v="141000"/>
    <n v="6914840"/>
    <s v="1.54"/>
    <s v="0.00"/>
    <s v="98.46"/>
  </r>
  <r>
    <x v="10"/>
    <x v="63"/>
    <n v="721388"/>
    <n v="10089"/>
    <n v="332449"/>
    <s v="1.40"/>
    <s v="0.00"/>
    <s v="98.60"/>
  </r>
  <r>
    <x v="10"/>
    <x v="62"/>
    <n v="5850"/>
    <n v="198"/>
    <n v="4728"/>
    <s v="3.38"/>
    <s v="0.00"/>
    <s v="96.62"/>
  </r>
  <r>
    <x v="10"/>
    <x v="64"/>
    <n v="44629"/>
    <n v="308"/>
    <n v="42943"/>
    <s v="0.69"/>
    <s v="0.00"/>
    <s v="99.31"/>
  </r>
  <r>
    <x v="10"/>
    <x v="65"/>
    <n v="130077"/>
    <n v="1175"/>
    <n v="114442"/>
    <s v="0.90"/>
    <s v="0.00"/>
    <s v="99.10"/>
  </r>
  <r>
    <x v="10"/>
    <x v="66"/>
    <n v="5997"/>
    <n v="98"/>
    <n v="1014"/>
    <s v="1.63"/>
    <s v="0.00"/>
    <s v="98.37"/>
  </r>
  <r>
    <x v="10"/>
    <x v="67"/>
    <n v="9967"/>
    <n v="340"/>
    <n v="631"/>
    <s v="3.41"/>
    <s v="0.00"/>
    <s v="96.59"/>
  </r>
  <r>
    <x v="10"/>
    <x v="68"/>
    <n v="30667"/>
    <n v="385"/>
    <n v="29515"/>
    <s v="1.26"/>
    <s v="0.00"/>
    <s v="98.74"/>
  </r>
  <r>
    <x v="10"/>
    <x v="69"/>
    <n v="54288"/>
    <n v="815"/>
    <n v="44583"/>
    <s v="1.50"/>
    <s v="0.00"/>
    <s v="98.50"/>
  </r>
  <r>
    <x v="10"/>
    <x v="70"/>
    <n v="13368"/>
    <n v="167"/>
    <n v="6058"/>
    <s v="1.25"/>
    <s v="0.00"/>
    <s v="98.75"/>
  </r>
  <r>
    <x v="10"/>
    <x v="71"/>
    <n v="747595"/>
    <n v="15990"/>
    <n v="38167"/>
    <s v="2.14"/>
    <s v="0.00"/>
    <s v="97.86"/>
  </r>
  <r>
    <x v="10"/>
    <x v="72"/>
    <n v="601657"/>
    <n v="15137"/>
    <n v="275290"/>
    <s v="2.52"/>
    <s v="0.00"/>
    <s v="97.48"/>
  </r>
  <r>
    <x v="10"/>
    <x v="73"/>
    <n v="6134"/>
    <n v="141"/>
    <n v="1208"/>
    <s v="2.30"/>
    <s v="0.00"/>
    <s v="97.70"/>
  </r>
  <r>
    <x v="10"/>
    <x v="74"/>
    <n v="35657"/>
    <n v="925"/>
    <n v="20615"/>
    <s v="2.59"/>
    <s v="0.00"/>
    <s v="97.41"/>
  </r>
  <r>
    <x v="10"/>
    <x v="75"/>
    <n v="12347"/>
    <n v="213"/>
    <n v="7573"/>
    <s v="1.73"/>
    <s v="0.00"/>
    <s v="98.27"/>
  </r>
  <r>
    <x v="10"/>
    <x v="76"/>
    <n v="375381"/>
    <n v="10239"/>
    <n v="146821"/>
    <s v="2.73"/>
    <s v="0.00"/>
    <s v="97.27"/>
  </r>
  <r>
    <x v="10"/>
    <x v="77"/>
    <n v="471474"/>
    <n v="9251"/>
    <n v="427645"/>
    <s v="1.96"/>
    <s v="0.00"/>
    <s v="98.04"/>
  </r>
  <r>
    <x v="10"/>
    <x v="78"/>
    <n v="23960"/>
    <n v="671"/>
    <n v="15429"/>
    <s v="2.80"/>
    <s v="0.00"/>
    <s v="97.20"/>
  </r>
  <r>
    <x v="10"/>
    <x v="79"/>
    <n v="874630"/>
    <n v="30881"/>
    <n v="81780"/>
    <s v="3.53"/>
    <s v="0.00"/>
    <s v="96.47"/>
  </r>
  <r>
    <x v="10"/>
    <x v="80"/>
    <n v="4244761"/>
    <n v="143423"/>
    <n v="3718267"/>
    <s v="3.38"/>
    <s v="0.00"/>
    <s v="96.62"/>
  </r>
  <r>
    <x v="10"/>
    <x v="81"/>
    <n v="448449"/>
    <n v="5436"/>
    <n v="257027"/>
    <s v="1.21"/>
    <s v="0.00"/>
    <s v="98.79"/>
  </r>
  <r>
    <x v="10"/>
    <x v="82"/>
    <n v="1328218"/>
    <n v="8103"/>
    <n v="656126"/>
    <s v="0.61"/>
    <s v="0.00"/>
    <s v="99.39"/>
  </r>
  <r>
    <x v="10"/>
    <x v="83"/>
    <n v="34296237"/>
    <n v="458880"/>
    <n v="5758493"/>
    <s v="1.34"/>
    <s v="0.00"/>
    <s v="98.66"/>
  </r>
  <r>
    <x v="10"/>
    <x v="84"/>
    <n v="2056401"/>
    <n v="23196"/>
    <n v="834090"/>
    <s v="1.13"/>
    <s v="0.00"/>
    <s v="98.87"/>
  </r>
  <r>
    <x v="10"/>
    <x v="85"/>
    <n v="5934495"/>
    <n v="126456"/>
    <n v="3864082"/>
    <s v="2.13"/>
    <s v="0.00"/>
    <s v="97.87"/>
  </r>
  <r>
    <x v="10"/>
    <x v="86"/>
    <n v="13739"/>
    <n v="33"/>
    <n v="13197"/>
    <s v="0.24"/>
    <s v="0.00"/>
    <s v="99.76"/>
  </r>
  <r>
    <x v="10"/>
    <x v="87"/>
    <n v="4774783"/>
    <n v="132120"/>
    <n v="1830785"/>
    <s v="2.77"/>
    <s v="0.00"/>
    <s v="97.23"/>
  </r>
  <r>
    <x v="10"/>
    <x v="88"/>
    <n v="89123"/>
    <n v="2243"/>
    <n v="9591"/>
    <s v="2.52"/>
    <s v="0.00"/>
    <s v="97.48"/>
  </r>
  <r>
    <x v="10"/>
    <x v="89"/>
    <n v="864661"/>
    <n v="11052"/>
    <n v="448359"/>
    <s v="1.28"/>
    <s v="0.00"/>
    <s v="98.72"/>
  </r>
  <r>
    <x v="10"/>
    <x v="90"/>
    <n v="1722427"/>
    <n v="18271"/>
    <n v="266240"/>
    <s v="1.06"/>
    <s v="0.00"/>
    <s v="98.94"/>
  </r>
  <r>
    <x v="10"/>
    <x v="91"/>
    <n v="253339"/>
    <n v="5281"/>
    <n v="11472"/>
    <s v="2.08"/>
    <s v="0.00"/>
    <s v="97.92"/>
  </r>
  <r>
    <x v="10"/>
    <x v="92"/>
    <n v="181327"/>
    <n v="2672"/>
    <n v="8947"/>
    <s v="1.47"/>
    <s v="0.00"/>
    <s v="98.53"/>
  </r>
  <r>
    <x v="10"/>
    <x v="94"/>
    <n v="2"/>
    <n v="0"/>
    <n v="2"/>
    <s v="0.00"/>
    <s v="0.00"/>
    <s v="100.00"/>
  </r>
  <r>
    <x v="10"/>
    <x v="93"/>
    <n v="118613"/>
    <n v="2794"/>
    <n v="114731"/>
    <s v="2.36"/>
    <s v="0.00"/>
    <s v="97.64"/>
  </r>
  <r>
    <x v="10"/>
    <x v="95"/>
    <n v="4266"/>
    <n v="147"/>
    <n v="481"/>
    <s v="3.45"/>
    <s v="0.00"/>
    <s v="96.55"/>
  </r>
  <r>
    <x v="10"/>
    <x v="96"/>
    <n v="2675"/>
    <n v="25"/>
    <n v="204"/>
    <s v="0.93"/>
    <s v="0.00"/>
    <s v="99.07"/>
  </r>
  <r>
    <x v="10"/>
    <x v="97"/>
    <n v="367974"/>
    <n v="2874"/>
    <n v="263989"/>
    <s v="0.78"/>
    <s v="0.00"/>
    <s v="99.22"/>
  </r>
  <r>
    <x v="10"/>
    <x v="98"/>
    <n v="412708"/>
    <n v="2462"/>
    <n v="95305"/>
    <s v="0.60"/>
    <s v="0.00"/>
    <s v="99.40"/>
  </r>
  <r>
    <x v="10"/>
    <x v="99"/>
    <n v="1021452"/>
    <n v="17150"/>
    <n v="723251"/>
    <s v="1.68"/>
    <s v="0.00"/>
    <s v="98.32"/>
  </r>
  <r>
    <x v="10"/>
    <x v="100"/>
    <n v="40956"/>
    <n v="67"/>
    <n v="19373"/>
    <s v="0.16"/>
    <s v="0.00"/>
    <s v="99.84"/>
  </r>
  <r>
    <x v="10"/>
    <x v="101"/>
    <n v="642225"/>
    <n v="8509"/>
    <n v="375026"/>
    <s v="1.32"/>
    <s v="0.00"/>
    <s v="98.68"/>
  </r>
  <r>
    <x v="10"/>
    <x v="102"/>
    <n v="12573"/>
    <n v="255"/>
    <n v="8709"/>
    <s v="2.03"/>
    <s v="0.00"/>
    <s v="97.97"/>
  </r>
  <r>
    <x v="10"/>
    <x v="103"/>
    <n v="3662"/>
    <n v="61"/>
    <n v="594"/>
    <s v="1.67"/>
    <s v="0.00"/>
    <s v="98.33"/>
  </r>
  <r>
    <x v="10"/>
    <x v="104"/>
    <n v="541639"/>
    <n v="13760"/>
    <n v="337586"/>
    <s v="2.54"/>
    <s v="0.00"/>
    <s v="97.46"/>
  </r>
  <r>
    <x v="10"/>
    <x v="105"/>
    <n v="5815"/>
    <n v="287"/>
    <n v="2358"/>
    <s v="4.94"/>
    <s v="0.00"/>
    <s v="95.06"/>
  </r>
  <r>
    <x v="10"/>
    <x v="106"/>
    <n v="21635"/>
    <n v="658"/>
    <n v="2680"/>
    <s v="3.04"/>
    <s v="0.00"/>
    <s v="96.96"/>
  </r>
  <r>
    <x v="10"/>
    <x v="107"/>
    <n v="410580"/>
    <n v="5913"/>
    <n v="330691"/>
    <s v="1.44"/>
    <s v="0.00"/>
    <s v="98.56"/>
  </r>
  <r>
    <x v="10"/>
    <x v="108"/>
    <n v="81683"/>
    <n v="843"/>
    <n v="70785"/>
    <s v="1.03"/>
    <s v="0.00"/>
    <s v="98.97"/>
  </r>
  <r>
    <x v="10"/>
    <x v="109"/>
    <n v="219911"/>
    <n v="3269"/>
    <n v="138638"/>
    <s v="1.49"/>
    <s v="0.00"/>
    <s v="98.51"/>
  </r>
  <r>
    <x v="10"/>
    <x v="110"/>
    <n v="357964"/>
    <n v="5122"/>
    <n v="117704"/>
    <s v="1.43"/>
    <s v="0.00"/>
    <s v="98.57"/>
  </r>
  <r>
    <x v="10"/>
    <x v="111"/>
    <n v="946283"/>
    <n v="14678"/>
    <n v="424506"/>
    <s v="1.55"/>
    <s v="0.00"/>
    <s v="98.45"/>
  </r>
  <r>
    <x v="10"/>
    <x v="112"/>
    <n v="3414"/>
    <n v="36"/>
    <n v="3233"/>
    <s v="1.05"/>
    <s v="0.00"/>
    <s v="98.95"/>
  </r>
  <r>
    <x v="10"/>
    <x v="113"/>
    <n v="339114"/>
    <n v="7828"/>
    <n v="291358"/>
    <s v="2.31"/>
    <s v="0.00"/>
    <s v="97.69"/>
  </r>
  <r>
    <x v="10"/>
    <x v="114"/>
    <n v="144692"/>
    <n v="2107"/>
    <n v="3042"/>
    <s v="1.46"/>
    <s v="0.00"/>
    <s v="98.54"/>
  </r>
  <r>
    <x v="10"/>
    <x v="115"/>
    <n v="3920"/>
    <n v="56"/>
    <n v="49"/>
    <s v="1.43"/>
    <s v="0.00"/>
    <s v="98.57"/>
  </r>
  <r>
    <x v="10"/>
    <x v="116"/>
    <n v="43626"/>
    <n v="963"/>
    <n v="23173"/>
    <s v="2.21"/>
    <s v="0.00"/>
    <s v="97.79"/>
  </r>
  <r>
    <x v="10"/>
    <x v="117"/>
    <n v="4"/>
    <n v="0"/>
    <n v="0"/>
    <s v="0.00"/>
    <s v="0.00"/>
    <s v="100.00"/>
  </r>
  <r>
    <x v="10"/>
    <x v="118"/>
    <n v="202705"/>
    <n v="7145"/>
    <n v="180857"/>
    <s v="3.52"/>
    <s v="0.00"/>
    <s v="96.48"/>
  </r>
  <r>
    <x v="10"/>
    <x v="119"/>
    <n v="16098"/>
    <n v="565"/>
    <n v="11466"/>
    <s v="3.51"/>
    <s v="0.00"/>
    <s v="96.49"/>
  </r>
  <r>
    <x v="10"/>
    <x v="120"/>
    <n v="500950"/>
    <n v="18714"/>
    <n v="239523"/>
    <s v="3.74"/>
    <s v="0.00"/>
    <s v="96.26"/>
  </r>
  <r>
    <x v="10"/>
    <x v="121"/>
    <n v="361338"/>
    <n v="1755"/>
    <n v="27635"/>
    <s v="0.49"/>
    <s v="0.00"/>
    <s v="99.51"/>
  </r>
  <r>
    <x v="10"/>
    <x v="122"/>
    <n v="77"/>
    <n v="0"/>
    <n v="71"/>
    <s v="0.00"/>
    <s v="0.00"/>
    <s v="100.00"/>
  </r>
  <r>
    <x v="10"/>
    <x v="123"/>
    <n v="43347"/>
    <n v="683"/>
    <n v="6714"/>
    <s v="1.58"/>
    <s v="0.00"/>
    <s v="98.42"/>
  </r>
  <r>
    <x v="10"/>
    <x v="124"/>
    <n v="37368"/>
    <n v="797"/>
    <n v="30268"/>
    <s v="2.13"/>
    <s v="0.00"/>
    <s v="97.87"/>
  </r>
  <r>
    <x v="10"/>
    <x v="125"/>
    <n v="37673"/>
    <n v="461"/>
    <n v="36988"/>
    <s v="1.22"/>
    <s v="0.00"/>
    <s v="98.78"/>
  </r>
  <r>
    <x v="10"/>
    <x v="126"/>
    <n v="17812"/>
    <n v="176"/>
    <n v="11123"/>
    <s v="0.99"/>
    <s v="0.00"/>
    <s v="99.01"/>
  </r>
  <r>
    <x v="10"/>
    <x v="127"/>
    <n v="87915"/>
    <n v="243"/>
    <n v="439"/>
    <s v="0.28"/>
    <s v="0.00"/>
    <s v="99.72"/>
  </r>
  <r>
    <x v="10"/>
    <x v="128"/>
    <n v="61800"/>
    <n v="2302"/>
    <n v="24162"/>
    <s v="3.72"/>
    <s v="0.00"/>
    <s v="96.28"/>
  </r>
  <r>
    <x v="10"/>
    <x v="129"/>
    <n v="3807211"/>
    <n v="288365"/>
    <n v="1064224"/>
    <s v="7.57"/>
    <s v="0.00"/>
    <s v="92.43"/>
  </r>
  <r>
    <x v="10"/>
    <x v="130"/>
    <n v="2476268"/>
    <n v="28975"/>
    <n v="1841063"/>
    <s v="1.17"/>
    <s v="0.00"/>
    <s v="98.83"/>
  </r>
  <r>
    <x v="10"/>
    <x v="131"/>
    <n v="151302"/>
    <n v="1931"/>
    <n v="17573"/>
    <s v="1.28"/>
    <s v="0.00"/>
    <s v="98.72"/>
  </r>
  <r>
    <x v="10"/>
    <x v="132"/>
    <n v="128938"/>
    <n v="3554"/>
    <n v="79292"/>
    <s v="2.76"/>
    <s v="0.00"/>
    <s v="97.24"/>
  </r>
  <r>
    <x v="10"/>
    <x v="133"/>
    <n v="10985"/>
    <n v="266"/>
    <n v="7782"/>
    <s v="2.42"/>
    <s v="0.00"/>
    <s v="97.58"/>
  </r>
  <r>
    <x v="10"/>
    <x v="134"/>
    <n v="6366"/>
    <n v="213"/>
    <n v="3981"/>
    <s v="3.35"/>
    <s v="0.00"/>
    <s v="96.65"/>
  </r>
  <r>
    <x v="10"/>
    <x v="135"/>
    <n v="212051"/>
    <n v="2898"/>
    <n v="93683"/>
    <s v="1.37"/>
    <s v="0.00"/>
    <s v="98.63"/>
  </r>
  <r>
    <x v="10"/>
    <x v="136"/>
    <n v="16422"/>
    <n v="208"/>
    <n v="14774"/>
    <s v="1.27"/>
    <s v="0.00"/>
    <s v="98.73"/>
  </r>
  <r>
    <x v="10"/>
    <x v="137"/>
    <n v="2179710"/>
    <n v="18862"/>
    <n v="1157639"/>
    <s v="0.87"/>
    <s v="0.00"/>
    <s v="99.13"/>
  </r>
  <r>
    <x v="10"/>
    <x v="138"/>
    <n v="208615"/>
    <n v="902"/>
    <n v="12467"/>
    <s v="0.43"/>
    <s v="0.00"/>
    <s v="99.57"/>
  </r>
  <r>
    <x v="10"/>
    <x v="139"/>
    <n v="813011"/>
    <n v="11416"/>
    <n v="404686"/>
    <s v="1.40"/>
    <s v="0.00"/>
    <s v="98.60"/>
  </r>
  <r>
    <x v="10"/>
    <x v="140"/>
    <n v="6724"/>
    <n v="28"/>
    <n v="1183"/>
    <s v="0.42"/>
    <s v="0.00"/>
    <s v="99.58"/>
  </r>
  <r>
    <x v="10"/>
    <x v="141"/>
    <n v="304299"/>
    <n v="4111"/>
    <n v="101081"/>
    <s v="1.35"/>
    <s v="0.00"/>
    <s v="98.65"/>
  </r>
  <r>
    <x v="10"/>
    <x v="142"/>
    <n v="472664"/>
    <n v="7315"/>
    <n v="109687"/>
    <s v="1.55"/>
    <s v="0.00"/>
    <s v="98.45"/>
  </r>
  <r>
    <x v="10"/>
    <x v="143"/>
    <n v="2202189"/>
    <n v="200276"/>
    <n v="1651816"/>
    <s v="9.09"/>
    <s v="0.00"/>
    <s v="90.91"/>
  </r>
  <r>
    <x v="10"/>
    <x v="144"/>
    <n v="45541"/>
    <n v="636"/>
    <n v="14883"/>
    <s v="1.40"/>
    <s v="0.00"/>
    <s v="98.60"/>
  </r>
  <r>
    <x v="10"/>
    <x v="145"/>
    <n v="29813"/>
    <n v="370"/>
    <n v="3438"/>
    <s v="1.24"/>
    <s v="0.00"/>
    <s v="98.76"/>
  </r>
  <r>
    <x v="10"/>
    <x v="146"/>
    <n v="2790375"/>
    <n v="43276"/>
    <n v="2260636"/>
    <s v="1.55"/>
    <s v="0.00"/>
    <s v="98.45"/>
  </r>
  <r>
    <x v="10"/>
    <x v="147"/>
    <n v="1274017"/>
    <n v="28466"/>
    <n v="137635"/>
    <s v="2.23"/>
    <s v="0.00"/>
    <s v="97.77"/>
  </r>
  <r>
    <x v="10"/>
    <x v="148"/>
    <n v="3030151"/>
    <n v="77012"/>
    <n v="893441"/>
    <s v="2.54"/>
    <s v="0.00"/>
    <s v="97.46"/>
  </r>
  <r>
    <x v="10"/>
    <x v="149"/>
    <n v="453782"/>
    <n v="4681"/>
    <n v="96222"/>
    <s v="1.03"/>
    <s v="0.00"/>
    <s v="98.97"/>
  </r>
  <r>
    <x v="10"/>
    <x v="150"/>
    <n v="1091142"/>
    <n v="18162"/>
    <n v="475136"/>
    <s v="1.66"/>
    <s v="0.00"/>
    <s v="98.34"/>
  </r>
  <r>
    <x v="10"/>
    <x v="151"/>
    <n v="8"/>
    <n v="0"/>
    <n v="2"/>
    <s v="0.00"/>
    <s v="0.00"/>
    <s v="100.00"/>
  </r>
  <r>
    <x v="10"/>
    <x v="152"/>
    <n v="461086"/>
    <n v="16249"/>
    <n v="285704"/>
    <s v="3.52"/>
    <s v="0.00"/>
    <s v="96.48"/>
  </r>
  <r>
    <x v="10"/>
    <x v="153"/>
    <n v="239374"/>
    <n v="611"/>
    <n v="66500"/>
    <s v="0.26"/>
    <s v="0.00"/>
    <s v="99.74"/>
  </r>
  <r>
    <x v="10"/>
    <x v="154"/>
    <n v="54668"/>
    <n v="374"/>
    <n v="37165"/>
    <s v="0.68"/>
    <s v="0.00"/>
    <s v="99.32"/>
  </r>
  <r>
    <x v="10"/>
    <x v="155"/>
    <n v="1655024"/>
    <n v="48073"/>
    <n v="235433"/>
    <s v="2.90"/>
    <s v="0.00"/>
    <s v="97.10"/>
  </r>
  <r>
    <x v="10"/>
    <x v="156"/>
    <n v="1148645"/>
    <n v="10018"/>
    <n v="848621"/>
    <s v="0.87"/>
    <s v="0.00"/>
    <s v="99.13"/>
  </r>
  <r>
    <x v="10"/>
    <x v="157"/>
    <n v="8417305"/>
    <n v="235318"/>
    <n v="1861012"/>
    <s v="2.80"/>
    <s v="0.00"/>
    <s v="97.20"/>
  </r>
  <r>
    <x v="10"/>
    <x v="158"/>
    <n v="99727"/>
    <n v="1332"/>
    <n v="59373"/>
    <s v="1.34"/>
    <s v="0.00"/>
    <s v="98.66"/>
  </r>
  <r>
    <x v="10"/>
    <x v="159"/>
    <n v="548666"/>
    <n v="8796"/>
    <n v="539779"/>
    <s v="1.60"/>
    <s v="0.00"/>
    <s v="98.40"/>
  </r>
  <r>
    <x v="10"/>
    <x v="160"/>
    <n v="20"/>
    <n v="0"/>
    <n v="5"/>
    <s v="0.00"/>
    <s v="0.00"/>
    <s v="100.00"/>
  </r>
  <r>
    <x v="10"/>
    <x v="161"/>
    <n v="22265"/>
    <n v="119"/>
    <n v="15137"/>
    <s v="0.53"/>
    <s v="0.00"/>
    <s v="99.47"/>
  </r>
  <r>
    <x v="10"/>
    <x v="162"/>
    <n v="40433"/>
    <n v="3099"/>
    <n v="5168"/>
    <s v="7.66"/>
    <s v="0.00"/>
    <s v="92.34"/>
  </r>
  <r>
    <x v="10"/>
    <x v="163"/>
    <n v="1171512"/>
    <n v="15025"/>
    <n v="742560"/>
    <s v="1.28"/>
    <s v="0.00"/>
    <s v="98.72"/>
  </r>
  <r>
    <x v="10"/>
    <x v="164"/>
    <n v="200844"/>
    <n v="421"/>
    <n v="42577"/>
    <s v="0.21"/>
    <s v="0.00"/>
    <s v="99.79"/>
  </r>
  <r>
    <x v="10"/>
    <x v="165"/>
    <n v="337108"/>
    <n v="4756"/>
    <n v="317426"/>
    <s v="1.41"/>
    <s v="0.00"/>
    <s v="98.59"/>
  </r>
  <r>
    <x v="10"/>
    <x v="166"/>
    <n v="485629"/>
    <n v="13045"/>
    <n v="188207"/>
    <s v="2.69"/>
    <s v="0.00"/>
    <s v="97.31"/>
  </r>
  <r>
    <x v="10"/>
    <x v="167"/>
    <n v="6398"/>
    <n v="121"/>
    <n v="4183"/>
    <s v="1.89"/>
    <s v="0.00"/>
    <s v="98.11"/>
  </r>
  <r>
    <x v="10"/>
    <x v="168"/>
    <n v="5547"/>
    <n v="92"/>
    <n v="1207"/>
    <s v="1.66"/>
    <s v="0.00"/>
    <s v="98.34"/>
  </r>
  <r>
    <x v="10"/>
    <x v="169"/>
    <n v="73920"/>
    <n v="1878"/>
    <n v="43867"/>
    <s v="2.54"/>
    <s v="0.00"/>
    <s v="97.46"/>
  </r>
  <r>
    <x v="10"/>
    <x v="170"/>
    <n v="21998"/>
    <n v="1208"/>
    <n v="11560"/>
    <s v="5.49"/>
    <s v="0.00"/>
    <s v="94.51"/>
  </r>
  <r>
    <x v="10"/>
    <x v="171"/>
    <n v="49019"/>
    <n v="1092"/>
    <n v="33988"/>
    <s v="2.23"/>
    <s v="0.00"/>
    <s v="97.77"/>
  </r>
  <r>
    <x v="10"/>
    <x v="172"/>
    <n v="12410"/>
    <n v="133"/>
    <n v="2849"/>
    <s v="1.07"/>
    <s v="0.00"/>
    <s v="98.93"/>
  </r>
  <r>
    <x v="10"/>
    <x v="173"/>
    <n v="3714"/>
    <n v="56"/>
    <n v="1237"/>
    <s v="1.51"/>
    <s v="0.00"/>
    <s v="98.49"/>
  </r>
  <r>
    <x v="10"/>
    <x v="174"/>
    <n v="113422"/>
    <n v="3638"/>
    <n v="10388"/>
    <s v="3.21"/>
    <s v="0.00"/>
    <s v="96.79"/>
  </r>
  <r>
    <x v="10"/>
    <x v="175"/>
    <n v="43666"/>
    <n v="2574"/>
    <n v="36516"/>
    <s v="5.89"/>
    <s v="0.00"/>
    <s v="94.11"/>
  </r>
  <r>
    <x v="10"/>
    <x v="176"/>
    <n v="46430"/>
    <n v="1242"/>
    <n v="18022"/>
    <s v="2.67"/>
    <s v="0.00"/>
    <s v="97.33"/>
  </r>
  <r>
    <x v="10"/>
    <x v="177"/>
    <n v="5105"/>
    <n v="175"/>
    <n v="1775"/>
    <s v="3.43"/>
    <s v="0.00"/>
    <s v="96.57"/>
  </r>
  <r>
    <x v="10"/>
    <x v="178"/>
    <n v="26079"/>
    <n v="242"/>
    <n v="14589"/>
    <s v="0.93"/>
    <s v="0.00"/>
    <s v="99.07"/>
  </r>
  <r>
    <x v="10"/>
    <x v="179"/>
    <n v="1920189"/>
    <n v="19260"/>
    <n v="1464076"/>
    <s v="1.00"/>
    <s v="0.00"/>
    <s v="99.00"/>
  </r>
  <r>
    <x v="10"/>
    <x v="180"/>
    <n v="17486"/>
    <n v="125"/>
    <n v="10147"/>
    <s v="0.71"/>
    <s v="0.00"/>
    <s v="99.29"/>
  </r>
  <r>
    <x v="10"/>
    <x v="181"/>
    <n v="19790"/>
    <n v="122"/>
    <n v="5501"/>
    <s v="0.62"/>
    <s v="0.00"/>
    <s v="99.38"/>
  </r>
  <r>
    <x v="10"/>
    <x v="182"/>
    <n v="712776"/>
    <n v="25244"/>
    <n v="161250"/>
    <s v="3.54"/>
    <s v="0.00"/>
    <s v="96.46"/>
  </r>
  <r>
    <x v="10"/>
    <x v="183"/>
    <n v="1"/>
    <n v="0"/>
    <n v="1"/>
    <s v="0.00"/>
    <s v="0.00"/>
    <s v="100.00"/>
  </r>
  <r>
    <x v="10"/>
    <x v="184"/>
    <n v="8061636"/>
    <n v="70828"/>
    <n v="6859632"/>
    <s v="0.88"/>
    <s v="0.00"/>
    <s v="99.12"/>
  </r>
  <r>
    <x v="10"/>
    <x v="185"/>
    <n v="57419"/>
    <n v="1709"/>
    <n v="38449"/>
    <s v="2.98"/>
    <s v="0.00"/>
    <s v="97.02"/>
  </r>
  <r>
    <x v="10"/>
    <x v="186"/>
    <n v="16417"/>
    <n v="847"/>
    <n v="8367"/>
    <s v="5.16"/>
    <s v="0.00"/>
    <s v="94.84"/>
  </r>
  <r>
    <x v="10"/>
    <x v="187"/>
    <n v="26154"/>
    <n v="725"/>
    <n v="17806"/>
    <s v="2.77"/>
    <s v="0.00"/>
    <s v="97.23"/>
  </r>
  <r>
    <x v="10"/>
    <x v="188"/>
    <n v="3073125"/>
    <n v="72402"/>
    <n v="569887"/>
    <s v="2.36"/>
    <s v="0.00"/>
    <s v="97.64"/>
  </r>
  <r>
    <x v="10"/>
    <x v="189"/>
    <n v="126236"/>
    <n v="3215"/>
    <n v="11198"/>
    <s v="2.55"/>
    <s v="0.00"/>
    <s v="97.45"/>
  </r>
  <r>
    <x v="10"/>
    <x v="190"/>
    <n v="46100496"/>
    <n v="747293"/>
    <n v="43979674"/>
    <s v="1.62"/>
    <s v="0.00"/>
    <s v="98.38"/>
  </r>
  <r>
    <x v="10"/>
    <x v="191"/>
    <n v="394053"/>
    <n v="6080"/>
    <n v="171234"/>
    <s v="1.54"/>
    <s v="0.00"/>
    <s v="98.46"/>
  </r>
  <r>
    <x v="10"/>
    <x v="192"/>
    <n v="186244"/>
    <n v="1325"/>
    <n v="127023"/>
    <s v="0.71"/>
    <s v="0.00"/>
    <s v="99.29"/>
  </r>
  <r>
    <x v="10"/>
    <x v="193"/>
    <n v="27"/>
    <n v="0"/>
    <n v="17"/>
    <s v="0.00"/>
    <s v="0.00"/>
    <s v="100.00"/>
  </r>
  <r>
    <x v="10"/>
    <x v="194"/>
    <n v="4995"/>
    <n v="68"/>
    <n v="275"/>
    <s v="1.36"/>
    <s v="0.00"/>
    <s v="98.64"/>
  </r>
  <r>
    <x v="10"/>
    <x v="195"/>
    <n v="407866"/>
    <n v="4902"/>
    <n v="380445"/>
    <s v="1.20"/>
    <s v="0.00"/>
    <s v="98.80"/>
  </r>
  <r>
    <x v="10"/>
    <x v="196"/>
    <n v="926720"/>
    <n v="22131"/>
    <n v="304325"/>
    <s v="2.39"/>
    <s v="0.00"/>
    <s v="97.61"/>
  </r>
  <r>
    <x v="10"/>
    <x v="197"/>
    <n v="6"/>
    <n v="1"/>
    <n v="3"/>
    <s v="16.67"/>
    <s v="0.00"/>
    <s v="83.33"/>
  </r>
  <r>
    <x v="10"/>
    <x v="198"/>
    <n v="3"/>
    <n v="0"/>
    <n v="3"/>
    <s v="0.00"/>
    <s v="0.00"/>
    <s v="100.00"/>
  </r>
  <r>
    <x v="10"/>
    <x v="199"/>
    <n v="160767"/>
    <n v="2977"/>
    <n v="47997"/>
    <s v="1.85"/>
    <s v="0.00"/>
    <s v="98.15"/>
  </r>
  <r>
    <x v="10"/>
    <x v="200"/>
    <n v="9799"/>
    <n v="1890"/>
    <n v="6947"/>
    <s v="19.29"/>
    <s v="0.00"/>
    <s v="80.71"/>
  </r>
  <r>
    <x v="10"/>
    <x v="201"/>
    <n v="20555"/>
    <n v="185"/>
    <n v="17138"/>
    <s v="0.90"/>
    <s v="0.00"/>
    <s v="99.10"/>
  </r>
  <r>
    <x v="10"/>
    <x v="202"/>
    <n v="2922222"/>
    <n v="89179"/>
    <n v="1341962"/>
    <s v="3.05"/>
    <s v="0.00"/>
    <s v="96.95"/>
  </r>
  <r>
    <x v="10"/>
    <x v="203"/>
    <n v="209739"/>
    <n v="3661"/>
    <n v="107981"/>
    <s v="1.75"/>
    <s v="0.00"/>
    <s v="98.25"/>
  </r>
  <r>
    <x v="10"/>
    <x v="204"/>
    <n v="133007"/>
    <n v="4679"/>
    <n v="84407"/>
    <s v="3.52"/>
    <s v="0.00"/>
    <s v="96.48"/>
  </r>
  <r>
    <x v="10"/>
    <x v="205"/>
    <n v="721"/>
    <n v="15"/>
    <n v="631"/>
    <s v="2.08"/>
    <s v="0.00"/>
    <s v="97.92"/>
  </r>
  <r>
    <x v="11"/>
    <x v="205"/>
    <n v="721"/>
    <n v="15"/>
    <n v="624"/>
    <s v="2.08"/>
    <s v="0.00"/>
    <s v="97.92"/>
  </r>
  <r>
    <x v="11"/>
    <x v="204"/>
    <n v="132977"/>
    <n v="4678"/>
    <n v="39915"/>
    <s v="3.52"/>
    <s v="0.00"/>
    <s v="96.48"/>
  </r>
  <r>
    <x v="11"/>
    <x v="203"/>
    <n v="209734"/>
    <n v="3661"/>
    <n v="24479"/>
    <s v="1.75"/>
    <s v="0.00"/>
    <s v="98.25"/>
  </r>
  <r>
    <x v="11"/>
    <x v="202"/>
    <n v="2922116"/>
    <n v="89177"/>
    <n v="667961"/>
    <s v="3.05"/>
    <s v="0.00"/>
    <s v="96.95"/>
  </r>
  <r>
    <x v="11"/>
    <x v="201"/>
    <n v="20555"/>
    <n v="185"/>
    <n v="18859"/>
    <s v="0.90"/>
    <s v="0.00"/>
    <s v="99.10"/>
  </r>
  <r>
    <x v="11"/>
    <x v="200"/>
    <n v="9791"/>
    <n v="1889"/>
    <n v="7011"/>
    <s v="19.29"/>
    <s v="0.00"/>
    <s v="80.71"/>
  </r>
  <r>
    <x v="11"/>
    <x v="199"/>
    <n v="160762"/>
    <n v="2977"/>
    <n v="105731"/>
    <s v="1.85"/>
    <s v="0.00"/>
    <s v="98.15"/>
  </r>
  <r>
    <x v="11"/>
    <x v="198"/>
    <n v="3"/>
    <n v="0"/>
    <n v="2"/>
    <s v="0.00"/>
    <s v="0.00"/>
    <s v="100.00"/>
  </r>
  <r>
    <x v="11"/>
    <x v="197"/>
    <n v="6"/>
    <n v="1"/>
    <n v="1"/>
    <s v="16.67"/>
    <s v="0.00"/>
    <s v="83.33"/>
  </r>
  <r>
    <x v="11"/>
    <x v="196"/>
    <n v="921122"/>
    <n v="22083"/>
    <n v="528986"/>
    <s v="2.40"/>
    <s v="0.00"/>
    <s v="97.60"/>
  </r>
  <r>
    <x v="11"/>
    <x v="195"/>
    <n v="407151"/>
    <n v="4891"/>
    <n v="21465"/>
    <s v="1.20"/>
    <s v="0.00"/>
    <s v="98.80"/>
  </r>
  <r>
    <x v="11"/>
    <x v="194"/>
    <n v="4995"/>
    <n v="68"/>
    <n v="3852"/>
    <s v="1.36"/>
    <s v="0.00"/>
    <s v="98.64"/>
  </r>
  <r>
    <x v="11"/>
    <x v="193"/>
    <n v="27"/>
    <n v="0"/>
    <n v="10"/>
    <s v="0.00"/>
    <s v="0.00"/>
    <s v="100.00"/>
  </r>
  <r>
    <x v="11"/>
    <x v="192"/>
    <n v="185963"/>
    <n v="1323"/>
    <n v="150722"/>
    <s v="0.71"/>
    <s v="0.00"/>
    <s v="99.29"/>
  </r>
  <r>
    <x v="11"/>
    <x v="191"/>
    <n v="393899"/>
    <n v="6078"/>
    <n v="200927"/>
    <s v="1.54"/>
    <s v="0.00"/>
    <s v="98.46"/>
  </r>
  <r>
    <x v="11"/>
    <x v="190"/>
    <n v="45984022"/>
    <n v="746068"/>
    <n v="28386326"/>
    <s v="1.62"/>
    <s v="0.00"/>
    <s v="98.38"/>
  </r>
  <r>
    <x v="11"/>
    <x v="189"/>
    <n v="126171"/>
    <n v="3215"/>
    <n v="3531"/>
    <s v="2.55"/>
    <s v="0.00"/>
    <s v="97.45"/>
  </r>
  <r>
    <x v="11"/>
    <x v="188"/>
    <n v="3058108"/>
    <n v="72073"/>
    <n v="900611"/>
    <s v="2.36"/>
    <s v="0.00"/>
    <s v="97.64"/>
  </r>
  <r>
    <x v="11"/>
    <x v="187"/>
    <n v="26154"/>
    <n v="725"/>
    <n v="18156"/>
    <s v="2.77"/>
    <s v="0.00"/>
    <s v="97.23"/>
  </r>
  <r>
    <x v="11"/>
    <x v="186"/>
    <n v="16412"/>
    <n v="847"/>
    <n v="11689"/>
    <s v="5.16"/>
    <s v="0.00"/>
    <s v="94.84"/>
  </r>
  <r>
    <x v="11"/>
    <x v="185"/>
    <n v="57329"/>
    <n v="1696"/>
    <n v="31556"/>
    <s v="2.96"/>
    <s v="0.00"/>
    <s v="97.04"/>
  </r>
  <r>
    <x v="11"/>
    <x v="184"/>
    <n v="8032958"/>
    <n v="70611"/>
    <n v="3614593"/>
    <s v="0.88"/>
    <s v="0.00"/>
    <s v="99.12"/>
  </r>
  <r>
    <x v="11"/>
    <x v="183"/>
    <n v="1"/>
    <n v="0"/>
    <n v="1"/>
    <s v="0.00"/>
    <s v="0.00"/>
    <s v="100.00"/>
  </r>
  <r>
    <x v="11"/>
    <x v="182"/>
    <n v="712747"/>
    <n v="25241"/>
    <n v="297368"/>
    <s v="3.54"/>
    <s v="0.00"/>
    <s v="96.46"/>
  </r>
  <r>
    <x v="11"/>
    <x v="181"/>
    <n v="19790"/>
    <n v="122"/>
    <n v="1071"/>
    <s v="0.62"/>
    <s v="0.00"/>
    <s v="99.38"/>
  </r>
  <r>
    <x v="11"/>
    <x v="180"/>
    <n v="17486"/>
    <n v="125"/>
    <n v="11197"/>
    <s v="0.71"/>
    <s v="0.00"/>
    <s v="99.29"/>
  </r>
  <r>
    <x v="11"/>
    <x v="179"/>
    <n v="1912024"/>
    <n v="19205"/>
    <n v="28416"/>
    <s v="1.00"/>
    <s v="0.00"/>
    <s v="99.00"/>
  </r>
  <r>
    <x v="11"/>
    <x v="178"/>
    <n v="26079"/>
    <n v="242"/>
    <n v="2143"/>
    <s v="0.93"/>
    <s v="0.00"/>
    <s v="99.07"/>
  </r>
  <r>
    <x v="11"/>
    <x v="177"/>
    <n v="5069"/>
    <n v="174"/>
    <n v="938"/>
    <s v="3.43"/>
    <s v="0.00"/>
    <s v="96.57"/>
  </r>
  <r>
    <x v="11"/>
    <x v="176"/>
    <n v="46421"/>
    <n v="1242"/>
    <n v="45061"/>
    <s v="2.68"/>
    <s v="0.00"/>
    <s v="97.32"/>
  </r>
  <r>
    <x v="11"/>
    <x v="175"/>
    <n v="43146"/>
    <n v="2558"/>
    <n v="39503"/>
    <s v="5.93"/>
    <s v="0.00"/>
    <s v="94.07"/>
  </r>
  <r>
    <x v="11"/>
    <x v="174"/>
    <n v="113422"/>
    <n v="3629"/>
    <n v="46715"/>
    <s v="3.20"/>
    <s v="0.00"/>
    <s v="96.80"/>
  </r>
  <r>
    <x v="11"/>
    <x v="173"/>
    <n v="3714"/>
    <n v="56"/>
    <n v="1251"/>
    <s v="1.51"/>
    <s v="0.00"/>
    <s v="98.49"/>
  </r>
  <r>
    <x v="11"/>
    <x v="172"/>
    <n v="12361"/>
    <n v="133"/>
    <n v="11292"/>
    <s v="1.08"/>
    <s v="0.00"/>
    <s v="98.92"/>
  </r>
  <r>
    <x v="11"/>
    <x v="171"/>
    <n v="49019"/>
    <n v="1092"/>
    <n v="5227"/>
    <s v="2.23"/>
    <s v="0.00"/>
    <s v="97.77"/>
  </r>
  <r>
    <x v="11"/>
    <x v="170"/>
    <n v="21998"/>
    <n v="1208"/>
    <n v="18766"/>
    <s v="5.49"/>
    <s v="0.00"/>
    <s v="94.51"/>
  </r>
  <r>
    <x v="11"/>
    <x v="169"/>
    <n v="73917"/>
    <n v="1878"/>
    <n v="58200"/>
    <s v="2.54"/>
    <s v="0.00"/>
    <s v="97.46"/>
  </r>
  <r>
    <x v="11"/>
    <x v="168"/>
    <n v="5547"/>
    <n v="92"/>
    <n v="3"/>
    <s v="1.66"/>
    <s v="0.00"/>
    <s v="98.34"/>
  </r>
  <r>
    <x v="11"/>
    <x v="167"/>
    <n v="6397"/>
    <n v="121"/>
    <n v="3114"/>
    <s v="1.89"/>
    <s v="0.00"/>
    <s v="98.11"/>
  </r>
  <r>
    <x v="11"/>
    <x v="166"/>
    <n v="483773"/>
    <n v="13034"/>
    <n v="167238"/>
    <s v="2.69"/>
    <s v="0.00"/>
    <s v="97.31"/>
  </r>
  <r>
    <x v="11"/>
    <x v="165"/>
    <n v="335850"/>
    <n v="4745"/>
    <n v="165719"/>
    <s v="1.41"/>
    <s v="0.00"/>
    <s v="98.59"/>
  </r>
  <r>
    <x v="11"/>
    <x v="164"/>
    <n v="198374"/>
    <n v="407"/>
    <n v="47290"/>
    <s v="0.21"/>
    <s v="0.00"/>
    <s v="99.79"/>
  </r>
  <r>
    <x v="11"/>
    <x v="163"/>
    <n v="1171512"/>
    <n v="15025"/>
    <n v="932898"/>
    <s v="1.28"/>
    <s v="0.00"/>
    <s v="98.72"/>
  </r>
  <r>
    <x v="11"/>
    <x v="162"/>
    <n v="40433"/>
    <n v="3099"/>
    <n v="16899"/>
    <s v="7.66"/>
    <s v="0.00"/>
    <s v="92.34"/>
  </r>
  <r>
    <x v="11"/>
    <x v="161"/>
    <n v="22243"/>
    <n v="119"/>
    <n v="14195"/>
    <s v="0.53"/>
    <s v="0.00"/>
    <s v="99.47"/>
  </r>
  <r>
    <x v="11"/>
    <x v="160"/>
    <n v="20"/>
    <n v="0"/>
    <n v="9"/>
    <s v="0.00"/>
    <s v="0.00"/>
    <s v="100.00"/>
  </r>
  <r>
    <x v="11"/>
    <x v="159"/>
    <n v="548617"/>
    <n v="8794"/>
    <n v="483197"/>
    <s v="1.60"/>
    <s v="0.00"/>
    <s v="98.40"/>
  </r>
  <r>
    <x v="11"/>
    <x v="158"/>
    <n v="99698"/>
    <n v="1331"/>
    <n v="40492"/>
    <s v="1.34"/>
    <s v="0.00"/>
    <s v="98.66"/>
  </r>
  <r>
    <x v="11"/>
    <x v="157"/>
    <n v="8377984"/>
    <n v="234194"/>
    <n v="3146781"/>
    <s v="2.80"/>
    <s v="0.00"/>
    <s v="97.20"/>
  </r>
  <r>
    <x v="11"/>
    <x v="156"/>
    <n v="1142749"/>
    <n v="9955"/>
    <n v="996203"/>
    <s v="0.87"/>
    <s v="0.00"/>
    <s v="99.13"/>
  </r>
  <r>
    <x v="11"/>
    <x v="155"/>
    <n v="1648031"/>
    <n v="47751"/>
    <n v="1027950"/>
    <s v="2.90"/>
    <s v="0.00"/>
    <s v="97.10"/>
  </r>
  <r>
    <x v="11"/>
    <x v="154"/>
    <n v="54668"/>
    <n v="374"/>
    <n v="33485"/>
    <s v="0.68"/>
    <s v="0.00"/>
    <s v="99.32"/>
  </r>
  <r>
    <x v="11"/>
    <x v="153"/>
    <n v="239247"/>
    <n v="610"/>
    <n v="233913"/>
    <s v="0.25"/>
    <s v="0.00"/>
    <s v="99.75"/>
  </r>
  <r>
    <x v="11"/>
    <x v="152"/>
    <n v="461006"/>
    <n v="16246"/>
    <n v="46666"/>
    <s v="3.52"/>
    <s v="0.00"/>
    <s v="96.48"/>
  </r>
  <r>
    <x v="11"/>
    <x v="151"/>
    <n v="8"/>
    <n v="0"/>
    <n v="5"/>
    <s v="0.00"/>
    <s v="0.00"/>
    <s v="100.00"/>
  </r>
  <r>
    <x v="11"/>
    <x v="150"/>
    <n v="1090651"/>
    <n v="18157"/>
    <n v="684708"/>
    <s v="1.66"/>
    <s v="0.00"/>
    <s v="98.34"/>
  </r>
  <r>
    <x v="11"/>
    <x v="149"/>
    <n v="452997"/>
    <n v="4663"/>
    <n v="315558"/>
    <s v="1.03"/>
    <s v="0.00"/>
    <s v="98.97"/>
  </r>
  <r>
    <x v="11"/>
    <x v="148"/>
    <n v="3025247"/>
    <n v="76999"/>
    <n v="1916712"/>
    <s v="2.55"/>
    <s v="0.00"/>
    <s v="97.45"/>
  </r>
  <r>
    <x v="11"/>
    <x v="147"/>
    <n v="1273560"/>
    <n v="28456"/>
    <n v="165289"/>
    <s v="2.23"/>
    <s v="0.00"/>
    <s v="97.77"/>
  </r>
  <r>
    <x v="11"/>
    <x v="146"/>
    <n v="2787276"/>
    <n v="43172"/>
    <n v="1280152"/>
    <s v="1.55"/>
    <s v="0.00"/>
    <s v="98.45"/>
  </r>
  <r>
    <x v="11"/>
    <x v="145"/>
    <n v="29715"/>
    <n v="370"/>
    <n v="27217"/>
    <s v="1.25"/>
    <s v="0.00"/>
    <s v="98.75"/>
  </r>
  <r>
    <x v="11"/>
    <x v="144"/>
    <n v="45541"/>
    <n v="636"/>
    <n v="9854"/>
    <s v="1.40"/>
    <s v="0.00"/>
    <s v="98.60"/>
  </r>
  <r>
    <x v="11"/>
    <x v="143"/>
    <n v="2201796"/>
    <n v="200246"/>
    <n v="66259"/>
    <s v="9.09"/>
    <s v="0.00"/>
    <s v="90.91"/>
  </r>
  <r>
    <x v="11"/>
    <x v="142"/>
    <n v="472664"/>
    <n v="7315"/>
    <n v="408368"/>
    <s v="1.55"/>
    <s v="0.00"/>
    <s v="98.45"/>
  </r>
  <r>
    <x v="11"/>
    <x v="141"/>
    <n v="304291"/>
    <n v="4111"/>
    <n v="16674"/>
    <s v="1.35"/>
    <s v="0.00"/>
    <s v="98.65"/>
  </r>
  <r>
    <x v="11"/>
    <x v="140"/>
    <n v="6595"/>
    <n v="28"/>
    <n v="1674"/>
    <s v="0.42"/>
    <s v="0.00"/>
    <s v="99.58"/>
  </r>
  <r>
    <x v="11"/>
    <x v="139"/>
    <n v="812570"/>
    <n v="11407"/>
    <n v="352940"/>
    <s v="1.40"/>
    <s v="0.00"/>
    <s v="98.60"/>
  </r>
  <r>
    <x v="11"/>
    <x v="138"/>
    <n v="207280"/>
    <n v="900"/>
    <n v="202923"/>
    <s v="0.43"/>
    <s v="0.00"/>
    <s v="99.57"/>
  </r>
  <r>
    <x v="11"/>
    <x v="137"/>
    <n v="2171990"/>
    <n v="18850"/>
    <n v="885029"/>
    <s v="0.87"/>
    <s v="0.00"/>
    <s v="99.13"/>
  </r>
  <r>
    <x v="11"/>
    <x v="136"/>
    <n v="16422"/>
    <n v="208"/>
    <n v="4505"/>
    <s v="1.27"/>
    <s v="0.00"/>
    <s v="98.73"/>
  </r>
  <r>
    <x v="11"/>
    <x v="135"/>
    <n v="211961"/>
    <n v="2896"/>
    <n v="190972"/>
    <s v="1.37"/>
    <s v="0.00"/>
    <s v="98.63"/>
  </r>
  <r>
    <x v="11"/>
    <x v="134"/>
    <n v="6366"/>
    <n v="213"/>
    <n v="5131"/>
    <s v="3.35"/>
    <s v="0.00"/>
    <s v="96.65"/>
  </r>
  <r>
    <x v="11"/>
    <x v="133"/>
    <n v="10968"/>
    <n v="265"/>
    <n v="3286"/>
    <s v="2.42"/>
    <s v="0.00"/>
    <s v="97.58"/>
  </r>
  <r>
    <x v="11"/>
    <x v="132"/>
    <n v="128927"/>
    <n v="3554"/>
    <n v="91882"/>
    <s v="2.76"/>
    <s v="0.00"/>
    <s v="97.24"/>
  </r>
  <r>
    <x v="11"/>
    <x v="131"/>
    <n v="151292"/>
    <n v="1930"/>
    <n v="16087"/>
    <s v="1.28"/>
    <s v="0.00"/>
    <s v="98.72"/>
  </r>
  <r>
    <x v="11"/>
    <x v="130"/>
    <n v="2471642"/>
    <n v="28912"/>
    <n v="1134630"/>
    <s v="1.17"/>
    <s v="0.00"/>
    <s v="98.83"/>
  </r>
  <r>
    <x v="11"/>
    <x v="129"/>
    <n v="3807211"/>
    <n v="288365"/>
    <n v="31154"/>
    <s v="7.57"/>
    <s v="0.00"/>
    <s v="92.43"/>
  </r>
  <r>
    <x v="11"/>
    <x v="128"/>
    <n v="61796"/>
    <n v="2301"/>
    <n v="23981"/>
    <s v="3.72"/>
    <s v="0.00"/>
    <s v="96.28"/>
  </r>
  <r>
    <x v="11"/>
    <x v="127"/>
    <n v="87638"/>
    <n v="243"/>
    <n v="86386"/>
    <s v="0.28"/>
    <s v="0.00"/>
    <s v="99.72"/>
  </r>
  <r>
    <x v="11"/>
    <x v="126"/>
    <n v="17698"/>
    <n v="166"/>
    <n v="1914"/>
    <s v="0.94"/>
    <s v="0.00"/>
    <s v="99.06"/>
  </r>
  <r>
    <x v="11"/>
    <x v="125"/>
    <n v="37653"/>
    <n v="461"/>
    <n v="5937"/>
    <s v="1.22"/>
    <s v="0.00"/>
    <s v="98.78"/>
  </r>
  <r>
    <x v="11"/>
    <x v="124"/>
    <n v="37320"/>
    <n v="797"/>
    <n v="31666"/>
    <s v="2.14"/>
    <s v="0.00"/>
    <s v="97.86"/>
  </r>
  <r>
    <x v="11"/>
    <x v="123"/>
    <n v="43183"/>
    <n v="681"/>
    <n v="34303"/>
    <s v="1.58"/>
    <s v="0.00"/>
    <s v="98.42"/>
  </r>
  <r>
    <x v="11"/>
    <x v="122"/>
    <n v="77"/>
    <n v="0"/>
    <n v="3"/>
    <s v="0.00"/>
    <s v="0.00"/>
    <s v="100.00"/>
  </r>
  <r>
    <x v="11"/>
    <x v="121"/>
    <n v="360317"/>
    <n v="1745"/>
    <n v="63010"/>
    <s v="0.48"/>
    <s v="0.00"/>
    <s v="99.52"/>
  </r>
  <r>
    <x v="11"/>
    <x v="120"/>
    <n v="500073"/>
    <n v="18697"/>
    <n v="239629"/>
    <s v="3.74"/>
    <s v="0.00"/>
    <s v="96.26"/>
  </r>
  <r>
    <x v="11"/>
    <x v="119"/>
    <n v="16073"/>
    <n v="563"/>
    <n v="3942"/>
    <s v="3.50"/>
    <s v="0.00"/>
    <s v="96.50"/>
  </r>
  <r>
    <x v="11"/>
    <x v="118"/>
    <n v="202552"/>
    <n v="7132"/>
    <n v="31190"/>
    <s v="3.52"/>
    <s v="0.00"/>
    <s v="96.48"/>
  </r>
  <r>
    <x v="11"/>
    <x v="117"/>
    <n v="4"/>
    <n v="0"/>
    <n v="0"/>
    <s v="0.00"/>
    <s v="0.00"/>
    <s v="100.00"/>
  </r>
  <r>
    <x v="11"/>
    <x v="116"/>
    <n v="43626"/>
    <n v="963"/>
    <n v="12805"/>
    <s v="2.21"/>
    <s v="0.00"/>
    <s v="97.79"/>
  </r>
  <r>
    <x v="11"/>
    <x v="115"/>
    <n v="3920"/>
    <n v="56"/>
    <n v="593"/>
    <s v="1.43"/>
    <s v="0.00"/>
    <s v="98.57"/>
  </r>
  <r>
    <x v="11"/>
    <x v="114"/>
    <n v="144314"/>
    <n v="2103"/>
    <n v="136208"/>
    <s v="1.46"/>
    <s v="0.00"/>
    <s v="98.54"/>
  </r>
  <r>
    <x v="11"/>
    <x v="113"/>
    <n v="337768"/>
    <n v="7790"/>
    <n v="300824"/>
    <s v="2.31"/>
    <s v="0.00"/>
    <s v="97.69"/>
  </r>
  <r>
    <x v="11"/>
    <x v="112"/>
    <n v="3414"/>
    <n v="36"/>
    <n v="2408"/>
    <s v="1.05"/>
    <s v="0.00"/>
    <s v="98.95"/>
  </r>
  <r>
    <x v="11"/>
    <x v="111"/>
    <n v="946145"/>
    <n v="14668"/>
    <n v="47236"/>
    <s v="1.55"/>
    <s v="0.00"/>
    <s v="98.45"/>
  </r>
  <r>
    <x v="11"/>
    <x v="110"/>
    <n v="357338"/>
    <n v="5099"/>
    <n v="274677"/>
    <s v="1.43"/>
    <s v="0.00"/>
    <s v="98.57"/>
  </r>
  <r>
    <x v="11"/>
    <x v="109"/>
    <n v="219139"/>
    <n v="3253"/>
    <n v="143816"/>
    <s v="1.48"/>
    <s v="0.00"/>
    <s v="98.52"/>
  </r>
  <r>
    <x v="11"/>
    <x v="108"/>
    <n v="81683"/>
    <n v="843"/>
    <n v="19108"/>
    <s v="1.03"/>
    <s v="0.00"/>
    <s v="98.97"/>
  </r>
  <r>
    <x v="11"/>
    <x v="107"/>
    <n v="408715"/>
    <n v="5873"/>
    <n v="288936"/>
    <s v="1.44"/>
    <s v="0.00"/>
    <s v="98.56"/>
  </r>
  <r>
    <x v="11"/>
    <x v="106"/>
    <n v="21635"/>
    <n v="658"/>
    <n v="10807"/>
    <s v="3.04"/>
    <s v="0.00"/>
    <s v="96.96"/>
  </r>
  <r>
    <x v="11"/>
    <x v="105"/>
    <n v="5812"/>
    <n v="287"/>
    <n v="793"/>
    <s v="4.94"/>
    <s v="0.00"/>
    <s v="95.06"/>
  </r>
  <r>
    <x v="11"/>
    <x v="104"/>
    <n v="541073"/>
    <n v="13743"/>
    <n v="437275"/>
    <s v="2.54"/>
    <s v="0.00"/>
    <s v="97.46"/>
  </r>
  <r>
    <x v="11"/>
    <x v="103"/>
    <n v="3662"/>
    <n v="61"/>
    <n v="2297"/>
    <s v="1.67"/>
    <s v="0.00"/>
    <s v="98.33"/>
  </r>
  <r>
    <x v="11"/>
    <x v="102"/>
    <n v="12559"/>
    <n v="255"/>
    <n v="9276"/>
    <s v="2.03"/>
    <s v="0.00"/>
    <s v="97.97"/>
  </r>
  <r>
    <x v="11"/>
    <x v="101"/>
    <n v="642024"/>
    <n v="8502"/>
    <n v="599288"/>
    <s v="1.32"/>
    <s v="0.00"/>
    <s v="98.68"/>
  </r>
  <r>
    <x v="11"/>
    <x v="100"/>
    <n v="40271"/>
    <n v="65"/>
    <n v="17831"/>
    <s v="0.16"/>
    <s v="0.00"/>
    <s v="99.84"/>
  </r>
  <r>
    <x v="11"/>
    <x v="99"/>
    <n v="1020264"/>
    <n v="17078"/>
    <n v="153470"/>
    <s v="1.67"/>
    <s v="0.00"/>
    <s v="98.33"/>
  </r>
  <r>
    <x v="11"/>
    <x v="98"/>
    <n v="412678"/>
    <n v="2461"/>
    <n v="111530"/>
    <s v="0.60"/>
    <s v="0.00"/>
    <s v="99.40"/>
  </r>
  <r>
    <x v="11"/>
    <x v="97"/>
    <n v="366386"/>
    <n v="2858"/>
    <n v="39204"/>
    <s v="0.78"/>
    <s v="0.00"/>
    <s v="99.22"/>
  </r>
  <r>
    <x v="11"/>
    <x v="96"/>
    <n v="2669"/>
    <n v="23"/>
    <n v="892"/>
    <s v="0.86"/>
    <s v="0.00"/>
    <s v="99.14"/>
  </r>
  <r>
    <x v="11"/>
    <x v="95"/>
    <n v="4259"/>
    <n v="147"/>
    <n v="1160"/>
    <s v="3.45"/>
    <s v="0.00"/>
    <s v="96.55"/>
  </r>
  <r>
    <x v="11"/>
    <x v="93"/>
    <n v="118522"/>
    <n v="2788"/>
    <n v="99086"/>
    <s v="2.35"/>
    <s v="0.00"/>
    <s v="97.65"/>
  </r>
  <r>
    <x v="11"/>
    <x v="94"/>
    <n v="2"/>
    <n v="0"/>
    <n v="1"/>
    <s v="0.00"/>
    <s v="0.00"/>
    <s v="100.00"/>
  </r>
  <r>
    <x v="11"/>
    <x v="92"/>
    <n v="181259"/>
    <n v="2671"/>
    <n v="84157"/>
    <s v="1.47"/>
    <s v="0.00"/>
    <s v="98.53"/>
  </r>
  <r>
    <x v="11"/>
    <x v="91"/>
    <n v="253310"/>
    <n v="5281"/>
    <n v="173122"/>
    <s v="2.08"/>
    <s v="0.00"/>
    <s v="97.92"/>
  </r>
  <r>
    <x v="11"/>
    <x v="90"/>
    <n v="1722343"/>
    <n v="18264"/>
    <n v="295890"/>
    <s v="1.06"/>
    <s v="0.00"/>
    <s v="98.94"/>
  </r>
  <r>
    <x v="11"/>
    <x v="89"/>
    <n v="862541"/>
    <n v="11038"/>
    <n v="156192"/>
    <s v="1.28"/>
    <s v="0.00"/>
    <s v="98.72"/>
  </r>
  <r>
    <x v="11"/>
    <x v="88"/>
    <n v="89014"/>
    <n v="2236"/>
    <n v="81231"/>
    <s v="2.51"/>
    <s v="0.00"/>
    <s v="97.49"/>
  </r>
  <r>
    <x v="11"/>
    <x v="87"/>
    <n v="4771965"/>
    <n v="132100"/>
    <n v="714507"/>
    <s v="2.77"/>
    <s v="0.00"/>
    <s v="97.23"/>
  </r>
  <r>
    <x v="11"/>
    <x v="86"/>
    <n v="13492"/>
    <n v="33"/>
    <n v="4539"/>
    <s v="0.24"/>
    <s v="0.00"/>
    <s v="99.76"/>
  </r>
  <r>
    <x v="11"/>
    <x v="85"/>
    <n v="5924638"/>
    <n v="126303"/>
    <n v="4683818"/>
    <s v="2.13"/>
    <s v="0.00"/>
    <s v="97.87"/>
  </r>
  <r>
    <x v="11"/>
    <x v="84"/>
    <n v="2055248"/>
    <n v="23170"/>
    <n v="1946906"/>
    <s v="1.13"/>
    <s v="0.00"/>
    <s v="98.87"/>
  </r>
  <r>
    <x v="11"/>
    <x v="83"/>
    <n v="34285814"/>
    <n v="458437"/>
    <n v="4353880"/>
    <s v="1.34"/>
    <s v="0.00"/>
    <s v="98.66"/>
  </r>
  <r>
    <x v="11"/>
    <x v="82"/>
    <n v="1327458"/>
    <n v="8100"/>
    <n v="225882"/>
    <s v="0.61"/>
    <s v="0.00"/>
    <s v="99.39"/>
  </r>
  <r>
    <x v="11"/>
    <x v="81"/>
    <n v="445594"/>
    <n v="5436"/>
    <n v="274758"/>
    <s v="1.22"/>
    <s v="0.00"/>
    <s v="98.78"/>
  </r>
  <r>
    <x v="11"/>
    <x v="80"/>
    <n v="4244358"/>
    <n v="143405"/>
    <n v="830033"/>
    <s v="3.38"/>
    <s v="0.00"/>
    <s v="96.62"/>
  </r>
  <r>
    <x v="11"/>
    <x v="79"/>
    <n v="863419"/>
    <n v="30729"/>
    <n v="377559"/>
    <s v="3.56"/>
    <s v="0.00"/>
    <s v="96.44"/>
  </r>
  <r>
    <x v="11"/>
    <x v="78"/>
    <n v="23960"/>
    <n v="671"/>
    <n v="16746"/>
    <s v="2.80"/>
    <s v="0.00"/>
    <s v="97.20"/>
  </r>
  <r>
    <x v="11"/>
    <x v="77"/>
    <n v="470348"/>
    <n v="9220"/>
    <n v="302258"/>
    <s v="1.96"/>
    <s v="0.00"/>
    <s v="98.04"/>
  </r>
  <r>
    <x v="11"/>
    <x v="76"/>
    <n v="375381"/>
    <n v="10239"/>
    <n v="269354"/>
    <s v="2.73"/>
    <s v="0.00"/>
    <s v="97.27"/>
  </r>
  <r>
    <x v="11"/>
    <x v="75"/>
    <n v="12346"/>
    <n v="213"/>
    <n v="4013"/>
    <s v="1.73"/>
    <s v="0.00"/>
    <s v="98.27"/>
  </r>
  <r>
    <x v="11"/>
    <x v="74"/>
    <n v="35548"/>
    <n v="913"/>
    <n v="32258"/>
    <s v="2.57"/>
    <s v="0.00"/>
    <s v="97.43"/>
  </r>
  <r>
    <x v="11"/>
    <x v="73"/>
    <n v="6134"/>
    <n v="141"/>
    <n v="5517"/>
    <s v="2.30"/>
    <s v="0.00"/>
    <s v="97.70"/>
  </r>
  <r>
    <x v="11"/>
    <x v="72"/>
    <n v="601572"/>
    <n v="15094"/>
    <n v="391883"/>
    <s v="2.51"/>
    <s v="0.00"/>
    <s v="97.49"/>
  </r>
  <r>
    <x v="11"/>
    <x v="71"/>
    <n v="742170"/>
    <n v="15938"/>
    <n v="499741"/>
    <s v="2.15"/>
    <s v="0.00"/>
    <s v="97.85"/>
  </r>
  <r>
    <x v="11"/>
    <x v="70"/>
    <n v="13368"/>
    <n v="167"/>
    <n v="12307"/>
    <s v="1.25"/>
    <s v="0.00"/>
    <s v="98.75"/>
  </r>
  <r>
    <x v="11"/>
    <x v="69"/>
    <n v="54288"/>
    <n v="815"/>
    <n v="28031"/>
    <s v="1.50"/>
    <s v="0.00"/>
    <s v="98.50"/>
  </r>
  <r>
    <x v="11"/>
    <x v="67"/>
    <n v="9965"/>
    <n v="340"/>
    <n v="6424"/>
    <s v="3.41"/>
    <s v="0.00"/>
    <s v="96.59"/>
  </r>
  <r>
    <x v="11"/>
    <x v="68"/>
    <n v="30653"/>
    <n v="385"/>
    <n v="22208"/>
    <s v="1.26"/>
    <s v="0.00"/>
    <s v="98.74"/>
  </r>
  <r>
    <x v="11"/>
    <x v="66"/>
    <n v="5992"/>
    <n v="98"/>
    <n v="4441"/>
    <s v="1.64"/>
    <s v="0.00"/>
    <s v="98.36"/>
  </r>
  <r>
    <x v="11"/>
    <x v="65"/>
    <n v="130077"/>
    <n v="1175"/>
    <n v="19357"/>
    <s v="0.90"/>
    <s v="0.00"/>
    <s v="99.10"/>
  </r>
  <r>
    <x v="11"/>
    <x v="64"/>
    <n v="44554"/>
    <n v="306"/>
    <n v="32321"/>
    <s v="0.69"/>
    <s v="0.00"/>
    <s v="99.31"/>
  </r>
  <r>
    <x v="11"/>
    <x v="62"/>
    <n v="5840"/>
    <n v="198"/>
    <n v="3723"/>
    <s v="3.39"/>
    <s v="0.00"/>
    <s v="96.61"/>
  </r>
  <r>
    <x v="11"/>
    <x v="63"/>
    <n v="719247"/>
    <n v="10045"/>
    <n v="583541"/>
    <s v="1.40"/>
    <s v="0.00"/>
    <s v="98.60"/>
  </r>
  <r>
    <x v="11"/>
    <x v="61"/>
    <n v="9094450"/>
    <n v="140957"/>
    <n v="3984679"/>
    <s v="1.55"/>
    <s v="0.00"/>
    <s v="98.45"/>
  </r>
  <r>
    <x v="11"/>
    <x v="60"/>
    <n v="35525"/>
    <n v="239"/>
    <n v="7148"/>
    <s v="0.67"/>
    <s v="0.00"/>
    <s v="99.33"/>
  </r>
  <r>
    <x v="11"/>
    <x v="59"/>
    <n v="6989191"/>
    <n v="115301"/>
    <n v="5466919"/>
    <s v="1.65"/>
    <s v="0.00"/>
    <s v="98.35"/>
  </r>
  <r>
    <x v="11"/>
    <x v="58"/>
    <n v="2145"/>
    <n v="2"/>
    <n v="1723"/>
    <s v="0.09"/>
    <s v="0.00"/>
    <s v="99.91"/>
  </r>
  <r>
    <x v="11"/>
    <x v="57"/>
    <n v="52141"/>
    <n v="674"/>
    <n v="22331"/>
    <s v="1.29"/>
    <s v="0.00"/>
    <s v="98.71"/>
  </r>
  <r>
    <x v="11"/>
    <x v="56"/>
    <n v="157531"/>
    <n v="1158"/>
    <n v="23036"/>
    <s v="0.74"/>
    <s v="0.00"/>
    <s v="99.26"/>
  </r>
  <r>
    <x v="11"/>
    <x v="55"/>
    <n v="365167"/>
    <n v="6459"/>
    <n v="296034"/>
    <s v="1.77"/>
    <s v="0.00"/>
    <s v="98.23"/>
  </r>
  <r>
    <x v="11"/>
    <x v="54"/>
    <n v="5011148"/>
    <n v="87368"/>
    <n v="4799185"/>
    <s v="1.74"/>
    <s v="0.00"/>
    <s v="98.26"/>
  </r>
  <r>
    <x v="11"/>
    <x v="53"/>
    <n v="6834"/>
    <n v="45"/>
    <n v="1234"/>
    <s v="0.66"/>
    <s v="0.00"/>
    <s v="99.34"/>
  </r>
  <r>
    <x v="11"/>
    <x v="52"/>
    <n v="331017"/>
    <n v="18651"/>
    <n v="27232"/>
    <s v="5.63"/>
    <s v="0.00"/>
    <s v="94.37"/>
  </r>
  <r>
    <x v="11"/>
    <x v="51"/>
    <n v="193969"/>
    <n v="1531"/>
    <n v="84260"/>
    <s v="0.79"/>
    <s v="0.00"/>
    <s v="99.21"/>
  </r>
  <r>
    <x v="11"/>
    <x v="50"/>
    <n v="515859"/>
    <n v="32958"/>
    <n v="468928"/>
    <s v="6.39"/>
    <s v="0.00"/>
    <s v="93.61"/>
  </r>
  <r>
    <x v="11"/>
    <x v="49"/>
    <n v="206452"/>
    <n v="5920"/>
    <n v="184522"/>
    <s v="2.87"/>
    <s v="0.00"/>
    <s v="97.13"/>
  </r>
  <r>
    <x v="11"/>
    <x v="48"/>
    <n v="381667"/>
    <n v="4130"/>
    <n v="70604"/>
    <s v="1.08"/>
    <s v="0.00"/>
    <s v="98.92"/>
  </r>
  <r>
    <x v="11"/>
    <x v="47"/>
    <n v="4823"/>
    <n v="32"/>
    <n v="3564"/>
    <s v="0.66"/>
    <s v="0.00"/>
    <s v="99.34"/>
  </r>
  <r>
    <x v="11"/>
    <x v="46"/>
    <n v="388582"/>
    <n v="2714"/>
    <n v="313687"/>
    <s v="0.70"/>
    <s v="0.00"/>
    <s v="99.30"/>
  </r>
  <r>
    <x v="11"/>
    <x v="45"/>
    <n v="13478"/>
    <n v="181"/>
    <n v="6939"/>
    <s v="1.34"/>
    <s v="0.00"/>
    <s v="98.66"/>
  </r>
  <r>
    <x v="11"/>
    <x v="44"/>
    <n v="4607958"/>
    <n v="95735"/>
    <n v="2285684"/>
    <s v="2.08"/>
    <s v="0.00"/>
    <s v="97.92"/>
  </r>
  <r>
    <x v="11"/>
    <x v="43"/>
    <n v="1762902"/>
    <n v="30753"/>
    <n v="243548"/>
    <s v="1.74"/>
    <s v="0.00"/>
    <s v="98.26"/>
  </r>
  <r>
    <x v="11"/>
    <x v="42"/>
    <n v="124017"/>
    <n v="575"/>
    <n v="115266"/>
    <s v="0.46"/>
    <s v="0.00"/>
    <s v="99.54"/>
  </r>
  <r>
    <x v="11"/>
    <x v="41"/>
    <n v="38215"/>
    <n v="349"/>
    <n v="19500"/>
    <s v="0.91"/>
    <s v="0.00"/>
    <s v="99.09"/>
  </r>
  <r>
    <x v="11"/>
    <x v="40"/>
    <n v="952001"/>
    <n v="8236"/>
    <n v="531939"/>
    <s v="0.87"/>
    <s v="0.00"/>
    <s v="99.13"/>
  </r>
  <r>
    <x v="11"/>
    <x v="39"/>
    <n v="559698"/>
    <n v="7029"/>
    <n v="44593"/>
    <s v="1.26"/>
    <s v="0.00"/>
    <s v="98.74"/>
  </r>
  <r>
    <x v="11"/>
    <x v="38"/>
    <n v="5002387"/>
    <n v="127281"/>
    <n v="641331"/>
    <s v="2.54"/>
    <s v="0.00"/>
    <s v="97.46"/>
  </r>
  <r>
    <x v="11"/>
    <x v="37"/>
    <n v="97243"/>
    <n v="4636"/>
    <n v="23346"/>
    <s v="4.77"/>
    <s v="0.00"/>
    <s v="95.23"/>
  </r>
  <r>
    <x v="11"/>
    <x v="36"/>
    <n v="102499"/>
    <n v="1686"/>
    <n v="92206"/>
    <s v="1.64"/>
    <s v="0.00"/>
    <s v="98.36"/>
  </r>
  <r>
    <x v="11"/>
    <x v="35"/>
    <n v="1695048"/>
    <n v="37757"/>
    <n v="179481"/>
    <s v="2.23"/>
    <s v="0.00"/>
    <s v="97.77"/>
  </r>
  <r>
    <x v="11"/>
    <x v="34"/>
    <n v="61297"/>
    <n v="695"/>
    <n v="8292"/>
    <s v="1.13"/>
    <s v="0.00"/>
    <s v="98.87"/>
  </r>
  <r>
    <x v="11"/>
    <x v="33"/>
    <n v="872558"/>
    <n v="11234"/>
    <n v="544430"/>
    <s v="1.29"/>
    <s v="0.00"/>
    <s v="98.71"/>
  </r>
  <r>
    <x v="11"/>
    <x v="32"/>
    <n v="17323"/>
    <n v="258"/>
    <n v="14531"/>
    <s v="1.49"/>
    <s v="0.00"/>
    <s v="98.51"/>
  </r>
  <r>
    <x v="11"/>
    <x v="31"/>
    <n v="11518"/>
    <n v="100"/>
    <n v="591"/>
    <s v="0.87"/>
    <s v="0.00"/>
    <s v="99.13"/>
  </r>
  <r>
    <x v="11"/>
    <x v="30"/>
    <n v="57470"/>
    <n v="1091"/>
    <n v="39045"/>
    <s v="1.90"/>
    <s v="0.00"/>
    <s v="98.10"/>
  </r>
  <r>
    <x v="11"/>
    <x v="29"/>
    <n v="1723506"/>
    <n v="29022"/>
    <n v="685097"/>
    <s v="1.68"/>
    <s v="0.00"/>
    <s v="98.32"/>
  </r>
  <r>
    <x v="11"/>
    <x v="28"/>
    <n v="26798"/>
    <n v="491"/>
    <n v="7383"/>
    <s v="1.83"/>
    <s v="0.00"/>
    <s v="98.17"/>
  </r>
  <r>
    <x v="11"/>
    <x v="27"/>
    <n v="600168"/>
    <n v="4631"/>
    <n v="590616"/>
    <s v="0.77"/>
    <s v="0.00"/>
    <s v="99.23"/>
  </r>
  <r>
    <x v="11"/>
    <x v="26"/>
    <n v="186594"/>
    <n v="2406"/>
    <n v="66969"/>
    <s v="1.29"/>
    <s v="0.00"/>
    <s v="98.71"/>
  </r>
  <r>
    <x v="11"/>
    <x v="25"/>
    <n v="2621"/>
    <n v="3"/>
    <n v="1466"/>
    <s v="0.11"/>
    <s v="0.00"/>
    <s v="99.89"/>
  </r>
  <r>
    <x v="11"/>
    <x v="24"/>
    <n v="22351"/>
    <n v="643"/>
    <n v="11058"/>
    <s v="2.88"/>
    <s v="0.00"/>
    <s v="97.12"/>
  </r>
  <r>
    <x v="11"/>
    <x v="23"/>
    <n v="21810855"/>
    <n v="607824"/>
    <n v="10011867"/>
    <s v="2.79"/>
    <s v="0.00"/>
    <s v="97.21"/>
  </r>
  <r>
    <x v="11"/>
    <x v="22"/>
    <n v="513584"/>
    <n v="18925"/>
    <n v="222819"/>
    <s v="3.68"/>
    <s v="0.00"/>
    <s v="96.32"/>
  </r>
  <r>
    <x v="11"/>
    <x v="21"/>
    <n v="13130"/>
    <n v="88"/>
    <n v="7765"/>
    <s v="0.67"/>
    <s v="0.00"/>
    <s v="99.33"/>
  </r>
  <r>
    <x v="11"/>
    <x v="20"/>
    <n v="1659"/>
    <n v="6"/>
    <n v="215"/>
    <s v="0.36"/>
    <s v="0.00"/>
    <s v="99.64"/>
  </r>
  <r>
    <x v="11"/>
    <x v="19"/>
    <n v="24749"/>
    <n v="161"/>
    <n v="13296"/>
    <s v="0.65"/>
    <s v="0.00"/>
    <s v="99.35"/>
  </r>
  <r>
    <x v="11"/>
    <x v="18"/>
    <n v="20039"/>
    <n v="38"/>
    <n v="16920"/>
    <s v="0.19"/>
    <s v="0.00"/>
    <s v="99.81"/>
  </r>
  <r>
    <x v="11"/>
    <x v="17"/>
    <n v="276829"/>
    <n v="1393"/>
    <n v="102223"/>
    <s v="0.50"/>
    <s v="0.00"/>
    <s v="99.50"/>
  </r>
  <r>
    <x v="11"/>
    <x v="16"/>
    <n v="602492"/>
    <n v="23999"/>
    <n v="395882"/>
    <s v="3.98"/>
    <s v="0.00"/>
    <s v="96.02"/>
  </r>
  <r>
    <x v="11"/>
    <x v="15"/>
    <n v="14793"/>
    <n v="214"/>
    <n v="12251"/>
    <s v="1.45"/>
    <s v="0.00"/>
    <s v="98.55"/>
  </r>
  <r>
    <x v="11"/>
    <x v="14"/>
    <n v="1360650"/>
    <n v="25994"/>
    <n v="1246470"/>
    <s v="1.91"/>
    <s v="0.00"/>
    <s v="98.09"/>
  </r>
  <r>
    <x v="11"/>
    <x v="13"/>
    <n v="1569539"/>
    <n v="27868"/>
    <n v="1138244"/>
    <s v="1.78"/>
    <s v="0.00"/>
    <s v="98.22"/>
  </r>
  <r>
    <x v="11"/>
    <x v="12"/>
    <n v="17763"/>
    <n v="153"/>
    <n v="986"/>
    <s v="0.86"/>
    <s v="0.00"/>
    <s v="99.14"/>
  </r>
  <r>
    <x v="11"/>
    <x v="11"/>
    <n v="252758"/>
    <n v="11495"/>
    <n v="201583"/>
    <s v="4.55"/>
    <s v="0.00"/>
    <s v="95.45"/>
  </r>
  <r>
    <x v="11"/>
    <x v="10"/>
    <n v="531370"/>
    <n v="7074"/>
    <n v="303155"/>
    <s v="1.33"/>
    <s v="0.00"/>
    <s v="98.67"/>
  </r>
  <r>
    <x v="11"/>
    <x v="9"/>
    <n v="172030"/>
    <n v="1743"/>
    <n v="13003"/>
    <s v="1.01"/>
    <s v="0.00"/>
    <s v="98.99"/>
  </r>
  <r>
    <x v="11"/>
    <x v="8"/>
    <n v="830981"/>
    <n v="11357"/>
    <n v="157842"/>
    <s v="1.37"/>
    <s v="0.00"/>
    <s v="98.63"/>
  </r>
  <r>
    <x v="11"/>
    <x v="7"/>
    <n v="5288807"/>
    <n v="115950"/>
    <n v="721195"/>
    <s v="2.19"/>
    <s v="0.00"/>
    <s v="97.81"/>
  </r>
  <r>
    <x v="11"/>
    <x v="6"/>
    <n v="64433"/>
    <n v="1710"/>
    <n v="31714"/>
    <s v="2.65"/>
    <s v="0.00"/>
    <s v="97.35"/>
  </r>
  <r>
    <x v="11"/>
    <x v="5"/>
    <n v="308326"/>
    <n v="6328"/>
    <n v="80893"/>
    <s v="2.05"/>
    <s v="0.00"/>
    <s v="97.95"/>
  </r>
  <r>
    <x v="11"/>
    <x v="4"/>
    <n v="185300"/>
    <n v="2924"/>
    <n v="99719"/>
    <s v="1.58"/>
    <s v="0.00"/>
    <s v="98.42"/>
  </r>
  <r>
    <x v="11"/>
    <x v="3"/>
    <n v="4058"/>
    <n v="102"/>
    <n v="3101"/>
    <s v="2.51"/>
    <s v="0.00"/>
    <s v="97.49"/>
  </r>
  <r>
    <x v="11"/>
    <x v="2"/>
    <n v="156250"/>
    <n v="7280"/>
    <n v="5700"/>
    <s v="4.66"/>
    <s v="0.00"/>
    <s v="95.34"/>
  </r>
  <r>
    <x v="11"/>
    <x v="1"/>
    <n v="739905"/>
    <n v="2136"/>
    <n v="133704"/>
    <s v="0.29"/>
    <s v="0.00"/>
    <s v="99.71"/>
  </r>
  <r>
    <x v="11"/>
    <x v="0"/>
    <n v="15516"/>
    <n v="130"/>
    <n v="9408"/>
    <s v="0.84"/>
    <s v="0.00"/>
    <s v="99.16"/>
  </r>
  <r>
    <x v="12"/>
    <x v="0"/>
    <n v="15516"/>
    <n v="130"/>
    <n v="2603"/>
    <s v="0.84"/>
    <s v="0.00"/>
    <s v="99.16"/>
  </r>
  <r>
    <x v="12"/>
    <x v="1"/>
    <n v="739824"/>
    <n v="2136"/>
    <n v="61288"/>
    <s v="0.29"/>
    <s v="0.00"/>
    <s v="99.71"/>
  </r>
  <r>
    <x v="12"/>
    <x v="2"/>
    <n v="156210"/>
    <n v="7272"/>
    <n v="27288"/>
    <s v="4.66"/>
    <s v="0.00"/>
    <s v="95.34"/>
  </r>
  <r>
    <x v="12"/>
    <x v="3"/>
    <n v="4058"/>
    <n v="102"/>
    <n v="1016"/>
    <s v="2.51"/>
    <s v="0.00"/>
    <s v="97.49"/>
  </r>
  <r>
    <x v="12"/>
    <x v="4"/>
    <n v="184887"/>
    <n v="2916"/>
    <n v="59024"/>
    <s v="1.58"/>
    <s v="0.00"/>
    <s v="98.42"/>
  </r>
  <r>
    <x v="12"/>
    <x v="5"/>
    <n v="306739"/>
    <n v="6284"/>
    <n v="192818"/>
    <s v="2.05"/>
    <s v="0.00"/>
    <s v="97.95"/>
  </r>
  <r>
    <x v="12"/>
    <x v="6"/>
    <n v="64374"/>
    <n v="1708"/>
    <n v="40386"/>
    <s v="2.65"/>
    <s v="0.00"/>
    <s v="97.35"/>
  </r>
  <r>
    <x v="12"/>
    <x v="7"/>
    <n v="5288259"/>
    <n v="115942"/>
    <n v="3866874"/>
    <s v="2.19"/>
    <s v="0.00"/>
    <s v="97.81"/>
  </r>
  <r>
    <x v="12"/>
    <x v="8"/>
    <n v="825297"/>
    <n v="11345"/>
    <n v="19991"/>
    <s v="1.37"/>
    <s v="0.00"/>
    <s v="98.63"/>
  </r>
  <r>
    <x v="12"/>
    <x v="9"/>
    <n v="170564"/>
    <n v="1735"/>
    <n v="35336"/>
    <s v="1.02"/>
    <s v="0.00"/>
    <s v="98.98"/>
  </r>
  <r>
    <x v="12"/>
    <x v="10"/>
    <n v="529109"/>
    <n v="7049"/>
    <n v="32124"/>
    <s v="1.33"/>
    <s v="0.00"/>
    <s v="98.67"/>
  </r>
  <r>
    <x v="12"/>
    <x v="11"/>
    <n v="252758"/>
    <n v="11495"/>
    <n v="118225"/>
    <s v="4.55"/>
    <s v="0.00"/>
    <s v="95.45"/>
  </r>
  <r>
    <x v="12"/>
    <x v="12"/>
    <n v="17465"/>
    <n v="152"/>
    <n v="15067"/>
    <s v="0.87"/>
    <s v="0.00"/>
    <s v="99.13"/>
  </r>
  <r>
    <x v="12"/>
    <x v="13"/>
    <n v="1569328"/>
    <n v="27862"/>
    <n v="349479"/>
    <s v="1.78"/>
    <s v="0.00"/>
    <s v="98.22"/>
  </r>
  <r>
    <x v="12"/>
    <x v="14"/>
    <n v="1360650"/>
    <n v="25994"/>
    <n v="396518"/>
    <s v="1.91"/>
    <s v="0.00"/>
    <s v="98.09"/>
  </r>
  <r>
    <x v="12"/>
    <x v="15"/>
    <n v="14793"/>
    <n v="214"/>
    <n v="13086"/>
    <s v="1.45"/>
    <s v="0.00"/>
    <s v="98.55"/>
  </r>
  <r>
    <x v="12"/>
    <x v="16"/>
    <n v="601035"/>
    <n v="23918"/>
    <n v="161915"/>
    <s v="3.98"/>
    <s v="0.00"/>
    <s v="96.02"/>
  </r>
  <r>
    <x v="12"/>
    <x v="17"/>
    <n v="276794"/>
    <n v="1393"/>
    <n v="66848"/>
    <s v="0.50"/>
    <s v="0.00"/>
    <s v="99.50"/>
  </r>
  <r>
    <x v="12"/>
    <x v="18"/>
    <n v="20039"/>
    <n v="38"/>
    <n v="3529"/>
    <s v="0.19"/>
    <s v="0.00"/>
    <s v="99.81"/>
  </r>
  <r>
    <x v="12"/>
    <x v="19"/>
    <n v="24749"/>
    <n v="161"/>
    <n v="6540"/>
    <s v="0.65"/>
    <s v="0.00"/>
    <s v="99.35"/>
  </r>
  <r>
    <x v="12"/>
    <x v="20"/>
    <n v="1659"/>
    <n v="6"/>
    <n v="125"/>
    <s v="0.36"/>
    <s v="0.00"/>
    <s v="99.64"/>
  </r>
  <r>
    <x v="12"/>
    <x v="21"/>
    <n v="13065"/>
    <n v="87"/>
    <n v="9820"/>
    <s v="0.67"/>
    <s v="0.00"/>
    <s v="99.33"/>
  </r>
  <r>
    <x v="12"/>
    <x v="22"/>
    <n v="513584"/>
    <n v="18925"/>
    <n v="41864"/>
    <s v="3.68"/>
    <s v="0.00"/>
    <s v="96.32"/>
  </r>
  <r>
    <x v="12"/>
    <x v="23"/>
    <n v="21804094"/>
    <n v="607694"/>
    <n v="12488865"/>
    <s v="2.79"/>
    <s v="0.00"/>
    <s v="97.21"/>
  </r>
  <r>
    <x v="12"/>
    <x v="24"/>
    <n v="22351"/>
    <n v="643"/>
    <n v="6951"/>
    <s v="2.88"/>
    <s v="0.00"/>
    <s v="97.12"/>
  </r>
  <r>
    <x v="12"/>
    <x v="25"/>
    <n v="2621"/>
    <n v="3"/>
    <n v="1122"/>
    <s v="0.11"/>
    <s v="0.00"/>
    <s v="99.89"/>
  </r>
  <r>
    <x v="12"/>
    <x v="26"/>
    <n v="186594"/>
    <n v="2406"/>
    <n v="1136"/>
    <s v="1.29"/>
    <s v="0.00"/>
    <s v="98.71"/>
  </r>
  <r>
    <x v="12"/>
    <x v="27"/>
    <n v="598183"/>
    <n v="4614"/>
    <n v="93320"/>
    <s v="0.77"/>
    <s v="0.00"/>
    <s v="99.23"/>
  </r>
  <r>
    <x v="12"/>
    <x v="28"/>
    <n v="26798"/>
    <n v="491"/>
    <n v="21329"/>
    <s v="1.83"/>
    <s v="0.00"/>
    <s v="98.17"/>
  </r>
  <r>
    <x v="12"/>
    <x v="29"/>
    <n v="1721987"/>
    <n v="29016"/>
    <n v="603827"/>
    <s v="1.69"/>
    <s v="0.00"/>
    <s v="98.31"/>
  </r>
  <r>
    <x v="12"/>
    <x v="30"/>
    <n v="57470"/>
    <n v="1091"/>
    <n v="6382"/>
    <s v="1.90"/>
    <s v="0.00"/>
    <s v="98.10"/>
  </r>
  <r>
    <x v="12"/>
    <x v="31"/>
    <n v="11518"/>
    <n v="100"/>
    <n v="8678"/>
    <s v="0.87"/>
    <s v="0.00"/>
    <s v="99.13"/>
  </r>
  <r>
    <x v="12"/>
    <x v="32"/>
    <n v="17323"/>
    <n v="258"/>
    <n v="5295"/>
    <s v="1.49"/>
    <s v="0.00"/>
    <s v="98.51"/>
  </r>
  <r>
    <x v="12"/>
    <x v="33"/>
    <n v="872558"/>
    <n v="11233"/>
    <n v="332243"/>
    <s v="1.29"/>
    <s v="0.00"/>
    <s v="98.71"/>
  </r>
  <r>
    <x v="12"/>
    <x v="34"/>
    <n v="61292"/>
    <n v="695"/>
    <n v="40501"/>
    <s v="1.13"/>
    <s v="0.00"/>
    <s v="98.87"/>
  </r>
  <r>
    <x v="12"/>
    <x v="35"/>
    <n v="1692877"/>
    <n v="37743"/>
    <n v="1071042"/>
    <s v="2.23"/>
    <s v="0.00"/>
    <s v="97.77"/>
  </r>
  <r>
    <x v="12"/>
    <x v="36"/>
    <n v="102499"/>
    <n v="1686"/>
    <n v="79441"/>
    <s v="1.64"/>
    <s v="0.00"/>
    <s v="98.36"/>
  </r>
  <r>
    <x v="12"/>
    <x v="37"/>
    <n v="97152"/>
    <n v="4636"/>
    <n v="65097"/>
    <s v="4.77"/>
    <s v="0.00"/>
    <s v="95.23"/>
  </r>
  <r>
    <x v="12"/>
    <x v="38"/>
    <n v="5000677"/>
    <n v="127258"/>
    <n v="2222667"/>
    <s v="2.54"/>
    <s v="0.00"/>
    <s v="97.46"/>
  </r>
  <r>
    <x v="12"/>
    <x v="39"/>
    <n v="559698"/>
    <n v="7029"/>
    <n v="285242"/>
    <s v="1.26"/>
    <s v="0.00"/>
    <s v="98.74"/>
  </r>
  <r>
    <x v="12"/>
    <x v="40"/>
    <n v="951325"/>
    <n v="8230"/>
    <n v="324395"/>
    <s v="0.87"/>
    <s v="0.00"/>
    <s v="99.13"/>
  </r>
  <r>
    <x v="12"/>
    <x v="41"/>
    <n v="38207"/>
    <n v="349"/>
    <n v="3029"/>
    <s v="0.91"/>
    <s v="0.00"/>
    <s v="99.09"/>
  </r>
  <r>
    <x v="12"/>
    <x v="42"/>
    <n v="124017"/>
    <n v="575"/>
    <n v="86258"/>
    <s v="0.46"/>
    <s v="0.00"/>
    <s v="99.54"/>
  </r>
  <r>
    <x v="12"/>
    <x v="43"/>
    <n v="1757821"/>
    <n v="30736"/>
    <n v="800614"/>
    <s v="1.75"/>
    <s v="0.00"/>
    <s v="98.25"/>
  </r>
  <r>
    <x v="12"/>
    <x v="44"/>
    <n v="4608512"/>
    <n v="95734"/>
    <n v="2566880"/>
    <s v="2.08"/>
    <s v="0.00"/>
    <s v="97.92"/>
  </r>
  <r>
    <x v="12"/>
    <x v="45"/>
    <n v="13478"/>
    <n v="181"/>
    <n v="12262"/>
    <s v="1.34"/>
    <s v="0.00"/>
    <s v="98.66"/>
  </r>
  <r>
    <x v="12"/>
    <x v="46"/>
    <n v="387050"/>
    <n v="2713"/>
    <n v="215171"/>
    <s v="0.70"/>
    <s v="0.00"/>
    <s v="99.30"/>
  </r>
  <r>
    <x v="12"/>
    <x v="47"/>
    <n v="4783"/>
    <n v="32"/>
    <n v="1084"/>
    <s v="0.67"/>
    <s v="0.00"/>
    <s v="99.33"/>
  </r>
  <r>
    <x v="12"/>
    <x v="48"/>
    <n v="380974"/>
    <n v="4129"/>
    <n v="196492"/>
    <s v="1.08"/>
    <s v="0.00"/>
    <s v="98.92"/>
  </r>
  <r>
    <x v="12"/>
    <x v="49"/>
    <n v="206358"/>
    <n v="5918"/>
    <n v="121440"/>
    <s v="2.87"/>
    <s v="0.00"/>
    <s v="97.13"/>
  </r>
  <r>
    <x v="12"/>
    <x v="50"/>
    <n v="515859"/>
    <n v="32958"/>
    <n v="381166"/>
    <s v="6.39"/>
    <s v="0.00"/>
    <s v="93.61"/>
  </r>
  <r>
    <x v="12"/>
    <x v="51"/>
    <n v="192092"/>
    <n v="1516"/>
    <n v="83486"/>
    <s v="0.79"/>
    <s v="0.00"/>
    <s v="99.21"/>
  </r>
  <r>
    <x v="12"/>
    <x v="52"/>
    <n v="330084"/>
    <n v="18592"/>
    <n v="123266"/>
    <s v="5.63"/>
    <s v="0.00"/>
    <s v="94.37"/>
  </r>
  <r>
    <x v="12"/>
    <x v="53"/>
    <n v="6831"/>
    <n v="45"/>
    <n v="2942"/>
    <s v="0.66"/>
    <s v="0.00"/>
    <s v="99.34"/>
  </r>
  <r>
    <x v="12"/>
    <x v="54"/>
    <n v="5011148"/>
    <n v="87368"/>
    <n v="3088371"/>
    <s v="1.74"/>
    <s v="0.00"/>
    <s v="98.26"/>
  </r>
  <r>
    <x v="12"/>
    <x v="55"/>
    <n v="364960"/>
    <n v="6451"/>
    <n v="213840"/>
    <s v="1.77"/>
    <s v="0.00"/>
    <s v="98.23"/>
  </r>
  <r>
    <x v="12"/>
    <x v="56"/>
    <n v="157531"/>
    <n v="1158"/>
    <n v="134715"/>
    <s v="0.74"/>
    <s v="0.00"/>
    <s v="99.26"/>
  </r>
  <r>
    <x v="12"/>
    <x v="57"/>
    <n v="52141"/>
    <n v="674"/>
    <n v="21086"/>
    <s v="1.29"/>
    <s v="0.00"/>
    <s v="98.71"/>
  </r>
  <r>
    <x v="12"/>
    <x v="58"/>
    <n v="2082"/>
    <n v="2"/>
    <n v="1286"/>
    <s v="0.10"/>
    <s v="0.00"/>
    <s v="99.90"/>
  </r>
  <r>
    <x v="12"/>
    <x v="59"/>
    <n v="6982862"/>
    <n v="115289"/>
    <n v="2601693"/>
    <s v="1.65"/>
    <s v="0.00"/>
    <s v="98.35"/>
  </r>
  <r>
    <x v="12"/>
    <x v="60"/>
    <n v="35525"/>
    <n v="239"/>
    <n v="6328"/>
    <s v="0.67"/>
    <s v="0.00"/>
    <s v="99.33"/>
  </r>
  <r>
    <x v="12"/>
    <x v="61"/>
    <n v="9056736"/>
    <n v="140883"/>
    <n v="200467"/>
    <s v="1.56"/>
    <s v="0.00"/>
    <s v="98.44"/>
  </r>
  <r>
    <x v="12"/>
    <x v="63"/>
    <n v="715865"/>
    <n v="10003"/>
    <n v="243557"/>
    <s v="1.40"/>
    <s v="0.00"/>
    <s v="98.60"/>
  </r>
  <r>
    <x v="12"/>
    <x v="62"/>
    <n v="5840"/>
    <n v="198"/>
    <n v="2116"/>
    <s v="3.39"/>
    <s v="0.00"/>
    <s v="96.61"/>
  </r>
  <r>
    <x v="12"/>
    <x v="64"/>
    <n v="44554"/>
    <n v="306"/>
    <n v="7915"/>
    <s v="0.69"/>
    <s v="0.00"/>
    <s v="99.31"/>
  </r>
  <r>
    <x v="12"/>
    <x v="65"/>
    <n v="130077"/>
    <n v="1175"/>
    <n v="124737"/>
    <s v="0.90"/>
    <s v="0.00"/>
    <s v="99.10"/>
  </r>
  <r>
    <x v="12"/>
    <x v="66"/>
    <n v="5974"/>
    <n v="98"/>
    <n v="1822"/>
    <s v="1.64"/>
    <s v="0.00"/>
    <s v="98.36"/>
  </r>
  <r>
    <x v="12"/>
    <x v="68"/>
    <n v="30653"/>
    <n v="385"/>
    <n v="1098"/>
    <s v="1.26"/>
    <s v="0.00"/>
    <s v="98.74"/>
  </r>
  <r>
    <x v="12"/>
    <x v="67"/>
    <n v="9965"/>
    <n v="340"/>
    <n v="2054"/>
    <s v="3.41"/>
    <s v="0.00"/>
    <s v="96.59"/>
  </r>
  <r>
    <x v="12"/>
    <x v="69"/>
    <n v="54288"/>
    <n v="815"/>
    <n v="5537"/>
    <s v="1.50"/>
    <s v="0.00"/>
    <s v="98.50"/>
  </r>
  <r>
    <x v="12"/>
    <x v="70"/>
    <n v="13368"/>
    <n v="167"/>
    <n v="9257"/>
    <s v="1.25"/>
    <s v="0.00"/>
    <s v="98.75"/>
  </r>
  <r>
    <x v="12"/>
    <x v="71"/>
    <n v="739448"/>
    <n v="15894"/>
    <n v="236167"/>
    <s v="2.15"/>
    <s v="0.00"/>
    <s v="97.85"/>
  </r>
  <r>
    <x v="12"/>
    <x v="72"/>
    <n v="601402"/>
    <n v="15050"/>
    <n v="356104"/>
    <s v="2.50"/>
    <s v="0.00"/>
    <s v="97.50"/>
  </r>
  <r>
    <x v="12"/>
    <x v="73"/>
    <n v="6133"/>
    <n v="141"/>
    <n v="2471"/>
    <s v="2.30"/>
    <s v="0.00"/>
    <s v="97.70"/>
  </r>
  <r>
    <x v="12"/>
    <x v="74"/>
    <n v="35548"/>
    <n v="913"/>
    <n v="5197"/>
    <s v="2.57"/>
    <s v="0.00"/>
    <s v="97.43"/>
  </r>
  <r>
    <x v="12"/>
    <x v="75"/>
    <n v="12345"/>
    <n v="213"/>
    <n v="1168"/>
    <s v="1.73"/>
    <s v="0.00"/>
    <s v="98.27"/>
  </r>
  <r>
    <x v="12"/>
    <x v="76"/>
    <n v="375381"/>
    <n v="10239"/>
    <n v="56599"/>
    <s v="2.73"/>
    <s v="0.00"/>
    <s v="97.27"/>
  </r>
  <r>
    <x v="12"/>
    <x v="77"/>
    <n v="467029"/>
    <n v="9198"/>
    <n v="67607"/>
    <s v="1.97"/>
    <s v="0.00"/>
    <s v="98.03"/>
  </r>
  <r>
    <x v="12"/>
    <x v="78"/>
    <n v="23960"/>
    <n v="671"/>
    <n v="22897"/>
    <s v="2.80"/>
    <s v="0.00"/>
    <s v="97.20"/>
  </r>
  <r>
    <x v="12"/>
    <x v="79"/>
    <n v="863419"/>
    <n v="30729"/>
    <n v="340448"/>
    <s v="3.56"/>
    <s v="0.00"/>
    <s v="96.44"/>
  </r>
  <r>
    <x v="12"/>
    <x v="80"/>
    <n v="4243835"/>
    <n v="143388"/>
    <n v="1475063"/>
    <s v="3.38"/>
    <s v="0.00"/>
    <s v="96.62"/>
  </r>
  <r>
    <x v="12"/>
    <x v="81"/>
    <n v="443631"/>
    <n v="5436"/>
    <n v="137985"/>
    <s v="1.23"/>
    <s v="0.00"/>
    <s v="98.77"/>
  </r>
  <r>
    <x v="12"/>
    <x v="82"/>
    <n v="1327126"/>
    <n v="8085"/>
    <n v="170584"/>
    <s v="0.61"/>
    <s v="0.00"/>
    <s v="99.39"/>
  </r>
  <r>
    <x v="12"/>
    <x v="83"/>
    <n v="34273300"/>
    <n v="458186"/>
    <n v="5608652"/>
    <s v="1.34"/>
    <s v="0.00"/>
    <s v="98.66"/>
  </r>
  <r>
    <x v="12"/>
    <x v="84"/>
    <n v="2054202"/>
    <n v="23138"/>
    <n v="394901"/>
    <s v="1.13"/>
    <s v="0.00"/>
    <s v="98.87"/>
  </r>
  <r>
    <x v="12"/>
    <x v="85"/>
    <n v="5916211"/>
    <n v="126126"/>
    <n v="5777988"/>
    <s v="2.13"/>
    <s v="0.00"/>
    <s v="97.87"/>
  </r>
  <r>
    <x v="12"/>
    <x v="86"/>
    <n v="13492"/>
    <n v="33"/>
    <n v="11693"/>
    <s v="0.24"/>
    <s v="0.00"/>
    <s v="99.76"/>
  </r>
  <r>
    <x v="12"/>
    <x v="87"/>
    <n v="4767440"/>
    <n v="132074"/>
    <n v="2922404"/>
    <s v="2.77"/>
    <s v="0.00"/>
    <s v="97.23"/>
  </r>
  <r>
    <x v="12"/>
    <x v="88"/>
    <n v="88907"/>
    <n v="2229"/>
    <n v="28033"/>
    <s v="2.51"/>
    <s v="0.00"/>
    <s v="97.49"/>
  </r>
  <r>
    <x v="12"/>
    <x v="89"/>
    <n v="860818"/>
    <n v="11028"/>
    <n v="262506"/>
    <s v="1.28"/>
    <s v="0.00"/>
    <s v="98.72"/>
  </r>
  <r>
    <x v="12"/>
    <x v="90"/>
    <n v="1722115"/>
    <n v="18257"/>
    <n v="594092"/>
    <s v="1.06"/>
    <s v="0.00"/>
    <s v="98.94"/>
  </r>
  <r>
    <x v="12"/>
    <x v="91"/>
    <n v="253293"/>
    <n v="5276"/>
    <n v="186422"/>
    <s v="2.08"/>
    <s v="0.00"/>
    <s v="97.92"/>
  </r>
  <r>
    <x v="12"/>
    <x v="92"/>
    <n v="181186"/>
    <n v="2668"/>
    <n v="125875"/>
    <s v="1.47"/>
    <s v="0.00"/>
    <s v="98.53"/>
  </r>
  <r>
    <x v="12"/>
    <x v="94"/>
    <n v="2"/>
    <n v="0"/>
    <n v="0"/>
    <s v="0.00"/>
    <s v="0.00"/>
    <s v="100.00"/>
  </r>
  <r>
    <x v="12"/>
    <x v="93"/>
    <n v="118427"/>
    <n v="2781"/>
    <n v="86007"/>
    <s v="2.35"/>
    <s v="0.00"/>
    <s v="97.65"/>
  </r>
  <r>
    <x v="12"/>
    <x v="95"/>
    <n v="4239"/>
    <n v="147"/>
    <n v="3023"/>
    <s v="3.47"/>
    <s v="0.00"/>
    <s v="96.53"/>
  </r>
  <r>
    <x v="12"/>
    <x v="96"/>
    <n v="2669"/>
    <n v="23"/>
    <n v="1691"/>
    <s v="0.86"/>
    <s v="0.00"/>
    <s v="99.14"/>
  </r>
  <r>
    <x v="12"/>
    <x v="97"/>
    <n v="364700"/>
    <n v="2849"/>
    <n v="327137"/>
    <s v="0.78"/>
    <s v="0.00"/>
    <s v="99.22"/>
  </r>
  <r>
    <x v="12"/>
    <x v="98"/>
    <n v="412653"/>
    <n v="2461"/>
    <n v="195944"/>
    <s v="0.60"/>
    <s v="0.00"/>
    <s v="99.40"/>
  </r>
  <r>
    <x v="12"/>
    <x v="99"/>
    <n v="1018841"/>
    <n v="17078"/>
    <n v="792613"/>
    <s v="1.68"/>
    <s v="0.00"/>
    <s v="98.32"/>
  </r>
  <r>
    <x v="12"/>
    <x v="100"/>
    <n v="39586"/>
    <n v="62"/>
    <n v="22195"/>
    <s v="0.16"/>
    <s v="0.00"/>
    <s v="99.84"/>
  </r>
  <r>
    <x v="12"/>
    <x v="101"/>
    <n v="641339"/>
    <n v="8495"/>
    <n v="159520"/>
    <s v="1.32"/>
    <s v="0.00"/>
    <s v="98.68"/>
  </r>
  <r>
    <x v="12"/>
    <x v="102"/>
    <n v="12559"/>
    <n v="255"/>
    <n v="3768"/>
    <s v="2.03"/>
    <s v="0.00"/>
    <s v="97.97"/>
  </r>
  <r>
    <x v="12"/>
    <x v="103"/>
    <n v="3662"/>
    <n v="61"/>
    <n v="3545"/>
    <s v="1.67"/>
    <s v="0.00"/>
    <s v="98.33"/>
  </r>
  <r>
    <x v="12"/>
    <x v="104"/>
    <n v="539981"/>
    <n v="13725"/>
    <n v="273899"/>
    <s v="2.54"/>
    <s v="0.00"/>
    <s v="97.46"/>
  </r>
  <r>
    <x v="12"/>
    <x v="105"/>
    <n v="5812"/>
    <n v="287"/>
    <n v="3703"/>
    <s v="4.94"/>
    <s v="0.00"/>
    <s v="95.06"/>
  </r>
  <r>
    <x v="12"/>
    <x v="106"/>
    <n v="21634"/>
    <n v="658"/>
    <n v="8908"/>
    <s v="3.04"/>
    <s v="0.00"/>
    <s v="96.96"/>
  </r>
  <r>
    <x v="12"/>
    <x v="107"/>
    <n v="406095"/>
    <n v="5833"/>
    <n v="324688"/>
    <s v="1.44"/>
    <s v="0.00"/>
    <s v="98.56"/>
  </r>
  <r>
    <x v="12"/>
    <x v="108"/>
    <n v="81683"/>
    <n v="843"/>
    <n v="61794"/>
    <s v="1.03"/>
    <s v="0.00"/>
    <s v="98.97"/>
  </r>
  <r>
    <x v="12"/>
    <x v="109"/>
    <n v="217339"/>
    <n v="3237"/>
    <n v="4854"/>
    <s v="1.49"/>
    <s v="0.00"/>
    <s v="98.51"/>
  </r>
  <r>
    <x v="12"/>
    <x v="110"/>
    <n v="356655"/>
    <n v="5078"/>
    <n v="185300"/>
    <s v="1.42"/>
    <s v="0.00"/>
    <s v="98.58"/>
  </r>
  <r>
    <x v="12"/>
    <x v="111"/>
    <n v="945960"/>
    <n v="14667"/>
    <n v="802283"/>
    <s v="1.55"/>
    <s v="0.00"/>
    <s v="98.45"/>
  </r>
  <r>
    <x v="12"/>
    <x v="112"/>
    <n v="3414"/>
    <n v="36"/>
    <n v="2594"/>
    <s v="1.05"/>
    <s v="0.00"/>
    <s v="98.95"/>
  </r>
  <r>
    <x v="12"/>
    <x v="113"/>
    <n v="337115"/>
    <n v="7751"/>
    <n v="210090"/>
    <s v="2.30"/>
    <s v="0.00"/>
    <s v="97.70"/>
  </r>
  <r>
    <x v="12"/>
    <x v="114"/>
    <n v="143785"/>
    <n v="2100"/>
    <n v="49960"/>
    <s v="1.46"/>
    <s v="0.00"/>
    <s v="98.54"/>
  </r>
  <r>
    <x v="12"/>
    <x v="115"/>
    <n v="3920"/>
    <n v="56"/>
    <n v="3093"/>
    <s v="1.43"/>
    <s v="0.00"/>
    <s v="98.57"/>
  </r>
  <r>
    <x v="12"/>
    <x v="116"/>
    <n v="43626"/>
    <n v="963"/>
    <n v="3243"/>
    <s v="2.21"/>
    <s v="0.00"/>
    <s v="97.79"/>
  </r>
  <r>
    <x v="12"/>
    <x v="117"/>
    <n v="4"/>
    <n v="0"/>
    <n v="2"/>
    <s v="0.00"/>
    <s v="0.00"/>
    <s v="100.00"/>
  </r>
  <r>
    <x v="12"/>
    <x v="118"/>
    <n v="202203"/>
    <n v="7121"/>
    <n v="45601"/>
    <s v="3.52"/>
    <s v="0.00"/>
    <s v="96.48"/>
  </r>
  <r>
    <x v="12"/>
    <x v="119"/>
    <n v="16038"/>
    <n v="563"/>
    <n v="9609"/>
    <s v="3.51"/>
    <s v="0.00"/>
    <s v="96.49"/>
  </r>
  <r>
    <x v="12"/>
    <x v="120"/>
    <n v="499321"/>
    <n v="18664"/>
    <n v="446022"/>
    <s v="3.74"/>
    <s v="0.00"/>
    <s v="96.26"/>
  </r>
  <r>
    <x v="12"/>
    <x v="121"/>
    <n v="359396"/>
    <n v="1734"/>
    <n v="68678"/>
    <s v="0.48"/>
    <s v="0.00"/>
    <s v="99.52"/>
  </r>
  <r>
    <x v="12"/>
    <x v="122"/>
    <n v="77"/>
    <n v="0"/>
    <n v="52"/>
    <s v="0.00"/>
    <s v="0.00"/>
    <s v="100.00"/>
  </r>
  <r>
    <x v="12"/>
    <x v="123"/>
    <n v="43183"/>
    <n v="681"/>
    <n v="16874"/>
    <s v="1.58"/>
    <s v="0.00"/>
    <s v="98.42"/>
  </r>
  <r>
    <x v="12"/>
    <x v="124"/>
    <n v="37275"/>
    <n v="795"/>
    <n v="7"/>
    <s v="2.13"/>
    <s v="0.00"/>
    <s v="97.87"/>
  </r>
  <r>
    <x v="12"/>
    <x v="125"/>
    <n v="37637"/>
    <n v="461"/>
    <n v="21419"/>
    <s v="1.22"/>
    <s v="0.00"/>
    <s v="98.78"/>
  </r>
  <r>
    <x v="12"/>
    <x v="126"/>
    <n v="17698"/>
    <n v="166"/>
    <n v="12252"/>
    <s v="0.94"/>
    <s v="0.00"/>
    <s v="99.06"/>
  </r>
  <r>
    <x v="12"/>
    <x v="127"/>
    <n v="87487"/>
    <n v="243"/>
    <n v="67986"/>
    <s v="0.28"/>
    <s v="0.00"/>
    <s v="99.72"/>
  </r>
  <r>
    <x v="12"/>
    <x v="128"/>
    <n v="61794"/>
    <n v="2300"/>
    <n v="22744"/>
    <s v="3.72"/>
    <s v="0.00"/>
    <s v="96.28"/>
  </r>
  <r>
    <x v="12"/>
    <x v="129"/>
    <n v="3805765"/>
    <n v="288276"/>
    <n v="469720"/>
    <s v="7.57"/>
    <s v="0.00"/>
    <s v="92.43"/>
  </r>
  <r>
    <x v="12"/>
    <x v="130"/>
    <n v="2466663"/>
    <n v="28876"/>
    <n v="764945"/>
    <s v="1.17"/>
    <s v="0.00"/>
    <s v="98.83"/>
  </r>
  <r>
    <x v="12"/>
    <x v="131"/>
    <n v="151270"/>
    <n v="1930"/>
    <n v="78769"/>
    <s v="1.28"/>
    <s v="0.00"/>
    <s v="98.72"/>
  </r>
  <r>
    <x v="12"/>
    <x v="132"/>
    <n v="128906"/>
    <n v="3552"/>
    <n v="76035"/>
    <s v="2.76"/>
    <s v="0.00"/>
    <s v="97.24"/>
  </r>
  <r>
    <x v="12"/>
    <x v="133"/>
    <n v="10948"/>
    <n v="264"/>
    <n v="6915"/>
    <s v="2.41"/>
    <s v="0.00"/>
    <s v="97.59"/>
  </r>
  <r>
    <x v="12"/>
    <x v="134"/>
    <n v="6339"/>
    <n v="212"/>
    <n v="3511"/>
    <s v="3.34"/>
    <s v="0.00"/>
    <s v="96.66"/>
  </r>
  <r>
    <x v="12"/>
    <x v="135"/>
    <n v="211887"/>
    <n v="2895"/>
    <n v="127872"/>
    <s v="1.37"/>
    <s v="0.00"/>
    <s v="98.63"/>
  </r>
  <r>
    <x v="12"/>
    <x v="136"/>
    <n v="16422"/>
    <n v="208"/>
    <n v="5658"/>
    <s v="1.27"/>
    <s v="0.00"/>
    <s v="98.73"/>
  </r>
  <r>
    <x v="12"/>
    <x v="137"/>
    <n v="2163794"/>
    <n v="18836"/>
    <n v="1655230"/>
    <s v="0.87"/>
    <s v="0.00"/>
    <s v="99.13"/>
  </r>
  <r>
    <x v="12"/>
    <x v="138"/>
    <n v="206653"/>
    <n v="900"/>
    <n v="177973"/>
    <s v="0.44"/>
    <s v="0.00"/>
    <s v="99.56"/>
  </r>
  <r>
    <x v="12"/>
    <x v="139"/>
    <n v="812194"/>
    <n v="11399"/>
    <n v="80490"/>
    <s v="1.40"/>
    <s v="0.00"/>
    <s v="98.60"/>
  </r>
  <r>
    <x v="12"/>
    <x v="140"/>
    <n v="6429"/>
    <n v="28"/>
    <n v="439"/>
    <s v="0.44"/>
    <s v="0.00"/>
    <s v="99.56"/>
  </r>
  <r>
    <x v="12"/>
    <x v="141"/>
    <n v="304241"/>
    <n v="4111"/>
    <n v="33919"/>
    <s v="1.35"/>
    <s v="0.00"/>
    <s v="98.65"/>
  </r>
  <r>
    <x v="12"/>
    <x v="142"/>
    <n v="472534"/>
    <n v="7315"/>
    <n v="331266"/>
    <s v="1.55"/>
    <s v="0.00"/>
    <s v="98.45"/>
  </r>
  <r>
    <x v="12"/>
    <x v="143"/>
    <n v="2200908"/>
    <n v="200217"/>
    <n v="1177555"/>
    <s v="9.10"/>
    <s v="0.00"/>
    <s v="90.90"/>
  </r>
  <r>
    <x v="12"/>
    <x v="144"/>
    <n v="45541"/>
    <n v="636"/>
    <n v="32912"/>
    <s v="1.40"/>
    <s v="0.00"/>
    <s v="98.60"/>
  </r>
  <r>
    <x v="12"/>
    <x v="145"/>
    <n v="29108"/>
    <n v="367"/>
    <n v="15036"/>
    <s v="1.26"/>
    <s v="0.00"/>
    <s v="98.74"/>
  </r>
  <r>
    <x v="12"/>
    <x v="146"/>
    <n v="2783896"/>
    <n v="43044"/>
    <n v="2061550"/>
    <s v="1.55"/>
    <s v="0.00"/>
    <s v="98.45"/>
  </r>
  <r>
    <x v="12"/>
    <x v="147"/>
    <n v="1273078"/>
    <n v="28449"/>
    <n v="889920"/>
    <s v="2.23"/>
    <s v="0.00"/>
    <s v="97.77"/>
  </r>
  <r>
    <x v="12"/>
    <x v="148"/>
    <n v="3018100"/>
    <n v="76990"/>
    <n v="2074804"/>
    <s v="2.55"/>
    <s v="0.00"/>
    <s v="97.45"/>
  </r>
  <r>
    <x v="12"/>
    <x v="149"/>
    <n v="452997"/>
    <n v="4663"/>
    <n v="215739"/>
    <s v="1.03"/>
    <s v="0.00"/>
    <s v="98.97"/>
  </r>
  <r>
    <x v="12"/>
    <x v="150"/>
    <n v="1089888"/>
    <n v="18156"/>
    <n v="290458"/>
    <s v="1.67"/>
    <s v="0.00"/>
    <s v="98.33"/>
  </r>
  <r>
    <x v="12"/>
    <x v="151"/>
    <n v="8"/>
    <n v="0"/>
    <n v="2"/>
    <s v="0.00"/>
    <s v="0.00"/>
    <s v="100.00"/>
  </r>
  <r>
    <x v="12"/>
    <x v="152"/>
    <n v="460974"/>
    <n v="16245"/>
    <n v="170781"/>
    <s v="3.52"/>
    <s v="0.00"/>
    <s v="96.48"/>
  </r>
  <r>
    <x v="12"/>
    <x v="153"/>
    <n v="239143"/>
    <n v="610"/>
    <n v="80536"/>
    <s v="0.26"/>
    <s v="0.00"/>
    <s v="99.74"/>
  </r>
  <r>
    <x v="12"/>
    <x v="154"/>
    <n v="54668"/>
    <n v="374"/>
    <n v="25566"/>
    <s v="0.68"/>
    <s v="0.00"/>
    <s v="99.32"/>
  </r>
  <r>
    <x v="12"/>
    <x v="155"/>
    <n v="1640607"/>
    <n v="47324"/>
    <n v="1230097"/>
    <s v="2.88"/>
    <s v="0.00"/>
    <s v="97.12"/>
  </r>
  <r>
    <x v="12"/>
    <x v="156"/>
    <n v="1137820"/>
    <n v="9890"/>
    <n v="865159"/>
    <s v="0.87"/>
    <s v="0.00"/>
    <s v="99.13"/>
  </r>
  <r>
    <x v="12"/>
    <x v="157"/>
    <n v="8338053"/>
    <n v="233063"/>
    <n v="496665"/>
    <s v="2.80"/>
    <s v="0.00"/>
    <s v="97.20"/>
  </r>
  <r>
    <x v="12"/>
    <x v="158"/>
    <n v="99681"/>
    <n v="1328"/>
    <n v="87825"/>
    <s v="1.33"/>
    <s v="0.00"/>
    <s v="98.67"/>
  </r>
  <r>
    <x v="12"/>
    <x v="159"/>
    <n v="548571"/>
    <n v="8793"/>
    <n v="460250"/>
    <s v="1.60"/>
    <s v="0.00"/>
    <s v="98.40"/>
  </r>
  <r>
    <x v="12"/>
    <x v="160"/>
    <n v="20"/>
    <n v="0"/>
    <n v="19"/>
    <s v="0.00"/>
    <s v="0.00"/>
    <s v="100.00"/>
  </r>
  <r>
    <x v="12"/>
    <x v="161"/>
    <n v="22243"/>
    <n v="119"/>
    <n v="6443"/>
    <s v="0.53"/>
    <s v="0.00"/>
    <s v="99.47"/>
  </r>
  <r>
    <x v="12"/>
    <x v="162"/>
    <n v="40433"/>
    <n v="3099"/>
    <n v="33539"/>
    <s v="7.66"/>
    <s v="0.00"/>
    <s v="92.34"/>
  </r>
  <r>
    <x v="12"/>
    <x v="163"/>
    <n v="1171512"/>
    <n v="15025"/>
    <n v="333497"/>
    <s v="1.28"/>
    <s v="0.00"/>
    <s v="98.72"/>
  </r>
  <r>
    <x v="12"/>
    <x v="164"/>
    <n v="195211"/>
    <n v="394"/>
    <n v="121897"/>
    <s v="0.20"/>
    <s v="0.00"/>
    <s v="99.80"/>
  </r>
  <r>
    <x v="12"/>
    <x v="165"/>
    <n v="334188"/>
    <n v="4739"/>
    <n v="283874"/>
    <s v="1.42"/>
    <s v="0.00"/>
    <s v="98.58"/>
  </r>
  <r>
    <x v="12"/>
    <x v="166"/>
    <n v="479737"/>
    <n v="13018"/>
    <n v="434941"/>
    <s v="2.71"/>
    <s v="0.00"/>
    <s v="97.29"/>
  </r>
  <r>
    <x v="12"/>
    <x v="167"/>
    <n v="6397"/>
    <n v="121"/>
    <n v="4667"/>
    <s v="1.89"/>
    <s v="0.00"/>
    <s v="98.11"/>
  </r>
  <r>
    <x v="12"/>
    <x v="168"/>
    <n v="5547"/>
    <n v="92"/>
    <n v="1253"/>
    <s v="1.66"/>
    <s v="0.00"/>
    <s v="98.34"/>
  </r>
  <r>
    <x v="12"/>
    <x v="169"/>
    <n v="73917"/>
    <n v="1878"/>
    <n v="15952"/>
    <s v="2.54"/>
    <s v="0.00"/>
    <s v="97.46"/>
  </r>
  <r>
    <x v="12"/>
    <x v="170"/>
    <n v="21998"/>
    <n v="1208"/>
    <n v="11158"/>
    <s v="5.49"/>
    <s v="0.00"/>
    <s v="94.51"/>
  </r>
  <r>
    <x v="12"/>
    <x v="171"/>
    <n v="48964"/>
    <n v="1090"/>
    <n v="8781"/>
    <s v="2.23"/>
    <s v="0.00"/>
    <s v="97.77"/>
  </r>
  <r>
    <x v="12"/>
    <x v="172"/>
    <n v="12361"/>
    <n v="133"/>
    <n v="2369"/>
    <s v="1.08"/>
    <s v="0.00"/>
    <s v="98.92"/>
  </r>
  <r>
    <x v="12"/>
    <x v="173"/>
    <n v="3712"/>
    <n v="56"/>
    <n v="896"/>
    <s v="1.51"/>
    <s v="0.00"/>
    <s v="98.49"/>
  </r>
  <r>
    <x v="12"/>
    <x v="174"/>
    <n v="113422"/>
    <n v="3622"/>
    <n v="57187"/>
    <s v="3.19"/>
    <s v="0.00"/>
    <s v="96.81"/>
  </r>
  <r>
    <x v="12"/>
    <x v="175"/>
    <n v="43146"/>
    <n v="2558"/>
    <n v="12597"/>
    <s v="5.93"/>
    <s v="0.00"/>
    <s v="94.07"/>
  </r>
  <r>
    <x v="12"/>
    <x v="176"/>
    <n v="46413"/>
    <n v="1242"/>
    <n v="16647"/>
    <s v="2.68"/>
    <s v="0.00"/>
    <s v="97.32"/>
  </r>
  <r>
    <x v="12"/>
    <x v="177"/>
    <n v="5069"/>
    <n v="174"/>
    <n v="1384"/>
    <s v="3.43"/>
    <s v="0.00"/>
    <s v="96.57"/>
  </r>
  <r>
    <x v="12"/>
    <x v="178"/>
    <n v="26068"/>
    <n v="242"/>
    <n v="6332"/>
    <s v="0.93"/>
    <s v="0.00"/>
    <s v="99.07"/>
  </r>
  <r>
    <x v="12"/>
    <x v="179"/>
    <n v="1903165"/>
    <n v="19158"/>
    <n v="611141"/>
    <s v="1.01"/>
    <s v="0.00"/>
    <s v="98.99"/>
  </r>
  <r>
    <x v="12"/>
    <x v="180"/>
    <n v="17486"/>
    <n v="125"/>
    <n v="16187"/>
    <s v="0.71"/>
    <s v="0.00"/>
    <s v="99.29"/>
  </r>
  <r>
    <x v="12"/>
    <x v="181"/>
    <n v="19789"/>
    <n v="122"/>
    <n v="17669"/>
    <s v="0.62"/>
    <s v="0.00"/>
    <s v="99.38"/>
  </r>
  <r>
    <x v="12"/>
    <x v="182"/>
    <n v="712318"/>
    <n v="25231"/>
    <n v="541777"/>
    <s v="3.54"/>
    <s v="0.00"/>
    <s v="96.46"/>
  </r>
  <r>
    <x v="12"/>
    <x v="183"/>
    <n v="1"/>
    <n v="0"/>
    <n v="0"/>
    <s v="0.00"/>
    <s v="0.00"/>
    <s v="100.00"/>
  </r>
  <r>
    <x v="12"/>
    <x v="184"/>
    <n v="8009010"/>
    <n v="70410"/>
    <n v="2493966"/>
    <s v="0.88"/>
    <s v="0.00"/>
    <s v="99.12"/>
  </r>
  <r>
    <x v="12"/>
    <x v="185"/>
    <n v="57121"/>
    <n v="1682"/>
    <n v="8474"/>
    <s v="2.94"/>
    <s v="0.00"/>
    <s v="97.06"/>
  </r>
  <r>
    <x v="12"/>
    <x v="186"/>
    <n v="16406"/>
    <n v="847"/>
    <n v="10063"/>
    <s v="5.16"/>
    <s v="0.00"/>
    <s v="94.84"/>
  </r>
  <r>
    <x v="12"/>
    <x v="187"/>
    <n v="26154"/>
    <n v="725"/>
    <n v="22729"/>
    <s v="2.77"/>
    <s v="0.00"/>
    <s v="97.23"/>
  </r>
  <r>
    <x v="12"/>
    <x v="188"/>
    <n v="3039616"/>
    <n v="71710"/>
    <n v="776877"/>
    <s v="2.36"/>
    <s v="0.00"/>
    <s v="97.64"/>
  </r>
  <r>
    <x v="12"/>
    <x v="189"/>
    <n v="126075"/>
    <n v="3215"/>
    <n v="40491"/>
    <s v="2.55"/>
    <s v="0.00"/>
    <s v="97.45"/>
  </r>
  <r>
    <x v="12"/>
    <x v="190"/>
    <n v="45953186"/>
    <n v="745904"/>
    <n v="12432777"/>
    <s v="1.62"/>
    <s v="0.00"/>
    <s v="98.38"/>
  </r>
  <r>
    <x v="12"/>
    <x v="191"/>
    <n v="393718"/>
    <n v="6077"/>
    <n v="168718"/>
    <s v="1.54"/>
    <s v="0.00"/>
    <s v="98.46"/>
  </r>
  <r>
    <x v="12"/>
    <x v="192"/>
    <n v="185647"/>
    <n v="1321"/>
    <n v="149060"/>
    <s v="0.71"/>
    <s v="0.00"/>
    <s v="99.29"/>
  </r>
  <r>
    <x v="12"/>
    <x v="193"/>
    <n v="27"/>
    <n v="0"/>
    <n v="0"/>
    <s v="0.00"/>
    <s v="0.00"/>
    <s v="100.00"/>
  </r>
  <r>
    <x v="12"/>
    <x v="194"/>
    <n v="4951"/>
    <n v="66"/>
    <n v="2618"/>
    <s v="1.33"/>
    <s v="0.00"/>
    <s v="98.67"/>
  </r>
  <r>
    <x v="12"/>
    <x v="195"/>
    <n v="406239"/>
    <n v="4884"/>
    <n v="8883"/>
    <s v="1.20"/>
    <s v="0.00"/>
    <s v="98.80"/>
  </r>
  <r>
    <x v="12"/>
    <x v="196"/>
    <n v="915603"/>
    <n v="22030"/>
    <n v="726802"/>
    <s v="2.41"/>
    <s v="0.00"/>
    <s v="97.59"/>
  </r>
  <r>
    <x v="12"/>
    <x v="197"/>
    <n v="6"/>
    <n v="1"/>
    <n v="1"/>
    <s v="16.67"/>
    <s v="0.00"/>
    <s v="83.33"/>
  </r>
  <r>
    <x v="12"/>
    <x v="198"/>
    <n v="3"/>
    <n v="0"/>
    <n v="1"/>
    <s v="0.00"/>
    <s v="0.00"/>
    <s v="100.00"/>
  </r>
  <r>
    <x v="12"/>
    <x v="199"/>
    <n v="160749"/>
    <n v="2976"/>
    <n v="156662"/>
    <s v="1.85"/>
    <s v="0.00"/>
    <s v="98.15"/>
  </r>
  <r>
    <x v="12"/>
    <x v="200"/>
    <n v="9779"/>
    <n v="1880"/>
    <n v="5762"/>
    <s v="19.22"/>
    <s v="0.00"/>
    <s v="80.78"/>
  </r>
  <r>
    <x v="12"/>
    <x v="201"/>
    <n v="20555"/>
    <n v="185"/>
    <n v="8819"/>
    <s v="0.90"/>
    <s v="0.00"/>
    <s v="99.10"/>
  </r>
  <r>
    <x v="12"/>
    <x v="202"/>
    <n v="2921886"/>
    <n v="89163"/>
    <n v="1545323"/>
    <s v="3.05"/>
    <s v="0.00"/>
    <s v="96.95"/>
  </r>
  <r>
    <x v="12"/>
    <x v="203"/>
    <n v="209722"/>
    <n v="3661"/>
    <n v="91989"/>
    <s v="1.75"/>
    <s v="0.00"/>
    <s v="98.25"/>
  </r>
  <r>
    <x v="12"/>
    <x v="204"/>
    <n v="132926"/>
    <n v="4675"/>
    <n v="46276"/>
    <s v="3.52"/>
    <s v="0.00"/>
    <s v="96.48"/>
  </r>
  <r>
    <x v="12"/>
    <x v="205"/>
    <n v="721"/>
    <n v="15"/>
    <n v="73"/>
    <s v="2.08"/>
    <s v="0.00"/>
    <s v="97.92"/>
  </r>
  <r>
    <x v="13"/>
    <x v="205"/>
    <n v="721"/>
    <n v="15"/>
    <n v="408"/>
    <s v="2.08"/>
    <s v="0.00"/>
    <s v="97.92"/>
  </r>
  <r>
    <x v="13"/>
    <x v="204"/>
    <n v="132926"/>
    <n v="4675"/>
    <n v="95680"/>
    <s v="3.52"/>
    <s v="0.00"/>
    <s v="96.48"/>
  </r>
  <r>
    <x v="13"/>
    <x v="203"/>
    <n v="209702"/>
    <n v="3660"/>
    <n v="57208"/>
    <s v="1.75"/>
    <s v="0.00"/>
    <s v="98.25"/>
  </r>
  <r>
    <x v="13"/>
    <x v="202"/>
    <n v="2921589"/>
    <n v="89151"/>
    <n v="422014"/>
    <s v="3.05"/>
    <s v="0.00"/>
    <s v="96.95"/>
  </r>
  <r>
    <x v="13"/>
    <x v="201"/>
    <n v="20555"/>
    <n v="185"/>
    <n v="6580"/>
    <s v="0.90"/>
    <s v="0.00"/>
    <s v="99.10"/>
  </r>
  <r>
    <x v="13"/>
    <x v="200"/>
    <n v="9773"/>
    <n v="1877"/>
    <n v="6492"/>
    <s v="19.21"/>
    <s v="0.00"/>
    <s v="80.79"/>
  </r>
  <r>
    <x v="13"/>
    <x v="199"/>
    <n v="160724"/>
    <n v="2976"/>
    <n v="113587"/>
    <s v="1.85"/>
    <s v="0.00"/>
    <s v="98.15"/>
  </r>
  <r>
    <x v="13"/>
    <x v="198"/>
    <n v="3"/>
    <n v="0"/>
    <n v="1"/>
    <s v="0.00"/>
    <s v="0.00"/>
    <s v="100.00"/>
  </r>
  <r>
    <x v="13"/>
    <x v="197"/>
    <n v="6"/>
    <n v="1"/>
    <n v="5"/>
    <s v="16.67"/>
    <s v="0.00"/>
    <s v="83.33"/>
  </r>
  <r>
    <x v="13"/>
    <x v="196"/>
    <n v="910376"/>
    <n v="21966"/>
    <n v="581747"/>
    <s v="2.41"/>
    <s v="0.00"/>
    <s v="97.59"/>
  </r>
  <r>
    <x v="13"/>
    <x v="195"/>
    <n v="404387"/>
    <n v="4860"/>
    <n v="358852"/>
    <s v="1.20"/>
    <s v="0.00"/>
    <s v="98.80"/>
  </r>
  <r>
    <x v="13"/>
    <x v="194"/>
    <n v="4951"/>
    <n v="66"/>
    <n v="3937"/>
    <s v="1.33"/>
    <s v="0.00"/>
    <s v="98.67"/>
  </r>
  <r>
    <x v="13"/>
    <x v="193"/>
    <n v="27"/>
    <n v="0"/>
    <n v="23"/>
    <s v="0.00"/>
    <s v="0.00"/>
    <s v="100.00"/>
  </r>
  <r>
    <x v="13"/>
    <x v="192"/>
    <n v="185295"/>
    <n v="1318"/>
    <n v="157882"/>
    <s v="0.71"/>
    <s v="0.00"/>
    <s v="99.29"/>
  </r>
  <r>
    <x v="13"/>
    <x v="191"/>
    <n v="393454"/>
    <n v="6077"/>
    <n v="31657"/>
    <s v="1.54"/>
    <s v="0.00"/>
    <s v="98.46"/>
  </r>
  <r>
    <x v="13"/>
    <x v="190"/>
    <n v="45923884"/>
    <n v="745377"/>
    <n v="12523653"/>
    <s v="1.62"/>
    <s v="0.00"/>
    <s v="98.38"/>
  </r>
  <r>
    <x v="13"/>
    <x v="189"/>
    <n v="126000"/>
    <n v="3210"/>
    <n v="47444"/>
    <s v="2.55"/>
    <s v="0.00"/>
    <s v="97.45"/>
  </r>
  <r>
    <x v="13"/>
    <x v="188"/>
    <n v="3012370"/>
    <n v="71141"/>
    <n v="953480"/>
    <s v="2.36"/>
    <s v="0.00"/>
    <s v="97.64"/>
  </r>
  <r>
    <x v="13"/>
    <x v="187"/>
    <n v="26154"/>
    <n v="725"/>
    <n v="5560"/>
    <s v="2.77"/>
    <s v="0.00"/>
    <s v="97.23"/>
  </r>
  <r>
    <x v="13"/>
    <x v="186"/>
    <n v="16399"/>
    <n v="847"/>
    <n v="1816"/>
    <s v="5.16"/>
    <s v="0.00"/>
    <s v="94.84"/>
  </r>
  <r>
    <x v="13"/>
    <x v="185"/>
    <n v="56831"/>
    <n v="1674"/>
    <n v="36236"/>
    <s v="2.95"/>
    <s v="0.00"/>
    <s v="97.05"/>
  </r>
  <r>
    <x v="13"/>
    <x v="184"/>
    <n v="7985914"/>
    <n v="70207"/>
    <n v="1789174"/>
    <s v="0.88"/>
    <s v="0.00"/>
    <s v="99.12"/>
  </r>
  <r>
    <x v="13"/>
    <x v="183"/>
    <n v="1"/>
    <n v="0"/>
    <n v="0"/>
    <s v="0.00"/>
    <s v="0.00"/>
    <s v="100.00"/>
  </r>
  <r>
    <x v="13"/>
    <x v="182"/>
    <n v="712318"/>
    <n v="25231"/>
    <n v="370442"/>
    <s v="3.54"/>
    <s v="0.00"/>
    <s v="96.46"/>
  </r>
  <r>
    <x v="13"/>
    <x v="181"/>
    <n v="19787"/>
    <n v="122"/>
    <n v="5221"/>
    <s v="0.62"/>
    <s v="0.00"/>
    <s v="99.38"/>
  </r>
  <r>
    <x v="13"/>
    <x v="180"/>
    <n v="17486"/>
    <n v="125"/>
    <n v="14685"/>
    <s v="0.71"/>
    <s v="0.00"/>
    <s v="99.29"/>
  </r>
  <r>
    <x v="13"/>
    <x v="179"/>
    <n v="1893941"/>
    <n v="19070"/>
    <n v="362546"/>
    <s v="1.01"/>
    <s v="0.00"/>
    <s v="98.99"/>
  </r>
  <r>
    <x v="13"/>
    <x v="178"/>
    <n v="26054"/>
    <n v="242"/>
    <n v="7717"/>
    <s v="0.93"/>
    <s v="0.00"/>
    <s v="99.07"/>
  </r>
  <r>
    <x v="13"/>
    <x v="177"/>
    <n v="5069"/>
    <n v="174"/>
    <n v="456"/>
    <s v="3.43"/>
    <s v="0.00"/>
    <s v="96.57"/>
  </r>
  <r>
    <x v="13"/>
    <x v="176"/>
    <n v="46403"/>
    <n v="1242"/>
    <n v="25312"/>
    <s v="2.68"/>
    <s v="0.00"/>
    <s v="97.32"/>
  </r>
  <r>
    <x v="13"/>
    <x v="175"/>
    <n v="42886"/>
    <n v="2550"/>
    <n v="3514"/>
    <s v="5.95"/>
    <s v="0.00"/>
    <s v="94.05"/>
  </r>
  <r>
    <x v="13"/>
    <x v="174"/>
    <n v="113422"/>
    <n v="3613"/>
    <n v="92172"/>
    <s v="3.19"/>
    <s v="0.00"/>
    <s v="96.81"/>
  </r>
  <r>
    <x v="13"/>
    <x v="172"/>
    <n v="12361"/>
    <n v="133"/>
    <n v="7126"/>
    <s v="1.08"/>
    <s v="0.00"/>
    <s v="98.92"/>
  </r>
  <r>
    <x v="13"/>
    <x v="173"/>
    <n v="3710"/>
    <n v="56"/>
    <n v="3044"/>
    <s v="1.51"/>
    <s v="0.00"/>
    <s v="98.49"/>
  </r>
  <r>
    <x v="13"/>
    <x v="171"/>
    <n v="48899"/>
    <n v="1082"/>
    <n v="18823"/>
    <s v="2.21"/>
    <s v="0.00"/>
    <s v="97.79"/>
  </r>
  <r>
    <x v="13"/>
    <x v="170"/>
    <n v="21998"/>
    <n v="1208"/>
    <n v="5857"/>
    <s v="5.49"/>
    <s v="0.00"/>
    <s v="94.51"/>
  </r>
  <r>
    <x v="13"/>
    <x v="169"/>
    <n v="73909"/>
    <n v="1878"/>
    <n v="67236"/>
    <s v="2.54"/>
    <s v="0.00"/>
    <s v="97.46"/>
  </r>
  <r>
    <x v="13"/>
    <x v="168"/>
    <n v="5547"/>
    <n v="92"/>
    <n v="2371"/>
    <s v="1.66"/>
    <s v="0.00"/>
    <s v="98.34"/>
  </r>
  <r>
    <x v="13"/>
    <x v="167"/>
    <n v="6397"/>
    <n v="121"/>
    <n v="548"/>
    <s v="1.89"/>
    <s v="0.00"/>
    <s v="98.11"/>
  </r>
  <r>
    <x v="13"/>
    <x v="166"/>
    <n v="474595"/>
    <n v="13000"/>
    <n v="381445"/>
    <s v="2.74"/>
    <s v="0.00"/>
    <s v="97.26"/>
  </r>
  <r>
    <x v="13"/>
    <x v="165"/>
    <n v="331206"/>
    <n v="4730"/>
    <n v="110666"/>
    <s v="1.43"/>
    <s v="0.00"/>
    <s v="98.57"/>
  </r>
  <r>
    <x v="13"/>
    <x v="164"/>
    <n v="192099"/>
    <n v="380"/>
    <n v="86338"/>
    <s v="0.20"/>
    <s v="0.00"/>
    <s v="99.80"/>
  </r>
  <r>
    <x v="13"/>
    <x v="163"/>
    <n v="1171512"/>
    <n v="15025"/>
    <n v="209632"/>
    <s v="1.28"/>
    <s v="0.00"/>
    <s v="98.72"/>
  </r>
  <r>
    <x v="13"/>
    <x v="162"/>
    <n v="40433"/>
    <n v="3099"/>
    <n v="17529"/>
    <s v="7.66"/>
    <s v="0.00"/>
    <s v="92.34"/>
  </r>
  <r>
    <x v="13"/>
    <x v="161"/>
    <n v="22243"/>
    <n v="119"/>
    <n v="11953"/>
    <s v="0.53"/>
    <s v="0.00"/>
    <s v="99.47"/>
  </r>
  <r>
    <x v="13"/>
    <x v="160"/>
    <n v="20"/>
    <n v="0"/>
    <n v="7"/>
    <s v="0.00"/>
    <s v="0.00"/>
    <s v="100.00"/>
  </r>
  <r>
    <x v="13"/>
    <x v="159"/>
    <n v="548530"/>
    <n v="8790"/>
    <n v="481256"/>
    <s v="1.60"/>
    <s v="0.00"/>
    <s v="98.40"/>
  </r>
  <r>
    <x v="13"/>
    <x v="158"/>
    <n v="99628"/>
    <n v="1328"/>
    <n v="39419"/>
    <s v="1.33"/>
    <s v="0.00"/>
    <s v="98.67"/>
  </r>
  <r>
    <x v="13"/>
    <x v="157"/>
    <n v="8298850"/>
    <n v="231931"/>
    <n v="3126887"/>
    <s v="2.79"/>
    <s v="0.00"/>
    <s v="97.21"/>
  </r>
  <r>
    <x v="13"/>
    <x v="156"/>
    <n v="1131819"/>
    <n v="9826"/>
    <n v="790106"/>
    <s v="0.87"/>
    <s v="0.00"/>
    <s v="99.13"/>
  </r>
  <r>
    <x v="13"/>
    <x v="155"/>
    <n v="1628501"/>
    <n v="46911"/>
    <n v="783801"/>
    <s v="2.88"/>
    <s v="0.00"/>
    <s v="97.12"/>
  </r>
  <r>
    <x v="13"/>
    <x v="154"/>
    <n v="54668"/>
    <n v="374"/>
    <n v="36688"/>
    <s v="0.68"/>
    <s v="0.00"/>
    <s v="99.32"/>
  </r>
  <r>
    <x v="13"/>
    <x v="153"/>
    <n v="239051"/>
    <n v="610"/>
    <n v="132170"/>
    <s v="0.26"/>
    <s v="0.00"/>
    <s v="99.74"/>
  </r>
  <r>
    <x v="13"/>
    <x v="152"/>
    <n v="460944"/>
    <n v="16243"/>
    <n v="135709"/>
    <s v="3.52"/>
    <s v="0.00"/>
    <s v="96.48"/>
  </r>
  <r>
    <x v="13"/>
    <x v="151"/>
    <n v="8"/>
    <n v="0"/>
    <n v="5"/>
    <s v="0.00"/>
    <s v="0.00"/>
    <s v="100.00"/>
  </r>
  <r>
    <x v="13"/>
    <x v="150"/>
    <n v="1088977"/>
    <n v="18153"/>
    <n v="771426"/>
    <s v="1.67"/>
    <s v="0.00"/>
    <s v="98.33"/>
  </r>
  <r>
    <x v="13"/>
    <x v="149"/>
    <n v="452997"/>
    <n v="4663"/>
    <n v="88324"/>
    <s v="1.03"/>
    <s v="0.00"/>
    <s v="98.97"/>
  </r>
  <r>
    <x v="13"/>
    <x v="148"/>
    <n v="3008294"/>
    <n v="76875"/>
    <n v="2476141"/>
    <s v="2.56"/>
    <s v="0.00"/>
    <s v="97.44"/>
  </r>
  <r>
    <x v="13"/>
    <x v="147"/>
    <n v="1272345"/>
    <n v="28439"/>
    <n v="825258"/>
    <s v="2.24"/>
    <s v="0.00"/>
    <s v="97.76"/>
  </r>
  <r>
    <x v="13"/>
    <x v="146"/>
    <n v="2779943"/>
    <n v="42621"/>
    <n v="330115"/>
    <s v="1.53"/>
    <s v="0.00"/>
    <s v="98.47"/>
  </r>
  <r>
    <x v="13"/>
    <x v="145"/>
    <n v="29108"/>
    <n v="367"/>
    <n v="7805"/>
    <s v="1.26"/>
    <s v="0.00"/>
    <s v="98.74"/>
  </r>
  <r>
    <x v="13"/>
    <x v="144"/>
    <n v="45541"/>
    <n v="636"/>
    <n v="22778"/>
    <s v="1.40"/>
    <s v="0.00"/>
    <s v="98.60"/>
  </r>
  <r>
    <x v="13"/>
    <x v="143"/>
    <n v="2199876"/>
    <n v="200197"/>
    <n v="893969"/>
    <s v="9.10"/>
    <s v="0.00"/>
    <s v="90.90"/>
  </r>
  <r>
    <x v="13"/>
    <x v="142"/>
    <n v="472398"/>
    <n v="7315"/>
    <n v="20764"/>
    <s v="1.55"/>
    <s v="0.00"/>
    <s v="98.45"/>
  </r>
  <r>
    <x v="13"/>
    <x v="141"/>
    <n v="304241"/>
    <n v="4111"/>
    <n v="144645"/>
    <s v="1.35"/>
    <s v="0.00"/>
    <s v="98.65"/>
  </r>
  <r>
    <x v="13"/>
    <x v="140"/>
    <n v="6286"/>
    <n v="28"/>
    <n v="5361"/>
    <s v="0.45"/>
    <s v="0.00"/>
    <s v="99.55"/>
  </r>
  <r>
    <x v="13"/>
    <x v="139"/>
    <n v="811897"/>
    <n v="11388"/>
    <n v="32057"/>
    <s v="1.40"/>
    <s v="0.00"/>
    <s v="98.60"/>
  </r>
  <r>
    <x v="13"/>
    <x v="138"/>
    <n v="205855"/>
    <n v="900"/>
    <n v="155346"/>
    <s v="0.44"/>
    <s v="0.00"/>
    <s v="99.56"/>
  </r>
  <r>
    <x v="13"/>
    <x v="137"/>
    <n v="2155810"/>
    <n v="18823"/>
    <n v="1839274"/>
    <s v="0.87"/>
    <s v="0.00"/>
    <s v="99.13"/>
  </r>
  <r>
    <x v="13"/>
    <x v="136"/>
    <n v="16422"/>
    <n v="208"/>
    <n v="10350"/>
    <s v="1.27"/>
    <s v="0.00"/>
    <s v="98.73"/>
  </r>
  <r>
    <x v="13"/>
    <x v="135"/>
    <n v="211798"/>
    <n v="2895"/>
    <n v="171658"/>
    <s v="1.37"/>
    <s v="0.00"/>
    <s v="98.63"/>
  </r>
  <r>
    <x v="13"/>
    <x v="134"/>
    <n v="6311"/>
    <n v="212"/>
    <n v="6080"/>
    <s v="3.36"/>
    <s v="0.00"/>
    <s v="96.64"/>
  </r>
  <r>
    <x v="13"/>
    <x v="133"/>
    <n v="10909"/>
    <n v="264"/>
    <n v="1754"/>
    <s v="2.42"/>
    <s v="0.00"/>
    <s v="97.58"/>
  </r>
  <r>
    <x v="13"/>
    <x v="132"/>
    <n v="128886"/>
    <n v="3552"/>
    <n v="26557"/>
    <s v="2.76"/>
    <s v="0.00"/>
    <s v="97.24"/>
  </r>
  <r>
    <x v="13"/>
    <x v="131"/>
    <n v="151270"/>
    <n v="1929"/>
    <n v="80300"/>
    <s v="1.28"/>
    <s v="0.00"/>
    <s v="98.72"/>
  </r>
  <r>
    <x v="13"/>
    <x v="130"/>
    <n v="2460809"/>
    <n v="28832"/>
    <n v="120085"/>
    <s v="1.17"/>
    <s v="0.00"/>
    <s v="98.83"/>
  </r>
  <r>
    <x v="13"/>
    <x v="129"/>
    <n v="3802287"/>
    <n v="287951"/>
    <n v="229916"/>
    <s v="7.57"/>
    <s v="0.00"/>
    <s v="92.43"/>
  </r>
  <r>
    <x v="13"/>
    <x v="128"/>
    <n v="61789"/>
    <n v="2299"/>
    <n v="11821"/>
    <s v="3.72"/>
    <s v="0.00"/>
    <s v="96.28"/>
  </r>
  <r>
    <x v="13"/>
    <x v="127"/>
    <n v="87487"/>
    <n v="243"/>
    <n v="45226"/>
    <s v="0.28"/>
    <s v="0.00"/>
    <s v="99.72"/>
  </r>
  <r>
    <x v="13"/>
    <x v="126"/>
    <n v="17698"/>
    <n v="166"/>
    <n v="11423"/>
    <s v="0.94"/>
    <s v="0.00"/>
    <s v="99.06"/>
  </r>
  <r>
    <x v="13"/>
    <x v="125"/>
    <n v="37618"/>
    <n v="461"/>
    <n v="19534"/>
    <s v="1.23"/>
    <s v="0.00"/>
    <s v="98.77"/>
  </r>
  <r>
    <x v="13"/>
    <x v="124"/>
    <n v="37222"/>
    <n v="794"/>
    <n v="35715"/>
    <s v="2.13"/>
    <s v="0.00"/>
    <s v="97.87"/>
  </r>
  <r>
    <x v="13"/>
    <x v="123"/>
    <n v="43183"/>
    <n v="681"/>
    <n v="42449"/>
    <s v="1.58"/>
    <s v="0.00"/>
    <s v="98.42"/>
  </r>
  <r>
    <x v="13"/>
    <x v="122"/>
    <n v="77"/>
    <n v="0"/>
    <n v="42"/>
    <s v="0.00"/>
    <s v="0.00"/>
    <s v="100.00"/>
  </r>
  <r>
    <x v="13"/>
    <x v="121"/>
    <n v="358208"/>
    <n v="1722"/>
    <n v="294696"/>
    <s v="0.48"/>
    <s v="0.00"/>
    <s v="99.52"/>
  </r>
  <r>
    <x v="13"/>
    <x v="120"/>
    <n v="498605"/>
    <n v="18644"/>
    <n v="343453"/>
    <s v="3.74"/>
    <s v="0.00"/>
    <s v="96.26"/>
  </r>
  <r>
    <x v="13"/>
    <x v="119"/>
    <n v="15978"/>
    <n v="563"/>
    <n v="13510"/>
    <s v="3.52"/>
    <s v="0.00"/>
    <s v="96.48"/>
  </r>
  <r>
    <x v="13"/>
    <x v="118"/>
    <n v="201708"/>
    <n v="7108"/>
    <n v="144083"/>
    <s v="3.52"/>
    <s v="0.00"/>
    <s v="96.48"/>
  </r>
  <r>
    <x v="13"/>
    <x v="117"/>
    <n v="4"/>
    <n v="0"/>
    <n v="2"/>
    <s v="0.00"/>
    <s v="0.00"/>
    <s v="100.00"/>
  </r>
  <r>
    <x v="13"/>
    <x v="116"/>
    <n v="43626"/>
    <n v="963"/>
    <n v="28644"/>
    <s v="2.21"/>
    <s v="0.00"/>
    <s v="97.79"/>
  </r>
  <r>
    <x v="13"/>
    <x v="115"/>
    <n v="3920"/>
    <n v="56"/>
    <n v="2177"/>
    <s v="1.43"/>
    <s v="0.00"/>
    <s v="98.57"/>
  </r>
  <r>
    <x v="13"/>
    <x v="114"/>
    <n v="143322"/>
    <n v="2095"/>
    <n v="81849"/>
    <s v="1.46"/>
    <s v="0.00"/>
    <s v="98.54"/>
  </r>
  <r>
    <x v="13"/>
    <x v="113"/>
    <n v="335860"/>
    <n v="7665"/>
    <n v="26888"/>
    <s v="2.28"/>
    <s v="0.00"/>
    <s v="97.72"/>
  </r>
  <r>
    <x v="13"/>
    <x v="112"/>
    <n v="3414"/>
    <n v="36"/>
    <n v="1598"/>
    <s v="1.05"/>
    <s v="0.00"/>
    <s v="98.95"/>
  </r>
  <r>
    <x v="13"/>
    <x v="111"/>
    <n v="945720"/>
    <n v="14660"/>
    <n v="925978"/>
    <s v="1.55"/>
    <s v="0.00"/>
    <s v="98.45"/>
  </r>
  <r>
    <x v="13"/>
    <x v="110"/>
    <n v="356655"/>
    <n v="5078"/>
    <n v="70010"/>
    <s v="1.42"/>
    <s v="0.00"/>
    <s v="98.58"/>
  </r>
  <r>
    <x v="13"/>
    <x v="109"/>
    <n v="214460"/>
    <n v="3198"/>
    <n v="153186"/>
    <s v="1.49"/>
    <s v="0.00"/>
    <s v="98.51"/>
  </r>
  <r>
    <x v="13"/>
    <x v="108"/>
    <n v="81683"/>
    <n v="843"/>
    <n v="80085"/>
    <s v="1.03"/>
    <s v="0.00"/>
    <s v="98.97"/>
  </r>
  <r>
    <x v="13"/>
    <x v="107"/>
    <n v="403051"/>
    <n v="5800"/>
    <n v="195005"/>
    <s v="1.44"/>
    <s v="0.00"/>
    <s v="98.56"/>
  </r>
  <r>
    <x v="13"/>
    <x v="106"/>
    <n v="21628"/>
    <n v="658"/>
    <n v="10482"/>
    <s v="3.04"/>
    <s v="0.00"/>
    <s v="96.96"/>
  </r>
  <r>
    <x v="13"/>
    <x v="105"/>
    <n v="5812"/>
    <n v="287"/>
    <n v="5402"/>
    <s v="4.94"/>
    <s v="0.00"/>
    <s v="95.06"/>
  </r>
  <r>
    <x v="13"/>
    <x v="104"/>
    <n v="539416"/>
    <n v="13706"/>
    <n v="170657"/>
    <s v="2.54"/>
    <s v="0.00"/>
    <s v="97.46"/>
  </r>
  <r>
    <x v="13"/>
    <x v="103"/>
    <n v="3662"/>
    <n v="61"/>
    <n v="3112"/>
    <s v="1.67"/>
    <s v="0.00"/>
    <s v="98.33"/>
  </r>
  <r>
    <x v="13"/>
    <x v="102"/>
    <n v="12536"/>
    <n v="254"/>
    <n v="12013"/>
    <s v="2.03"/>
    <s v="0.00"/>
    <s v="97.97"/>
  </r>
  <r>
    <x v="13"/>
    <x v="101"/>
    <n v="640675"/>
    <n v="8488"/>
    <n v="65384"/>
    <s v="1.32"/>
    <s v="0.00"/>
    <s v="98.68"/>
  </r>
  <r>
    <x v="13"/>
    <x v="100"/>
    <n v="38728"/>
    <n v="61"/>
    <n v="9068"/>
    <s v="0.16"/>
    <s v="0.00"/>
    <s v="99.84"/>
  </r>
  <r>
    <x v="13"/>
    <x v="99"/>
    <n v="1017181"/>
    <n v="17078"/>
    <n v="875059"/>
    <s v="1.68"/>
    <s v="0.00"/>
    <s v="98.32"/>
  </r>
  <r>
    <x v="13"/>
    <x v="98"/>
    <n v="412641"/>
    <n v="2461"/>
    <n v="36355"/>
    <s v="0.60"/>
    <s v="0.00"/>
    <s v="99.40"/>
  </r>
  <r>
    <x v="13"/>
    <x v="97"/>
    <n v="362639"/>
    <n v="2830"/>
    <n v="215176"/>
    <s v="0.78"/>
    <s v="0.00"/>
    <s v="99.22"/>
  </r>
  <r>
    <x v="13"/>
    <x v="96"/>
    <n v="2668"/>
    <n v="23"/>
    <n v="411"/>
    <s v="0.86"/>
    <s v="0.00"/>
    <s v="99.14"/>
  </r>
  <r>
    <x v="13"/>
    <x v="95"/>
    <n v="4239"/>
    <n v="147"/>
    <n v="336"/>
    <s v="3.47"/>
    <s v="0.00"/>
    <s v="96.53"/>
  </r>
  <r>
    <x v="13"/>
    <x v="93"/>
    <n v="118321"/>
    <n v="2773"/>
    <n v="12245"/>
    <s v="2.34"/>
    <s v="0.00"/>
    <s v="97.66"/>
  </r>
  <r>
    <x v="13"/>
    <x v="94"/>
    <n v="2"/>
    <n v="0"/>
    <n v="1"/>
    <s v="0.00"/>
    <s v="0.00"/>
    <s v="100.00"/>
  </r>
  <r>
    <x v="13"/>
    <x v="92"/>
    <n v="181105"/>
    <n v="2666"/>
    <n v="87681"/>
    <s v="1.47"/>
    <s v="0.00"/>
    <s v="98.53"/>
  </r>
  <r>
    <x v="13"/>
    <x v="91"/>
    <n v="253151"/>
    <n v="5273"/>
    <n v="126095"/>
    <s v="2.08"/>
    <s v="0.00"/>
    <s v="97.92"/>
  </r>
  <r>
    <x v="13"/>
    <x v="90"/>
    <n v="1719043"/>
    <n v="18261"/>
    <n v="583648"/>
    <s v="1.06"/>
    <s v="0.00"/>
    <s v="98.94"/>
  </r>
  <r>
    <x v="13"/>
    <x v="89"/>
    <n v="859796"/>
    <n v="11016"/>
    <n v="34006"/>
    <s v="1.28"/>
    <s v="0.00"/>
    <s v="98.72"/>
  </r>
  <r>
    <x v="13"/>
    <x v="88"/>
    <n v="88775"/>
    <n v="2217"/>
    <n v="62210"/>
    <s v="2.50"/>
    <s v="0.00"/>
    <s v="97.50"/>
  </r>
  <r>
    <x v="13"/>
    <x v="87"/>
    <n v="4762563"/>
    <n v="132037"/>
    <n v="2876156"/>
    <s v="2.77"/>
    <s v="0.00"/>
    <s v="97.23"/>
  </r>
  <r>
    <x v="13"/>
    <x v="86"/>
    <n v="13492"/>
    <n v="33"/>
    <n v="12801"/>
    <s v="0.24"/>
    <s v="0.00"/>
    <s v="99.76"/>
  </r>
  <r>
    <x v="13"/>
    <x v="85"/>
    <n v="5909402"/>
    <n v="125998"/>
    <n v="53301"/>
    <s v="2.13"/>
    <s v="0.00"/>
    <s v="97.87"/>
  </r>
  <r>
    <x v="13"/>
    <x v="84"/>
    <n v="2053520"/>
    <n v="23111"/>
    <n v="1007099"/>
    <s v="1.13"/>
    <s v="0.00"/>
    <s v="98.87"/>
  </r>
  <r>
    <x v="13"/>
    <x v="83"/>
    <n v="34260470"/>
    <n v="457740"/>
    <n v="1257775"/>
    <s v="1.34"/>
    <s v="0.00"/>
    <s v="98.66"/>
  </r>
  <r>
    <x v="13"/>
    <x v="82"/>
    <n v="1326742"/>
    <n v="8085"/>
    <n v="406531"/>
    <s v="0.61"/>
    <s v="0.00"/>
    <s v="99.39"/>
  </r>
  <r>
    <x v="13"/>
    <x v="81"/>
    <n v="440665"/>
    <n v="5436"/>
    <n v="274485"/>
    <s v="1.23"/>
    <s v="0.00"/>
    <s v="98.77"/>
  </r>
  <r>
    <x v="13"/>
    <x v="80"/>
    <n v="4243215"/>
    <n v="143361"/>
    <n v="1464429"/>
    <s v="3.38"/>
    <s v="0.00"/>
    <s v="96.62"/>
  </r>
  <r>
    <x v="13"/>
    <x v="79"/>
    <n v="863419"/>
    <n v="30729"/>
    <n v="360941"/>
    <s v="3.56"/>
    <s v="0.00"/>
    <s v="96.44"/>
  </r>
  <r>
    <x v="13"/>
    <x v="78"/>
    <n v="23823"/>
    <n v="662"/>
    <n v="7483"/>
    <s v="2.78"/>
    <s v="0.00"/>
    <s v="97.22"/>
  </r>
  <r>
    <x v="13"/>
    <x v="77"/>
    <n v="462482"/>
    <n v="9168"/>
    <n v="399326"/>
    <s v="1.98"/>
    <s v="0.00"/>
    <s v="98.02"/>
  </r>
  <r>
    <x v="13"/>
    <x v="76"/>
    <n v="375213"/>
    <n v="10235"/>
    <n v="195512"/>
    <s v="2.73"/>
    <s v="0.00"/>
    <s v="97.27"/>
  </r>
  <r>
    <x v="13"/>
    <x v="75"/>
    <n v="12342"/>
    <n v="213"/>
    <n v="3117"/>
    <s v="1.73"/>
    <s v="0.00"/>
    <s v="98.27"/>
  </r>
  <r>
    <x v="13"/>
    <x v="74"/>
    <n v="35444"/>
    <n v="910"/>
    <n v="25631"/>
    <s v="2.57"/>
    <s v="0.00"/>
    <s v="97.43"/>
  </r>
  <r>
    <x v="13"/>
    <x v="73"/>
    <n v="6133"/>
    <n v="141"/>
    <n v="1022"/>
    <s v="2.30"/>
    <s v="0.00"/>
    <s v="97.70"/>
  </r>
  <r>
    <x v="13"/>
    <x v="72"/>
    <n v="600419"/>
    <n v="14993"/>
    <n v="23145"/>
    <s v="2.50"/>
    <s v="0.00"/>
    <s v="97.50"/>
  </r>
  <r>
    <x v="13"/>
    <x v="71"/>
    <n v="734778"/>
    <n v="15856"/>
    <n v="21975"/>
    <s v="2.16"/>
    <s v="0.00"/>
    <s v="97.84"/>
  </r>
  <r>
    <x v="13"/>
    <x v="70"/>
    <n v="13304"/>
    <n v="166"/>
    <n v="12460"/>
    <s v="1.25"/>
    <s v="0.00"/>
    <s v="98.75"/>
  </r>
  <r>
    <x v="13"/>
    <x v="69"/>
    <n v="54288"/>
    <n v="815"/>
    <n v="46552"/>
    <s v="1.50"/>
    <s v="0.00"/>
    <s v="98.50"/>
  </r>
  <r>
    <x v="13"/>
    <x v="67"/>
    <n v="9965"/>
    <n v="340"/>
    <n v="9088"/>
    <s v="3.41"/>
    <s v="0.00"/>
    <s v="96.59"/>
  </r>
  <r>
    <x v="13"/>
    <x v="68"/>
    <n v="30653"/>
    <n v="385"/>
    <n v="24822"/>
    <s v="1.26"/>
    <s v="0.00"/>
    <s v="98.74"/>
  </r>
  <r>
    <x v="13"/>
    <x v="66"/>
    <n v="5959"/>
    <n v="98"/>
    <n v="5198"/>
    <s v="1.64"/>
    <s v="0.00"/>
    <s v="98.36"/>
  </r>
  <r>
    <x v="13"/>
    <x v="65"/>
    <n v="130077"/>
    <n v="1175"/>
    <n v="128243"/>
    <s v="0.90"/>
    <s v="0.00"/>
    <s v="99.10"/>
  </r>
  <r>
    <x v="13"/>
    <x v="64"/>
    <n v="44554"/>
    <n v="306"/>
    <n v="19348"/>
    <s v="0.69"/>
    <s v="0.00"/>
    <s v="99.31"/>
  </r>
  <r>
    <x v="13"/>
    <x v="62"/>
    <n v="5839"/>
    <n v="198"/>
    <n v="58"/>
    <s v="3.39"/>
    <s v="0.00"/>
    <s v="96.61"/>
  </r>
  <r>
    <x v="13"/>
    <x v="63"/>
    <n v="711255"/>
    <n v="9961"/>
    <n v="29544"/>
    <s v="1.40"/>
    <s v="0.00"/>
    <s v="98.60"/>
  </r>
  <r>
    <x v="13"/>
    <x v="61"/>
    <n v="9015742"/>
    <n v="140717"/>
    <n v="8241090"/>
    <s v="1.56"/>
    <s v="0.00"/>
    <s v="98.44"/>
  </r>
  <r>
    <x v="13"/>
    <x v="60"/>
    <n v="35525"/>
    <n v="239"/>
    <n v="24489"/>
    <s v="0.67"/>
    <s v="0.00"/>
    <s v="99.33"/>
  </r>
  <r>
    <x v="13"/>
    <x v="59"/>
    <n v="6975502"/>
    <n v="115267"/>
    <n v="3078365"/>
    <s v="1.65"/>
    <s v="0.00"/>
    <s v="98.35"/>
  </r>
  <r>
    <x v="13"/>
    <x v="58"/>
    <n v="2011"/>
    <n v="2"/>
    <n v="292"/>
    <s v="0.10"/>
    <s v="0.00"/>
    <s v="99.90"/>
  </r>
  <r>
    <x v="13"/>
    <x v="57"/>
    <n v="52141"/>
    <n v="674"/>
    <n v="42172"/>
    <s v="1.29"/>
    <s v="0.00"/>
    <s v="98.71"/>
  </r>
  <r>
    <x v="13"/>
    <x v="56"/>
    <n v="157531"/>
    <n v="1158"/>
    <n v="2280"/>
    <s v="0.74"/>
    <s v="0.00"/>
    <s v="99.26"/>
  </r>
  <r>
    <x v="13"/>
    <x v="55"/>
    <n v="364576"/>
    <n v="6437"/>
    <n v="297037"/>
    <s v="1.77"/>
    <s v="0.00"/>
    <s v="98.23"/>
  </r>
  <r>
    <x v="13"/>
    <x v="54"/>
    <n v="5011148"/>
    <n v="87368"/>
    <n v="303512"/>
    <s v="1.74"/>
    <s v="0.00"/>
    <s v="98.26"/>
  </r>
  <r>
    <x v="13"/>
    <x v="53"/>
    <n v="6816"/>
    <n v="45"/>
    <n v="4926"/>
    <s v="0.66"/>
    <s v="0.00"/>
    <s v="99.34"/>
  </r>
  <r>
    <x v="13"/>
    <x v="52"/>
    <n v="329136"/>
    <n v="18535"/>
    <n v="187679"/>
    <s v="5.63"/>
    <s v="0.00"/>
    <s v="94.37"/>
  </r>
  <r>
    <x v="13"/>
    <x v="51"/>
    <n v="190201"/>
    <n v="1502"/>
    <n v="77203"/>
    <s v="0.79"/>
    <s v="0.00"/>
    <s v="99.21"/>
  </r>
  <r>
    <x v="13"/>
    <x v="50"/>
    <n v="515859"/>
    <n v="32958"/>
    <n v="185405"/>
    <s v="6.39"/>
    <s v="0.00"/>
    <s v="93.61"/>
  </r>
  <r>
    <x v="13"/>
    <x v="49"/>
    <n v="206270"/>
    <n v="5913"/>
    <n v="4258"/>
    <s v="2.87"/>
    <s v="0.00"/>
    <s v="97.13"/>
  </r>
  <r>
    <x v="13"/>
    <x v="48"/>
    <n v="380215"/>
    <n v="4126"/>
    <n v="150914"/>
    <s v="1.09"/>
    <s v="0.00"/>
    <s v="98.91"/>
  </r>
  <r>
    <x v="13"/>
    <x v="47"/>
    <n v="4783"/>
    <n v="32"/>
    <n v="2833"/>
    <s v="0.67"/>
    <s v="0.00"/>
    <s v="99.33"/>
  </r>
  <r>
    <x v="13"/>
    <x v="46"/>
    <n v="385379"/>
    <n v="2709"/>
    <n v="75468"/>
    <s v="0.70"/>
    <s v="0.00"/>
    <s v="99.30"/>
  </r>
  <r>
    <x v="13"/>
    <x v="45"/>
    <n v="13478"/>
    <n v="181"/>
    <n v="1979"/>
    <s v="1.34"/>
    <s v="0.00"/>
    <s v="98.66"/>
  </r>
  <r>
    <x v="13"/>
    <x v="44"/>
    <n v="4591264"/>
    <n v="95701"/>
    <n v="3052603"/>
    <s v="2.08"/>
    <s v="0.00"/>
    <s v="97.92"/>
  </r>
  <r>
    <x v="13"/>
    <x v="43"/>
    <n v="1752086"/>
    <n v="30705"/>
    <n v="74407"/>
    <s v="1.75"/>
    <s v="0.00"/>
    <s v="98.25"/>
  </r>
  <r>
    <x v="13"/>
    <x v="42"/>
    <n v="124017"/>
    <n v="572"/>
    <n v="34703"/>
    <s v="0.46"/>
    <s v="0.00"/>
    <s v="99.54"/>
  </r>
  <r>
    <x v="13"/>
    <x v="41"/>
    <n v="38197"/>
    <n v="349"/>
    <n v="33004"/>
    <s v="0.91"/>
    <s v="0.00"/>
    <s v="99.09"/>
  </r>
  <r>
    <x v="13"/>
    <x v="40"/>
    <n v="950613"/>
    <n v="8223"/>
    <n v="753366"/>
    <s v="0.87"/>
    <s v="0.00"/>
    <s v="99.13"/>
  </r>
  <r>
    <x v="13"/>
    <x v="39"/>
    <n v="559698"/>
    <n v="7029"/>
    <n v="497972"/>
    <s v="1.26"/>
    <s v="0.00"/>
    <s v="98.74"/>
  </r>
  <r>
    <x v="13"/>
    <x v="38"/>
    <n v="4999048"/>
    <n v="127225"/>
    <n v="1087561"/>
    <s v="2.54"/>
    <s v="0.00"/>
    <s v="97.46"/>
  </r>
  <r>
    <x v="13"/>
    <x v="37"/>
    <n v="97080"/>
    <n v="4636"/>
    <n v="65092"/>
    <s v="4.78"/>
    <s v="0.00"/>
    <s v="95.22"/>
  </r>
  <r>
    <x v="13"/>
    <x v="36"/>
    <n v="102499"/>
    <n v="1686"/>
    <n v="100703"/>
    <s v="1.64"/>
    <s v="0.00"/>
    <s v="98.36"/>
  </r>
  <r>
    <x v="13"/>
    <x v="35"/>
    <n v="1690735"/>
    <n v="37729"/>
    <n v="416843"/>
    <s v="2.23"/>
    <s v="0.00"/>
    <s v="97.77"/>
  </r>
  <r>
    <x v="13"/>
    <x v="34"/>
    <n v="61271"/>
    <n v="692"/>
    <n v="9666"/>
    <s v="1.13"/>
    <s v="0.00"/>
    <s v="98.87"/>
  </r>
  <r>
    <x v="13"/>
    <x v="33"/>
    <n v="872558"/>
    <n v="11233"/>
    <n v="465150"/>
    <s v="1.29"/>
    <s v="0.00"/>
    <s v="98.71"/>
  </r>
  <r>
    <x v="13"/>
    <x v="32"/>
    <n v="17323"/>
    <n v="258"/>
    <n v="2713"/>
    <s v="1.49"/>
    <s v="0.00"/>
    <s v="98.51"/>
  </r>
  <r>
    <x v="13"/>
    <x v="31"/>
    <n v="11518"/>
    <n v="100"/>
    <n v="6516"/>
    <s v="0.87"/>
    <s v="0.00"/>
    <s v="99.13"/>
  </r>
  <r>
    <x v="13"/>
    <x v="30"/>
    <n v="57470"/>
    <n v="1091"/>
    <n v="43069"/>
    <s v="1.90"/>
    <s v="0.00"/>
    <s v="98.10"/>
  </r>
  <r>
    <x v="13"/>
    <x v="29"/>
    <n v="1720340"/>
    <n v="29005"/>
    <n v="31996"/>
    <s v="1.69"/>
    <s v="0.00"/>
    <s v="98.31"/>
  </r>
  <r>
    <x v="13"/>
    <x v="28"/>
    <n v="26798"/>
    <n v="491"/>
    <n v="17312"/>
    <s v="1.83"/>
    <s v="0.00"/>
    <s v="98.17"/>
  </r>
  <r>
    <x v="13"/>
    <x v="27"/>
    <n v="596191"/>
    <n v="4596"/>
    <n v="176740"/>
    <s v="0.77"/>
    <s v="0.00"/>
    <s v="99.23"/>
  </r>
  <r>
    <x v="13"/>
    <x v="26"/>
    <n v="186594"/>
    <n v="2406"/>
    <n v="132137"/>
    <s v="1.29"/>
    <s v="0.00"/>
    <s v="98.71"/>
  </r>
  <r>
    <x v="13"/>
    <x v="25"/>
    <n v="2621"/>
    <n v="3"/>
    <n v="2442"/>
    <s v="0.11"/>
    <s v="0.00"/>
    <s v="99.89"/>
  </r>
  <r>
    <x v="13"/>
    <x v="24"/>
    <n v="22351"/>
    <n v="643"/>
    <n v="13146"/>
    <s v="2.88"/>
    <s v="0.00"/>
    <s v="97.12"/>
  </r>
  <r>
    <x v="13"/>
    <x v="23"/>
    <n v="21793401"/>
    <n v="607462"/>
    <n v="5897048"/>
    <s v="2.79"/>
    <s v="0.00"/>
    <s v="97.21"/>
  </r>
  <r>
    <x v="13"/>
    <x v="22"/>
    <n v="512460"/>
    <n v="18915"/>
    <n v="152136"/>
    <s v="3.69"/>
    <s v="0.00"/>
    <s v="96.31"/>
  </r>
  <r>
    <x v="13"/>
    <x v="21"/>
    <n v="12955"/>
    <n v="86"/>
    <n v="5193"/>
    <s v="0.66"/>
    <s v="0.00"/>
    <s v="99.34"/>
  </r>
  <r>
    <x v="13"/>
    <x v="20"/>
    <n v="1659"/>
    <n v="6"/>
    <n v="1550"/>
    <s v="0.36"/>
    <s v="0.00"/>
    <s v="99.64"/>
  </r>
  <r>
    <x v="13"/>
    <x v="19"/>
    <n v="24749"/>
    <n v="161"/>
    <n v="6682"/>
    <s v="0.65"/>
    <s v="0.00"/>
    <s v="99.35"/>
  </r>
  <r>
    <x v="13"/>
    <x v="18"/>
    <n v="20039"/>
    <n v="38"/>
    <n v="8676"/>
    <s v="0.19"/>
    <s v="0.00"/>
    <s v="99.81"/>
  </r>
  <r>
    <x v="13"/>
    <x v="17"/>
    <n v="276749"/>
    <n v="1393"/>
    <n v="79507"/>
    <s v="0.50"/>
    <s v="0.00"/>
    <s v="99.50"/>
  </r>
  <r>
    <x v="13"/>
    <x v="16"/>
    <n v="598199"/>
    <n v="23872"/>
    <n v="184498"/>
    <s v="3.99"/>
    <s v="0.00"/>
    <s v="96.01"/>
  </r>
  <r>
    <x v="13"/>
    <x v="15"/>
    <n v="14793"/>
    <n v="214"/>
    <n v="4986"/>
    <s v="1.45"/>
    <s v="0.00"/>
    <s v="98.55"/>
  </r>
  <r>
    <x v="13"/>
    <x v="14"/>
    <n v="1360650"/>
    <n v="25994"/>
    <n v="1304583"/>
    <s v="1.91"/>
    <s v="0.00"/>
    <s v="98.09"/>
  </r>
  <r>
    <x v="13"/>
    <x v="13"/>
    <n v="1569162"/>
    <n v="27854"/>
    <n v="1219889"/>
    <s v="1.78"/>
    <s v="0.00"/>
    <s v="98.22"/>
  </r>
  <r>
    <x v="13"/>
    <x v="12"/>
    <n v="17151"/>
    <n v="151"/>
    <n v="13924"/>
    <s v="0.88"/>
    <s v="0.00"/>
    <s v="99.12"/>
  </r>
  <r>
    <x v="13"/>
    <x v="11"/>
    <n v="252758"/>
    <n v="11495"/>
    <n v="36020"/>
    <s v="4.55"/>
    <s v="0.00"/>
    <s v="95.45"/>
  </r>
  <r>
    <x v="13"/>
    <x v="10"/>
    <n v="526920"/>
    <n v="7021"/>
    <n v="426210"/>
    <s v="1.33"/>
    <s v="0.00"/>
    <s v="98.67"/>
  </r>
  <r>
    <x v="13"/>
    <x v="9"/>
    <n v="169379"/>
    <n v="1722"/>
    <n v="121579"/>
    <s v="1.02"/>
    <s v="0.00"/>
    <s v="98.98"/>
  </r>
  <r>
    <x v="13"/>
    <x v="8"/>
    <n v="819195"/>
    <n v="11333"/>
    <n v="784305"/>
    <s v="1.38"/>
    <s v="0.00"/>
    <s v="98.62"/>
  </r>
  <r>
    <x v="13"/>
    <x v="7"/>
    <n v="5287447"/>
    <n v="115935"/>
    <n v="1996750"/>
    <s v="2.19"/>
    <s v="0.00"/>
    <s v="97.81"/>
  </r>
  <r>
    <x v="13"/>
    <x v="6"/>
    <n v="64301"/>
    <n v="1707"/>
    <n v="61062"/>
    <s v="2.65"/>
    <s v="0.00"/>
    <s v="97.35"/>
  </r>
  <r>
    <x v="13"/>
    <x v="5"/>
    <n v="304546"/>
    <n v="6232"/>
    <n v="173115"/>
    <s v="2.05"/>
    <s v="0.00"/>
    <s v="97.95"/>
  </r>
  <r>
    <x v="13"/>
    <x v="4"/>
    <n v="184340"/>
    <n v="2909"/>
    <n v="85773"/>
    <s v="1.58"/>
    <s v="0.00"/>
    <s v="98.42"/>
  </r>
  <r>
    <x v="13"/>
    <x v="3"/>
    <n v="4040"/>
    <n v="102"/>
    <n v="3157"/>
    <s v="2.52"/>
    <s v="0.00"/>
    <s v="97.48"/>
  </r>
  <r>
    <x v="13"/>
    <x v="2"/>
    <n v="156196"/>
    <n v="7269"/>
    <n v="142649"/>
    <s v="4.65"/>
    <s v="0.00"/>
    <s v="95.35"/>
  </r>
  <r>
    <x v="13"/>
    <x v="1"/>
    <n v="739736"/>
    <n v="2136"/>
    <n v="471023"/>
    <s v="0.29"/>
    <s v="0.00"/>
    <s v="99.71"/>
  </r>
  <r>
    <x v="13"/>
    <x v="0"/>
    <n v="15516"/>
    <n v="130"/>
    <n v="7657"/>
    <s v="0.84"/>
    <s v="0.00"/>
    <s v="99.16"/>
  </r>
  <r>
    <x v="14"/>
    <x v="0"/>
    <n v="15505"/>
    <n v="130"/>
    <n v="8693"/>
    <s v="0.84"/>
    <s v="0.00"/>
    <s v="99.16"/>
  </r>
  <r>
    <x v="14"/>
    <x v="1"/>
    <n v="739654"/>
    <n v="2135"/>
    <n v="520087"/>
    <s v="0.29"/>
    <s v="0.00"/>
    <s v="99.71"/>
  </r>
  <r>
    <x v="14"/>
    <x v="2"/>
    <n v="156166"/>
    <n v="7268"/>
    <n v="92015"/>
    <s v="4.65"/>
    <s v="0.00"/>
    <s v="95.35"/>
  </r>
  <r>
    <x v="14"/>
    <x v="3"/>
    <n v="4040"/>
    <n v="102"/>
    <n v="1987"/>
    <s v="2.52"/>
    <s v="0.00"/>
    <s v="97.48"/>
  </r>
  <r>
    <x v="14"/>
    <x v="4"/>
    <n v="183873"/>
    <n v="2902"/>
    <n v="179820"/>
    <s v="1.58"/>
    <s v="0.00"/>
    <s v="98.42"/>
  </r>
  <r>
    <x v="14"/>
    <x v="5"/>
    <n v="302450"/>
    <n v="6189"/>
    <n v="62957"/>
    <s v="2.05"/>
    <s v="0.00"/>
    <s v="97.95"/>
  </r>
  <r>
    <x v="14"/>
    <x v="6"/>
    <n v="64226"/>
    <n v="1705"/>
    <n v="5756"/>
    <s v="2.65"/>
    <s v="0.00"/>
    <s v="97.35"/>
  </r>
  <r>
    <x v="14"/>
    <x v="7"/>
    <n v="5286074"/>
    <n v="115916"/>
    <n v="3350076"/>
    <s v="2.19"/>
    <s v="0.00"/>
    <s v="97.81"/>
  </r>
  <r>
    <x v="14"/>
    <x v="8"/>
    <n v="813334"/>
    <n v="11316"/>
    <n v="186021"/>
    <s v="1.39"/>
    <s v="0.00"/>
    <s v="98.61"/>
  </r>
  <r>
    <x v="14"/>
    <x v="9"/>
    <n v="167790"/>
    <n v="1708"/>
    <n v="105464"/>
    <s v="1.02"/>
    <s v="0.00"/>
    <s v="98.98"/>
  </r>
  <r>
    <x v="14"/>
    <x v="10"/>
    <n v="524788"/>
    <n v="6995"/>
    <n v="58162"/>
    <s v="1.33"/>
    <s v="0.00"/>
    <s v="98.67"/>
  </r>
  <r>
    <x v="14"/>
    <x v="11"/>
    <n v="252083"/>
    <n v="11477"/>
    <n v="225579"/>
    <s v="4.55"/>
    <s v="0.00"/>
    <s v="95.45"/>
  </r>
  <r>
    <x v="14"/>
    <x v="12"/>
    <n v="16782"/>
    <n v="151"/>
    <n v="9346"/>
    <s v="0.90"/>
    <s v="0.00"/>
    <s v="99.10"/>
  </r>
  <r>
    <x v="14"/>
    <x v="13"/>
    <n v="1568857"/>
    <n v="27847"/>
    <n v="864394"/>
    <s v="1.77"/>
    <s v="0.00"/>
    <s v="98.23"/>
  </r>
  <r>
    <x v="14"/>
    <x v="14"/>
    <n v="1351913"/>
    <n v="25976"/>
    <n v="500994"/>
    <s v="1.92"/>
    <s v="0.00"/>
    <s v="98.08"/>
  </r>
  <r>
    <x v="14"/>
    <x v="15"/>
    <n v="14793"/>
    <n v="214"/>
    <n v="8725"/>
    <s v="1.45"/>
    <s v="0.00"/>
    <s v="98.55"/>
  </r>
  <r>
    <x v="14"/>
    <x v="16"/>
    <n v="592943"/>
    <n v="23718"/>
    <n v="368698"/>
    <s v="4.00"/>
    <s v="0.00"/>
    <s v="96.00"/>
  </r>
  <r>
    <x v="14"/>
    <x v="17"/>
    <n v="276718"/>
    <n v="1393"/>
    <n v="127834"/>
    <s v="0.50"/>
    <s v="0.00"/>
    <s v="99.50"/>
  </r>
  <r>
    <x v="14"/>
    <x v="18"/>
    <n v="20016"/>
    <n v="38"/>
    <n v="7820"/>
    <s v="0.19"/>
    <s v="0.00"/>
    <s v="99.81"/>
  </r>
  <r>
    <x v="14"/>
    <x v="19"/>
    <n v="24749"/>
    <n v="161"/>
    <n v="7571"/>
    <s v="0.65"/>
    <s v="0.00"/>
    <s v="99.35"/>
  </r>
  <r>
    <x v="14"/>
    <x v="20"/>
    <n v="1659"/>
    <n v="6"/>
    <n v="968"/>
    <s v="0.36"/>
    <s v="0.00"/>
    <s v="99.64"/>
  </r>
  <r>
    <x v="14"/>
    <x v="21"/>
    <n v="12823"/>
    <n v="83"/>
    <n v="6060"/>
    <s v="0.65"/>
    <s v="0.00"/>
    <s v="99.35"/>
  </r>
  <r>
    <x v="14"/>
    <x v="22"/>
    <n v="511854"/>
    <n v="18911"/>
    <n v="327463"/>
    <s v="3.69"/>
    <s v="0.00"/>
    <s v="96.31"/>
  </r>
  <r>
    <x v="14"/>
    <x v="23"/>
    <n v="21781436"/>
    <n v="607068"/>
    <n v="7492216"/>
    <s v="2.79"/>
    <s v="0.00"/>
    <s v="97.21"/>
  </r>
  <r>
    <x v="14"/>
    <x v="24"/>
    <n v="22351"/>
    <n v="643"/>
    <n v="14854"/>
    <s v="2.88"/>
    <s v="0.00"/>
    <s v="97.12"/>
  </r>
  <r>
    <x v="14"/>
    <x v="25"/>
    <n v="2621"/>
    <n v="3"/>
    <n v="908"/>
    <s v="0.11"/>
    <s v="0.00"/>
    <s v="99.89"/>
  </r>
  <r>
    <x v="14"/>
    <x v="26"/>
    <n v="186594"/>
    <n v="2406"/>
    <n v="173951"/>
    <s v="1.29"/>
    <s v="0.00"/>
    <s v="98.71"/>
  </r>
  <r>
    <x v="14"/>
    <x v="27"/>
    <n v="594203"/>
    <n v="4580"/>
    <n v="7816"/>
    <s v="0.77"/>
    <s v="0.00"/>
    <s v="99.23"/>
  </r>
  <r>
    <x v="14"/>
    <x v="28"/>
    <n v="26625"/>
    <n v="491"/>
    <n v="21749"/>
    <s v="1.84"/>
    <s v="0.00"/>
    <s v="98.16"/>
  </r>
  <r>
    <x v="14"/>
    <x v="29"/>
    <n v="1717762"/>
    <n v="28981"/>
    <n v="456383"/>
    <s v="1.69"/>
    <s v="0.00"/>
    <s v="98.31"/>
  </r>
  <r>
    <x v="14"/>
    <x v="30"/>
    <n v="57470"/>
    <n v="1091"/>
    <n v="43624"/>
    <s v="1.90"/>
    <s v="0.00"/>
    <s v="98.10"/>
  </r>
  <r>
    <x v="14"/>
    <x v="31"/>
    <n v="11518"/>
    <n v="100"/>
    <n v="2286"/>
    <s v="0.87"/>
    <s v="0.00"/>
    <s v="99.13"/>
  </r>
  <r>
    <x v="14"/>
    <x v="32"/>
    <n v="17323"/>
    <n v="258"/>
    <n v="15947"/>
    <s v="1.49"/>
    <s v="0.00"/>
    <s v="98.51"/>
  </r>
  <r>
    <x v="14"/>
    <x v="33"/>
    <n v="870837"/>
    <n v="11219"/>
    <n v="382162"/>
    <s v="1.29"/>
    <s v="0.00"/>
    <s v="98.71"/>
  </r>
  <r>
    <x v="14"/>
    <x v="34"/>
    <n v="61267"/>
    <n v="691"/>
    <n v="39558"/>
    <s v="1.13"/>
    <s v="0.00"/>
    <s v="98.87"/>
  </r>
  <r>
    <x v="14"/>
    <x v="35"/>
    <n v="1688454"/>
    <n v="37719"/>
    <n v="839769"/>
    <s v="2.23"/>
    <s v="0.00"/>
    <s v="97.77"/>
  </r>
  <r>
    <x v="14"/>
    <x v="36"/>
    <n v="102499"/>
    <n v="1686"/>
    <n v="60832"/>
    <s v="1.64"/>
    <s v="0.00"/>
    <s v="98.36"/>
  </r>
  <r>
    <x v="14"/>
    <x v="37"/>
    <n v="97002"/>
    <n v="4636"/>
    <n v="19414"/>
    <s v="4.78"/>
    <s v="0.00"/>
    <s v="95.22"/>
  </r>
  <r>
    <x v="14"/>
    <x v="38"/>
    <n v="4997444"/>
    <n v="127195"/>
    <n v="1016091"/>
    <s v="2.55"/>
    <s v="0.00"/>
    <s v="97.45"/>
  </r>
  <r>
    <x v="14"/>
    <x v="39"/>
    <n v="559250"/>
    <n v="7021"/>
    <n v="281449"/>
    <s v="1.26"/>
    <s v="0.00"/>
    <s v="98.74"/>
  </r>
  <r>
    <x v="14"/>
    <x v="40"/>
    <n v="949747"/>
    <n v="8219"/>
    <n v="876428"/>
    <s v="0.87"/>
    <s v="0.00"/>
    <s v="99.13"/>
  </r>
  <r>
    <x v="14"/>
    <x v="41"/>
    <n v="38181"/>
    <n v="349"/>
    <n v="26547"/>
    <s v="0.91"/>
    <s v="0.00"/>
    <s v="99.09"/>
  </r>
  <r>
    <x v="14"/>
    <x v="42"/>
    <n v="123908"/>
    <n v="572"/>
    <n v="5943"/>
    <s v="0.46"/>
    <s v="0.00"/>
    <s v="99.54"/>
  </r>
  <r>
    <x v="14"/>
    <x v="43"/>
    <n v="1747701"/>
    <n v="30689"/>
    <n v="827512"/>
    <s v="1.76"/>
    <s v="0.00"/>
    <s v="98.24"/>
  </r>
  <r>
    <x v="14"/>
    <x v="44"/>
    <n v="4553744"/>
    <n v="95522"/>
    <n v="3895079"/>
    <s v="2.10"/>
    <s v="0.00"/>
    <s v="97.90"/>
  </r>
  <r>
    <x v="14"/>
    <x v="45"/>
    <n v="13472"/>
    <n v="181"/>
    <n v="8466"/>
    <s v="1.34"/>
    <s v="0.00"/>
    <s v="98.66"/>
  </r>
  <r>
    <x v="14"/>
    <x v="46"/>
    <n v="383583"/>
    <n v="2709"/>
    <n v="114702"/>
    <s v="0.71"/>
    <s v="0.00"/>
    <s v="99.29"/>
  </r>
  <r>
    <x v="14"/>
    <x v="47"/>
    <n v="4742"/>
    <n v="31"/>
    <n v="1318"/>
    <s v="0.65"/>
    <s v="0.00"/>
    <s v="99.35"/>
  </r>
  <r>
    <x v="14"/>
    <x v="48"/>
    <n v="379336"/>
    <n v="4124"/>
    <n v="204482"/>
    <s v="1.09"/>
    <s v="0.00"/>
    <s v="98.91"/>
  </r>
  <r>
    <x v="14"/>
    <x v="49"/>
    <n v="206160"/>
    <n v="5907"/>
    <n v="13870"/>
    <s v="2.87"/>
    <s v="0.00"/>
    <s v="97.13"/>
  </r>
  <r>
    <x v="14"/>
    <x v="50"/>
    <n v="515859"/>
    <n v="32958"/>
    <n v="204180"/>
    <s v="6.39"/>
    <s v="0.00"/>
    <s v="93.61"/>
  </r>
  <r>
    <x v="14"/>
    <x v="51"/>
    <n v="188522"/>
    <n v="1491"/>
    <n v="66388"/>
    <s v="0.79"/>
    <s v="0.00"/>
    <s v="99.21"/>
  </r>
  <r>
    <x v="14"/>
    <x v="52"/>
    <n v="328209"/>
    <n v="18483"/>
    <n v="117538"/>
    <s v="5.63"/>
    <s v="0.00"/>
    <s v="94.37"/>
  </r>
  <r>
    <x v="14"/>
    <x v="53"/>
    <n v="6806"/>
    <n v="45"/>
    <n v="1563"/>
    <s v="0.66"/>
    <s v="0.00"/>
    <s v="99.34"/>
  </r>
  <r>
    <x v="14"/>
    <x v="54"/>
    <n v="5008887"/>
    <n v="87322"/>
    <n v="603141"/>
    <s v="1.74"/>
    <s v="0.00"/>
    <s v="98.26"/>
  </r>
  <r>
    <x v="14"/>
    <x v="55"/>
    <n v="364098"/>
    <n v="6428"/>
    <n v="297307"/>
    <s v="1.77"/>
    <s v="0.00"/>
    <s v="98.23"/>
  </r>
  <r>
    <x v="14"/>
    <x v="56"/>
    <n v="156959"/>
    <n v="1154"/>
    <n v="97366"/>
    <s v="0.74"/>
    <s v="0.00"/>
    <s v="99.26"/>
  </r>
  <r>
    <x v="14"/>
    <x v="57"/>
    <n v="52079"/>
    <n v="673"/>
    <n v="44153"/>
    <s v="1.29"/>
    <s v="0.00"/>
    <s v="98.71"/>
  </r>
  <r>
    <x v="14"/>
    <x v="58"/>
    <n v="1930"/>
    <n v="2"/>
    <n v="1875"/>
    <s v="0.10"/>
    <s v="0.00"/>
    <s v="99.90"/>
  </r>
  <r>
    <x v="14"/>
    <x v="59"/>
    <n v="6969404"/>
    <n v="115250"/>
    <n v="2602359"/>
    <s v="1.65"/>
    <s v="0.00"/>
    <s v="98.35"/>
  </r>
  <r>
    <x v="14"/>
    <x v="60"/>
    <n v="35252"/>
    <n v="235"/>
    <n v="2702"/>
    <s v="0.67"/>
    <s v="0.00"/>
    <s v="99.33"/>
  </r>
  <r>
    <x v="14"/>
    <x v="61"/>
    <n v="8972500"/>
    <n v="140530"/>
    <n v="8083156"/>
    <s v="1.57"/>
    <s v="0.00"/>
    <s v="98.43"/>
  </r>
  <r>
    <x v="14"/>
    <x v="63"/>
    <n v="707290"/>
    <n v="9918"/>
    <n v="562357"/>
    <s v="1.40"/>
    <s v="0.00"/>
    <s v="98.60"/>
  </r>
  <r>
    <x v="14"/>
    <x v="62"/>
    <n v="5834"/>
    <n v="197"/>
    <n v="4721"/>
    <s v="3.38"/>
    <s v="0.00"/>
    <s v="96.62"/>
  </r>
  <r>
    <x v="14"/>
    <x v="64"/>
    <n v="44438"/>
    <n v="304"/>
    <n v="8794"/>
    <s v="0.68"/>
    <s v="0.00"/>
    <s v="99.32"/>
  </r>
  <r>
    <x v="14"/>
    <x v="65"/>
    <n v="130077"/>
    <n v="1175"/>
    <n v="76320"/>
    <s v="0.90"/>
    <s v="0.00"/>
    <s v="99.10"/>
  </r>
  <r>
    <x v="14"/>
    <x v="66"/>
    <n v="5943"/>
    <n v="98"/>
    <n v="3920"/>
    <s v="1.65"/>
    <s v="0.00"/>
    <s v="98.35"/>
  </r>
  <r>
    <x v="14"/>
    <x v="68"/>
    <n v="30653"/>
    <n v="385"/>
    <n v="10387"/>
    <s v="1.26"/>
    <s v="0.00"/>
    <s v="98.74"/>
  </r>
  <r>
    <x v="14"/>
    <x v="67"/>
    <n v="9963"/>
    <n v="340"/>
    <n v="6261"/>
    <s v="3.41"/>
    <s v="0.00"/>
    <s v="96.59"/>
  </r>
  <r>
    <x v="14"/>
    <x v="69"/>
    <n v="54288"/>
    <n v="815"/>
    <n v="53036"/>
    <s v="1.50"/>
    <s v="0.00"/>
    <s v="98.50"/>
  </r>
  <r>
    <x v="14"/>
    <x v="70"/>
    <n v="13236"/>
    <n v="163"/>
    <n v="2251"/>
    <s v="1.23"/>
    <s v="0.00"/>
    <s v="98.77"/>
  </r>
  <r>
    <x v="14"/>
    <x v="71"/>
    <n v="731167"/>
    <n v="15801"/>
    <n v="409736"/>
    <s v="2.16"/>
    <s v="0.00"/>
    <s v="97.84"/>
  </r>
  <r>
    <x v="14"/>
    <x v="72"/>
    <n v="599042"/>
    <n v="14928"/>
    <n v="8211"/>
    <s v="2.49"/>
    <s v="0.00"/>
    <s v="97.51"/>
  </r>
  <r>
    <x v="14"/>
    <x v="73"/>
    <n v="6133"/>
    <n v="141"/>
    <n v="2260"/>
    <s v="2.30"/>
    <s v="0.00"/>
    <s v="97.70"/>
  </r>
  <r>
    <x v="14"/>
    <x v="74"/>
    <n v="35350"/>
    <n v="904"/>
    <n v="25445"/>
    <s v="2.56"/>
    <s v="0.00"/>
    <s v="97.44"/>
  </r>
  <r>
    <x v="14"/>
    <x v="75"/>
    <n v="12337"/>
    <n v="213"/>
    <n v="4881"/>
    <s v="1.73"/>
    <s v="0.00"/>
    <s v="98.27"/>
  </r>
  <r>
    <x v="14"/>
    <x v="76"/>
    <n v="375213"/>
    <n v="10235"/>
    <n v="27506"/>
    <s v="2.73"/>
    <s v="0.00"/>
    <s v="97.27"/>
  </r>
  <r>
    <x v="14"/>
    <x v="77"/>
    <n v="458090"/>
    <n v="9142"/>
    <n v="337424"/>
    <s v="2.00"/>
    <s v="0.00"/>
    <s v="98.00"/>
  </r>
  <r>
    <x v="14"/>
    <x v="78"/>
    <n v="23823"/>
    <n v="662"/>
    <n v="8411"/>
    <s v="2.78"/>
    <s v="0.00"/>
    <s v="97.22"/>
  </r>
  <r>
    <x v="14"/>
    <x v="79"/>
    <n v="859378"/>
    <n v="30692"/>
    <n v="515153"/>
    <s v="3.57"/>
    <s v="0.00"/>
    <s v="96.43"/>
  </r>
  <r>
    <x v="14"/>
    <x v="80"/>
    <n v="4242532"/>
    <n v="143333"/>
    <n v="2065795"/>
    <s v="3.38"/>
    <s v="0.00"/>
    <s v="96.62"/>
  </r>
  <r>
    <x v="14"/>
    <x v="81"/>
    <n v="438124"/>
    <n v="5436"/>
    <n v="226020"/>
    <s v="1.24"/>
    <s v="0.00"/>
    <s v="98.76"/>
  </r>
  <r>
    <x v="14"/>
    <x v="82"/>
    <n v="1326171"/>
    <n v="8081"/>
    <n v="134535"/>
    <s v="0.61"/>
    <s v="0.00"/>
    <s v="99.39"/>
  </r>
  <r>
    <x v="14"/>
    <x v="83"/>
    <n v="34246157"/>
    <n v="457191"/>
    <n v="26562366"/>
    <s v="1.34"/>
    <s v="0.00"/>
    <s v="98.66"/>
  </r>
  <r>
    <x v="14"/>
    <x v="84"/>
    <n v="2052123"/>
    <n v="23083"/>
    <n v="1425302"/>
    <s v="1.12"/>
    <s v="0.00"/>
    <s v="98.88"/>
  </r>
  <r>
    <x v="14"/>
    <x v="85"/>
    <n v="5899509"/>
    <n v="125875"/>
    <n v="2605280"/>
    <s v="2.13"/>
    <s v="0.00"/>
    <s v="97.87"/>
  </r>
  <r>
    <x v="14"/>
    <x v="86"/>
    <n v="13413"/>
    <n v="33"/>
    <n v="11749"/>
    <s v="0.25"/>
    <s v="0.00"/>
    <s v="99.75"/>
  </r>
  <r>
    <x v="14"/>
    <x v="87"/>
    <n v="4757231"/>
    <n v="132004"/>
    <n v="1216687"/>
    <s v="2.77"/>
    <s v="0.00"/>
    <s v="97.23"/>
  </r>
  <r>
    <x v="14"/>
    <x v="88"/>
    <n v="88666"/>
    <n v="2199"/>
    <n v="26855"/>
    <s v="2.48"/>
    <s v="0.00"/>
    <s v="97.52"/>
  </r>
  <r>
    <x v="14"/>
    <x v="89"/>
    <n v="858342"/>
    <n v="11000"/>
    <n v="94976"/>
    <s v="1.28"/>
    <s v="0.00"/>
    <s v="98.72"/>
  </r>
  <r>
    <x v="14"/>
    <x v="90"/>
    <n v="1718764"/>
    <n v="18245"/>
    <n v="563540"/>
    <s v="1.06"/>
    <s v="0.00"/>
    <s v="98.94"/>
  </r>
  <r>
    <x v="14"/>
    <x v="91"/>
    <n v="253018"/>
    <n v="5270"/>
    <n v="142423"/>
    <s v="2.08"/>
    <s v="0.00"/>
    <s v="97.92"/>
  </r>
  <r>
    <x v="14"/>
    <x v="92"/>
    <n v="180989"/>
    <n v="2664"/>
    <n v="33777"/>
    <s v="1.47"/>
    <s v="0.00"/>
    <s v="98.53"/>
  </r>
  <r>
    <x v="14"/>
    <x v="94"/>
    <n v="2"/>
    <n v="0"/>
    <n v="1"/>
    <s v="0.00"/>
    <s v="0.00"/>
    <s v="100.00"/>
  </r>
  <r>
    <x v="14"/>
    <x v="93"/>
    <n v="118220"/>
    <n v="2766"/>
    <n v="108830"/>
    <s v="2.34"/>
    <s v="0.00"/>
    <s v="97.66"/>
  </r>
  <r>
    <x v="14"/>
    <x v="95"/>
    <n v="4239"/>
    <n v="147"/>
    <n v="1183"/>
    <s v="3.47"/>
    <s v="0.00"/>
    <s v="96.53"/>
  </r>
  <r>
    <x v="14"/>
    <x v="96"/>
    <n v="2664"/>
    <n v="21"/>
    <n v="722"/>
    <s v="0.79"/>
    <s v="0.00"/>
    <s v="99.21"/>
  </r>
  <r>
    <x v="14"/>
    <x v="97"/>
    <n v="360536"/>
    <n v="2817"/>
    <n v="32680"/>
    <s v="0.78"/>
    <s v="0.00"/>
    <s v="99.22"/>
  </r>
  <r>
    <x v="14"/>
    <x v="98"/>
    <n v="412619"/>
    <n v="2461"/>
    <n v="399293"/>
    <s v="0.60"/>
    <s v="0.00"/>
    <s v="99.40"/>
  </r>
  <r>
    <x v="14"/>
    <x v="99"/>
    <n v="1015439"/>
    <n v="17050"/>
    <n v="157634"/>
    <s v="1.68"/>
    <s v="0.00"/>
    <s v="98.32"/>
  </r>
  <r>
    <x v="14"/>
    <x v="100"/>
    <n v="38281"/>
    <n v="59"/>
    <n v="16336"/>
    <s v="0.15"/>
    <s v="0.00"/>
    <s v="99.85"/>
  </r>
  <r>
    <x v="14"/>
    <x v="101"/>
    <n v="639995"/>
    <n v="8480"/>
    <n v="7254"/>
    <s v="1.33"/>
    <s v="0.00"/>
    <s v="98.67"/>
  </r>
  <r>
    <x v="14"/>
    <x v="102"/>
    <n v="12517"/>
    <n v="253"/>
    <n v="873"/>
    <s v="2.02"/>
    <s v="0.00"/>
    <s v="97.98"/>
  </r>
  <r>
    <x v="14"/>
    <x v="103"/>
    <n v="3653"/>
    <n v="61"/>
    <n v="348"/>
    <s v="1.67"/>
    <s v="0.00"/>
    <s v="98.33"/>
  </r>
  <r>
    <x v="14"/>
    <x v="104"/>
    <n v="538860"/>
    <n v="13696"/>
    <n v="91117"/>
    <s v="2.54"/>
    <s v="0.00"/>
    <s v="97.46"/>
  </r>
  <r>
    <x v="14"/>
    <x v="105"/>
    <n v="5812"/>
    <n v="287"/>
    <n v="242"/>
    <s v="4.94"/>
    <s v="0.00"/>
    <s v="95.06"/>
  </r>
  <r>
    <x v="14"/>
    <x v="106"/>
    <n v="21624"/>
    <n v="657"/>
    <n v="15238"/>
    <s v="3.04"/>
    <s v="0.00"/>
    <s v="96.96"/>
  </r>
  <r>
    <x v="14"/>
    <x v="107"/>
    <n v="399532"/>
    <n v="5766"/>
    <n v="379399"/>
    <s v="1.44"/>
    <s v="0.00"/>
    <s v="98.56"/>
  </r>
  <r>
    <x v="14"/>
    <x v="108"/>
    <n v="81501"/>
    <n v="843"/>
    <n v="53877"/>
    <s v="1.03"/>
    <s v="0.00"/>
    <s v="98.97"/>
  </r>
  <r>
    <x v="14"/>
    <x v="109"/>
    <n v="211702"/>
    <n v="3173"/>
    <n v="172272"/>
    <s v="1.50"/>
    <s v="0.00"/>
    <s v="98.50"/>
  </r>
  <r>
    <x v="14"/>
    <x v="110"/>
    <n v="356086"/>
    <n v="5061"/>
    <n v="110439"/>
    <s v="1.42"/>
    <s v="0.00"/>
    <s v="98.58"/>
  </r>
  <r>
    <x v="14"/>
    <x v="111"/>
    <n v="945504"/>
    <n v="14654"/>
    <n v="402185"/>
    <s v="1.55"/>
    <s v="0.00"/>
    <s v="98.45"/>
  </r>
  <r>
    <x v="14"/>
    <x v="112"/>
    <n v="3407"/>
    <n v="36"/>
    <n v="2259"/>
    <s v="1.06"/>
    <s v="0.00"/>
    <s v="98.94"/>
  </r>
  <r>
    <x v="14"/>
    <x v="113"/>
    <n v="334287"/>
    <n v="7665"/>
    <n v="182548"/>
    <s v="2.29"/>
    <s v="0.00"/>
    <s v="97.71"/>
  </r>
  <r>
    <x v="14"/>
    <x v="114"/>
    <n v="142807"/>
    <n v="2087"/>
    <n v="8831"/>
    <s v="1.46"/>
    <s v="0.00"/>
    <s v="98.54"/>
  </r>
  <r>
    <x v="14"/>
    <x v="115"/>
    <n v="3920"/>
    <n v="55"/>
    <n v="3257"/>
    <s v="1.40"/>
    <s v="0.00"/>
    <s v="98.60"/>
  </r>
  <r>
    <x v="14"/>
    <x v="116"/>
    <n v="43626"/>
    <n v="963"/>
    <n v="5559"/>
    <s v="2.21"/>
    <s v="0.00"/>
    <s v="97.79"/>
  </r>
  <r>
    <x v="14"/>
    <x v="117"/>
    <n v="4"/>
    <n v="0"/>
    <n v="3"/>
    <s v="0.00"/>
    <s v="0.00"/>
    <s v="100.00"/>
  </r>
  <r>
    <x v="14"/>
    <x v="118"/>
    <n v="201292"/>
    <n v="7098"/>
    <n v="170553"/>
    <s v="3.53"/>
    <s v="0.00"/>
    <s v="96.47"/>
  </r>
  <r>
    <x v="14"/>
    <x v="119"/>
    <n v="15947"/>
    <n v="562"/>
    <n v="2548"/>
    <s v="3.52"/>
    <s v="0.00"/>
    <s v="96.48"/>
  </r>
  <r>
    <x v="14"/>
    <x v="120"/>
    <n v="497700"/>
    <n v="18622"/>
    <n v="347994"/>
    <s v="3.74"/>
    <s v="0.00"/>
    <s v="96.26"/>
  </r>
  <r>
    <x v="14"/>
    <x v="121"/>
    <n v="356765"/>
    <n v="1711"/>
    <n v="269838"/>
    <s v="0.48"/>
    <s v="0.00"/>
    <s v="99.52"/>
  </r>
  <r>
    <x v="14"/>
    <x v="122"/>
    <n v="77"/>
    <n v="0"/>
    <n v="18"/>
    <s v="0.00"/>
    <s v="0.00"/>
    <s v="100.00"/>
  </r>
  <r>
    <x v="14"/>
    <x v="123"/>
    <n v="43022"/>
    <n v="675"/>
    <n v="18215"/>
    <s v="1.57"/>
    <s v="0.00"/>
    <s v="98.43"/>
  </r>
  <r>
    <x v="14"/>
    <x v="124"/>
    <n v="37155"/>
    <n v="794"/>
    <n v="22340"/>
    <s v="2.14"/>
    <s v="0.00"/>
    <s v="97.86"/>
  </r>
  <r>
    <x v="14"/>
    <x v="125"/>
    <n v="37610"/>
    <n v="460"/>
    <n v="863"/>
    <s v="1.22"/>
    <s v="0.00"/>
    <s v="98.78"/>
  </r>
  <r>
    <x v="14"/>
    <x v="126"/>
    <n v="17586"/>
    <n v="164"/>
    <n v="8886"/>
    <s v="0.93"/>
    <s v="0.00"/>
    <s v="99.07"/>
  </r>
  <r>
    <x v="14"/>
    <x v="127"/>
    <n v="87487"/>
    <n v="243"/>
    <n v="39901"/>
    <s v="0.28"/>
    <s v="0.00"/>
    <s v="99.72"/>
  </r>
  <r>
    <x v="14"/>
    <x v="128"/>
    <n v="61782"/>
    <n v="2298"/>
    <n v="37264"/>
    <s v="3.72"/>
    <s v="0.00"/>
    <s v="96.28"/>
  </r>
  <r>
    <x v="14"/>
    <x v="129"/>
    <n v="3798286"/>
    <n v="287631"/>
    <n v="3323963"/>
    <s v="7.57"/>
    <s v="0.00"/>
    <s v="92.43"/>
  </r>
  <r>
    <x v="14"/>
    <x v="130"/>
    <n v="2454749"/>
    <n v="28769"/>
    <n v="189803"/>
    <s v="1.17"/>
    <s v="0.00"/>
    <s v="98.83"/>
  </r>
  <r>
    <x v="14"/>
    <x v="131"/>
    <n v="151260"/>
    <n v="1929"/>
    <n v="55710"/>
    <s v="1.28"/>
    <s v="0.00"/>
    <s v="98.72"/>
  </r>
  <r>
    <x v="14"/>
    <x v="132"/>
    <n v="128880"/>
    <n v="3550"/>
    <n v="115734"/>
    <s v="2.75"/>
    <s v="0.00"/>
    <s v="97.25"/>
  </r>
  <r>
    <x v="14"/>
    <x v="133"/>
    <n v="10848"/>
    <n v="264"/>
    <n v="8454"/>
    <s v="2.43"/>
    <s v="0.00"/>
    <s v="97.57"/>
  </r>
  <r>
    <x v="14"/>
    <x v="134"/>
    <n v="6300"/>
    <n v="211"/>
    <n v="1005"/>
    <s v="3.35"/>
    <s v="0.00"/>
    <s v="96.65"/>
  </r>
  <r>
    <x v="14"/>
    <x v="135"/>
    <n v="211678"/>
    <n v="2892"/>
    <n v="195032"/>
    <s v="1.37"/>
    <s v="0.00"/>
    <s v="98.63"/>
  </r>
  <r>
    <x v="14"/>
    <x v="136"/>
    <n v="16422"/>
    <n v="208"/>
    <n v="6102"/>
    <s v="1.27"/>
    <s v="0.00"/>
    <s v="98.73"/>
  </r>
  <r>
    <x v="14"/>
    <x v="137"/>
    <n v="2148383"/>
    <n v="18810"/>
    <n v="649524"/>
    <s v="0.88"/>
    <s v="0.00"/>
    <s v="99.12"/>
  </r>
  <r>
    <x v="14"/>
    <x v="138"/>
    <n v="204730"/>
    <n v="900"/>
    <n v="102140"/>
    <s v="0.44"/>
    <s v="0.00"/>
    <s v="99.56"/>
  </r>
  <r>
    <x v="14"/>
    <x v="139"/>
    <n v="811407"/>
    <n v="11382"/>
    <n v="492690"/>
    <s v="1.40"/>
    <s v="0.00"/>
    <s v="98.60"/>
  </r>
  <r>
    <x v="14"/>
    <x v="140"/>
    <n v="6125"/>
    <n v="28"/>
    <n v="812"/>
    <s v="0.46"/>
    <s v="0.00"/>
    <s v="99.54"/>
  </r>
  <r>
    <x v="14"/>
    <x v="141"/>
    <n v="304241"/>
    <n v="4111"/>
    <n v="290703"/>
    <s v="1.35"/>
    <s v="0.00"/>
    <s v="98.65"/>
  </r>
  <r>
    <x v="14"/>
    <x v="142"/>
    <n v="472197"/>
    <n v="7314"/>
    <n v="275799"/>
    <s v="1.55"/>
    <s v="0.00"/>
    <s v="98.45"/>
  </r>
  <r>
    <x v="14"/>
    <x v="143"/>
    <n v="2199036"/>
    <n v="200179"/>
    <n v="1343286"/>
    <s v="9.10"/>
    <s v="0.00"/>
    <s v="90.90"/>
  </r>
  <r>
    <x v="14"/>
    <x v="144"/>
    <n v="45541"/>
    <n v="636"/>
    <n v="9400"/>
    <s v="1.40"/>
    <s v="0.00"/>
    <s v="98.60"/>
  </r>
  <r>
    <x v="14"/>
    <x v="145"/>
    <n v="28823"/>
    <n v="345"/>
    <n v="6889"/>
    <s v="1.20"/>
    <s v="0.00"/>
    <s v="98.80"/>
  </r>
  <r>
    <x v="14"/>
    <x v="146"/>
    <n v="2768849"/>
    <n v="42348"/>
    <n v="371622"/>
    <s v="1.53"/>
    <s v="0.00"/>
    <s v="98.47"/>
  </r>
  <r>
    <x v="14"/>
    <x v="147"/>
    <n v="1271687"/>
    <n v="28431"/>
    <n v="661341"/>
    <s v="2.24"/>
    <s v="0.00"/>
    <s v="97.76"/>
  </r>
  <r>
    <x v="14"/>
    <x v="148"/>
    <n v="2998891"/>
    <n v="76773"/>
    <n v="440480"/>
    <s v="2.56"/>
    <s v="0.00"/>
    <s v="97.44"/>
  </r>
  <r>
    <x v="14"/>
    <x v="149"/>
    <n v="452642"/>
    <n v="4657"/>
    <n v="222049"/>
    <s v="1.03"/>
    <s v="0.00"/>
    <s v="98.97"/>
  </r>
  <r>
    <x v="14"/>
    <x v="150"/>
    <n v="1088133"/>
    <n v="18149"/>
    <n v="251102"/>
    <s v="1.67"/>
    <s v="0.00"/>
    <s v="98.33"/>
  </r>
  <r>
    <x v="14"/>
    <x v="151"/>
    <n v="8"/>
    <n v="0"/>
    <n v="1"/>
    <s v="0.00"/>
    <s v="0.00"/>
    <s v="100.00"/>
  </r>
  <r>
    <x v="14"/>
    <x v="152"/>
    <n v="460944"/>
    <n v="16243"/>
    <n v="167614"/>
    <s v="3.52"/>
    <s v="0.00"/>
    <s v="96.48"/>
  </r>
  <r>
    <x v="14"/>
    <x v="153"/>
    <n v="238950"/>
    <n v="609"/>
    <n v="130904"/>
    <s v="0.25"/>
    <s v="0.00"/>
    <s v="99.75"/>
  </r>
  <r>
    <x v="14"/>
    <x v="154"/>
    <n v="54668"/>
    <n v="374"/>
    <n v="9899"/>
    <s v="0.68"/>
    <s v="0.00"/>
    <s v="99.32"/>
  </r>
  <r>
    <x v="14"/>
    <x v="155"/>
    <n v="1616027"/>
    <n v="46430"/>
    <n v="1435386"/>
    <s v="2.87"/>
    <s v="0.00"/>
    <s v="97.13"/>
  </r>
  <r>
    <x v="14"/>
    <x v="156"/>
    <n v="1125602"/>
    <n v="9761"/>
    <n v="449411"/>
    <s v="0.87"/>
    <s v="0.00"/>
    <s v="99.13"/>
  </r>
  <r>
    <x v="14"/>
    <x v="157"/>
    <n v="8260045"/>
    <n v="230786"/>
    <n v="3823006"/>
    <s v="2.79"/>
    <s v="0.00"/>
    <s v="97.21"/>
  </r>
  <r>
    <x v="14"/>
    <x v="158"/>
    <n v="99565"/>
    <n v="1327"/>
    <n v="60786"/>
    <s v="1.33"/>
    <s v="0.00"/>
    <s v="98.67"/>
  </r>
  <r>
    <x v="14"/>
    <x v="159"/>
    <n v="548474"/>
    <n v="8788"/>
    <n v="515931"/>
    <s v="1.60"/>
    <s v="0.00"/>
    <s v="98.40"/>
  </r>
  <r>
    <x v="14"/>
    <x v="160"/>
    <n v="20"/>
    <n v="0"/>
    <n v="7"/>
    <s v="0.00"/>
    <s v="0.00"/>
    <s v="100.00"/>
  </r>
  <r>
    <x v="14"/>
    <x v="161"/>
    <n v="22213"/>
    <n v="119"/>
    <n v="14162"/>
    <s v="0.54"/>
    <s v="0.00"/>
    <s v="99.46"/>
  </r>
  <r>
    <x v="14"/>
    <x v="162"/>
    <n v="40433"/>
    <n v="3099"/>
    <n v="22181"/>
    <s v="7.66"/>
    <s v="0.00"/>
    <s v="92.34"/>
  </r>
  <r>
    <x v="14"/>
    <x v="163"/>
    <n v="1170422"/>
    <n v="15018"/>
    <n v="501329"/>
    <s v="1.28"/>
    <s v="0.00"/>
    <s v="98.72"/>
  </r>
  <r>
    <x v="14"/>
    <x v="164"/>
    <n v="187851"/>
    <n v="364"/>
    <n v="161857"/>
    <s v="0.19"/>
    <s v="0.00"/>
    <s v="99.81"/>
  </r>
  <r>
    <x v="14"/>
    <x v="165"/>
    <n v="328729"/>
    <n v="4723"/>
    <n v="253790"/>
    <s v="1.44"/>
    <s v="0.00"/>
    <s v="98.56"/>
  </r>
  <r>
    <x v="14"/>
    <x v="166"/>
    <n v="470008"/>
    <n v="12977"/>
    <n v="339991"/>
    <s v="2.76"/>
    <s v="0.00"/>
    <s v="97.24"/>
  </r>
  <r>
    <x v="14"/>
    <x v="167"/>
    <n v="6397"/>
    <n v="121"/>
    <n v="3939"/>
    <s v="1.89"/>
    <s v="0.00"/>
    <s v="98.11"/>
  </r>
  <r>
    <x v="14"/>
    <x v="168"/>
    <n v="5540"/>
    <n v="92"/>
    <n v="2472"/>
    <s v="1.66"/>
    <s v="0.00"/>
    <s v="98.34"/>
  </r>
  <r>
    <x v="14"/>
    <x v="169"/>
    <n v="73904"/>
    <n v="1878"/>
    <n v="3644"/>
    <s v="2.54"/>
    <s v="0.00"/>
    <s v="97.46"/>
  </r>
  <r>
    <x v="14"/>
    <x v="170"/>
    <n v="21998"/>
    <n v="1208"/>
    <n v="1904"/>
    <s v="5.49"/>
    <s v="0.00"/>
    <s v="94.51"/>
  </r>
  <r>
    <x v="14"/>
    <x v="171"/>
    <n v="48785"/>
    <n v="1082"/>
    <n v="32699"/>
    <s v="2.22"/>
    <s v="0.00"/>
    <s v="97.78"/>
  </r>
  <r>
    <x v="14"/>
    <x v="173"/>
    <n v="3705"/>
    <n v="56"/>
    <n v="3552"/>
    <s v="1.51"/>
    <s v="0.00"/>
    <s v="98.49"/>
  </r>
  <r>
    <x v="14"/>
    <x v="172"/>
    <n v="12348"/>
    <n v="133"/>
    <n v="9440"/>
    <s v="1.08"/>
    <s v="0.00"/>
    <s v="98.92"/>
  </r>
  <r>
    <x v="14"/>
    <x v="174"/>
    <n v="113422"/>
    <n v="3604"/>
    <n v="99996"/>
    <s v="3.18"/>
    <s v="0.00"/>
    <s v="96.82"/>
  </r>
  <r>
    <x v="14"/>
    <x v="175"/>
    <n v="42621"/>
    <n v="2542"/>
    <n v="11935"/>
    <s v="5.96"/>
    <s v="0.00"/>
    <s v="94.04"/>
  </r>
  <r>
    <x v="14"/>
    <x v="176"/>
    <n v="46396"/>
    <n v="1242"/>
    <n v="19960"/>
    <s v="2.68"/>
    <s v="0.00"/>
    <s v="97.32"/>
  </r>
  <r>
    <x v="14"/>
    <x v="177"/>
    <n v="5069"/>
    <n v="174"/>
    <n v="2313"/>
    <s v="3.43"/>
    <s v="0.00"/>
    <s v="96.57"/>
  </r>
  <r>
    <x v="14"/>
    <x v="178"/>
    <n v="26036"/>
    <n v="242"/>
    <n v="17062"/>
    <s v="0.93"/>
    <s v="0.00"/>
    <s v="99.07"/>
  </r>
  <r>
    <x v="14"/>
    <x v="179"/>
    <n v="1884973"/>
    <n v="19006"/>
    <n v="196105"/>
    <s v="1.01"/>
    <s v="0.00"/>
    <s v="98.99"/>
  </r>
  <r>
    <x v="14"/>
    <x v="180"/>
    <n v="17486"/>
    <n v="125"/>
    <n v="2410"/>
    <s v="0.71"/>
    <s v="0.00"/>
    <s v="99.29"/>
  </r>
  <r>
    <x v="14"/>
    <x v="181"/>
    <n v="19785"/>
    <n v="122"/>
    <n v="14478"/>
    <s v="0.62"/>
    <s v="0.00"/>
    <s v="99.38"/>
  </r>
  <r>
    <x v="14"/>
    <x v="182"/>
    <n v="712230"/>
    <n v="25227"/>
    <n v="424638"/>
    <s v="3.54"/>
    <s v="0.00"/>
    <s v="96.46"/>
  </r>
  <r>
    <x v="14"/>
    <x v="183"/>
    <n v="0"/>
    <n v="0"/>
    <n v="0"/>
    <s v="0.00"/>
    <s v="0.00"/>
    <s v="0.00"/>
  </r>
  <r>
    <x v="14"/>
    <x v="184"/>
    <n v="7961505"/>
    <n v="69998"/>
    <n v="877329"/>
    <s v="0.88"/>
    <s v="0.00"/>
    <s v="99.12"/>
  </r>
  <r>
    <x v="14"/>
    <x v="185"/>
    <n v="56546"/>
    <n v="1668"/>
    <n v="51910"/>
    <s v="2.95"/>
    <s v="0.00"/>
    <s v="97.05"/>
  </r>
  <r>
    <x v="14"/>
    <x v="186"/>
    <n v="16394"/>
    <n v="847"/>
    <n v="12459"/>
    <s v="5.17"/>
    <s v="0.00"/>
    <s v="94.83"/>
  </r>
  <r>
    <x v="14"/>
    <x v="187"/>
    <n v="26154"/>
    <n v="725"/>
    <n v="24992"/>
    <s v="2.77"/>
    <s v="0.00"/>
    <s v="97.23"/>
  </r>
  <r>
    <x v="14"/>
    <x v="188"/>
    <n v="2984456"/>
    <n v="70475"/>
    <n v="1483341"/>
    <s v="2.36"/>
    <s v="0.00"/>
    <s v="97.64"/>
  </r>
  <r>
    <x v="14"/>
    <x v="189"/>
    <n v="125920"/>
    <n v="3209"/>
    <n v="119200"/>
    <s v="2.55"/>
    <s v="0.00"/>
    <s v="97.45"/>
  </r>
  <r>
    <x v="14"/>
    <x v="190"/>
    <n v="45826523"/>
    <n v="743721"/>
    <n v="32516314"/>
    <s v="1.62"/>
    <s v="0.00"/>
    <s v="98.38"/>
  </r>
  <r>
    <x v="14"/>
    <x v="191"/>
    <n v="393139"/>
    <n v="6076"/>
    <n v="175906"/>
    <s v="1.55"/>
    <s v="0.00"/>
    <s v="98.45"/>
  </r>
  <r>
    <x v="14"/>
    <x v="192"/>
    <n v="184905"/>
    <n v="1316"/>
    <n v="5576"/>
    <s v="0.71"/>
    <s v="0.00"/>
    <s v="99.29"/>
  </r>
  <r>
    <x v="14"/>
    <x v="193"/>
    <n v="27"/>
    <n v="0"/>
    <n v="3"/>
    <s v="0.00"/>
    <s v="0.00"/>
    <s v="100.00"/>
  </r>
  <r>
    <x v="14"/>
    <x v="194"/>
    <n v="4941"/>
    <n v="65"/>
    <n v="2281"/>
    <s v="1.32"/>
    <s v="0.00"/>
    <s v="98.68"/>
  </r>
  <r>
    <x v="14"/>
    <x v="195"/>
    <n v="403318"/>
    <n v="4848"/>
    <n v="99333"/>
    <s v="1.20"/>
    <s v="0.00"/>
    <s v="98.80"/>
  </r>
  <r>
    <x v="14"/>
    <x v="196"/>
    <n v="905477"/>
    <n v="21910"/>
    <n v="555260"/>
    <s v="2.42"/>
    <s v="0.00"/>
    <s v="97.58"/>
  </r>
  <r>
    <x v="14"/>
    <x v="197"/>
    <n v="6"/>
    <n v="1"/>
    <n v="3"/>
    <s v="16.67"/>
    <s v="0.00"/>
    <s v="83.33"/>
  </r>
  <r>
    <x v="14"/>
    <x v="198"/>
    <n v="3"/>
    <n v="0"/>
    <n v="3"/>
    <s v="0.00"/>
    <s v="0.00"/>
    <s v="100.00"/>
  </r>
  <r>
    <x v="14"/>
    <x v="199"/>
    <n v="160696"/>
    <n v="2976"/>
    <n v="63356"/>
    <s v="1.85"/>
    <s v="0.00"/>
    <s v="98.15"/>
  </r>
  <r>
    <x v="14"/>
    <x v="200"/>
    <n v="9751"/>
    <n v="1874"/>
    <n v="7652"/>
    <s v="19.22"/>
    <s v="0.00"/>
    <s v="80.78"/>
  </r>
  <r>
    <x v="14"/>
    <x v="201"/>
    <n v="20497"/>
    <n v="182"/>
    <n v="11801"/>
    <s v="0.89"/>
    <s v="0.00"/>
    <s v="99.11"/>
  </r>
  <r>
    <x v="14"/>
    <x v="202"/>
    <n v="2921114"/>
    <n v="89104"/>
    <n v="1871776"/>
    <s v="3.05"/>
    <s v="0.00"/>
    <s v="96.95"/>
  </r>
  <r>
    <x v="14"/>
    <x v="203"/>
    <n v="209672"/>
    <n v="3660"/>
    <n v="134661"/>
    <s v="1.75"/>
    <s v="0.00"/>
    <s v="98.25"/>
  </r>
  <r>
    <x v="14"/>
    <x v="204"/>
    <n v="132880"/>
    <n v="4675"/>
    <n v="42659"/>
    <s v="3.52"/>
    <s v="0.00"/>
    <s v="96.48"/>
  </r>
  <r>
    <x v="14"/>
    <x v="205"/>
    <n v="721"/>
    <n v="15"/>
    <n v="641"/>
    <s v="2.08"/>
    <s v="0.00"/>
    <s v="97.92"/>
  </r>
  <r>
    <x v="15"/>
    <x v="205"/>
    <n v="721"/>
    <n v="15"/>
    <n v="445"/>
    <s v="2.08"/>
    <s v="0.00"/>
    <s v="97.92"/>
  </r>
  <r>
    <x v="15"/>
    <x v="204"/>
    <n v="132808"/>
    <n v="4675"/>
    <n v="125814"/>
    <s v="3.52"/>
    <s v="0.00"/>
    <s v="96.48"/>
  </r>
  <r>
    <x v="15"/>
    <x v="203"/>
    <n v="209657"/>
    <n v="3660"/>
    <n v="64768"/>
    <s v="1.75"/>
    <s v="0.00"/>
    <s v="98.25"/>
  </r>
  <r>
    <x v="15"/>
    <x v="202"/>
    <n v="2920581"/>
    <n v="89049"/>
    <n v="1724788"/>
    <s v="3.05"/>
    <s v="0.00"/>
    <s v="96.95"/>
  </r>
  <r>
    <x v="15"/>
    <x v="201"/>
    <n v="20497"/>
    <n v="182"/>
    <n v="10223"/>
    <s v="0.89"/>
    <s v="0.00"/>
    <s v="99.11"/>
  </r>
  <r>
    <x v="15"/>
    <x v="200"/>
    <n v="9728"/>
    <n v="1868"/>
    <n v="4822"/>
    <s v="19.20"/>
    <s v="0.00"/>
    <s v="80.80"/>
  </r>
  <r>
    <x v="15"/>
    <x v="199"/>
    <n v="160680"/>
    <n v="2976"/>
    <n v="136119"/>
    <s v="1.85"/>
    <s v="0.00"/>
    <s v="98.15"/>
  </r>
  <r>
    <x v="15"/>
    <x v="198"/>
    <n v="3"/>
    <n v="0"/>
    <n v="0"/>
    <s v="0.00"/>
    <s v="0.00"/>
    <s v="100.00"/>
  </r>
  <r>
    <x v="15"/>
    <x v="197"/>
    <n v="6"/>
    <n v="1"/>
    <n v="2"/>
    <s v="16.67"/>
    <s v="0.00"/>
    <s v="83.33"/>
  </r>
  <r>
    <x v="15"/>
    <x v="196"/>
    <n v="900585"/>
    <n v="21856"/>
    <n v="319333"/>
    <s v="2.43"/>
    <s v="0.00"/>
    <s v="97.57"/>
  </r>
  <r>
    <x v="15"/>
    <x v="195"/>
    <n v="402407"/>
    <n v="4836"/>
    <n v="15788"/>
    <s v="1.20"/>
    <s v="0.00"/>
    <s v="98.80"/>
  </r>
  <r>
    <x v="15"/>
    <x v="194"/>
    <n v="4905"/>
    <n v="64"/>
    <n v="2996"/>
    <s v="1.30"/>
    <s v="0.00"/>
    <s v="98.70"/>
  </r>
  <r>
    <x v="15"/>
    <x v="193"/>
    <n v="27"/>
    <n v="0"/>
    <n v="19"/>
    <s v="0.00"/>
    <s v="0.00"/>
    <s v="100.00"/>
  </r>
  <r>
    <x v="15"/>
    <x v="192"/>
    <n v="184563"/>
    <n v="1312"/>
    <n v="113177"/>
    <s v="0.71"/>
    <s v="0.00"/>
    <s v="99.29"/>
  </r>
  <r>
    <x v="15"/>
    <x v="191"/>
    <n v="392879"/>
    <n v="6076"/>
    <n v="335323"/>
    <s v="1.55"/>
    <s v="0.00"/>
    <s v="98.45"/>
  </r>
  <r>
    <x v="15"/>
    <x v="190"/>
    <n v="45748395"/>
    <n v="741945"/>
    <n v="41896404"/>
    <s v="1.62"/>
    <s v="0.00"/>
    <s v="98.38"/>
  </r>
  <r>
    <x v="15"/>
    <x v="189"/>
    <n v="125861"/>
    <n v="3204"/>
    <n v="66403"/>
    <s v="2.55"/>
    <s v="0.00"/>
    <s v="97.45"/>
  </r>
  <r>
    <x v="15"/>
    <x v="188"/>
    <n v="2957359"/>
    <n v="69854"/>
    <n v="903174"/>
    <s v="2.36"/>
    <s v="0.00"/>
    <s v="97.64"/>
  </r>
  <r>
    <x v="15"/>
    <x v="187"/>
    <n v="26154"/>
    <n v="725"/>
    <n v="13116"/>
    <s v="2.77"/>
    <s v="0.00"/>
    <s v="97.23"/>
  </r>
  <r>
    <x v="15"/>
    <x v="186"/>
    <n v="16388"/>
    <n v="847"/>
    <n v="8805"/>
    <s v="5.17"/>
    <s v="0.00"/>
    <s v="94.83"/>
  </r>
  <r>
    <x v="15"/>
    <x v="185"/>
    <n v="56160"/>
    <n v="1658"/>
    <n v="47558"/>
    <s v="2.95"/>
    <s v="0.00"/>
    <s v="97.05"/>
  </r>
  <r>
    <x v="15"/>
    <x v="184"/>
    <n v="7935977"/>
    <n v="69769"/>
    <n v="4897709"/>
    <s v="0.88"/>
    <s v="0.00"/>
    <s v="99.12"/>
  </r>
  <r>
    <x v="15"/>
    <x v="183"/>
    <n v="0"/>
    <n v="0"/>
    <n v="0"/>
    <s v="0.00"/>
    <s v="0.00"/>
    <s v="0.00"/>
  </r>
  <r>
    <x v="15"/>
    <x v="182"/>
    <n v="712139"/>
    <n v="25221"/>
    <n v="97026"/>
    <s v="3.54"/>
    <s v="0.00"/>
    <s v="96.46"/>
  </r>
  <r>
    <x v="15"/>
    <x v="181"/>
    <n v="19785"/>
    <n v="121"/>
    <n v="1951"/>
    <s v="0.61"/>
    <s v="0.00"/>
    <s v="99.39"/>
  </r>
  <r>
    <x v="15"/>
    <x v="180"/>
    <n v="17486"/>
    <n v="125"/>
    <n v="8302"/>
    <s v="0.71"/>
    <s v="0.00"/>
    <s v="99.29"/>
  </r>
  <r>
    <x v="15"/>
    <x v="179"/>
    <n v="1875315"/>
    <n v="18922"/>
    <n v="1010353"/>
    <s v="1.01"/>
    <s v="0.00"/>
    <s v="98.99"/>
  </r>
  <r>
    <x v="15"/>
    <x v="178"/>
    <n v="26024"/>
    <n v="242"/>
    <n v="4271"/>
    <s v="0.93"/>
    <s v="0.00"/>
    <s v="99.07"/>
  </r>
  <r>
    <x v="15"/>
    <x v="177"/>
    <n v="5069"/>
    <n v="174"/>
    <n v="2520"/>
    <s v="3.43"/>
    <s v="0.00"/>
    <s v="96.57"/>
  </r>
  <r>
    <x v="15"/>
    <x v="176"/>
    <n v="46393"/>
    <n v="1242"/>
    <n v="34913"/>
    <s v="2.68"/>
    <s v="0.00"/>
    <s v="97.32"/>
  </r>
  <r>
    <x v="15"/>
    <x v="175"/>
    <n v="42351"/>
    <n v="2534"/>
    <n v="23997"/>
    <s v="5.98"/>
    <s v="0.00"/>
    <s v="94.02"/>
  </r>
  <r>
    <x v="15"/>
    <x v="174"/>
    <n v="113422"/>
    <n v="3596"/>
    <n v="39263"/>
    <s v="3.17"/>
    <s v="0.00"/>
    <s v="96.83"/>
  </r>
  <r>
    <x v="15"/>
    <x v="172"/>
    <n v="12327"/>
    <n v="133"/>
    <n v="9188"/>
    <s v="1.08"/>
    <s v="0.00"/>
    <s v="98.92"/>
  </r>
  <r>
    <x v="15"/>
    <x v="173"/>
    <n v="3705"/>
    <n v="56"/>
    <n v="3546"/>
    <s v="1.51"/>
    <s v="0.00"/>
    <s v="98.49"/>
  </r>
  <r>
    <x v="15"/>
    <x v="171"/>
    <n v="48670"/>
    <n v="1074"/>
    <n v="4841"/>
    <s v="2.21"/>
    <s v="0.00"/>
    <s v="97.79"/>
  </r>
  <r>
    <x v="15"/>
    <x v="170"/>
    <n v="21998"/>
    <n v="1208"/>
    <n v="539"/>
    <s v="5.49"/>
    <s v="0.00"/>
    <s v="94.51"/>
  </r>
  <r>
    <x v="15"/>
    <x v="169"/>
    <n v="73902"/>
    <n v="1878"/>
    <n v="14564"/>
    <s v="2.54"/>
    <s v="0.00"/>
    <s v="97.46"/>
  </r>
  <r>
    <x v="15"/>
    <x v="168"/>
    <n v="5534"/>
    <n v="92"/>
    <n v="689"/>
    <s v="1.66"/>
    <s v="0.00"/>
    <s v="98.34"/>
  </r>
  <r>
    <x v="15"/>
    <x v="167"/>
    <n v="6397"/>
    <n v="121"/>
    <n v="4897"/>
    <s v="1.89"/>
    <s v="0.00"/>
    <s v="98.11"/>
  </r>
  <r>
    <x v="15"/>
    <x v="166"/>
    <n v="465027"/>
    <n v="12957"/>
    <n v="95471"/>
    <s v="2.79"/>
    <s v="0.00"/>
    <s v="97.21"/>
  </r>
  <r>
    <x v="15"/>
    <x v="165"/>
    <n v="326083"/>
    <n v="4713"/>
    <n v="253041"/>
    <s v="1.45"/>
    <s v="0.00"/>
    <s v="98.55"/>
  </r>
  <r>
    <x v="15"/>
    <x v="164"/>
    <n v="184419"/>
    <n v="349"/>
    <n v="52228"/>
    <s v="0.19"/>
    <s v="0.00"/>
    <s v="99.81"/>
  </r>
  <r>
    <x v="15"/>
    <x v="163"/>
    <n v="1169530"/>
    <n v="15016"/>
    <n v="256640"/>
    <s v="1.28"/>
    <s v="0.00"/>
    <s v="98.72"/>
  </r>
  <r>
    <x v="15"/>
    <x v="162"/>
    <n v="40433"/>
    <n v="3099"/>
    <n v="15324"/>
    <s v="7.66"/>
    <s v="0.00"/>
    <s v="92.34"/>
  </r>
  <r>
    <x v="15"/>
    <x v="161"/>
    <n v="22174"/>
    <n v="119"/>
    <n v="20526"/>
    <s v="0.54"/>
    <s v="0.00"/>
    <s v="99.46"/>
  </r>
  <r>
    <x v="15"/>
    <x v="160"/>
    <n v="20"/>
    <n v="0"/>
    <n v="14"/>
    <s v="0.00"/>
    <s v="0.00"/>
    <s v="100.00"/>
  </r>
  <r>
    <x v="15"/>
    <x v="159"/>
    <n v="548423"/>
    <n v="8785"/>
    <n v="459357"/>
    <s v="1.60"/>
    <s v="0.00"/>
    <s v="98.40"/>
  </r>
  <r>
    <x v="15"/>
    <x v="158"/>
    <n v="99514"/>
    <n v="1322"/>
    <n v="45413"/>
    <s v="1.33"/>
    <s v="0.00"/>
    <s v="98.67"/>
  </r>
  <r>
    <x v="15"/>
    <x v="157"/>
    <n v="8220975"/>
    <n v="229672"/>
    <n v="2146280"/>
    <s v="2.79"/>
    <s v="0.00"/>
    <s v="97.21"/>
  </r>
  <r>
    <x v="15"/>
    <x v="156"/>
    <n v="1118905"/>
    <n v="9698"/>
    <n v="502579"/>
    <s v="0.87"/>
    <s v="0.00"/>
    <s v="99.13"/>
  </r>
  <r>
    <x v="15"/>
    <x v="155"/>
    <n v="1602830"/>
    <n v="46015"/>
    <n v="529640"/>
    <s v="2.87"/>
    <s v="0.00"/>
    <s v="97.13"/>
  </r>
  <r>
    <x v="15"/>
    <x v="154"/>
    <n v="54668"/>
    <n v="374"/>
    <n v="6725"/>
    <s v="0.68"/>
    <s v="0.00"/>
    <s v="99.32"/>
  </r>
  <r>
    <x v="15"/>
    <x v="153"/>
    <n v="238845"/>
    <n v="609"/>
    <n v="107841"/>
    <s v="0.25"/>
    <s v="0.00"/>
    <s v="99.75"/>
  </r>
  <r>
    <x v="15"/>
    <x v="152"/>
    <n v="460894"/>
    <n v="16238"/>
    <n v="251092"/>
    <s v="3.52"/>
    <s v="0.00"/>
    <s v="96.48"/>
  </r>
  <r>
    <x v="15"/>
    <x v="151"/>
    <n v="8"/>
    <n v="0"/>
    <n v="6"/>
    <s v="0.00"/>
    <s v="0.00"/>
    <s v="100.00"/>
  </r>
  <r>
    <x v="15"/>
    <x v="150"/>
    <n v="1087245"/>
    <n v="18144"/>
    <n v="527379"/>
    <s v="1.67"/>
    <s v="0.00"/>
    <s v="98.33"/>
  </r>
  <r>
    <x v="15"/>
    <x v="149"/>
    <n v="452272"/>
    <n v="4651"/>
    <n v="132899"/>
    <s v="1.03"/>
    <s v="0.00"/>
    <s v="98.97"/>
  </r>
  <r>
    <x v="15"/>
    <x v="148"/>
    <n v="2990509"/>
    <n v="76672"/>
    <n v="1972698"/>
    <s v="2.56"/>
    <s v="0.00"/>
    <s v="97.44"/>
  </r>
  <r>
    <x v="15"/>
    <x v="147"/>
    <n v="1271027"/>
    <n v="28414"/>
    <n v="508255"/>
    <s v="2.24"/>
    <s v="0.00"/>
    <s v="97.76"/>
  </r>
  <r>
    <x v="15"/>
    <x v="146"/>
    <n v="2768849"/>
    <n v="42348"/>
    <n v="2348652"/>
    <s v="1.53"/>
    <s v="0.00"/>
    <s v="98.47"/>
  </r>
  <r>
    <x v="15"/>
    <x v="145"/>
    <n v="28487"/>
    <n v="335"/>
    <n v="2354"/>
    <s v="1.18"/>
    <s v="0.00"/>
    <s v="98.82"/>
  </r>
  <r>
    <x v="15"/>
    <x v="144"/>
    <n v="45506"/>
    <n v="636"/>
    <n v="30252"/>
    <s v="1.40"/>
    <s v="0.00"/>
    <s v="98.60"/>
  </r>
  <r>
    <x v="15"/>
    <x v="143"/>
    <n v="2198038"/>
    <n v="200149"/>
    <n v="67111"/>
    <s v="9.11"/>
    <s v="0.00"/>
    <s v="90.89"/>
  </r>
  <r>
    <x v="15"/>
    <x v="142"/>
    <n v="472057"/>
    <n v="7314"/>
    <n v="17507"/>
    <s v="1.55"/>
    <s v="0.00"/>
    <s v="98.45"/>
  </r>
  <r>
    <x v="15"/>
    <x v="141"/>
    <n v="304219"/>
    <n v="4111"/>
    <n v="212857"/>
    <s v="1.35"/>
    <s v="0.00"/>
    <s v="98.65"/>
  </r>
  <r>
    <x v="15"/>
    <x v="140"/>
    <n v="5996"/>
    <n v="28"/>
    <n v="5219"/>
    <s v="0.47"/>
    <s v="0.00"/>
    <s v="99.53"/>
  </r>
  <r>
    <x v="15"/>
    <x v="139"/>
    <n v="810880"/>
    <n v="11380"/>
    <n v="226995"/>
    <s v="1.40"/>
    <s v="0.00"/>
    <s v="98.60"/>
  </r>
  <r>
    <x v="15"/>
    <x v="138"/>
    <n v="203734"/>
    <n v="900"/>
    <n v="144338"/>
    <s v="0.44"/>
    <s v="0.00"/>
    <s v="99.56"/>
  </r>
  <r>
    <x v="15"/>
    <x v="137"/>
    <n v="2140671"/>
    <n v="18795"/>
    <n v="1105093"/>
    <s v="0.88"/>
    <s v="0.00"/>
    <s v="99.12"/>
  </r>
  <r>
    <x v="15"/>
    <x v="136"/>
    <n v="16422"/>
    <n v="208"/>
    <n v="10321"/>
    <s v="1.27"/>
    <s v="0.00"/>
    <s v="98.73"/>
  </r>
  <r>
    <x v="15"/>
    <x v="135"/>
    <n v="211496"/>
    <n v="2886"/>
    <n v="40405"/>
    <s v="1.36"/>
    <s v="0.00"/>
    <s v="98.64"/>
  </r>
  <r>
    <x v="15"/>
    <x v="134"/>
    <n v="6300"/>
    <n v="211"/>
    <n v="623"/>
    <s v="3.35"/>
    <s v="0.00"/>
    <s v="96.65"/>
  </r>
  <r>
    <x v="15"/>
    <x v="133"/>
    <n v="10768"/>
    <n v="263"/>
    <n v="3214"/>
    <s v="2.44"/>
    <s v="0.00"/>
    <s v="97.56"/>
  </r>
  <r>
    <x v="15"/>
    <x v="132"/>
    <n v="128868"/>
    <n v="3550"/>
    <n v="39316"/>
    <s v="2.75"/>
    <s v="0.00"/>
    <s v="97.25"/>
  </r>
  <r>
    <x v="15"/>
    <x v="131"/>
    <n v="151253"/>
    <n v="1929"/>
    <n v="83495"/>
    <s v="1.28"/>
    <s v="0.00"/>
    <s v="98.72"/>
  </r>
  <r>
    <x v="15"/>
    <x v="130"/>
    <n v="2448372"/>
    <n v="28674"/>
    <n v="1127272"/>
    <s v="1.17"/>
    <s v="0.00"/>
    <s v="98.83"/>
  </r>
  <r>
    <x v="15"/>
    <x v="129"/>
    <n v="3788986"/>
    <n v="286888"/>
    <n v="2062041"/>
    <s v="7.57"/>
    <s v="0.00"/>
    <s v="92.43"/>
  </r>
  <r>
    <x v="15"/>
    <x v="128"/>
    <n v="61774"/>
    <n v="2297"/>
    <n v="24291"/>
    <s v="3.72"/>
    <s v="0.00"/>
    <s v="96.28"/>
  </r>
  <r>
    <x v="15"/>
    <x v="127"/>
    <n v="87359"/>
    <n v="242"/>
    <n v="43263"/>
    <s v="0.28"/>
    <s v="0.00"/>
    <s v="99.72"/>
  </r>
  <r>
    <x v="15"/>
    <x v="126"/>
    <n v="17416"/>
    <n v="160"/>
    <n v="12669"/>
    <s v="0.92"/>
    <s v="0.00"/>
    <s v="99.08"/>
  </r>
  <r>
    <x v="15"/>
    <x v="125"/>
    <n v="37595"/>
    <n v="460"/>
    <n v="20373"/>
    <s v="1.22"/>
    <s v="0.00"/>
    <s v="98.78"/>
  </r>
  <r>
    <x v="15"/>
    <x v="124"/>
    <n v="37094"/>
    <n v="792"/>
    <n v="17231"/>
    <s v="2.14"/>
    <s v="0.00"/>
    <s v="97.86"/>
  </r>
  <r>
    <x v="15"/>
    <x v="123"/>
    <n v="43022"/>
    <n v="675"/>
    <n v="35752"/>
    <s v="1.57"/>
    <s v="0.00"/>
    <s v="98.43"/>
  </r>
  <r>
    <x v="15"/>
    <x v="122"/>
    <n v="77"/>
    <n v="0"/>
    <n v="7"/>
    <s v="0.00"/>
    <s v="0.00"/>
    <s v="100.00"/>
  </r>
  <r>
    <x v="15"/>
    <x v="121"/>
    <n v="355129"/>
    <n v="1699"/>
    <n v="324674"/>
    <s v="0.48"/>
    <s v="0.00"/>
    <s v="99.52"/>
  </r>
  <r>
    <x v="15"/>
    <x v="120"/>
    <n v="496901"/>
    <n v="18603"/>
    <n v="408313"/>
    <s v="3.74"/>
    <s v="0.00"/>
    <s v="96.26"/>
  </r>
  <r>
    <x v="15"/>
    <x v="119"/>
    <n v="15924"/>
    <n v="561"/>
    <n v="2017"/>
    <s v="3.52"/>
    <s v="0.00"/>
    <s v="96.48"/>
  </r>
  <r>
    <x v="15"/>
    <x v="118"/>
    <n v="200856"/>
    <n v="7087"/>
    <n v="13071"/>
    <s v="3.53"/>
    <s v="0.00"/>
    <s v="96.47"/>
  </r>
  <r>
    <x v="15"/>
    <x v="117"/>
    <n v="4"/>
    <n v="0"/>
    <n v="1"/>
    <s v="0.00"/>
    <s v="0.00"/>
    <s v="100.00"/>
  </r>
  <r>
    <x v="15"/>
    <x v="116"/>
    <n v="43626"/>
    <n v="963"/>
    <n v="12080"/>
    <s v="2.21"/>
    <s v="0.00"/>
    <s v="97.79"/>
  </r>
  <r>
    <x v="15"/>
    <x v="115"/>
    <n v="3920"/>
    <n v="55"/>
    <n v="2564"/>
    <s v="1.40"/>
    <s v="0.00"/>
    <s v="98.60"/>
  </r>
  <r>
    <x v="15"/>
    <x v="114"/>
    <n v="142308"/>
    <n v="2082"/>
    <n v="131182"/>
    <s v="1.46"/>
    <s v="0.00"/>
    <s v="98.54"/>
  </r>
  <r>
    <x v="15"/>
    <x v="113"/>
    <n v="332625"/>
    <n v="7619"/>
    <n v="103568"/>
    <s v="2.29"/>
    <s v="0.00"/>
    <s v="97.71"/>
  </r>
  <r>
    <x v="15"/>
    <x v="112"/>
    <n v="3399"/>
    <n v="36"/>
    <n v="3257"/>
    <s v="1.06"/>
    <s v="0.00"/>
    <s v="98.94"/>
  </r>
  <r>
    <x v="15"/>
    <x v="111"/>
    <n v="945201"/>
    <n v="14647"/>
    <n v="771577"/>
    <s v="1.55"/>
    <s v="0.00"/>
    <s v="98.45"/>
  </r>
  <r>
    <x v="15"/>
    <x v="110"/>
    <n v="355490"/>
    <n v="5048"/>
    <n v="70912"/>
    <s v="1.42"/>
    <s v="0.00"/>
    <s v="98.58"/>
  </r>
  <r>
    <x v="15"/>
    <x v="109"/>
    <n v="208783"/>
    <n v="3109"/>
    <n v="202688"/>
    <s v="1.49"/>
    <s v="0.00"/>
    <s v="98.51"/>
  </r>
  <r>
    <x v="15"/>
    <x v="108"/>
    <n v="81363"/>
    <n v="843"/>
    <n v="33041"/>
    <s v="1.04"/>
    <s v="0.00"/>
    <s v="98.96"/>
  </r>
  <r>
    <x v="15"/>
    <x v="107"/>
    <n v="396047"/>
    <n v="5720"/>
    <n v="322772"/>
    <s v="1.44"/>
    <s v="0.00"/>
    <s v="98.56"/>
  </r>
  <r>
    <x v="15"/>
    <x v="106"/>
    <n v="21600"/>
    <n v="657"/>
    <n v="8213"/>
    <s v="3.04"/>
    <s v="0.00"/>
    <s v="96.96"/>
  </r>
  <r>
    <x v="15"/>
    <x v="105"/>
    <n v="5812"/>
    <n v="287"/>
    <n v="3865"/>
    <s v="4.94"/>
    <s v="0.00"/>
    <s v="95.06"/>
  </r>
  <r>
    <x v="15"/>
    <x v="104"/>
    <n v="538320"/>
    <n v="13674"/>
    <n v="462642"/>
    <s v="2.54"/>
    <s v="0.00"/>
    <s v="97.46"/>
  </r>
  <r>
    <x v="15"/>
    <x v="103"/>
    <n v="3652"/>
    <n v="61"/>
    <n v="2662"/>
    <s v="1.67"/>
    <s v="0.00"/>
    <s v="98.33"/>
  </r>
  <r>
    <x v="15"/>
    <x v="102"/>
    <n v="12486"/>
    <n v="253"/>
    <n v="3550"/>
    <s v="2.03"/>
    <s v="0.00"/>
    <s v="97.97"/>
  </r>
  <r>
    <x v="15"/>
    <x v="101"/>
    <n v="639332"/>
    <n v="8472"/>
    <n v="371800"/>
    <s v="1.33"/>
    <s v="0.00"/>
    <s v="98.67"/>
  </r>
  <r>
    <x v="15"/>
    <x v="100"/>
    <n v="37751"/>
    <n v="59"/>
    <n v="16099"/>
    <s v="0.16"/>
    <s v="0.00"/>
    <s v="99.84"/>
  </r>
  <r>
    <x v="15"/>
    <x v="99"/>
    <n v="1013503"/>
    <n v="17021"/>
    <n v="92898"/>
    <s v="1.68"/>
    <s v="0.00"/>
    <s v="98.32"/>
  </r>
  <r>
    <x v="15"/>
    <x v="98"/>
    <n v="412594"/>
    <n v="2461"/>
    <n v="394022"/>
    <s v="0.60"/>
    <s v="0.00"/>
    <s v="99.40"/>
  </r>
  <r>
    <x v="15"/>
    <x v="97"/>
    <n v="358412"/>
    <n v="2808"/>
    <n v="21863"/>
    <s v="0.78"/>
    <s v="0.00"/>
    <s v="99.22"/>
  </r>
  <r>
    <x v="15"/>
    <x v="96"/>
    <n v="2657"/>
    <n v="21"/>
    <n v="2443"/>
    <s v="0.79"/>
    <s v="0.00"/>
    <s v="99.21"/>
  </r>
  <r>
    <x v="15"/>
    <x v="95"/>
    <n v="4233"/>
    <n v="147"/>
    <n v="3167"/>
    <s v="3.47"/>
    <s v="0.00"/>
    <s v="96.53"/>
  </r>
  <r>
    <x v="15"/>
    <x v="93"/>
    <n v="118111"/>
    <n v="2758"/>
    <n v="17950"/>
    <s v="2.34"/>
    <s v="0.00"/>
    <s v="97.66"/>
  </r>
  <r>
    <x v="15"/>
    <x v="94"/>
    <n v="2"/>
    <n v="0"/>
    <n v="2"/>
    <s v="0.00"/>
    <s v="0.00"/>
    <s v="100.00"/>
  </r>
  <r>
    <x v="15"/>
    <x v="92"/>
    <n v="180865"/>
    <n v="2661"/>
    <n v="15645"/>
    <s v="1.47"/>
    <s v="0.00"/>
    <s v="98.53"/>
  </r>
  <r>
    <x v="15"/>
    <x v="91"/>
    <n v="252938"/>
    <n v="5266"/>
    <n v="226365"/>
    <s v="2.08"/>
    <s v="0.00"/>
    <s v="97.92"/>
  </r>
  <r>
    <x v="15"/>
    <x v="90"/>
    <n v="1718486"/>
    <n v="18236"/>
    <n v="167023"/>
    <s v="1.06"/>
    <s v="0.00"/>
    <s v="98.94"/>
  </r>
  <r>
    <x v="15"/>
    <x v="89"/>
    <n v="856450"/>
    <n v="10983"/>
    <n v="206408"/>
    <s v="1.28"/>
    <s v="0.00"/>
    <s v="98.72"/>
  </r>
  <r>
    <x v="15"/>
    <x v="88"/>
    <n v="88530"/>
    <n v="2192"/>
    <n v="14827"/>
    <s v="2.48"/>
    <s v="0.00"/>
    <s v="97.52"/>
  </r>
  <r>
    <x v="15"/>
    <x v="87"/>
    <n v="4752368"/>
    <n v="131954"/>
    <n v="4364141"/>
    <s v="2.78"/>
    <s v="0.00"/>
    <s v="97.22"/>
  </r>
  <r>
    <x v="15"/>
    <x v="86"/>
    <n v="13313"/>
    <n v="33"/>
    <n v="6913"/>
    <s v="0.25"/>
    <s v="0.00"/>
    <s v="99.75"/>
  </r>
  <r>
    <x v="15"/>
    <x v="85"/>
    <n v="5888100"/>
    <n v="125716"/>
    <n v="3771441"/>
    <s v="2.14"/>
    <s v="0.00"/>
    <s v="97.86"/>
  </r>
  <r>
    <x v="15"/>
    <x v="84"/>
    <n v="2050652"/>
    <n v="23061"/>
    <n v="621987"/>
    <s v="1.12"/>
    <s v="0.00"/>
    <s v="98.88"/>
  </r>
  <r>
    <x v="15"/>
    <x v="83"/>
    <n v="34231809"/>
    <n v="456386"/>
    <n v="16858032"/>
    <s v="1.33"/>
    <s v="0.00"/>
    <s v="98.67"/>
  </r>
  <r>
    <x v="15"/>
    <x v="82"/>
    <n v="1325496"/>
    <n v="8073"/>
    <n v="291104"/>
    <s v="0.61"/>
    <s v="0.00"/>
    <s v="99.39"/>
  </r>
  <r>
    <x v="15"/>
    <x v="81"/>
    <n v="435526"/>
    <n v="5436"/>
    <n v="44286"/>
    <s v="1.25"/>
    <s v="0.00"/>
    <s v="98.75"/>
  </r>
  <r>
    <x v="15"/>
    <x v="80"/>
    <n v="4241809"/>
    <n v="143299"/>
    <n v="3131784"/>
    <s v="3.38"/>
    <s v="0.00"/>
    <s v="96.62"/>
  </r>
  <r>
    <x v="15"/>
    <x v="79"/>
    <n v="855339"/>
    <n v="30647"/>
    <n v="422429"/>
    <s v="3.58"/>
    <s v="0.00"/>
    <s v="96.42"/>
  </r>
  <r>
    <x v="15"/>
    <x v="78"/>
    <n v="23773"/>
    <n v="662"/>
    <n v="16206"/>
    <s v="2.78"/>
    <s v="0.00"/>
    <s v="97.22"/>
  </r>
  <r>
    <x v="15"/>
    <x v="77"/>
    <n v="453936"/>
    <n v="9116"/>
    <n v="195337"/>
    <s v="2.01"/>
    <s v="0.00"/>
    <s v="97.99"/>
  </r>
  <r>
    <x v="15"/>
    <x v="76"/>
    <n v="374783"/>
    <n v="10210"/>
    <n v="141302"/>
    <s v="2.72"/>
    <s v="0.00"/>
    <s v="97.28"/>
  </r>
  <r>
    <x v="15"/>
    <x v="75"/>
    <n v="12335"/>
    <n v="213"/>
    <n v="5339"/>
    <s v="1.73"/>
    <s v="0.00"/>
    <s v="98.27"/>
  </r>
  <r>
    <x v="15"/>
    <x v="74"/>
    <n v="35252"/>
    <n v="900"/>
    <n v="25962"/>
    <s v="2.55"/>
    <s v="0.00"/>
    <s v="97.45"/>
  </r>
  <r>
    <x v="15"/>
    <x v="73"/>
    <n v="6133"/>
    <n v="141"/>
    <n v="1824"/>
    <s v="2.30"/>
    <s v="0.00"/>
    <s v="97.70"/>
  </r>
  <r>
    <x v="15"/>
    <x v="72"/>
    <n v="597768"/>
    <n v="14862"/>
    <n v="33781"/>
    <s v="2.49"/>
    <s v="0.00"/>
    <s v="97.51"/>
  </r>
  <r>
    <x v="15"/>
    <x v="71"/>
    <n v="728210"/>
    <n v="15770"/>
    <n v="553759"/>
    <s v="2.17"/>
    <s v="0.00"/>
    <s v="97.83"/>
  </r>
  <r>
    <x v="15"/>
    <x v="70"/>
    <n v="13236"/>
    <n v="163"/>
    <n v="12472"/>
    <s v="1.23"/>
    <s v="0.00"/>
    <s v="98.77"/>
  </r>
  <r>
    <x v="15"/>
    <x v="69"/>
    <n v="54288"/>
    <n v="815"/>
    <n v="38436"/>
    <s v="1.50"/>
    <s v="0.00"/>
    <s v="98.50"/>
  </r>
  <r>
    <x v="15"/>
    <x v="67"/>
    <n v="9963"/>
    <n v="340"/>
    <n v="5430"/>
    <s v="3.41"/>
    <s v="0.00"/>
    <s v="96.59"/>
  </r>
  <r>
    <x v="15"/>
    <x v="68"/>
    <n v="30647"/>
    <n v="385"/>
    <n v="17158"/>
    <s v="1.26"/>
    <s v="0.00"/>
    <s v="98.74"/>
  </r>
  <r>
    <x v="15"/>
    <x v="66"/>
    <n v="5919"/>
    <n v="98"/>
    <n v="1254"/>
    <s v="1.66"/>
    <s v="0.00"/>
    <s v="98.34"/>
  </r>
  <r>
    <x v="15"/>
    <x v="65"/>
    <n v="130041"/>
    <n v="1174"/>
    <n v="6277"/>
    <s v="0.90"/>
    <s v="0.00"/>
    <s v="99.10"/>
  </r>
  <r>
    <x v="15"/>
    <x v="64"/>
    <n v="44347"/>
    <n v="302"/>
    <n v="12671"/>
    <s v="0.68"/>
    <s v="0.00"/>
    <s v="99.32"/>
  </r>
  <r>
    <x v="15"/>
    <x v="62"/>
    <n v="5830"/>
    <n v="197"/>
    <n v="3217"/>
    <s v="3.38"/>
    <s v="0.00"/>
    <s v="96.62"/>
  </r>
  <r>
    <x v="15"/>
    <x v="63"/>
    <n v="703281"/>
    <n v="9873"/>
    <n v="619690"/>
    <s v="1.40"/>
    <s v="0.00"/>
    <s v="98.60"/>
  </r>
  <r>
    <x v="15"/>
    <x v="61"/>
    <n v="8933046"/>
    <n v="140364"/>
    <n v="1181468"/>
    <s v="1.57"/>
    <s v="0.00"/>
    <s v="98.43"/>
  </r>
  <r>
    <x v="15"/>
    <x v="60"/>
    <n v="35252"/>
    <n v="235"/>
    <n v="7338"/>
    <s v="0.67"/>
    <s v="0.00"/>
    <s v="99.33"/>
  </r>
  <r>
    <x v="15"/>
    <x v="59"/>
    <n v="6963505"/>
    <n v="115222"/>
    <n v="660935"/>
    <s v="1.65"/>
    <s v="0.00"/>
    <s v="98.35"/>
  </r>
  <r>
    <x v="15"/>
    <x v="58"/>
    <n v="1778"/>
    <n v="2"/>
    <n v="51"/>
    <s v="0.11"/>
    <s v="0.00"/>
    <s v="99.89"/>
  </r>
  <r>
    <x v="15"/>
    <x v="57"/>
    <n v="52079"/>
    <n v="673"/>
    <n v="47777"/>
    <s v="1.29"/>
    <s v="0.00"/>
    <s v="98.71"/>
  </r>
  <r>
    <x v="15"/>
    <x v="56"/>
    <n v="156286"/>
    <n v="1150"/>
    <n v="49826"/>
    <s v="0.74"/>
    <s v="0.00"/>
    <s v="99.26"/>
  </r>
  <r>
    <x v="15"/>
    <x v="55"/>
    <n v="363712"/>
    <n v="6412"/>
    <n v="177798"/>
    <s v="1.76"/>
    <s v="0.00"/>
    <s v="98.24"/>
  </r>
  <r>
    <x v="15"/>
    <x v="54"/>
    <n v="5006675"/>
    <n v="87289"/>
    <n v="30216"/>
    <s v="1.74"/>
    <s v="0.00"/>
    <s v="98.26"/>
  </r>
  <r>
    <x v="15"/>
    <x v="53"/>
    <n v="6800"/>
    <n v="45"/>
    <n v="136"/>
    <s v="0.66"/>
    <s v="0.00"/>
    <s v="99.34"/>
  </r>
  <r>
    <x v="15"/>
    <x v="52"/>
    <n v="327286"/>
    <n v="18428"/>
    <n v="263132"/>
    <s v="5.63"/>
    <s v="0.00"/>
    <s v="94.37"/>
  </r>
  <r>
    <x v="15"/>
    <x v="51"/>
    <n v="186530"/>
    <n v="1483"/>
    <n v="116949"/>
    <s v="0.80"/>
    <s v="0.00"/>
    <s v="99.20"/>
  </r>
  <r>
    <x v="15"/>
    <x v="50"/>
    <n v="515859"/>
    <n v="32958"/>
    <n v="200001"/>
    <s v="6.39"/>
    <s v="0.00"/>
    <s v="93.61"/>
  </r>
  <r>
    <x v="15"/>
    <x v="49"/>
    <n v="206069"/>
    <n v="5904"/>
    <n v="98922"/>
    <s v="2.87"/>
    <s v="0.00"/>
    <s v="97.13"/>
  </r>
  <r>
    <x v="15"/>
    <x v="48"/>
    <n v="378234"/>
    <n v="4118"/>
    <n v="186337"/>
    <s v="1.09"/>
    <s v="0.00"/>
    <s v="98.91"/>
  </r>
  <r>
    <x v="15"/>
    <x v="47"/>
    <n v="4691"/>
    <n v="31"/>
    <n v="2400"/>
    <s v="0.66"/>
    <s v="0.00"/>
    <s v="99.34"/>
  </r>
  <r>
    <x v="15"/>
    <x v="46"/>
    <n v="381728"/>
    <n v="2708"/>
    <n v="299100"/>
    <s v="0.71"/>
    <s v="0.00"/>
    <s v="99.29"/>
  </r>
  <r>
    <x v="15"/>
    <x v="45"/>
    <n v="13461"/>
    <n v="181"/>
    <n v="1332"/>
    <s v="1.34"/>
    <s v="0.00"/>
    <s v="98.66"/>
  </r>
  <r>
    <x v="15"/>
    <x v="44"/>
    <n v="4545665"/>
    <n v="95489"/>
    <n v="3276119"/>
    <s v="2.10"/>
    <s v="0.00"/>
    <s v="97.90"/>
  </r>
  <r>
    <x v="15"/>
    <x v="43"/>
    <n v="1741859"/>
    <n v="30667"/>
    <n v="1164559"/>
    <s v="1.76"/>
    <s v="0.00"/>
    <s v="98.24"/>
  </r>
  <r>
    <x v="15"/>
    <x v="42"/>
    <n v="123708"/>
    <n v="572"/>
    <n v="24707"/>
    <s v="0.46"/>
    <s v="0.00"/>
    <s v="99.54"/>
  </r>
  <r>
    <x v="15"/>
    <x v="41"/>
    <n v="38169"/>
    <n v="349"/>
    <n v="24149"/>
    <s v="0.91"/>
    <s v="0.00"/>
    <s v="99.09"/>
  </r>
  <r>
    <x v="15"/>
    <x v="40"/>
    <n v="948847"/>
    <n v="8210"/>
    <n v="470374"/>
    <s v="0.87"/>
    <s v="0.00"/>
    <s v="99.13"/>
  </r>
  <r>
    <x v="15"/>
    <x v="39"/>
    <n v="558654"/>
    <n v="7008"/>
    <n v="157758"/>
    <s v="1.25"/>
    <s v="0.00"/>
    <s v="98.75"/>
  </r>
  <r>
    <x v="15"/>
    <x v="38"/>
    <n v="4995694"/>
    <n v="127159"/>
    <n v="1958473"/>
    <s v="2.55"/>
    <s v="0.00"/>
    <s v="97.45"/>
  </r>
  <r>
    <x v="15"/>
    <x v="37"/>
    <n v="96938"/>
    <n v="4636"/>
    <n v="79861"/>
    <s v="4.78"/>
    <s v="0.00"/>
    <s v="95.22"/>
  </r>
  <r>
    <x v="15"/>
    <x v="36"/>
    <n v="102499"/>
    <n v="1686"/>
    <n v="36413"/>
    <s v="1.64"/>
    <s v="0.00"/>
    <s v="98.36"/>
  </r>
  <r>
    <x v="15"/>
    <x v="35"/>
    <n v="1686318"/>
    <n v="37697"/>
    <n v="294362"/>
    <s v="2.24"/>
    <s v="0.00"/>
    <s v="97.76"/>
  </r>
  <r>
    <x v="15"/>
    <x v="34"/>
    <n v="61252"/>
    <n v="691"/>
    <n v="11700"/>
    <s v="1.13"/>
    <s v="0.00"/>
    <s v="98.87"/>
  </r>
  <r>
    <x v="15"/>
    <x v="33"/>
    <n v="869044"/>
    <n v="11207"/>
    <n v="605179"/>
    <s v="1.29"/>
    <s v="0.00"/>
    <s v="98.71"/>
  </r>
  <r>
    <x v="15"/>
    <x v="32"/>
    <n v="16868"/>
    <n v="249"/>
    <n v="6776"/>
    <s v="1.48"/>
    <s v="0.00"/>
    <s v="98.52"/>
  </r>
  <r>
    <x v="15"/>
    <x v="31"/>
    <n v="11518"/>
    <n v="100"/>
    <n v="622"/>
    <s v="0.87"/>
    <s v="0.00"/>
    <s v="99.13"/>
  </r>
  <r>
    <x v="15"/>
    <x v="30"/>
    <n v="57470"/>
    <n v="1091"/>
    <n v="17359"/>
    <s v="1.90"/>
    <s v="0.00"/>
    <s v="98.10"/>
  </r>
  <r>
    <x v="15"/>
    <x v="29"/>
    <n v="1715122"/>
    <n v="28934"/>
    <n v="1315980"/>
    <s v="1.69"/>
    <s v="0.00"/>
    <s v="98.31"/>
  </r>
  <r>
    <x v="15"/>
    <x v="28"/>
    <n v="26426"/>
    <n v="489"/>
    <n v="15360"/>
    <s v="1.85"/>
    <s v="0.00"/>
    <s v="98.15"/>
  </r>
  <r>
    <x v="15"/>
    <x v="27"/>
    <n v="592224"/>
    <n v="4563"/>
    <n v="51258"/>
    <s v="0.77"/>
    <s v="0.00"/>
    <s v="99.23"/>
  </r>
  <r>
    <x v="15"/>
    <x v="26"/>
    <n v="185985"/>
    <n v="2402"/>
    <n v="68634"/>
    <s v="1.29"/>
    <s v="0.00"/>
    <s v="98.71"/>
  </r>
  <r>
    <x v="15"/>
    <x v="25"/>
    <n v="2620"/>
    <n v="3"/>
    <n v="1807"/>
    <s v="0.11"/>
    <s v="0.00"/>
    <s v="99.89"/>
  </r>
  <r>
    <x v="15"/>
    <x v="24"/>
    <n v="22259"/>
    <n v="642"/>
    <n v="15200"/>
    <s v="2.88"/>
    <s v="0.00"/>
    <s v="97.12"/>
  </r>
  <r>
    <x v="15"/>
    <x v="23"/>
    <n v="21766168"/>
    <n v="606679"/>
    <n v="19092095"/>
    <s v="2.79"/>
    <s v="0.00"/>
    <s v="97.21"/>
  </r>
  <r>
    <x v="15"/>
    <x v="22"/>
    <n v="511854"/>
    <n v="18911"/>
    <n v="192538"/>
    <s v="3.69"/>
    <s v="0.00"/>
    <s v="96.31"/>
  </r>
  <r>
    <x v="15"/>
    <x v="21"/>
    <n v="12710"/>
    <n v="82"/>
    <n v="9099"/>
    <s v="0.65"/>
    <s v="0.00"/>
    <s v="99.35"/>
  </r>
  <r>
    <x v="15"/>
    <x v="20"/>
    <n v="1659"/>
    <n v="6"/>
    <n v="564"/>
    <s v="0.36"/>
    <s v="0.00"/>
    <s v="99.64"/>
  </r>
  <r>
    <x v="15"/>
    <x v="19"/>
    <n v="24749"/>
    <n v="161"/>
    <n v="4660"/>
    <s v="0.65"/>
    <s v="0.00"/>
    <s v="99.35"/>
  </r>
  <r>
    <x v="15"/>
    <x v="18"/>
    <n v="19988"/>
    <n v="38"/>
    <n v="1971"/>
    <s v="0.19"/>
    <s v="0.00"/>
    <s v="99.81"/>
  </r>
  <r>
    <x v="15"/>
    <x v="17"/>
    <n v="276685"/>
    <n v="1393"/>
    <n v="94723"/>
    <s v="0.50"/>
    <s v="0.00"/>
    <s v="99.50"/>
  </r>
  <r>
    <x v="15"/>
    <x v="16"/>
    <n v="587765"/>
    <n v="23594"/>
    <n v="322361"/>
    <s v="4.01"/>
    <s v="0.00"/>
    <s v="95.99"/>
  </r>
  <r>
    <x v="15"/>
    <x v="15"/>
    <n v="14793"/>
    <n v="214"/>
    <n v="7062"/>
    <s v="1.45"/>
    <s v="0.00"/>
    <s v="98.55"/>
  </r>
  <r>
    <x v="15"/>
    <x v="14"/>
    <n v="1342718"/>
    <n v="25946"/>
    <n v="972358"/>
    <s v="1.93"/>
    <s v="0.00"/>
    <s v="98.07"/>
  </r>
  <r>
    <x v="15"/>
    <x v="13"/>
    <n v="1568563"/>
    <n v="27841"/>
    <n v="315271"/>
    <s v="1.77"/>
    <s v="0.00"/>
    <s v="98.23"/>
  </r>
  <r>
    <x v="15"/>
    <x v="12"/>
    <n v="16424"/>
    <n v="149"/>
    <n v="1008"/>
    <s v="0.91"/>
    <s v="0.00"/>
    <s v="99.09"/>
  </r>
  <r>
    <x v="15"/>
    <x v="11"/>
    <n v="251264"/>
    <n v="11450"/>
    <n v="126074"/>
    <s v="4.56"/>
    <s v="0.00"/>
    <s v="95.44"/>
  </r>
  <r>
    <x v="15"/>
    <x v="10"/>
    <n v="522368"/>
    <n v="6966"/>
    <n v="471161"/>
    <s v="1.33"/>
    <s v="0.00"/>
    <s v="98.67"/>
  </r>
  <r>
    <x v="15"/>
    <x v="9"/>
    <n v="165904"/>
    <n v="1696"/>
    <n v="53657"/>
    <s v="1.02"/>
    <s v="0.00"/>
    <s v="98.98"/>
  </r>
  <r>
    <x v="15"/>
    <x v="8"/>
    <n v="809086"/>
    <n v="11289"/>
    <n v="397244"/>
    <s v="1.40"/>
    <s v="0.00"/>
    <s v="98.60"/>
  </r>
  <r>
    <x v="15"/>
    <x v="7"/>
    <n v="5284485"/>
    <n v="115889"/>
    <n v="2503158"/>
    <s v="2.19"/>
    <s v="0.00"/>
    <s v="97.81"/>
  </r>
  <r>
    <x v="15"/>
    <x v="6"/>
    <n v="64126"/>
    <n v="1703"/>
    <n v="52613"/>
    <s v="2.66"/>
    <s v="0.00"/>
    <s v="97.34"/>
  </r>
  <r>
    <x v="15"/>
    <x v="5"/>
    <n v="300143"/>
    <n v="6151"/>
    <n v="149875"/>
    <s v="2.05"/>
    <s v="0.00"/>
    <s v="97.95"/>
  </r>
  <r>
    <x v="15"/>
    <x v="4"/>
    <n v="183282"/>
    <n v="2893"/>
    <n v="118318"/>
    <s v="1.58"/>
    <s v="0.00"/>
    <s v="98.42"/>
  </r>
  <r>
    <x v="15"/>
    <x v="3"/>
    <n v="4036"/>
    <n v="102"/>
    <n v="540"/>
    <s v="2.53"/>
    <s v="0.00"/>
    <s v="97.47"/>
  </r>
  <r>
    <x v="15"/>
    <x v="2"/>
    <n v="156124"/>
    <n v="7266"/>
    <n v="147958"/>
    <s v="4.65"/>
    <s v="0.00"/>
    <s v="95.35"/>
  </r>
  <r>
    <x v="15"/>
    <x v="1"/>
    <n v="739566"/>
    <n v="2135"/>
    <n v="198824"/>
    <s v="0.29"/>
    <s v="0.00"/>
    <s v="99.71"/>
  </r>
  <r>
    <x v="15"/>
    <x v="0"/>
    <n v="15462"/>
    <n v="130"/>
    <n v="5006"/>
    <s v="0.84"/>
    <s v="0.00"/>
    <s v="99.16"/>
  </r>
  <r>
    <x v="16"/>
    <x v="0"/>
    <n v="15425"/>
    <n v="130"/>
    <n v="7725"/>
    <s v="0.84"/>
    <s v="0.00"/>
    <s v="99.16"/>
  </r>
  <r>
    <x v="16"/>
    <x v="1"/>
    <n v="739471"/>
    <n v="2134"/>
    <n v="195174"/>
    <s v="0.29"/>
    <s v="0.00"/>
    <s v="99.71"/>
  </r>
  <r>
    <x v="16"/>
    <x v="2"/>
    <n v="156071"/>
    <n v="7262"/>
    <n v="148465"/>
    <s v="4.65"/>
    <s v="0.00"/>
    <s v="95.35"/>
  </r>
  <r>
    <x v="16"/>
    <x v="3"/>
    <n v="4031"/>
    <n v="99"/>
    <n v="3637"/>
    <s v="2.46"/>
    <s v="0.00"/>
    <s v="97.54"/>
  </r>
  <r>
    <x v="16"/>
    <x v="4"/>
    <n v="182610"/>
    <n v="2888"/>
    <n v="62916"/>
    <s v="1.58"/>
    <s v="0.00"/>
    <s v="98.42"/>
  </r>
  <r>
    <x v="16"/>
    <x v="5"/>
    <n v="298069"/>
    <n v="6112"/>
    <n v="35504"/>
    <s v="2.05"/>
    <s v="0.00"/>
    <s v="97.95"/>
  </r>
  <r>
    <x v="16"/>
    <x v="6"/>
    <n v="64033"/>
    <n v="1702"/>
    <n v="22126"/>
    <s v="2.66"/>
    <s v="0.00"/>
    <s v="97.34"/>
  </r>
  <r>
    <x v="16"/>
    <x v="7"/>
    <n v="5283000"/>
    <n v="115866"/>
    <n v="4251520"/>
    <s v="2.19"/>
    <s v="0.00"/>
    <s v="97.81"/>
  </r>
  <r>
    <x v="16"/>
    <x v="8"/>
    <n v="804825"/>
    <n v="11279"/>
    <n v="575868"/>
    <s v="1.40"/>
    <s v="0.00"/>
    <s v="98.60"/>
  </r>
  <r>
    <x v="16"/>
    <x v="9"/>
    <n v="163866"/>
    <n v="1669"/>
    <n v="17479"/>
    <s v="1.02"/>
    <s v="0.00"/>
    <s v="98.98"/>
  </r>
  <r>
    <x v="16"/>
    <x v="10"/>
    <n v="520068"/>
    <n v="6939"/>
    <n v="455270"/>
    <s v="1.33"/>
    <s v="0.00"/>
    <s v="98.67"/>
  </r>
  <r>
    <x v="16"/>
    <x v="11"/>
    <n v="250165"/>
    <n v="11423"/>
    <n v="86216"/>
    <s v="4.57"/>
    <s v="0.00"/>
    <s v="95.43"/>
  </r>
  <r>
    <x v="16"/>
    <x v="12"/>
    <n v="16033"/>
    <n v="143"/>
    <n v="15054"/>
    <s v="0.89"/>
    <s v="0.00"/>
    <s v="99.11"/>
  </r>
  <r>
    <x v="16"/>
    <x v="13"/>
    <n v="1568257"/>
    <n v="27834"/>
    <n v="177151"/>
    <s v="1.77"/>
    <s v="0.00"/>
    <s v="98.23"/>
  </r>
  <r>
    <x v="16"/>
    <x v="14"/>
    <n v="1333947"/>
    <n v="25914"/>
    <n v="406145"/>
    <s v="1.94"/>
    <s v="0.00"/>
    <s v="98.06"/>
  </r>
  <r>
    <x v="16"/>
    <x v="15"/>
    <n v="14793"/>
    <n v="214"/>
    <n v="2497"/>
    <s v="1.45"/>
    <s v="0.00"/>
    <s v="98.55"/>
  </r>
  <r>
    <x v="16"/>
    <x v="16"/>
    <n v="582122"/>
    <n v="23440"/>
    <n v="507600"/>
    <s v="4.03"/>
    <s v="0.00"/>
    <s v="95.97"/>
  </r>
  <r>
    <x v="16"/>
    <x v="17"/>
    <n v="276635"/>
    <n v="1393"/>
    <n v="243403"/>
    <s v="0.50"/>
    <s v="0.00"/>
    <s v="99.50"/>
  </r>
  <r>
    <x v="16"/>
    <x v="18"/>
    <n v="19954"/>
    <n v="38"/>
    <n v="7653"/>
    <s v="0.19"/>
    <s v="0.00"/>
    <s v="99.81"/>
  </r>
  <r>
    <x v="16"/>
    <x v="19"/>
    <n v="24678"/>
    <n v="161"/>
    <n v="16337"/>
    <s v="0.65"/>
    <s v="0.00"/>
    <s v="99.35"/>
  </r>
  <r>
    <x v="16"/>
    <x v="20"/>
    <n v="1659"/>
    <n v="6"/>
    <n v="1565"/>
    <s v="0.36"/>
    <s v="0.00"/>
    <s v="99.64"/>
  </r>
  <r>
    <x v="16"/>
    <x v="21"/>
    <n v="12595"/>
    <n v="82"/>
    <n v="6804"/>
    <s v="0.65"/>
    <s v="0.00"/>
    <s v="99.35"/>
  </r>
  <r>
    <x v="16"/>
    <x v="22"/>
    <n v="510470"/>
    <n v="18903"/>
    <n v="427300"/>
    <s v="3.70"/>
    <s v="0.00"/>
    <s v="96.30"/>
  </r>
  <r>
    <x v="16"/>
    <x v="23"/>
    <n v="21748984"/>
    <n v="606246"/>
    <n v="2531171"/>
    <s v="2.79"/>
    <s v="0.00"/>
    <s v="97.21"/>
  </r>
  <r>
    <x v="16"/>
    <x v="24"/>
    <n v="22259"/>
    <n v="642"/>
    <n v="3157"/>
    <s v="2.88"/>
    <s v="0.00"/>
    <s v="97.12"/>
  </r>
  <r>
    <x v="16"/>
    <x v="25"/>
    <n v="2617"/>
    <n v="3"/>
    <n v="513"/>
    <s v="0.11"/>
    <s v="0.00"/>
    <s v="99.89"/>
  </r>
  <r>
    <x v="16"/>
    <x v="26"/>
    <n v="185985"/>
    <n v="2402"/>
    <n v="9888"/>
    <s v="1.29"/>
    <s v="0.00"/>
    <s v="98.71"/>
  </r>
  <r>
    <x v="16"/>
    <x v="27"/>
    <n v="590226"/>
    <n v="4546"/>
    <n v="283089"/>
    <s v="0.77"/>
    <s v="0.00"/>
    <s v="99.23"/>
  </r>
  <r>
    <x v="16"/>
    <x v="28"/>
    <n v="26152"/>
    <n v="482"/>
    <n v="2087"/>
    <s v="1.84"/>
    <s v="0.00"/>
    <s v="98.16"/>
  </r>
  <r>
    <x v="16"/>
    <x v="29"/>
    <n v="1712581"/>
    <n v="28894"/>
    <n v="378517"/>
    <s v="1.69"/>
    <s v="0.00"/>
    <s v="98.31"/>
  </r>
  <r>
    <x v="16"/>
    <x v="30"/>
    <n v="57453"/>
    <n v="1091"/>
    <n v="47803"/>
    <s v="1.90"/>
    <s v="0.00"/>
    <s v="98.10"/>
  </r>
  <r>
    <x v="16"/>
    <x v="31"/>
    <n v="11518"/>
    <n v="100"/>
    <n v="1388"/>
    <s v="0.87"/>
    <s v="0.00"/>
    <s v="99.13"/>
  </r>
  <r>
    <x v="16"/>
    <x v="32"/>
    <n v="16868"/>
    <n v="249"/>
    <n v="10132"/>
    <s v="1.48"/>
    <s v="0.00"/>
    <s v="98.52"/>
  </r>
  <r>
    <x v="16"/>
    <x v="33"/>
    <n v="865708"/>
    <n v="11204"/>
    <n v="642192"/>
    <s v="1.29"/>
    <s v="0.00"/>
    <s v="98.71"/>
  </r>
  <r>
    <x v="16"/>
    <x v="34"/>
    <n v="61221"/>
    <n v="691"/>
    <n v="24055"/>
    <s v="1.13"/>
    <s v="0.00"/>
    <s v="98.87"/>
  </r>
  <r>
    <x v="16"/>
    <x v="35"/>
    <n v="1684608"/>
    <n v="37691"/>
    <n v="470097"/>
    <s v="2.24"/>
    <s v="0.00"/>
    <s v="97.76"/>
  </r>
  <r>
    <x v="16"/>
    <x v="36"/>
    <n v="100289"/>
    <n v="1600"/>
    <n v="59084"/>
    <s v="1.60"/>
    <s v="0.00"/>
    <s v="98.40"/>
  </r>
  <r>
    <x v="16"/>
    <x v="37"/>
    <n v="96899"/>
    <n v="4636"/>
    <n v="6722"/>
    <s v="4.78"/>
    <s v="0.00"/>
    <s v="95.22"/>
  </r>
  <r>
    <x v="16"/>
    <x v="38"/>
    <n v="4994014"/>
    <n v="127133"/>
    <n v="4308203"/>
    <s v="2.55"/>
    <s v="0.00"/>
    <s v="97.45"/>
  </r>
  <r>
    <x v="16"/>
    <x v="39"/>
    <n v="557922"/>
    <n v="6997"/>
    <n v="107377"/>
    <s v="1.25"/>
    <s v="0.00"/>
    <s v="98.75"/>
  </r>
  <r>
    <x v="16"/>
    <x v="40"/>
    <n v="947935"/>
    <n v="8201"/>
    <n v="855740"/>
    <s v="0.87"/>
    <s v="0.00"/>
    <s v="99.13"/>
  </r>
  <r>
    <x v="16"/>
    <x v="41"/>
    <n v="38151"/>
    <n v="349"/>
    <n v="33397"/>
    <s v="0.91"/>
    <s v="0.00"/>
    <s v="99.09"/>
  </r>
  <r>
    <x v="16"/>
    <x v="42"/>
    <n v="123546"/>
    <n v="571"/>
    <n v="75433"/>
    <s v="0.46"/>
    <s v="0.00"/>
    <s v="99.54"/>
  </r>
  <r>
    <x v="16"/>
    <x v="43"/>
    <n v="1735552"/>
    <n v="30648"/>
    <n v="255222"/>
    <s v="1.77"/>
    <s v="0.00"/>
    <s v="98.23"/>
  </r>
  <r>
    <x v="16"/>
    <x v="44"/>
    <n v="4516839"/>
    <n v="95365"/>
    <n v="1252140"/>
    <s v="2.11"/>
    <s v="0.00"/>
    <s v="97.89"/>
  </r>
  <r>
    <x v="16"/>
    <x v="45"/>
    <n v="13461"/>
    <n v="181"/>
    <n v="211"/>
    <s v="1.34"/>
    <s v="0.00"/>
    <s v="98.66"/>
  </r>
  <r>
    <x v="16"/>
    <x v="46"/>
    <n v="379850"/>
    <n v="2703"/>
    <n v="219159"/>
    <s v="0.71"/>
    <s v="0.00"/>
    <s v="99.29"/>
  </r>
  <r>
    <x v="16"/>
    <x v="47"/>
    <n v="4659"/>
    <n v="30"/>
    <n v="4090"/>
    <s v="0.64"/>
    <s v="0.00"/>
    <s v="99.36"/>
  </r>
  <r>
    <x v="16"/>
    <x v="48"/>
    <n v="377385"/>
    <n v="4114"/>
    <n v="120634"/>
    <s v="1.09"/>
    <s v="0.00"/>
    <s v="98.91"/>
  </r>
  <r>
    <x v="16"/>
    <x v="49"/>
    <n v="205990"/>
    <n v="5899"/>
    <n v="162290"/>
    <s v="2.86"/>
    <s v="0.00"/>
    <s v="97.14"/>
  </r>
  <r>
    <x v="16"/>
    <x v="50"/>
    <n v="515659"/>
    <n v="32953"/>
    <n v="154932"/>
    <s v="6.39"/>
    <s v="0.00"/>
    <s v="93.61"/>
  </r>
  <r>
    <x v="16"/>
    <x v="51"/>
    <n v="184509"/>
    <n v="1477"/>
    <n v="71349"/>
    <s v="0.80"/>
    <s v="0.00"/>
    <s v="99.20"/>
  </r>
  <r>
    <x v="16"/>
    <x v="52"/>
    <n v="326379"/>
    <n v="18375"/>
    <n v="26381"/>
    <s v="5.63"/>
    <s v="0.00"/>
    <s v="94.37"/>
  </r>
  <r>
    <x v="16"/>
    <x v="53"/>
    <n v="6798"/>
    <n v="45"/>
    <n v="5210"/>
    <s v="0.66"/>
    <s v="0.00"/>
    <s v="99.34"/>
  </r>
  <r>
    <x v="16"/>
    <x v="54"/>
    <n v="5004143"/>
    <n v="87238"/>
    <n v="3760151"/>
    <s v="1.74"/>
    <s v="0.00"/>
    <s v="98.26"/>
  </r>
  <r>
    <x v="16"/>
    <x v="55"/>
    <n v="363240"/>
    <n v="6393"/>
    <n v="204081"/>
    <s v="1.76"/>
    <s v="0.00"/>
    <s v="98.24"/>
  </r>
  <r>
    <x v="16"/>
    <x v="56"/>
    <n v="155547"/>
    <n v="1149"/>
    <n v="19444"/>
    <s v="0.74"/>
    <s v="0.00"/>
    <s v="99.26"/>
  </r>
  <r>
    <x v="16"/>
    <x v="57"/>
    <n v="52028"/>
    <n v="673"/>
    <n v="13893"/>
    <s v="1.29"/>
    <s v="0.00"/>
    <s v="98.71"/>
  </r>
  <r>
    <x v="16"/>
    <x v="58"/>
    <n v="1714"/>
    <n v="2"/>
    <n v="69"/>
    <s v="0.12"/>
    <s v="0.00"/>
    <s v="99.88"/>
  </r>
  <r>
    <x v="16"/>
    <x v="59"/>
    <n v="6956977"/>
    <n v="115189"/>
    <n v="3761911"/>
    <s v="1.66"/>
    <s v="0.00"/>
    <s v="98.34"/>
  </r>
  <r>
    <x v="16"/>
    <x v="60"/>
    <n v="34898"/>
    <n v="230"/>
    <n v="25194"/>
    <s v="0.66"/>
    <s v="0.00"/>
    <s v="99.34"/>
  </r>
  <r>
    <x v="16"/>
    <x v="61"/>
    <n v="8888939"/>
    <n v="140155"/>
    <n v="7724529"/>
    <s v="1.58"/>
    <s v="0.00"/>
    <s v="98.42"/>
  </r>
  <r>
    <x v="16"/>
    <x v="63"/>
    <n v="698944"/>
    <n v="9831"/>
    <n v="545357"/>
    <s v="1.41"/>
    <s v="0.00"/>
    <s v="98.59"/>
  </r>
  <r>
    <x v="16"/>
    <x v="62"/>
    <n v="5824"/>
    <n v="197"/>
    <n v="4050"/>
    <s v="3.38"/>
    <s v="0.00"/>
    <s v="96.62"/>
  </r>
  <r>
    <x v="16"/>
    <x v="64"/>
    <n v="44225"/>
    <n v="302"/>
    <n v="39356"/>
    <s v="0.68"/>
    <s v="0.00"/>
    <s v="99.32"/>
  </r>
  <r>
    <x v="16"/>
    <x v="65"/>
    <n v="130008"/>
    <n v="1174"/>
    <n v="13196"/>
    <s v="0.90"/>
    <s v="0.00"/>
    <s v="99.10"/>
  </r>
  <r>
    <x v="16"/>
    <x v="66"/>
    <n v="5904"/>
    <n v="98"/>
    <n v="1029"/>
    <s v="1.66"/>
    <s v="0.00"/>
    <s v="98.34"/>
  </r>
  <r>
    <x v="16"/>
    <x v="68"/>
    <n v="30645"/>
    <n v="385"/>
    <n v="16602"/>
    <s v="1.26"/>
    <s v="0.00"/>
    <s v="98.74"/>
  </r>
  <r>
    <x v="16"/>
    <x v="67"/>
    <n v="9959"/>
    <n v="340"/>
    <n v="5932"/>
    <s v="3.41"/>
    <s v="0.00"/>
    <s v="96.59"/>
  </r>
  <r>
    <x v="16"/>
    <x v="69"/>
    <n v="54288"/>
    <n v="815"/>
    <n v="42082"/>
    <s v="1.50"/>
    <s v="0.00"/>
    <s v="98.50"/>
  </r>
  <r>
    <x v="16"/>
    <x v="70"/>
    <n v="13236"/>
    <n v="163"/>
    <n v="8627"/>
    <s v="1.23"/>
    <s v="0.00"/>
    <s v="98.77"/>
  </r>
  <r>
    <x v="16"/>
    <x v="71"/>
    <n v="724571"/>
    <n v="15707"/>
    <n v="489939"/>
    <s v="2.17"/>
    <s v="0.00"/>
    <s v="97.83"/>
  </r>
  <r>
    <x v="16"/>
    <x v="72"/>
    <n v="596417"/>
    <n v="14797"/>
    <n v="424662"/>
    <s v="2.48"/>
    <s v="0.00"/>
    <s v="97.52"/>
  </r>
  <r>
    <x v="16"/>
    <x v="73"/>
    <n v="6133"/>
    <n v="141"/>
    <n v="2337"/>
    <s v="2.30"/>
    <s v="0.00"/>
    <s v="97.70"/>
  </r>
  <r>
    <x v="16"/>
    <x v="74"/>
    <n v="35170"/>
    <n v="899"/>
    <n v="23492"/>
    <s v="2.56"/>
    <s v="0.00"/>
    <s v="97.44"/>
  </r>
  <r>
    <x v="16"/>
    <x v="75"/>
    <n v="12330"/>
    <n v="213"/>
    <n v="293"/>
    <s v="1.73"/>
    <s v="0.00"/>
    <s v="98.27"/>
  </r>
  <r>
    <x v="16"/>
    <x v="76"/>
    <n v="374783"/>
    <n v="10210"/>
    <n v="313086"/>
    <s v="2.72"/>
    <s v="0.00"/>
    <s v="97.28"/>
  </r>
  <r>
    <x v="16"/>
    <x v="77"/>
    <n v="449365"/>
    <n v="9090"/>
    <n v="128928"/>
    <s v="2.02"/>
    <s v="0.00"/>
    <s v="97.98"/>
  </r>
  <r>
    <x v="16"/>
    <x v="78"/>
    <n v="23619"/>
    <n v="662"/>
    <n v="4248"/>
    <s v="2.80"/>
    <s v="0.00"/>
    <s v="97.20"/>
  </r>
  <r>
    <x v="16"/>
    <x v="79"/>
    <n v="852214"/>
    <n v="30611"/>
    <n v="430240"/>
    <s v="3.59"/>
    <s v="0.00"/>
    <s v="96.41"/>
  </r>
  <r>
    <x v="16"/>
    <x v="80"/>
    <n v="4241090"/>
    <n v="143270"/>
    <n v="412583"/>
    <s v="3.38"/>
    <s v="0.00"/>
    <s v="96.62"/>
  </r>
  <r>
    <x v="16"/>
    <x v="81"/>
    <n v="433902"/>
    <n v="5369"/>
    <n v="144747"/>
    <s v="1.24"/>
    <s v="0.00"/>
    <s v="98.76"/>
  </r>
  <r>
    <x v="16"/>
    <x v="82"/>
    <n v="1324897"/>
    <n v="8063"/>
    <n v="1183207"/>
    <s v="0.61"/>
    <s v="0.00"/>
    <s v="99.39"/>
  </r>
  <r>
    <x v="16"/>
    <x v="83"/>
    <n v="34215653"/>
    <n v="455653"/>
    <n v="30372689"/>
    <s v="1.33"/>
    <s v="0.00"/>
    <s v="98.67"/>
  </r>
  <r>
    <x v="16"/>
    <x v="84"/>
    <n v="2049240"/>
    <n v="23024"/>
    <n v="1016524"/>
    <s v="1.12"/>
    <s v="0.00"/>
    <s v="98.88"/>
  </r>
  <r>
    <x v="16"/>
    <x v="85"/>
    <n v="5877456"/>
    <n v="125519"/>
    <n v="3931839"/>
    <s v="2.14"/>
    <s v="0.00"/>
    <s v="97.86"/>
  </r>
  <r>
    <x v="16"/>
    <x v="86"/>
    <n v="13236"/>
    <n v="33"/>
    <n v="12672"/>
    <s v="0.25"/>
    <s v="0.00"/>
    <s v="99.75"/>
  </r>
  <r>
    <x v="16"/>
    <x v="87"/>
    <n v="4747773"/>
    <n v="131904"/>
    <n v="2848060"/>
    <s v="2.78"/>
    <s v="0.00"/>
    <s v="97.22"/>
  </r>
  <r>
    <x v="16"/>
    <x v="88"/>
    <n v="88480"/>
    <n v="2184"/>
    <n v="32839"/>
    <s v="2.47"/>
    <s v="0.00"/>
    <s v="97.53"/>
  </r>
  <r>
    <x v="16"/>
    <x v="89"/>
    <n v="854758"/>
    <n v="10976"/>
    <n v="564411"/>
    <s v="1.28"/>
    <s v="0.00"/>
    <s v="98.72"/>
  </r>
  <r>
    <x v="16"/>
    <x v="90"/>
    <n v="1718165"/>
    <n v="18229"/>
    <n v="1379770"/>
    <s v="1.06"/>
    <s v="0.00"/>
    <s v="98.94"/>
  </r>
  <r>
    <x v="16"/>
    <x v="91"/>
    <n v="252839"/>
    <n v="5263"/>
    <n v="199789"/>
    <s v="2.08"/>
    <s v="0.00"/>
    <s v="97.92"/>
  </r>
  <r>
    <x v="16"/>
    <x v="92"/>
    <n v="180741"/>
    <n v="2658"/>
    <n v="160624"/>
    <s v="1.47"/>
    <s v="0.00"/>
    <s v="98.53"/>
  </r>
  <r>
    <x v="16"/>
    <x v="94"/>
    <n v="2"/>
    <n v="0"/>
    <n v="0"/>
    <s v="0.00"/>
    <s v="0.00"/>
    <s v="100.00"/>
  </r>
  <r>
    <x v="16"/>
    <x v="93"/>
    <n v="118000"/>
    <n v="2751"/>
    <n v="113347"/>
    <s v="2.33"/>
    <s v="0.00"/>
    <s v="97.67"/>
  </r>
  <r>
    <x v="16"/>
    <x v="95"/>
    <n v="4233"/>
    <n v="147"/>
    <n v="987"/>
    <s v="3.47"/>
    <s v="0.00"/>
    <s v="96.53"/>
  </r>
  <r>
    <x v="16"/>
    <x v="96"/>
    <n v="2637"/>
    <n v="21"/>
    <n v="2019"/>
    <s v="0.80"/>
    <s v="0.00"/>
    <s v="99.20"/>
  </r>
  <r>
    <x v="16"/>
    <x v="97"/>
    <n v="356305"/>
    <n v="2797"/>
    <n v="150581"/>
    <s v="0.79"/>
    <s v="0.00"/>
    <s v="99.21"/>
  </r>
  <r>
    <x v="16"/>
    <x v="98"/>
    <n v="412578"/>
    <n v="2461"/>
    <n v="4861"/>
    <s v="0.60"/>
    <s v="0.00"/>
    <s v="99.40"/>
  </r>
  <r>
    <x v="16"/>
    <x v="99"/>
    <n v="1011656"/>
    <n v="16991"/>
    <n v="79188"/>
    <s v="1.68"/>
    <s v="0.00"/>
    <s v="98.32"/>
  </r>
  <r>
    <x v="16"/>
    <x v="100"/>
    <n v="37018"/>
    <n v="56"/>
    <n v="14173"/>
    <s v="0.15"/>
    <s v="0.00"/>
    <s v="99.85"/>
  </r>
  <r>
    <x v="16"/>
    <x v="101"/>
    <n v="638581"/>
    <n v="8465"/>
    <n v="184898"/>
    <s v="1.33"/>
    <s v="0.00"/>
    <s v="98.67"/>
  </r>
  <r>
    <x v="16"/>
    <x v="102"/>
    <n v="12465"/>
    <n v="250"/>
    <n v="84"/>
    <s v="2.01"/>
    <s v="0.00"/>
    <s v="97.99"/>
  </r>
  <r>
    <x v="16"/>
    <x v="103"/>
    <n v="3645"/>
    <n v="61"/>
    <n v="2933"/>
    <s v="1.67"/>
    <s v="0.00"/>
    <s v="98.33"/>
  </r>
  <r>
    <x v="16"/>
    <x v="104"/>
    <n v="537201"/>
    <n v="13654"/>
    <n v="496259"/>
    <s v="2.54"/>
    <s v="0.00"/>
    <s v="97.46"/>
  </r>
  <r>
    <x v="16"/>
    <x v="105"/>
    <n v="5812"/>
    <n v="287"/>
    <n v="5104"/>
    <s v="4.94"/>
    <s v="0.00"/>
    <s v="95.06"/>
  </r>
  <r>
    <x v="16"/>
    <x v="106"/>
    <n v="21598"/>
    <n v="657"/>
    <n v="19008"/>
    <s v="3.04"/>
    <s v="0.00"/>
    <s v="96.96"/>
  </r>
  <r>
    <x v="16"/>
    <x v="107"/>
    <n v="392425"/>
    <n v="5693"/>
    <n v="182350"/>
    <s v="1.45"/>
    <s v="0.00"/>
    <s v="98.55"/>
  </r>
  <r>
    <x v="16"/>
    <x v="108"/>
    <n v="81124"/>
    <n v="842"/>
    <n v="64161"/>
    <s v="1.04"/>
    <s v="0.00"/>
    <s v="98.96"/>
  </r>
  <r>
    <x v="16"/>
    <x v="109"/>
    <n v="205577"/>
    <n v="3076"/>
    <n v="98271"/>
    <s v="1.50"/>
    <s v="0.00"/>
    <s v="98.50"/>
  </r>
  <r>
    <x v="16"/>
    <x v="110"/>
    <n v="354866"/>
    <n v="5033"/>
    <n v="233634"/>
    <s v="1.42"/>
    <s v="0.00"/>
    <s v="98.58"/>
  </r>
  <r>
    <x v="16"/>
    <x v="111"/>
    <n v="944803"/>
    <n v="14636"/>
    <n v="901575"/>
    <s v="1.55"/>
    <s v="0.00"/>
    <s v="98.45"/>
  </r>
  <r>
    <x v="16"/>
    <x v="112"/>
    <n v="3399"/>
    <n v="36"/>
    <n v="2799"/>
    <s v="1.06"/>
    <s v="0.00"/>
    <s v="98.94"/>
  </r>
  <r>
    <x v="16"/>
    <x v="113"/>
    <n v="330799"/>
    <n v="7576"/>
    <n v="103848"/>
    <s v="2.29"/>
    <s v="0.00"/>
    <s v="97.71"/>
  </r>
  <r>
    <x v="16"/>
    <x v="114"/>
    <n v="141834"/>
    <n v="2075"/>
    <n v="4341"/>
    <s v="1.46"/>
    <s v="0.00"/>
    <s v="98.54"/>
  </r>
  <r>
    <x v="16"/>
    <x v="115"/>
    <n v="3920"/>
    <n v="55"/>
    <n v="1726"/>
    <s v="1.40"/>
    <s v="0.00"/>
    <s v="98.60"/>
  </r>
  <r>
    <x v="16"/>
    <x v="116"/>
    <n v="43626"/>
    <n v="963"/>
    <n v="33892"/>
    <s v="2.21"/>
    <s v="0.00"/>
    <s v="97.79"/>
  </r>
  <r>
    <x v="16"/>
    <x v="117"/>
    <n v="4"/>
    <n v="0"/>
    <n v="0"/>
    <s v="0.00"/>
    <s v="0.00"/>
    <s v="100.00"/>
  </r>
  <r>
    <x v="16"/>
    <x v="118"/>
    <n v="200412"/>
    <n v="7072"/>
    <n v="71199"/>
    <s v="3.53"/>
    <s v="0.00"/>
    <s v="96.47"/>
  </r>
  <r>
    <x v="16"/>
    <x v="119"/>
    <n v="15879"/>
    <n v="559"/>
    <n v="10395"/>
    <s v="3.52"/>
    <s v="0.00"/>
    <s v="96.48"/>
  </r>
  <r>
    <x v="16"/>
    <x v="120"/>
    <n v="495898"/>
    <n v="18582"/>
    <n v="445949"/>
    <s v="3.75"/>
    <s v="0.00"/>
    <s v="96.25"/>
  </r>
  <r>
    <x v="16"/>
    <x v="121"/>
    <n v="353504"/>
    <n v="1689"/>
    <n v="307401"/>
    <s v="0.48"/>
    <s v="0.00"/>
    <s v="99.52"/>
  </r>
  <r>
    <x v="16"/>
    <x v="122"/>
    <n v="77"/>
    <n v="0"/>
    <n v="27"/>
    <s v="0.00"/>
    <s v="0.00"/>
    <s v="100.00"/>
  </r>
  <r>
    <x v="16"/>
    <x v="123"/>
    <n v="42903"/>
    <n v="673"/>
    <n v="9736"/>
    <s v="1.57"/>
    <s v="0.00"/>
    <s v="98.43"/>
  </r>
  <r>
    <x v="16"/>
    <x v="124"/>
    <n v="37032"/>
    <n v="792"/>
    <n v="24602"/>
    <s v="2.14"/>
    <s v="0.00"/>
    <s v="97.86"/>
  </r>
  <r>
    <x v="16"/>
    <x v="125"/>
    <n v="37580"/>
    <n v="460"/>
    <n v="4930"/>
    <s v="1.22"/>
    <s v="0.00"/>
    <s v="98.78"/>
  </r>
  <r>
    <x v="16"/>
    <x v="126"/>
    <n v="17416"/>
    <n v="160"/>
    <n v="1144"/>
    <s v="0.92"/>
    <s v="0.00"/>
    <s v="99.08"/>
  </r>
  <r>
    <x v="16"/>
    <x v="127"/>
    <n v="87186"/>
    <n v="242"/>
    <n v="32381"/>
    <s v="0.28"/>
    <s v="0.00"/>
    <s v="99.72"/>
  </r>
  <r>
    <x v="16"/>
    <x v="128"/>
    <n v="61766"/>
    <n v="2296"/>
    <n v="49858"/>
    <s v="3.72"/>
    <s v="0.00"/>
    <s v="96.28"/>
  </r>
  <r>
    <x v="16"/>
    <x v="129"/>
    <n v="3784448"/>
    <n v="286496"/>
    <n v="3387350"/>
    <s v="7.57"/>
    <s v="0.00"/>
    <s v="92.43"/>
  </r>
  <r>
    <x v="16"/>
    <x v="130"/>
    <n v="2442224"/>
    <n v="28576"/>
    <n v="308974"/>
    <s v="1.17"/>
    <s v="0.00"/>
    <s v="98.83"/>
  </r>
  <r>
    <x v="16"/>
    <x v="131"/>
    <n v="151243"/>
    <n v="1929"/>
    <n v="83055"/>
    <s v="1.28"/>
    <s v="0.00"/>
    <s v="98.72"/>
  </r>
  <r>
    <x v="16"/>
    <x v="132"/>
    <n v="128859"/>
    <n v="3550"/>
    <n v="48121"/>
    <s v="2.75"/>
    <s v="0.00"/>
    <s v="97.25"/>
  </r>
  <r>
    <x v="16"/>
    <x v="133"/>
    <n v="10687"/>
    <n v="261"/>
    <n v="8198"/>
    <s v="2.44"/>
    <s v="0.00"/>
    <s v="97.56"/>
  </r>
  <r>
    <x v="16"/>
    <x v="134"/>
    <n v="6260"/>
    <n v="208"/>
    <n v="4225"/>
    <s v="3.32"/>
    <s v="0.00"/>
    <s v="96.68"/>
  </r>
  <r>
    <x v="16"/>
    <x v="135"/>
    <n v="211330"/>
    <n v="2884"/>
    <n v="47603"/>
    <s v="1.36"/>
    <s v="0.00"/>
    <s v="98.64"/>
  </r>
  <r>
    <x v="16"/>
    <x v="136"/>
    <n v="16422"/>
    <n v="207"/>
    <n v="11019"/>
    <s v="1.26"/>
    <s v="0.00"/>
    <s v="98.74"/>
  </r>
  <r>
    <x v="16"/>
    <x v="137"/>
    <n v="2133367"/>
    <n v="18778"/>
    <n v="80305"/>
    <s v="0.88"/>
    <s v="0.00"/>
    <s v="99.12"/>
  </r>
  <r>
    <x v="16"/>
    <x v="138"/>
    <n v="202554"/>
    <n v="895"/>
    <n v="107367"/>
    <s v="0.44"/>
    <s v="0.00"/>
    <s v="99.56"/>
  </r>
  <r>
    <x v="16"/>
    <x v="139"/>
    <n v="810298"/>
    <n v="11372"/>
    <n v="135114"/>
    <s v="1.40"/>
    <s v="0.00"/>
    <s v="98.60"/>
  </r>
  <r>
    <x v="16"/>
    <x v="140"/>
    <n v="5900"/>
    <n v="28"/>
    <n v="2195"/>
    <s v="0.47"/>
    <s v="0.00"/>
    <s v="99.53"/>
  </r>
  <r>
    <x v="16"/>
    <x v="141"/>
    <n v="304205"/>
    <n v="4111"/>
    <n v="225786"/>
    <s v="1.35"/>
    <s v="0.00"/>
    <s v="98.65"/>
  </r>
  <r>
    <x v="16"/>
    <x v="142"/>
    <n v="471884"/>
    <n v="7314"/>
    <n v="377338"/>
    <s v="1.55"/>
    <s v="0.00"/>
    <s v="98.45"/>
  </r>
  <r>
    <x v="16"/>
    <x v="143"/>
    <n v="2197052"/>
    <n v="200118"/>
    <n v="43723"/>
    <s v="9.11"/>
    <s v="0.00"/>
    <s v="90.89"/>
  </r>
  <r>
    <x v="16"/>
    <x v="144"/>
    <n v="45506"/>
    <n v="635"/>
    <n v="18278"/>
    <s v="1.40"/>
    <s v="0.00"/>
    <s v="98.60"/>
  </r>
  <r>
    <x v="16"/>
    <x v="145"/>
    <n v="28209"/>
    <n v="335"/>
    <n v="24074"/>
    <s v="1.19"/>
    <s v="0.00"/>
    <s v="98.81"/>
  </r>
  <r>
    <x v="16"/>
    <x v="146"/>
    <n v="2765672"/>
    <n v="42077"/>
    <n v="2261755"/>
    <s v="1.52"/>
    <s v="0.00"/>
    <s v="98.48"/>
  </r>
  <r>
    <x v="16"/>
    <x v="147"/>
    <n v="1270322"/>
    <n v="28405"/>
    <n v="67553"/>
    <s v="2.24"/>
    <s v="0.00"/>
    <s v="97.76"/>
  </r>
  <r>
    <x v="16"/>
    <x v="148"/>
    <n v="2982143"/>
    <n v="76540"/>
    <n v="353093"/>
    <s v="2.57"/>
    <s v="0.00"/>
    <s v="97.43"/>
  </r>
  <r>
    <x v="16"/>
    <x v="149"/>
    <n v="451897"/>
    <n v="4644"/>
    <n v="87331"/>
    <s v="1.03"/>
    <s v="0.00"/>
    <s v="98.97"/>
  </r>
  <r>
    <x v="16"/>
    <x v="150"/>
    <n v="1086280"/>
    <n v="18141"/>
    <n v="84728"/>
    <s v="1.67"/>
    <s v="0.00"/>
    <s v="98.33"/>
  </r>
  <r>
    <x v="16"/>
    <x v="151"/>
    <n v="8"/>
    <n v="0"/>
    <n v="8"/>
    <s v="0.00"/>
    <s v="0.00"/>
    <s v="100.00"/>
  </r>
  <r>
    <x v="16"/>
    <x v="152"/>
    <n v="460815"/>
    <n v="16233"/>
    <n v="325845"/>
    <s v="3.52"/>
    <s v="0.00"/>
    <s v="96.48"/>
  </r>
  <r>
    <x v="16"/>
    <x v="153"/>
    <n v="238742"/>
    <n v="609"/>
    <n v="75627"/>
    <s v="0.26"/>
    <s v="0.00"/>
    <s v="99.74"/>
  </r>
  <r>
    <x v="16"/>
    <x v="154"/>
    <n v="54438"/>
    <n v="372"/>
    <n v="35383"/>
    <s v="0.68"/>
    <s v="0.00"/>
    <s v="99.32"/>
  </r>
  <r>
    <x v="16"/>
    <x v="155"/>
    <n v="1587880"/>
    <n v="45503"/>
    <n v="1154738"/>
    <s v="2.87"/>
    <s v="0.00"/>
    <s v="97.13"/>
  </r>
  <r>
    <x v="16"/>
    <x v="156"/>
    <n v="1111957"/>
    <n v="9634"/>
    <n v="499556"/>
    <s v="0.87"/>
    <s v="0.00"/>
    <s v="99.13"/>
  </r>
  <r>
    <x v="16"/>
    <x v="157"/>
    <n v="8185400"/>
    <n v="228581"/>
    <n v="1442102"/>
    <s v="2.79"/>
    <s v="0.00"/>
    <s v="97.21"/>
  </r>
  <r>
    <x v="16"/>
    <x v="158"/>
    <n v="99474"/>
    <n v="1321"/>
    <n v="96296"/>
    <s v="1.33"/>
    <s v="0.00"/>
    <s v="98.67"/>
  </r>
  <r>
    <x v="16"/>
    <x v="159"/>
    <n v="548368"/>
    <n v="8782"/>
    <n v="239886"/>
    <s v="1.60"/>
    <s v="0.00"/>
    <s v="98.40"/>
  </r>
  <r>
    <x v="16"/>
    <x v="160"/>
    <n v="20"/>
    <n v="0"/>
    <n v="6"/>
    <s v="0.00"/>
    <s v="0.00"/>
    <s v="100.00"/>
  </r>
  <r>
    <x v="16"/>
    <x v="161"/>
    <n v="22150"/>
    <n v="119"/>
    <n v="15535"/>
    <s v="0.54"/>
    <s v="0.00"/>
    <s v="99.46"/>
  </r>
  <r>
    <x v="16"/>
    <x v="162"/>
    <n v="40433"/>
    <n v="3099"/>
    <n v="1189"/>
    <s v="7.66"/>
    <s v="0.00"/>
    <s v="92.34"/>
  </r>
  <r>
    <x v="16"/>
    <x v="163"/>
    <n v="1168271"/>
    <n v="15002"/>
    <n v="476608"/>
    <s v="1.28"/>
    <s v="0.00"/>
    <s v="98.72"/>
  </r>
  <r>
    <x v="16"/>
    <x v="164"/>
    <n v="179095"/>
    <n v="339"/>
    <n v="138938"/>
    <s v="0.19"/>
    <s v="0.00"/>
    <s v="99.81"/>
  </r>
  <r>
    <x v="16"/>
    <x v="165"/>
    <n v="322914"/>
    <n v="4704"/>
    <n v="191492"/>
    <s v="1.46"/>
    <s v="0.00"/>
    <s v="98.54"/>
  </r>
  <r>
    <x v="16"/>
    <x v="166"/>
    <n v="460281"/>
    <n v="12935"/>
    <n v="21367"/>
    <s v="2.81"/>
    <s v="0.00"/>
    <s v="97.19"/>
  </r>
  <r>
    <x v="16"/>
    <x v="167"/>
    <n v="6397"/>
    <n v="121"/>
    <n v="6269"/>
    <s v="1.89"/>
    <s v="0.00"/>
    <s v="98.11"/>
  </r>
  <r>
    <x v="16"/>
    <x v="168"/>
    <n v="5521"/>
    <n v="92"/>
    <n v="3645"/>
    <s v="1.67"/>
    <s v="0.00"/>
    <s v="98.33"/>
  </r>
  <r>
    <x v="16"/>
    <x v="169"/>
    <n v="73897"/>
    <n v="1878"/>
    <n v="62274"/>
    <s v="2.54"/>
    <s v="0.00"/>
    <s v="97.46"/>
  </r>
  <r>
    <x v="16"/>
    <x v="170"/>
    <n v="21998"/>
    <n v="1208"/>
    <n v="2399"/>
    <s v="5.49"/>
    <s v="0.00"/>
    <s v="94.51"/>
  </r>
  <r>
    <x v="16"/>
    <x v="171"/>
    <n v="48548"/>
    <n v="1069"/>
    <n v="12093"/>
    <s v="2.20"/>
    <s v="0.00"/>
    <s v="97.80"/>
  </r>
  <r>
    <x v="16"/>
    <x v="173"/>
    <n v="3705"/>
    <n v="56"/>
    <n v="3405"/>
    <s v="1.51"/>
    <s v="0.00"/>
    <s v="98.49"/>
  </r>
  <r>
    <x v="16"/>
    <x v="172"/>
    <n v="12299"/>
    <n v="133"/>
    <n v="11703"/>
    <s v="1.08"/>
    <s v="0.00"/>
    <s v="98.92"/>
  </r>
  <r>
    <x v="16"/>
    <x v="174"/>
    <n v="113422"/>
    <n v="3586"/>
    <n v="94072"/>
    <s v="3.16"/>
    <s v="0.00"/>
    <s v="96.84"/>
  </r>
  <r>
    <x v="16"/>
    <x v="175"/>
    <n v="42076"/>
    <n v="2526"/>
    <n v="5010"/>
    <s v="6.00"/>
    <s v="0.00"/>
    <s v="94.00"/>
  </r>
  <r>
    <x v="16"/>
    <x v="176"/>
    <n v="46390"/>
    <n v="1242"/>
    <n v="41414"/>
    <s v="2.68"/>
    <s v="0.00"/>
    <s v="97.32"/>
  </r>
  <r>
    <x v="16"/>
    <x v="177"/>
    <n v="5069"/>
    <n v="174"/>
    <n v="1664"/>
    <s v="3.43"/>
    <s v="0.00"/>
    <s v="96.57"/>
  </r>
  <r>
    <x v="16"/>
    <x v="178"/>
    <n v="26011"/>
    <n v="242"/>
    <n v="23818"/>
    <s v="0.93"/>
    <s v="0.00"/>
    <s v="99.07"/>
  </r>
  <r>
    <x v="16"/>
    <x v="179"/>
    <n v="1866863"/>
    <n v="18865"/>
    <n v="1347992"/>
    <s v="1.01"/>
    <s v="0.00"/>
    <s v="98.99"/>
  </r>
  <r>
    <x v="16"/>
    <x v="180"/>
    <n v="17486"/>
    <n v="125"/>
    <n v="6778"/>
    <s v="0.71"/>
    <s v="0.00"/>
    <s v="99.29"/>
  </r>
  <r>
    <x v="16"/>
    <x v="181"/>
    <n v="19778"/>
    <n v="121"/>
    <n v="13273"/>
    <s v="0.61"/>
    <s v="0.00"/>
    <s v="99.39"/>
  </r>
  <r>
    <x v="16"/>
    <x v="182"/>
    <n v="712013"/>
    <n v="25213"/>
    <n v="168105"/>
    <s v="3.54"/>
    <s v="0.00"/>
    <s v="96.46"/>
  </r>
  <r>
    <x v="16"/>
    <x v="183"/>
    <n v="0"/>
    <n v="0"/>
    <n v="0"/>
    <s v="0.00"/>
    <s v="0.00"/>
    <s v="0.00"/>
  </r>
  <r>
    <x v="16"/>
    <x v="184"/>
    <n v="7909081"/>
    <n v="69559"/>
    <n v="617564"/>
    <s v="0.88"/>
    <s v="0.00"/>
    <s v="99.12"/>
  </r>
  <r>
    <x v="16"/>
    <x v="185"/>
    <n v="56013"/>
    <n v="1655"/>
    <n v="14741"/>
    <s v="2.95"/>
    <s v="0.00"/>
    <s v="97.05"/>
  </r>
  <r>
    <x v="16"/>
    <x v="186"/>
    <n v="16380"/>
    <n v="847"/>
    <n v="11634"/>
    <s v="5.17"/>
    <s v="0.00"/>
    <s v="94.83"/>
  </r>
  <r>
    <x v="16"/>
    <x v="187"/>
    <n v="26115"/>
    <n v="725"/>
    <n v="7871"/>
    <s v="2.78"/>
    <s v="0.00"/>
    <s v="97.22"/>
  </r>
  <r>
    <x v="16"/>
    <x v="188"/>
    <n v="2933778"/>
    <n v="69130"/>
    <n v="97870"/>
    <s v="2.36"/>
    <s v="0.00"/>
    <s v="97.64"/>
  </r>
  <r>
    <x v="16"/>
    <x v="189"/>
    <n v="125788"/>
    <n v="3200"/>
    <n v="55282"/>
    <s v="2.54"/>
    <s v="0.00"/>
    <s v="97.46"/>
  </r>
  <r>
    <x v="16"/>
    <x v="190"/>
    <n v="45648701"/>
    <n v="739453"/>
    <n v="13852028"/>
    <s v="1.62"/>
    <s v="0.00"/>
    <s v="98.38"/>
  </r>
  <r>
    <x v="16"/>
    <x v="191"/>
    <n v="392585"/>
    <n v="6074"/>
    <n v="178630"/>
    <s v="1.55"/>
    <s v="0.00"/>
    <s v="98.45"/>
  </r>
  <r>
    <x v="16"/>
    <x v="192"/>
    <n v="184233"/>
    <n v="1309"/>
    <n v="22625"/>
    <s v="0.71"/>
    <s v="0.00"/>
    <s v="99.29"/>
  </r>
  <r>
    <x v="16"/>
    <x v="193"/>
    <n v="27"/>
    <n v="0"/>
    <n v="26"/>
    <s v="0.00"/>
    <s v="0.00"/>
    <s v="100.00"/>
  </r>
  <r>
    <x v="16"/>
    <x v="194"/>
    <n v="4860"/>
    <n v="63"/>
    <n v="3428"/>
    <s v="1.30"/>
    <s v="0.00"/>
    <s v="98.70"/>
  </r>
  <r>
    <x v="16"/>
    <x v="195"/>
    <n v="401259"/>
    <n v="4822"/>
    <n v="325492"/>
    <s v="1.20"/>
    <s v="0.00"/>
    <s v="98.80"/>
  </r>
  <r>
    <x v="16"/>
    <x v="196"/>
    <n v="896174"/>
    <n v="21802"/>
    <n v="146661"/>
    <s v="2.43"/>
    <s v="0.00"/>
    <s v="97.57"/>
  </r>
  <r>
    <x v="16"/>
    <x v="197"/>
    <n v="4"/>
    <n v="1"/>
    <n v="0"/>
    <s v="25.00"/>
    <s v="0.00"/>
    <s v="75.00"/>
  </r>
  <r>
    <x v="16"/>
    <x v="198"/>
    <n v="3"/>
    <n v="0"/>
    <n v="1"/>
    <s v="0.00"/>
    <s v="0.00"/>
    <s v="100.00"/>
  </r>
  <r>
    <x v="16"/>
    <x v="199"/>
    <n v="160658"/>
    <n v="2975"/>
    <n v="144486"/>
    <s v="1.85"/>
    <s v="0.00"/>
    <s v="98.15"/>
  </r>
  <r>
    <x v="16"/>
    <x v="200"/>
    <n v="9711"/>
    <n v="1858"/>
    <n v="3303"/>
    <s v="19.13"/>
    <s v="0.00"/>
    <s v="80.87"/>
  </r>
  <r>
    <x v="16"/>
    <x v="201"/>
    <n v="20497"/>
    <n v="182"/>
    <n v="15424"/>
    <s v="0.89"/>
    <s v="0.00"/>
    <s v="99.11"/>
  </r>
  <r>
    <x v="16"/>
    <x v="202"/>
    <n v="2920109"/>
    <n v="88987"/>
    <n v="602459"/>
    <s v="3.05"/>
    <s v="0.00"/>
    <s v="96.95"/>
  </r>
  <r>
    <x v="16"/>
    <x v="203"/>
    <n v="209648"/>
    <n v="3660"/>
    <n v="87706"/>
    <s v="1.75"/>
    <s v="0.00"/>
    <s v="98.25"/>
  </r>
  <r>
    <x v="16"/>
    <x v="204"/>
    <n v="132724"/>
    <n v="4674"/>
    <n v="59871"/>
    <s v="3.52"/>
    <s v="0.00"/>
    <s v="96.48"/>
  </r>
  <r>
    <x v="16"/>
    <x v="205"/>
    <n v="721"/>
    <n v="15"/>
    <n v="589"/>
    <s v="2.08"/>
    <s v="0.00"/>
    <s v="97.92"/>
  </r>
  <r>
    <x v="17"/>
    <x v="205"/>
    <n v="721"/>
    <n v="15"/>
    <n v="246"/>
    <s v="2.08"/>
    <s v="0.00"/>
    <s v="97.92"/>
  </r>
  <r>
    <x v="17"/>
    <x v="204"/>
    <n v="132688"/>
    <n v="4673"/>
    <n v="78306"/>
    <s v="3.52"/>
    <s v="0.00"/>
    <s v="96.48"/>
  </r>
  <r>
    <x v="17"/>
    <x v="203"/>
    <n v="209639"/>
    <n v="3659"/>
    <n v="41165"/>
    <s v="1.75"/>
    <s v="0.00"/>
    <s v="98.25"/>
  </r>
  <r>
    <x v="17"/>
    <x v="202"/>
    <n v="2919778"/>
    <n v="88934"/>
    <n v="2565275"/>
    <s v="3.05"/>
    <s v="0.00"/>
    <s v="96.95"/>
  </r>
  <r>
    <x v="17"/>
    <x v="201"/>
    <n v="20497"/>
    <n v="182"/>
    <n v="4358"/>
    <s v="0.89"/>
    <s v="0.00"/>
    <s v="99.11"/>
  </r>
  <r>
    <x v="17"/>
    <x v="200"/>
    <n v="9694"/>
    <n v="1850"/>
    <n v="2244"/>
    <s v="19.08"/>
    <s v="0.00"/>
    <s v="80.92"/>
  </r>
  <r>
    <x v="17"/>
    <x v="199"/>
    <n v="160638"/>
    <n v="2975"/>
    <n v="46183"/>
    <s v="1.85"/>
    <s v="0.00"/>
    <s v="98.15"/>
  </r>
  <r>
    <x v="17"/>
    <x v="198"/>
    <n v="3"/>
    <n v="0"/>
    <n v="2"/>
    <s v="0.00"/>
    <s v="0.00"/>
    <s v="100.00"/>
  </r>
  <r>
    <x v="17"/>
    <x v="197"/>
    <n v="4"/>
    <n v="1"/>
    <n v="1"/>
    <s v="25.00"/>
    <s v="0.00"/>
    <s v="75.00"/>
  </r>
  <r>
    <x v="17"/>
    <x v="196"/>
    <n v="892579"/>
    <n v="21738"/>
    <n v="704911"/>
    <s v="2.44"/>
    <s v="0.00"/>
    <s v="97.56"/>
  </r>
  <r>
    <x v="17"/>
    <x v="195"/>
    <n v="401259"/>
    <n v="4822"/>
    <n v="176424"/>
    <s v="1.20"/>
    <s v="0.00"/>
    <s v="98.80"/>
  </r>
  <r>
    <x v="17"/>
    <x v="193"/>
    <n v="27"/>
    <n v="0"/>
    <n v="7"/>
    <s v="0.00"/>
    <s v="0.00"/>
    <s v="100.00"/>
  </r>
  <r>
    <x v="17"/>
    <x v="194"/>
    <n v="4860"/>
    <n v="63"/>
    <n v="4102"/>
    <s v="1.30"/>
    <s v="0.00"/>
    <s v="98.70"/>
  </r>
  <r>
    <x v="17"/>
    <x v="192"/>
    <n v="183928"/>
    <n v="1306"/>
    <n v="142580"/>
    <s v="0.71"/>
    <s v="0.00"/>
    <s v="99.29"/>
  </r>
  <r>
    <x v="17"/>
    <x v="191"/>
    <n v="392319"/>
    <n v="6073"/>
    <n v="142215"/>
    <s v="1.55"/>
    <s v="0.00"/>
    <s v="98.45"/>
  </r>
  <r>
    <x v="17"/>
    <x v="190"/>
    <n v="45568730"/>
    <n v="737914"/>
    <n v="29755544"/>
    <s v="1.62"/>
    <s v="0.00"/>
    <s v="98.38"/>
  </r>
  <r>
    <x v="17"/>
    <x v="189"/>
    <n v="125758"/>
    <n v="3200"/>
    <n v="4967"/>
    <s v="2.54"/>
    <s v="0.00"/>
    <s v="97.46"/>
  </r>
  <r>
    <x v="17"/>
    <x v="188"/>
    <n v="2913666"/>
    <n v="68365"/>
    <n v="2746538"/>
    <s v="2.35"/>
    <s v="0.00"/>
    <s v="97.65"/>
  </r>
  <r>
    <x v="17"/>
    <x v="187"/>
    <n v="26115"/>
    <n v="725"/>
    <n v="3796"/>
    <s v="2.78"/>
    <s v="0.00"/>
    <s v="97.22"/>
  </r>
  <r>
    <x v="17"/>
    <x v="186"/>
    <n v="16376"/>
    <n v="847"/>
    <n v="236"/>
    <s v="5.17"/>
    <s v="0.00"/>
    <s v="94.83"/>
  </r>
  <r>
    <x v="17"/>
    <x v="185"/>
    <n v="55798"/>
    <n v="1650"/>
    <n v="21238"/>
    <s v="2.96"/>
    <s v="0.00"/>
    <s v="97.04"/>
  </r>
  <r>
    <x v="17"/>
    <x v="184"/>
    <n v="7879438"/>
    <n v="69344"/>
    <n v="4435168"/>
    <s v="0.88"/>
    <s v="0.00"/>
    <s v="99.12"/>
  </r>
  <r>
    <x v="17"/>
    <x v="182"/>
    <n v="711821"/>
    <n v="25155"/>
    <n v="360060"/>
    <s v="3.53"/>
    <s v="0.00"/>
    <s v="96.47"/>
  </r>
  <r>
    <x v="17"/>
    <x v="181"/>
    <n v="19774"/>
    <n v="121"/>
    <n v="2772"/>
    <s v="0.61"/>
    <s v="0.00"/>
    <s v="99.39"/>
  </r>
  <r>
    <x v="17"/>
    <x v="180"/>
    <n v="17486"/>
    <n v="125"/>
    <n v="375"/>
    <s v="0.71"/>
    <s v="0.00"/>
    <s v="99.29"/>
  </r>
  <r>
    <x v="17"/>
    <x v="179"/>
    <n v="1859157"/>
    <n v="18799"/>
    <n v="1822598"/>
    <s v="1.01"/>
    <s v="0.00"/>
    <s v="98.99"/>
  </r>
  <r>
    <x v="17"/>
    <x v="178"/>
    <n v="26000"/>
    <n v="242"/>
    <n v="13559"/>
    <s v="0.93"/>
    <s v="0.00"/>
    <s v="99.07"/>
  </r>
  <r>
    <x v="17"/>
    <x v="177"/>
    <n v="5069"/>
    <n v="174"/>
    <n v="1495"/>
    <s v="3.43"/>
    <s v="0.00"/>
    <s v="96.57"/>
  </r>
  <r>
    <x v="17"/>
    <x v="176"/>
    <n v="46387"/>
    <n v="1242"/>
    <n v="12266"/>
    <s v="2.68"/>
    <s v="0.00"/>
    <s v="97.32"/>
  </r>
  <r>
    <x v="17"/>
    <x v="175"/>
    <n v="41799"/>
    <n v="2517"/>
    <n v="33131"/>
    <s v="6.02"/>
    <s v="0.00"/>
    <s v="93.98"/>
  </r>
  <r>
    <x v="17"/>
    <x v="174"/>
    <n v="112290"/>
    <n v="3575"/>
    <n v="98180"/>
    <s v="3.18"/>
    <s v="0.00"/>
    <s v="96.82"/>
  </r>
  <r>
    <x v="17"/>
    <x v="172"/>
    <n v="12293"/>
    <n v="133"/>
    <n v="918"/>
    <s v="1.08"/>
    <s v="0.00"/>
    <s v="98.92"/>
  </r>
  <r>
    <x v="17"/>
    <x v="173"/>
    <n v="3697"/>
    <n v="56"/>
    <n v="2285"/>
    <s v="1.51"/>
    <s v="0.00"/>
    <s v="98.49"/>
  </r>
  <r>
    <x v="17"/>
    <x v="171"/>
    <n v="48334"/>
    <n v="1064"/>
    <n v="31755"/>
    <s v="2.20"/>
    <s v="0.00"/>
    <s v="97.80"/>
  </r>
  <r>
    <x v="17"/>
    <x v="170"/>
    <n v="21998"/>
    <n v="1208"/>
    <n v="20442"/>
    <s v="5.49"/>
    <s v="0.00"/>
    <s v="94.51"/>
  </r>
  <r>
    <x v="17"/>
    <x v="169"/>
    <n v="73896"/>
    <n v="1878"/>
    <n v="19519"/>
    <s v="2.54"/>
    <s v="0.00"/>
    <s v="97.46"/>
  </r>
  <r>
    <x v="17"/>
    <x v="168"/>
    <n v="5509"/>
    <n v="92"/>
    <n v="259"/>
    <s v="1.67"/>
    <s v="0.00"/>
    <s v="98.33"/>
  </r>
  <r>
    <x v="17"/>
    <x v="167"/>
    <n v="6397"/>
    <n v="121"/>
    <n v="4948"/>
    <s v="1.89"/>
    <s v="0.00"/>
    <s v="98.11"/>
  </r>
  <r>
    <x v="17"/>
    <x v="166"/>
    <n v="457431"/>
    <n v="12917"/>
    <n v="254863"/>
    <s v="2.82"/>
    <s v="0.00"/>
    <s v="97.18"/>
  </r>
  <r>
    <x v="17"/>
    <x v="165"/>
    <n v="320620"/>
    <n v="4693"/>
    <n v="194621"/>
    <s v="1.46"/>
    <s v="0.00"/>
    <s v="98.54"/>
  </r>
  <r>
    <x v="17"/>
    <x v="164"/>
    <n v="175818"/>
    <n v="329"/>
    <n v="151745"/>
    <s v="0.19"/>
    <s v="0.00"/>
    <s v="99.81"/>
  </r>
  <r>
    <x v="17"/>
    <x v="163"/>
    <n v="1165996"/>
    <n v="14993"/>
    <n v="919920"/>
    <s v="1.29"/>
    <s v="0.00"/>
    <s v="98.71"/>
  </r>
  <r>
    <x v="17"/>
    <x v="162"/>
    <n v="40433"/>
    <n v="3099"/>
    <n v="19013"/>
    <s v="7.66"/>
    <s v="0.00"/>
    <s v="92.34"/>
  </r>
  <r>
    <x v="17"/>
    <x v="161"/>
    <n v="22135"/>
    <n v="119"/>
    <n v="20721"/>
    <s v="0.54"/>
    <s v="0.00"/>
    <s v="99.46"/>
  </r>
  <r>
    <x v="17"/>
    <x v="160"/>
    <n v="20"/>
    <n v="0"/>
    <n v="5"/>
    <s v="0.00"/>
    <s v="0.00"/>
    <s v="100.00"/>
  </r>
  <r>
    <x v="17"/>
    <x v="159"/>
    <n v="548303"/>
    <n v="8780"/>
    <n v="226490"/>
    <s v="1.60"/>
    <s v="0.00"/>
    <s v="98.40"/>
  </r>
  <r>
    <x v="17"/>
    <x v="158"/>
    <n v="99431"/>
    <n v="1320"/>
    <n v="82609"/>
    <s v="1.33"/>
    <s v="0.00"/>
    <s v="98.67"/>
  </r>
  <r>
    <x v="17"/>
    <x v="157"/>
    <n v="8149946"/>
    <n v="227506"/>
    <n v="1229602"/>
    <s v="2.79"/>
    <s v="0.00"/>
    <s v="97.21"/>
  </r>
  <r>
    <x v="17"/>
    <x v="156"/>
    <n v="1104117"/>
    <n v="9571"/>
    <n v="805454"/>
    <s v="0.87"/>
    <s v="0.00"/>
    <s v="99.13"/>
  </r>
  <r>
    <x v="17"/>
    <x v="155"/>
    <n v="1571115"/>
    <n v="44980"/>
    <n v="578952"/>
    <s v="2.86"/>
    <s v="0.00"/>
    <s v="97.14"/>
  </r>
  <r>
    <x v="17"/>
    <x v="154"/>
    <n v="54438"/>
    <n v="372"/>
    <n v="31478"/>
    <s v="0.68"/>
    <s v="0.00"/>
    <s v="99.32"/>
  </r>
  <r>
    <x v="17"/>
    <x v="153"/>
    <n v="238640"/>
    <n v="609"/>
    <n v="120771"/>
    <s v="0.26"/>
    <s v="0.00"/>
    <s v="99.74"/>
  </r>
  <r>
    <x v="17"/>
    <x v="152"/>
    <n v="460754"/>
    <n v="16232"/>
    <n v="360009"/>
    <s v="3.52"/>
    <s v="0.00"/>
    <s v="96.48"/>
  </r>
  <r>
    <x v="17"/>
    <x v="151"/>
    <n v="8"/>
    <n v="0"/>
    <n v="8"/>
    <s v="0.00"/>
    <s v="0.00"/>
    <s v="100.00"/>
  </r>
  <r>
    <x v="17"/>
    <x v="150"/>
    <n v="1085451"/>
    <n v="18138"/>
    <n v="244284"/>
    <s v="1.67"/>
    <s v="0.00"/>
    <s v="98.33"/>
  </r>
  <r>
    <x v="17"/>
    <x v="149"/>
    <n v="451459"/>
    <n v="4636"/>
    <n v="328049"/>
    <s v="1.03"/>
    <s v="0.00"/>
    <s v="98.97"/>
  </r>
  <r>
    <x v="17"/>
    <x v="148"/>
    <n v="2975880"/>
    <n v="76447"/>
    <n v="1466856"/>
    <s v="2.57"/>
    <s v="0.00"/>
    <s v="97.43"/>
  </r>
  <r>
    <x v="17"/>
    <x v="147"/>
    <n v="1269806"/>
    <n v="28392"/>
    <n v="572792"/>
    <s v="2.24"/>
    <s v="0.00"/>
    <s v="97.76"/>
  </r>
  <r>
    <x v="17"/>
    <x v="146"/>
    <n v="2761307"/>
    <n v="41942"/>
    <n v="716455"/>
    <s v="1.52"/>
    <s v="0.00"/>
    <s v="98.48"/>
  </r>
  <r>
    <x v="17"/>
    <x v="145"/>
    <n v="27895"/>
    <n v="335"/>
    <n v="85"/>
    <s v="1.20"/>
    <s v="0.00"/>
    <s v="98.80"/>
  </r>
  <r>
    <x v="17"/>
    <x v="144"/>
    <n v="45506"/>
    <n v="635"/>
    <n v="22027"/>
    <s v="1.40"/>
    <s v="0.00"/>
    <s v="98.60"/>
  </r>
  <r>
    <x v="17"/>
    <x v="143"/>
    <n v="2196259"/>
    <n v="200083"/>
    <n v="1680094"/>
    <s v="9.11"/>
    <s v="0.00"/>
    <s v="90.89"/>
  </r>
  <r>
    <x v="17"/>
    <x v="142"/>
    <n v="471669"/>
    <n v="7310"/>
    <n v="459477"/>
    <s v="1.55"/>
    <s v="0.00"/>
    <s v="98.45"/>
  </r>
  <r>
    <x v="17"/>
    <x v="141"/>
    <n v="304183"/>
    <n v="4110"/>
    <n v="17413"/>
    <s v="1.35"/>
    <s v="0.00"/>
    <s v="98.65"/>
  </r>
  <r>
    <x v="17"/>
    <x v="140"/>
    <n v="5823"/>
    <n v="28"/>
    <n v="984"/>
    <s v="0.48"/>
    <s v="0.00"/>
    <s v="99.52"/>
  </r>
  <r>
    <x v="17"/>
    <x v="139"/>
    <n v="809729"/>
    <n v="11361"/>
    <n v="92123"/>
    <s v="1.40"/>
    <s v="0.00"/>
    <s v="98.60"/>
  </r>
  <r>
    <x v="17"/>
    <x v="138"/>
    <n v="201410"/>
    <n v="894"/>
    <n v="128573"/>
    <s v="0.44"/>
    <s v="0.00"/>
    <s v="99.56"/>
  </r>
  <r>
    <x v="17"/>
    <x v="137"/>
    <n v="2127556"/>
    <n v="18758"/>
    <n v="1578559"/>
    <s v="0.88"/>
    <s v="0.00"/>
    <s v="99.12"/>
  </r>
  <r>
    <x v="17"/>
    <x v="136"/>
    <n v="16241"/>
    <n v="207"/>
    <n v="6408"/>
    <s v="1.27"/>
    <s v="0.00"/>
    <s v="98.73"/>
  </r>
  <r>
    <x v="17"/>
    <x v="135"/>
    <n v="211171"/>
    <n v="2884"/>
    <n v="56179"/>
    <s v="1.37"/>
    <s v="0.00"/>
    <s v="98.63"/>
  </r>
  <r>
    <x v="17"/>
    <x v="134"/>
    <n v="6260"/>
    <n v="208"/>
    <n v="5734"/>
    <s v="3.32"/>
    <s v="0.00"/>
    <s v="96.68"/>
  </r>
  <r>
    <x v="17"/>
    <x v="133"/>
    <n v="10553"/>
    <n v="261"/>
    <n v="6413"/>
    <s v="2.47"/>
    <s v="0.00"/>
    <s v="97.53"/>
  </r>
  <r>
    <x v="17"/>
    <x v="132"/>
    <n v="128849"/>
    <n v="3550"/>
    <n v="38864"/>
    <s v="2.76"/>
    <s v="0.00"/>
    <s v="97.24"/>
  </r>
  <r>
    <x v="17"/>
    <x v="131"/>
    <n v="151226"/>
    <n v="1928"/>
    <n v="12031"/>
    <s v="1.27"/>
    <s v="0.00"/>
    <s v="98.73"/>
  </r>
  <r>
    <x v="17"/>
    <x v="130"/>
    <n v="2436498"/>
    <n v="28492"/>
    <n v="232991"/>
    <s v="1.17"/>
    <s v="0.00"/>
    <s v="98.83"/>
  </r>
  <r>
    <x v="17"/>
    <x v="129"/>
    <n v="3784448"/>
    <n v="286496"/>
    <n v="873237"/>
    <s v="7.57"/>
    <s v="0.00"/>
    <s v="92.43"/>
  </r>
  <r>
    <x v="17"/>
    <x v="128"/>
    <n v="61765"/>
    <n v="2296"/>
    <n v="37059"/>
    <s v="3.72"/>
    <s v="0.00"/>
    <s v="96.28"/>
  </r>
  <r>
    <x v="17"/>
    <x v="127"/>
    <n v="87071"/>
    <n v="240"/>
    <n v="38886"/>
    <s v="0.28"/>
    <s v="0.00"/>
    <s v="99.72"/>
  </r>
  <r>
    <x v="17"/>
    <x v="126"/>
    <n v="17143"/>
    <n v="153"/>
    <n v="1179"/>
    <s v="0.89"/>
    <s v="0.00"/>
    <s v="99.11"/>
  </r>
  <r>
    <x v="17"/>
    <x v="125"/>
    <n v="37564"/>
    <n v="460"/>
    <n v="24619"/>
    <s v="1.22"/>
    <s v="0.00"/>
    <s v="98.78"/>
  </r>
  <r>
    <x v="17"/>
    <x v="124"/>
    <n v="36989"/>
    <n v="792"/>
    <n v="14720"/>
    <s v="2.14"/>
    <s v="0.00"/>
    <s v="97.86"/>
  </r>
  <r>
    <x v="17"/>
    <x v="123"/>
    <n v="42820"/>
    <n v="673"/>
    <n v="32760"/>
    <s v="1.57"/>
    <s v="0.00"/>
    <s v="98.43"/>
  </r>
  <r>
    <x v="17"/>
    <x v="122"/>
    <n v="77"/>
    <n v="0"/>
    <n v="17"/>
    <s v="0.00"/>
    <s v="0.00"/>
    <s v="100.00"/>
  </r>
  <r>
    <x v="17"/>
    <x v="121"/>
    <n v="351835"/>
    <n v="1677"/>
    <n v="194085"/>
    <s v="0.48"/>
    <s v="0.00"/>
    <s v="99.52"/>
  </r>
  <r>
    <x v="17"/>
    <x v="120"/>
    <n v="494974"/>
    <n v="18560"/>
    <n v="253187"/>
    <s v="3.75"/>
    <s v="0.00"/>
    <s v="96.25"/>
  </r>
  <r>
    <x v="17"/>
    <x v="119"/>
    <n v="15866"/>
    <n v="559"/>
    <n v="10806"/>
    <s v="3.52"/>
    <s v="0.00"/>
    <s v="96.48"/>
  </r>
  <r>
    <x v="17"/>
    <x v="118"/>
    <n v="199901"/>
    <n v="7062"/>
    <n v="107805"/>
    <s v="3.53"/>
    <s v="0.00"/>
    <s v="96.47"/>
  </r>
  <r>
    <x v="17"/>
    <x v="117"/>
    <n v="4"/>
    <n v="0"/>
    <n v="1"/>
    <s v="0.00"/>
    <s v="0.00"/>
    <s v="100.00"/>
  </r>
  <r>
    <x v="17"/>
    <x v="116"/>
    <n v="43622"/>
    <n v="960"/>
    <n v="32928"/>
    <s v="2.20"/>
    <s v="0.00"/>
    <s v="97.80"/>
  </r>
  <r>
    <x v="17"/>
    <x v="115"/>
    <n v="3888"/>
    <n v="55"/>
    <n v="372"/>
    <s v="1.41"/>
    <s v="0.00"/>
    <s v="98.59"/>
  </r>
  <r>
    <x v="17"/>
    <x v="114"/>
    <n v="141292"/>
    <n v="2071"/>
    <n v="14653"/>
    <s v="1.47"/>
    <s v="0.00"/>
    <s v="98.53"/>
  </r>
  <r>
    <x v="17"/>
    <x v="113"/>
    <n v="329294"/>
    <n v="7535"/>
    <n v="232599"/>
    <s v="2.29"/>
    <s v="0.00"/>
    <s v="97.71"/>
  </r>
  <r>
    <x v="17"/>
    <x v="112"/>
    <n v="3394"/>
    <n v="36"/>
    <n v="401"/>
    <s v="1.06"/>
    <s v="0.00"/>
    <s v="98.94"/>
  </r>
  <r>
    <x v="17"/>
    <x v="111"/>
    <n v="944378"/>
    <n v="14621"/>
    <n v="383863"/>
    <s v="1.55"/>
    <s v="0.00"/>
    <s v="98.45"/>
  </r>
  <r>
    <x v="17"/>
    <x v="110"/>
    <n v="354215"/>
    <n v="5028"/>
    <n v="163425"/>
    <s v="1.42"/>
    <s v="0.00"/>
    <s v="98.58"/>
  </r>
  <r>
    <x v="17"/>
    <x v="109"/>
    <n v="203460"/>
    <n v="3049"/>
    <n v="21489"/>
    <s v="1.50"/>
    <s v="0.00"/>
    <s v="98.50"/>
  </r>
  <r>
    <x v="17"/>
    <x v="108"/>
    <n v="80603"/>
    <n v="842"/>
    <n v="47311"/>
    <s v="1.04"/>
    <s v="0.00"/>
    <s v="98.96"/>
  </r>
  <r>
    <x v="17"/>
    <x v="107"/>
    <n v="390031"/>
    <n v="5661"/>
    <n v="260464"/>
    <s v="1.45"/>
    <s v="0.00"/>
    <s v="98.55"/>
  </r>
  <r>
    <x v="17"/>
    <x v="106"/>
    <n v="21587"/>
    <n v="656"/>
    <n v="20789"/>
    <s v="3.04"/>
    <s v="0.00"/>
    <s v="96.96"/>
  </r>
  <r>
    <x v="17"/>
    <x v="105"/>
    <n v="5811"/>
    <n v="287"/>
    <n v="1894"/>
    <s v="4.94"/>
    <s v="0.00"/>
    <s v="95.06"/>
  </r>
  <r>
    <x v="17"/>
    <x v="104"/>
    <n v="536645"/>
    <n v="13640"/>
    <n v="302692"/>
    <s v="2.54"/>
    <s v="0.00"/>
    <s v="97.46"/>
  </r>
  <r>
    <x v="17"/>
    <x v="103"/>
    <n v="3629"/>
    <n v="60"/>
    <n v="2584"/>
    <s v="1.65"/>
    <s v="0.00"/>
    <s v="98.35"/>
  </r>
  <r>
    <x v="17"/>
    <x v="102"/>
    <n v="12433"/>
    <n v="250"/>
    <n v="12138"/>
    <s v="2.01"/>
    <s v="0.00"/>
    <s v="97.99"/>
  </r>
  <r>
    <x v="17"/>
    <x v="101"/>
    <n v="638054"/>
    <n v="8459"/>
    <n v="180731"/>
    <s v="1.33"/>
    <s v="0.00"/>
    <s v="98.67"/>
  </r>
  <r>
    <x v="17"/>
    <x v="100"/>
    <n v="36248"/>
    <n v="53"/>
    <n v="20086"/>
    <s v="0.15"/>
    <s v="0.00"/>
    <s v="99.85"/>
  </r>
  <r>
    <x v="17"/>
    <x v="99"/>
    <n v="1009918"/>
    <n v="16957"/>
    <n v="933010"/>
    <s v="1.68"/>
    <s v="0.00"/>
    <s v="98.32"/>
  </r>
  <r>
    <x v="17"/>
    <x v="98"/>
    <n v="412557"/>
    <n v="2461"/>
    <n v="132935"/>
    <s v="0.60"/>
    <s v="0.00"/>
    <s v="99.40"/>
  </r>
  <r>
    <x v="17"/>
    <x v="97"/>
    <n v="354355"/>
    <n v="2788"/>
    <n v="214177"/>
    <s v="0.79"/>
    <s v="0.00"/>
    <s v="99.21"/>
  </r>
  <r>
    <x v="17"/>
    <x v="96"/>
    <n v="2637"/>
    <n v="21"/>
    <n v="1539"/>
    <s v="0.80"/>
    <s v="0.00"/>
    <s v="99.20"/>
  </r>
  <r>
    <x v="17"/>
    <x v="95"/>
    <n v="4219"/>
    <n v="147"/>
    <n v="2839"/>
    <s v="3.48"/>
    <s v="0.00"/>
    <s v="96.52"/>
  </r>
  <r>
    <x v="17"/>
    <x v="93"/>
    <n v="117888"/>
    <n v="2743"/>
    <n v="47887"/>
    <s v="2.33"/>
    <s v="0.00"/>
    <s v="97.67"/>
  </r>
  <r>
    <x v="17"/>
    <x v="94"/>
    <n v="2"/>
    <n v="0"/>
    <n v="2"/>
    <s v="0.00"/>
    <s v="0.00"/>
    <s v="100.00"/>
  </r>
  <r>
    <x v="17"/>
    <x v="92"/>
    <n v="180629"/>
    <n v="2655"/>
    <n v="122075"/>
    <s v="1.47"/>
    <s v="0.00"/>
    <s v="98.53"/>
  </r>
  <r>
    <x v="17"/>
    <x v="91"/>
    <n v="252688"/>
    <n v="5260"/>
    <n v="63406"/>
    <s v="2.08"/>
    <s v="0.00"/>
    <s v="97.92"/>
  </r>
  <r>
    <x v="17"/>
    <x v="90"/>
    <n v="1717851"/>
    <n v="18214"/>
    <n v="454206"/>
    <s v="1.06"/>
    <s v="0.00"/>
    <s v="98.94"/>
  </r>
  <r>
    <x v="17"/>
    <x v="89"/>
    <n v="853012"/>
    <n v="10965"/>
    <n v="226398"/>
    <s v="1.29"/>
    <s v="0.00"/>
    <s v="98.71"/>
  </r>
  <r>
    <x v="17"/>
    <x v="88"/>
    <n v="88431"/>
    <n v="2183"/>
    <n v="50463"/>
    <s v="2.47"/>
    <s v="0.00"/>
    <s v="97.53"/>
  </r>
  <r>
    <x v="17"/>
    <x v="87"/>
    <n v="4743720"/>
    <n v="131856"/>
    <n v="2265122"/>
    <s v="2.78"/>
    <s v="0.00"/>
    <s v="97.22"/>
  </r>
  <r>
    <x v="17"/>
    <x v="86"/>
    <n v="13142"/>
    <n v="33"/>
    <n v="2263"/>
    <s v="0.25"/>
    <s v="0.00"/>
    <s v="99.75"/>
  </r>
  <r>
    <x v="17"/>
    <x v="85"/>
    <n v="5868360"/>
    <n v="125363"/>
    <n v="3452389"/>
    <s v="2.14"/>
    <s v="0.00"/>
    <s v="97.86"/>
  </r>
  <r>
    <x v="17"/>
    <x v="84"/>
    <n v="2047811"/>
    <n v="22993"/>
    <n v="1086150"/>
    <s v="1.12"/>
    <s v="0.00"/>
    <s v="98.88"/>
  </r>
  <r>
    <x v="17"/>
    <x v="83"/>
    <n v="34202202"/>
    <n v="455068"/>
    <n v="22931491"/>
    <s v="1.33"/>
    <s v="0.00"/>
    <s v="98.67"/>
  </r>
  <r>
    <x v="17"/>
    <x v="82"/>
    <n v="1324040"/>
    <n v="8062"/>
    <n v="549614"/>
    <s v="0.61"/>
    <s v="0.00"/>
    <s v="99.39"/>
  </r>
  <r>
    <x v="17"/>
    <x v="81"/>
    <n v="431722"/>
    <n v="5369"/>
    <n v="107785"/>
    <s v="1.24"/>
    <s v="0.00"/>
    <s v="98.76"/>
  </r>
  <r>
    <x v="17"/>
    <x v="80"/>
    <n v="4240479"/>
    <n v="143235"/>
    <n v="2183609"/>
    <s v="3.38"/>
    <s v="0.00"/>
    <s v="96.62"/>
  </r>
  <r>
    <x v="17"/>
    <x v="79"/>
    <n v="850513"/>
    <n v="30567"/>
    <n v="24467"/>
    <s v="3.59"/>
    <s v="0.00"/>
    <s v="96.41"/>
  </r>
  <r>
    <x v="17"/>
    <x v="78"/>
    <n v="23619"/>
    <n v="662"/>
    <n v="4673"/>
    <s v="2.80"/>
    <s v="0.00"/>
    <s v="97.20"/>
  </r>
  <r>
    <x v="17"/>
    <x v="77"/>
    <n v="446005"/>
    <n v="9060"/>
    <n v="288556"/>
    <s v="2.03"/>
    <s v="0.00"/>
    <s v="97.97"/>
  </r>
  <r>
    <x v="17"/>
    <x v="76"/>
    <n v="374148"/>
    <n v="10191"/>
    <n v="18677"/>
    <s v="2.72"/>
    <s v="0.00"/>
    <s v="97.28"/>
  </r>
  <r>
    <x v="17"/>
    <x v="75"/>
    <n v="12327"/>
    <n v="213"/>
    <n v="10050"/>
    <s v="1.73"/>
    <s v="0.00"/>
    <s v="98.27"/>
  </r>
  <r>
    <x v="17"/>
    <x v="74"/>
    <n v="35104"/>
    <n v="897"/>
    <n v="23272"/>
    <s v="2.56"/>
    <s v="0.00"/>
    <s v="97.44"/>
  </r>
  <r>
    <x v="17"/>
    <x v="73"/>
    <n v="6131"/>
    <n v="141"/>
    <n v="5786"/>
    <s v="2.30"/>
    <s v="0.00"/>
    <s v="97.70"/>
  </r>
  <r>
    <x v="17"/>
    <x v="72"/>
    <n v="595067"/>
    <n v="14748"/>
    <n v="390524"/>
    <s v="2.48"/>
    <s v="0.00"/>
    <s v="97.52"/>
  </r>
  <r>
    <x v="17"/>
    <x v="71"/>
    <n v="720295"/>
    <n v="15682"/>
    <n v="493210"/>
    <s v="2.18"/>
    <s v="0.00"/>
    <s v="97.82"/>
  </r>
  <r>
    <x v="17"/>
    <x v="70"/>
    <n v="13166"/>
    <n v="163"/>
    <n v="1562"/>
    <s v="1.24"/>
    <s v="0.00"/>
    <s v="98.76"/>
  </r>
  <r>
    <x v="17"/>
    <x v="69"/>
    <n v="54095"/>
    <n v="809"/>
    <n v="23109"/>
    <s v="1.50"/>
    <s v="0.00"/>
    <s v="98.50"/>
  </r>
  <r>
    <x v="17"/>
    <x v="67"/>
    <n v="9956"/>
    <n v="339"/>
    <n v="1134"/>
    <s v="3.40"/>
    <s v="0.00"/>
    <s v="96.60"/>
  </r>
  <r>
    <x v="17"/>
    <x v="68"/>
    <n v="30642"/>
    <n v="385"/>
    <n v="16436"/>
    <s v="1.26"/>
    <s v="0.00"/>
    <s v="98.74"/>
  </r>
  <r>
    <x v="17"/>
    <x v="66"/>
    <n v="5887"/>
    <n v="98"/>
    <n v="4337"/>
    <s v="1.66"/>
    <s v="0.00"/>
    <s v="98.34"/>
  </r>
  <r>
    <x v="17"/>
    <x v="65"/>
    <n v="129948"/>
    <n v="1172"/>
    <n v="52020"/>
    <s v="0.90"/>
    <s v="0.00"/>
    <s v="99.10"/>
  </r>
  <r>
    <x v="17"/>
    <x v="64"/>
    <n v="43938"/>
    <n v="298"/>
    <n v="29609"/>
    <s v="0.68"/>
    <s v="0.00"/>
    <s v="99.32"/>
  </r>
  <r>
    <x v="17"/>
    <x v="62"/>
    <n v="5817"/>
    <n v="196"/>
    <n v="403"/>
    <s v="3.37"/>
    <s v="0.00"/>
    <s v="96.63"/>
  </r>
  <r>
    <x v="17"/>
    <x v="63"/>
    <n v="694182"/>
    <n v="9788"/>
    <n v="263588"/>
    <s v="1.41"/>
    <s v="0.00"/>
    <s v="98.59"/>
  </r>
  <r>
    <x v="17"/>
    <x v="61"/>
    <n v="8845217"/>
    <n v="139892"/>
    <n v="7758077"/>
    <s v="1.58"/>
    <s v="0.00"/>
    <s v="98.42"/>
  </r>
  <r>
    <x v="17"/>
    <x v="60"/>
    <n v="34898"/>
    <n v="230"/>
    <n v="12591"/>
    <s v="0.66"/>
    <s v="0.00"/>
    <s v="99.34"/>
  </r>
  <r>
    <x v="17"/>
    <x v="59"/>
    <n v="6950937"/>
    <n v="115161"/>
    <n v="2187583"/>
    <s v="1.66"/>
    <s v="0.00"/>
    <s v="98.34"/>
  </r>
  <r>
    <x v="17"/>
    <x v="58"/>
    <n v="1615"/>
    <n v="2"/>
    <n v="1337"/>
    <s v="0.12"/>
    <s v="0.00"/>
    <s v="99.88"/>
  </r>
  <r>
    <x v="17"/>
    <x v="57"/>
    <n v="52028"/>
    <n v="673"/>
    <n v="11315"/>
    <s v="1.29"/>
    <s v="0.00"/>
    <s v="98.71"/>
  </r>
  <r>
    <x v="17"/>
    <x v="56"/>
    <n v="154888"/>
    <n v="1150"/>
    <n v="41579"/>
    <s v="0.74"/>
    <s v="0.00"/>
    <s v="99.26"/>
  </r>
  <r>
    <x v="17"/>
    <x v="55"/>
    <n v="362672"/>
    <n v="6377"/>
    <n v="192763"/>
    <s v="1.76"/>
    <s v="0.00"/>
    <s v="98.24"/>
  </r>
  <r>
    <x v="17"/>
    <x v="54"/>
    <n v="5002217"/>
    <n v="87186"/>
    <n v="4128882"/>
    <s v="1.74"/>
    <s v="0.00"/>
    <s v="98.26"/>
  </r>
  <r>
    <x v="17"/>
    <x v="53"/>
    <n v="6795"/>
    <n v="45"/>
    <n v="4051"/>
    <s v="0.66"/>
    <s v="0.00"/>
    <s v="99.34"/>
  </r>
  <r>
    <x v="17"/>
    <x v="52"/>
    <n v="325508"/>
    <n v="18333"/>
    <n v="2367"/>
    <s v="5.63"/>
    <s v="0.00"/>
    <s v="94.37"/>
  </r>
  <r>
    <x v="17"/>
    <x v="51"/>
    <n v="183320"/>
    <n v="1469"/>
    <n v="66210"/>
    <s v="0.80"/>
    <s v="0.00"/>
    <s v="99.20"/>
  </r>
  <r>
    <x v="17"/>
    <x v="50"/>
    <n v="515659"/>
    <n v="32953"/>
    <n v="208443"/>
    <s v="6.39"/>
    <s v="0.00"/>
    <s v="93.61"/>
  </r>
  <r>
    <x v="17"/>
    <x v="49"/>
    <n v="205903"/>
    <n v="5894"/>
    <n v="43300"/>
    <s v="2.86"/>
    <s v="0.00"/>
    <s v="97.14"/>
  </r>
  <r>
    <x v="17"/>
    <x v="48"/>
    <n v="376736"/>
    <n v="4110"/>
    <n v="107644"/>
    <s v="1.09"/>
    <s v="0.00"/>
    <s v="98.91"/>
  </r>
  <r>
    <x v="17"/>
    <x v="47"/>
    <n v="4574"/>
    <n v="30"/>
    <n v="3360"/>
    <s v="0.66"/>
    <s v="0.00"/>
    <s v="99.34"/>
  </r>
  <r>
    <x v="17"/>
    <x v="46"/>
    <n v="378571"/>
    <n v="2699"/>
    <n v="124865"/>
    <s v="0.71"/>
    <s v="0.00"/>
    <s v="99.29"/>
  </r>
  <r>
    <x v="17"/>
    <x v="45"/>
    <n v="13458"/>
    <n v="181"/>
    <n v="12638"/>
    <s v="1.34"/>
    <s v="0.00"/>
    <s v="98.66"/>
  </r>
  <r>
    <x v="17"/>
    <x v="44"/>
    <n v="4485437"/>
    <n v="95148"/>
    <n v="2995"/>
    <s v="2.12"/>
    <s v="0.00"/>
    <s v="97.88"/>
  </r>
  <r>
    <x v="17"/>
    <x v="43"/>
    <n v="1731287"/>
    <n v="30625"/>
    <n v="413903"/>
    <s v="1.77"/>
    <s v="0.00"/>
    <s v="98.23"/>
  </r>
  <r>
    <x v="17"/>
    <x v="42"/>
    <n v="123357"/>
    <n v="571"/>
    <n v="118107"/>
    <s v="0.46"/>
    <s v="0.00"/>
    <s v="99.54"/>
  </r>
  <r>
    <x v="17"/>
    <x v="41"/>
    <n v="38148"/>
    <n v="349"/>
    <n v="25736"/>
    <s v="0.91"/>
    <s v="0.00"/>
    <s v="99.09"/>
  </r>
  <r>
    <x v="17"/>
    <x v="40"/>
    <n v="946960"/>
    <n v="8191"/>
    <n v="29904"/>
    <s v="0.86"/>
    <s v="0.00"/>
    <s v="99.14"/>
  </r>
  <r>
    <x v="17"/>
    <x v="39"/>
    <n v="557165"/>
    <n v="6983"/>
    <n v="20822"/>
    <s v="1.25"/>
    <s v="0.00"/>
    <s v="98.75"/>
  </r>
  <r>
    <x v="17"/>
    <x v="38"/>
    <n v="4992586"/>
    <n v="127099"/>
    <n v="3500226"/>
    <s v="2.55"/>
    <s v="0.00"/>
    <s v="97.45"/>
  </r>
  <r>
    <x v="17"/>
    <x v="37"/>
    <n v="96860"/>
    <n v="4636"/>
    <n v="4982"/>
    <s v="4.79"/>
    <s v="0.00"/>
    <s v="95.21"/>
  </r>
  <r>
    <x v="17"/>
    <x v="36"/>
    <n v="100289"/>
    <n v="1600"/>
    <n v="91705"/>
    <s v="1.60"/>
    <s v="0.00"/>
    <s v="98.40"/>
  </r>
  <r>
    <x v="17"/>
    <x v="35"/>
    <n v="1683451"/>
    <n v="37685"/>
    <n v="625094"/>
    <s v="2.24"/>
    <s v="0.00"/>
    <s v="97.76"/>
  </r>
  <r>
    <x v="17"/>
    <x v="34"/>
    <n v="61208"/>
    <n v="690"/>
    <n v="55593"/>
    <s v="1.13"/>
    <s v="0.00"/>
    <s v="98.87"/>
  </r>
  <r>
    <x v="17"/>
    <x v="33"/>
    <n v="865708"/>
    <n v="11193"/>
    <n v="571658"/>
    <s v="1.29"/>
    <s v="0.00"/>
    <s v="98.71"/>
  </r>
  <r>
    <x v="17"/>
    <x v="32"/>
    <n v="16868"/>
    <n v="249"/>
    <n v="13977"/>
    <s v="1.48"/>
    <s v="0.00"/>
    <s v="98.52"/>
  </r>
  <r>
    <x v="17"/>
    <x v="31"/>
    <n v="11518"/>
    <n v="100"/>
    <n v="8158"/>
    <s v="0.87"/>
    <s v="0.00"/>
    <s v="99.13"/>
  </r>
  <r>
    <x v="17"/>
    <x v="30"/>
    <n v="57453"/>
    <n v="1091"/>
    <n v="25264"/>
    <s v="1.90"/>
    <s v="0.00"/>
    <s v="98.10"/>
  </r>
  <r>
    <x v="17"/>
    <x v="29"/>
    <n v="1710785"/>
    <n v="28858"/>
    <n v="913563"/>
    <s v="1.69"/>
    <s v="0.00"/>
    <s v="98.31"/>
  </r>
  <r>
    <x v="17"/>
    <x v="28"/>
    <n v="25881"/>
    <n v="476"/>
    <n v="17541"/>
    <s v="1.84"/>
    <s v="0.00"/>
    <s v="98.16"/>
  </r>
  <r>
    <x v="17"/>
    <x v="27"/>
    <n v="588231"/>
    <n v="4530"/>
    <n v="336646"/>
    <s v="0.77"/>
    <s v="0.00"/>
    <s v="99.23"/>
  </r>
  <r>
    <x v="17"/>
    <x v="26"/>
    <n v="185985"/>
    <n v="2402"/>
    <n v="172315"/>
    <s v="1.29"/>
    <s v="0.00"/>
    <s v="98.71"/>
  </r>
  <r>
    <x v="17"/>
    <x v="25"/>
    <n v="2617"/>
    <n v="3"/>
    <n v="1349"/>
    <s v="0.11"/>
    <s v="0.00"/>
    <s v="99.89"/>
  </r>
  <r>
    <x v="17"/>
    <x v="24"/>
    <n v="22259"/>
    <n v="642"/>
    <n v="11712"/>
    <s v="2.88"/>
    <s v="0.00"/>
    <s v="97.12"/>
  </r>
  <r>
    <x v="17"/>
    <x v="23"/>
    <n v="21735560"/>
    <n v="605804"/>
    <n v="16077107"/>
    <s v="2.79"/>
    <s v="0.00"/>
    <s v="97.21"/>
  </r>
  <r>
    <x v="17"/>
    <x v="22"/>
    <n v="509919"/>
    <n v="18901"/>
    <n v="42829"/>
    <s v="3.71"/>
    <s v="0.00"/>
    <s v="96.29"/>
  </r>
  <r>
    <x v="17"/>
    <x v="21"/>
    <n v="12384"/>
    <n v="81"/>
    <n v="11946"/>
    <s v="0.65"/>
    <s v="0.00"/>
    <s v="99.35"/>
  </r>
  <r>
    <x v="17"/>
    <x v="20"/>
    <n v="1659"/>
    <n v="6"/>
    <n v="355"/>
    <s v="0.36"/>
    <s v="0.00"/>
    <s v="99.64"/>
  </r>
  <r>
    <x v="17"/>
    <x v="19"/>
    <n v="24678"/>
    <n v="161"/>
    <n v="22396"/>
    <s v="0.65"/>
    <s v="0.00"/>
    <s v="99.35"/>
  </r>
  <r>
    <x v="17"/>
    <x v="18"/>
    <n v="19945"/>
    <n v="38"/>
    <n v="1898"/>
    <s v="0.19"/>
    <s v="0.00"/>
    <s v="99.81"/>
  </r>
  <r>
    <x v="17"/>
    <x v="17"/>
    <n v="276608"/>
    <n v="1393"/>
    <n v="33579"/>
    <s v="0.50"/>
    <s v="0.00"/>
    <s v="99.50"/>
  </r>
  <r>
    <x v="17"/>
    <x v="16"/>
    <n v="575306"/>
    <n v="23316"/>
    <n v="293200"/>
    <s v="4.05"/>
    <s v="0.00"/>
    <s v="95.95"/>
  </r>
  <r>
    <x v="17"/>
    <x v="15"/>
    <n v="14793"/>
    <n v="214"/>
    <n v="12806"/>
    <s v="1.45"/>
    <s v="0.00"/>
    <s v="98.55"/>
  </r>
  <r>
    <x v="17"/>
    <x v="14"/>
    <n v="1328202"/>
    <n v="25889"/>
    <n v="1257206"/>
    <s v="1.95"/>
    <s v="0.00"/>
    <s v="98.05"/>
  </r>
  <r>
    <x v="17"/>
    <x v="13"/>
    <n v="1567981"/>
    <n v="27828"/>
    <n v="1145745"/>
    <s v="1.77"/>
    <s v="0.00"/>
    <s v="98.23"/>
  </r>
  <r>
    <x v="17"/>
    <x v="12"/>
    <n v="15588"/>
    <n v="139"/>
    <n v="12950"/>
    <s v="0.89"/>
    <s v="0.00"/>
    <s v="99.11"/>
  </r>
  <r>
    <x v="17"/>
    <x v="11"/>
    <n v="249349"/>
    <n v="11397"/>
    <n v="149715"/>
    <s v="4.57"/>
    <s v="0.00"/>
    <s v="95.43"/>
  </r>
  <r>
    <x v="17"/>
    <x v="10"/>
    <n v="517802"/>
    <n v="6915"/>
    <n v="321570"/>
    <s v="1.34"/>
    <s v="0.00"/>
    <s v="98.66"/>
  </r>
  <r>
    <x v="17"/>
    <x v="9"/>
    <n v="162016"/>
    <n v="1653"/>
    <n v="34976"/>
    <s v="1.02"/>
    <s v="0.00"/>
    <s v="98.98"/>
  </r>
  <r>
    <x v="17"/>
    <x v="8"/>
    <n v="801456"/>
    <n v="11261"/>
    <n v="432112"/>
    <s v="1.41"/>
    <s v="0.00"/>
    <s v="98.59"/>
  </r>
  <r>
    <x v="17"/>
    <x v="7"/>
    <n v="5281585"/>
    <n v="115851"/>
    <n v="851177"/>
    <s v="2.19"/>
    <s v="0.00"/>
    <s v="97.81"/>
  </r>
  <r>
    <x v="17"/>
    <x v="6"/>
    <n v="63930"/>
    <n v="1701"/>
    <n v="46245"/>
    <s v="2.66"/>
    <s v="0.00"/>
    <s v="97.34"/>
  </r>
  <r>
    <x v="17"/>
    <x v="5"/>
    <n v="296552"/>
    <n v="6055"/>
    <n v="24743"/>
    <s v="2.04"/>
    <s v="0.00"/>
    <s v="97.96"/>
  </r>
  <r>
    <x v="17"/>
    <x v="4"/>
    <n v="181960"/>
    <n v="2880"/>
    <n v="173845"/>
    <s v="1.58"/>
    <s v="0.00"/>
    <s v="98.42"/>
  </r>
  <r>
    <x v="17"/>
    <x v="3"/>
    <n v="4031"/>
    <n v="99"/>
    <n v="1367"/>
    <s v="2.46"/>
    <s v="0.00"/>
    <s v="97.54"/>
  </r>
  <r>
    <x v="17"/>
    <x v="2"/>
    <n v="156040"/>
    <n v="7260"/>
    <n v="58199"/>
    <s v="4.65"/>
    <s v="0.00"/>
    <s v="95.35"/>
  </r>
  <r>
    <x v="17"/>
    <x v="1"/>
    <n v="739381"/>
    <n v="2131"/>
    <n v="176481"/>
    <s v="0.29"/>
    <s v="0.00"/>
    <s v="99.71"/>
  </r>
  <r>
    <x v="17"/>
    <x v="0"/>
    <n v="15425"/>
    <n v="130"/>
    <n v="10741"/>
    <s v="0.84"/>
    <s v="0.00"/>
    <s v="99.16"/>
  </r>
  <r>
    <x v="18"/>
    <x v="0"/>
    <n v="15404"/>
    <n v="130"/>
    <n v="1378"/>
    <s v="0.84"/>
    <s v="0.00"/>
    <s v="99.16"/>
  </r>
  <r>
    <x v="18"/>
    <x v="1"/>
    <n v="739284"/>
    <n v="2130"/>
    <n v="711707"/>
    <s v="0.29"/>
    <s v="0.00"/>
    <s v="99.71"/>
  </r>
  <r>
    <x v="18"/>
    <x v="2"/>
    <n v="155944"/>
    <n v="7255"/>
    <n v="91385"/>
    <s v="4.65"/>
    <s v="0.00"/>
    <s v="95.35"/>
  </r>
  <r>
    <x v="18"/>
    <x v="3"/>
    <n v="4019"/>
    <n v="99"/>
    <n v="2389"/>
    <s v="2.46"/>
    <s v="0.00"/>
    <s v="97.54"/>
  </r>
  <r>
    <x v="18"/>
    <x v="4"/>
    <n v="181696"/>
    <n v="2874"/>
    <n v="116119"/>
    <s v="1.58"/>
    <s v="0.00"/>
    <s v="98.42"/>
  </r>
  <r>
    <x v="18"/>
    <x v="5"/>
    <n v="295368"/>
    <n v="6013"/>
    <n v="266017"/>
    <s v="2.04"/>
    <s v="0.00"/>
    <s v="97.96"/>
  </r>
  <r>
    <x v="18"/>
    <x v="6"/>
    <n v="63861"/>
    <n v="1697"/>
    <n v="50971"/>
    <s v="2.66"/>
    <s v="0.00"/>
    <s v="97.34"/>
  </r>
  <r>
    <x v="18"/>
    <x v="7"/>
    <n v="5280358"/>
    <n v="115826"/>
    <n v="4853801"/>
    <s v="2.19"/>
    <s v="0.00"/>
    <s v="97.81"/>
  </r>
  <r>
    <x v="18"/>
    <x v="8"/>
    <n v="798606"/>
    <n v="11251"/>
    <n v="350801"/>
    <s v="1.41"/>
    <s v="0.00"/>
    <s v="98.59"/>
  </r>
  <r>
    <x v="18"/>
    <x v="9"/>
    <n v="160230"/>
    <n v="1648"/>
    <n v="142537"/>
    <s v="1.03"/>
    <s v="0.00"/>
    <s v="98.97"/>
  </r>
  <r>
    <x v="18"/>
    <x v="10"/>
    <n v="516325"/>
    <n v="6894"/>
    <n v="313675"/>
    <s v="1.34"/>
    <s v="0.00"/>
    <s v="98.66"/>
  </r>
  <r>
    <x v="18"/>
    <x v="11"/>
    <n v="247958"/>
    <n v="11322"/>
    <n v="144108"/>
    <s v="4.57"/>
    <s v="0.00"/>
    <s v="95.43"/>
  </r>
  <r>
    <x v="18"/>
    <x v="12"/>
    <n v="15341"/>
    <n v="130"/>
    <n v="15059"/>
    <s v="0.85"/>
    <s v="0.00"/>
    <s v="99.15"/>
  </r>
  <r>
    <x v="18"/>
    <x v="13"/>
    <n v="1567692"/>
    <n v="27823"/>
    <n v="395640"/>
    <s v="1.77"/>
    <s v="0.00"/>
    <s v="98.23"/>
  </r>
  <r>
    <x v="18"/>
    <x v="14"/>
    <n v="1312360"/>
    <n v="25846"/>
    <n v="285678"/>
    <s v="1.97"/>
    <s v="0.00"/>
    <s v="98.03"/>
  </r>
  <r>
    <x v="18"/>
    <x v="15"/>
    <n v="14793"/>
    <n v="214"/>
    <n v="12483"/>
    <s v="1.45"/>
    <s v="0.00"/>
    <s v="98.55"/>
  </r>
  <r>
    <x v="18"/>
    <x v="16"/>
    <n v="569443"/>
    <n v="23073"/>
    <n v="160213"/>
    <s v="4.05"/>
    <s v="0.00"/>
    <s v="95.95"/>
  </r>
  <r>
    <x v="18"/>
    <x v="17"/>
    <n v="276571"/>
    <n v="1393"/>
    <n v="212936"/>
    <s v="0.50"/>
    <s v="0.00"/>
    <s v="99.50"/>
  </r>
  <r>
    <x v="18"/>
    <x v="18"/>
    <n v="19894"/>
    <n v="38"/>
    <n v="15685"/>
    <s v="0.19"/>
    <s v="0.00"/>
    <s v="99.81"/>
  </r>
  <r>
    <x v="18"/>
    <x v="19"/>
    <n v="24560"/>
    <n v="161"/>
    <n v="4749"/>
    <s v="0.66"/>
    <s v="0.00"/>
    <s v="99.34"/>
  </r>
  <r>
    <x v="18"/>
    <x v="20"/>
    <n v="1659"/>
    <n v="6"/>
    <n v="952"/>
    <s v="0.36"/>
    <s v="0.00"/>
    <s v="99.64"/>
  </r>
  <r>
    <x v="18"/>
    <x v="21"/>
    <n v="12113"/>
    <n v="80"/>
    <n v="7087"/>
    <s v="0.66"/>
    <s v="0.00"/>
    <s v="99.34"/>
  </r>
  <r>
    <x v="18"/>
    <x v="22"/>
    <n v="509919"/>
    <n v="18901"/>
    <n v="338885"/>
    <s v="3.71"/>
    <s v="0.00"/>
    <s v="96.29"/>
  </r>
  <r>
    <x v="18"/>
    <x v="23"/>
    <n v="21729763"/>
    <n v="605644"/>
    <n v="18293768"/>
    <s v="2.79"/>
    <s v="0.00"/>
    <s v="97.21"/>
  </r>
  <r>
    <x v="18"/>
    <x v="24"/>
    <n v="22179"/>
    <n v="642"/>
    <n v="16428"/>
    <s v="2.89"/>
    <s v="0.00"/>
    <s v="97.11"/>
  </r>
  <r>
    <x v="18"/>
    <x v="25"/>
    <n v="2617"/>
    <n v="3"/>
    <n v="2027"/>
    <s v="0.11"/>
    <s v="0.00"/>
    <s v="99.89"/>
  </r>
  <r>
    <x v="18"/>
    <x v="26"/>
    <n v="184919"/>
    <n v="2396"/>
    <n v="42755"/>
    <s v="1.30"/>
    <s v="0.00"/>
    <s v="98.70"/>
  </r>
  <r>
    <x v="18"/>
    <x v="27"/>
    <n v="586234"/>
    <n v="4515"/>
    <n v="25981"/>
    <s v="0.77"/>
    <s v="0.00"/>
    <s v="99.23"/>
  </r>
  <r>
    <x v="18"/>
    <x v="28"/>
    <n v="25445"/>
    <n v="473"/>
    <n v="283"/>
    <s v="1.86"/>
    <s v="0.00"/>
    <s v="98.14"/>
  </r>
  <r>
    <x v="18"/>
    <x v="29"/>
    <n v="1707278"/>
    <n v="28801"/>
    <n v="1290986"/>
    <s v="1.69"/>
    <s v="0.00"/>
    <s v="98.31"/>
  </r>
  <r>
    <x v="18"/>
    <x v="30"/>
    <n v="57432"/>
    <n v="1091"/>
    <n v="3284"/>
    <s v="1.90"/>
    <s v="0.00"/>
    <s v="98.10"/>
  </r>
  <r>
    <x v="18"/>
    <x v="31"/>
    <n v="11518"/>
    <n v="100"/>
    <n v="11327"/>
    <s v="0.87"/>
    <s v="0.00"/>
    <s v="99.13"/>
  </r>
  <r>
    <x v="18"/>
    <x v="32"/>
    <n v="16408"/>
    <n v="239"/>
    <n v="11487"/>
    <s v="1.46"/>
    <s v="0.00"/>
    <s v="98.54"/>
  </r>
  <r>
    <x v="18"/>
    <x v="33"/>
    <n v="862411"/>
    <n v="11182"/>
    <n v="505332"/>
    <s v="1.30"/>
    <s v="0.00"/>
    <s v="98.70"/>
  </r>
  <r>
    <x v="18"/>
    <x v="34"/>
    <n v="61178"/>
    <n v="690"/>
    <n v="4351"/>
    <s v="1.13"/>
    <s v="0.00"/>
    <s v="98.87"/>
  </r>
  <r>
    <x v="18"/>
    <x v="35"/>
    <n v="1681828"/>
    <n v="37669"/>
    <n v="118750"/>
    <s v="2.24"/>
    <s v="0.00"/>
    <s v="97.76"/>
  </r>
  <r>
    <x v="18"/>
    <x v="36"/>
    <n v="100289"/>
    <n v="1600"/>
    <n v="86935"/>
    <s v="1.60"/>
    <s v="0.00"/>
    <s v="98.40"/>
  </r>
  <r>
    <x v="18"/>
    <x v="37"/>
    <n v="96797"/>
    <n v="4636"/>
    <n v="25009"/>
    <s v="4.79"/>
    <s v="0.00"/>
    <s v="95.21"/>
  </r>
  <r>
    <x v="18"/>
    <x v="38"/>
    <n v="5003839"/>
    <n v="127067"/>
    <n v="1336070"/>
    <s v="2.54"/>
    <s v="0.00"/>
    <s v="97.46"/>
  </r>
  <r>
    <x v="18"/>
    <x v="39"/>
    <n v="555970"/>
    <n v="6946"/>
    <n v="62532"/>
    <s v="1.25"/>
    <s v="0.00"/>
    <s v="98.75"/>
  </r>
  <r>
    <x v="18"/>
    <x v="40"/>
    <n v="945750"/>
    <n v="8167"/>
    <n v="792229"/>
    <s v="0.86"/>
    <s v="0.00"/>
    <s v="99.14"/>
  </r>
  <r>
    <x v="18"/>
    <x v="41"/>
    <n v="38140"/>
    <n v="349"/>
    <n v="17565"/>
    <s v="0.92"/>
    <s v="0.00"/>
    <s v="99.08"/>
  </r>
  <r>
    <x v="18"/>
    <x v="42"/>
    <n v="122996"/>
    <n v="569"/>
    <n v="33355"/>
    <s v="0.46"/>
    <s v="0.00"/>
    <s v="99.54"/>
  </r>
  <r>
    <x v="18"/>
    <x v="43"/>
    <n v="1729458"/>
    <n v="30615"/>
    <n v="1646597"/>
    <s v="1.77"/>
    <s v="0.00"/>
    <s v="98.23"/>
  </r>
  <r>
    <x v="18"/>
    <x v="44"/>
    <n v="4476078"/>
    <n v="95121"/>
    <n v="2207667"/>
    <s v="2.13"/>
    <s v="0.00"/>
    <s v="97.87"/>
  </r>
  <r>
    <x v="18"/>
    <x v="45"/>
    <n v="13451"/>
    <n v="181"/>
    <n v="1398"/>
    <s v="1.35"/>
    <s v="0.00"/>
    <s v="98.65"/>
  </r>
  <r>
    <x v="18"/>
    <x v="46"/>
    <n v="377145"/>
    <n v="2699"/>
    <n v="314660"/>
    <s v="0.72"/>
    <s v="0.00"/>
    <s v="99.28"/>
  </r>
  <r>
    <x v="18"/>
    <x v="47"/>
    <n v="4508"/>
    <n v="30"/>
    <n v="1376"/>
    <s v="0.67"/>
    <s v="0.00"/>
    <s v="99.33"/>
  </r>
  <r>
    <x v="18"/>
    <x v="48"/>
    <n v="376272"/>
    <n v="4108"/>
    <n v="171343"/>
    <s v="1.09"/>
    <s v="0.00"/>
    <s v="98.91"/>
  </r>
  <r>
    <x v="18"/>
    <x v="49"/>
    <n v="205822"/>
    <n v="5890"/>
    <n v="34565"/>
    <s v="2.86"/>
    <s v="0.00"/>
    <s v="97.14"/>
  </r>
  <r>
    <x v="18"/>
    <x v="50"/>
    <n v="515606"/>
    <n v="32952"/>
    <n v="210509"/>
    <s v="6.39"/>
    <s v="0.00"/>
    <s v="93.61"/>
  </r>
  <r>
    <x v="18"/>
    <x v="51"/>
    <n v="182039"/>
    <n v="1461"/>
    <n v="164543"/>
    <s v="0.80"/>
    <s v="0.00"/>
    <s v="99.20"/>
  </r>
  <r>
    <x v="18"/>
    <x v="52"/>
    <n v="324619"/>
    <n v="18285"/>
    <n v="247052"/>
    <s v="5.63"/>
    <s v="0.00"/>
    <s v="94.37"/>
  </r>
  <r>
    <x v="18"/>
    <x v="53"/>
    <n v="6792"/>
    <n v="45"/>
    <n v="3594"/>
    <s v="0.66"/>
    <s v="0.00"/>
    <s v="99.34"/>
  </r>
  <r>
    <x v="18"/>
    <x v="54"/>
    <n v="4997732"/>
    <n v="87132"/>
    <n v="2688125"/>
    <s v="1.74"/>
    <s v="0.00"/>
    <s v="98.26"/>
  </r>
  <r>
    <x v="18"/>
    <x v="55"/>
    <n v="362335"/>
    <n v="6358"/>
    <n v="98819"/>
    <s v="1.75"/>
    <s v="0.00"/>
    <s v="98.25"/>
  </r>
  <r>
    <x v="18"/>
    <x v="56"/>
    <n v="153156"/>
    <n v="1139"/>
    <n v="19800"/>
    <s v="0.74"/>
    <s v="0.00"/>
    <s v="99.26"/>
  </r>
  <r>
    <x v="18"/>
    <x v="57"/>
    <n v="51977"/>
    <n v="673"/>
    <n v="6550"/>
    <s v="1.29"/>
    <s v="0.00"/>
    <s v="98.71"/>
  </r>
  <r>
    <x v="18"/>
    <x v="58"/>
    <n v="1615"/>
    <n v="2"/>
    <n v="125"/>
    <s v="0.12"/>
    <s v="0.00"/>
    <s v="99.88"/>
  </r>
  <r>
    <x v="18"/>
    <x v="59"/>
    <n v="6949654"/>
    <n v="115118"/>
    <n v="875668"/>
    <s v="1.66"/>
    <s v="0.00"/>
    <s v="98.34"/>
  </r>
  <r>
    <x v="18"/>
    <x v="60"/>
    <n v="34601"/>
    <n v="224"/>
    <n v="19165"/>
    <s v="0.65"/>
    <s v="0.00"/>
    <s v="99.35"/>
  </r>
  <r>
    <x v="18"/>
    <x v="61"/>
    <n v="8808861"/>
    <n v="139852"/>
    <n v="1842381"/>
    <s v="1.59"/>
    <s v="0.00"/>
    <s v="98.41"/>
  </r>
  <r>
    <x v="18"/>
    <x v="63"/>
    <n v="692240"/>
    <n v="9742"/>
    <n v="96725"/>
    <s v="1.41"/>
    <s v="0.00"/>
    <s v="98.59"/>
  </r>
  <r>
    <x v="18"/>
    <x v="62"/>
    <n v="5817"/>
    <n v="196"/>
    <n v="679"/>
    <s v="3.37"/>
    <s v="0.00"/>
    <s v="96.63"/>
  </r>
  <r>
    <x v="18"/>
    <x v="64"/>
    <n v="43938"/>
    <n v="298"/>
    <n v="19542"/>
    <s v="0.68"/>
    <s v="0.00"/>
    <s v="99.32"/>
  </r>
  <r>
    <x v="18"/>
    <x v="65"/>
    <n v="129805"/>
    <n v="1170"/>
    <n v="21066"/>
    <s v="0.90"/>
    <s v="0.00"/>
    <s v="99.10"/>
  </r>
  <r>
    <x v="18"/>
    <x v="66"/>
    <n v="5874"/>
    <n v="98"/>
    <n v="4022"/>
    <s v="1.67"/>
    <s v="0.00"/>
    <s v="98.33"/>
  </r>
  <r>
    <x v="18"/>
    <x v="68"/>
    <n v="30626"/>
    <n v="385"/>
    <n v="7021"/>
    <s v="1.26"/>
    <s v="0.00"/>
    <s v="98.74"/>
  </r>
  <r>
    <x v="18"/>
    <x v="67"/>
    <n v="9956"/>
    <n v="339"/>
    <n v="343"/>
    <s v="3.40"/>
    <s v="0.00"/>
    <s v="96.60"/>
  </r>
  <r>
    <x v="18"/>
    <x v="69"/>
    <n v="54095"/>
    <n v="809"/>
    <n v="50701"/>
    <s v="1.50"/>
    <s v="0.00"/>
    <s v="98.50"/>
  </r>
  <r>
    <x v="18"/>
    <x v="70"/>
    <n v="13166"/>
    <n v="163"/>
    <n v="8133"/>
    <s v="1.24"/>
    <s v="0.00"/>
    <s v="98.76"/>
  </r>
  <r>
    <x v="18"/>
    <x v="71"/>
    <n v="716358"/>
    <n v="15628"/>
    <n v="220959"/>
    <s v="2.18"/>
    <s v="0.00"/>
    <s v="97.82"/>
  </r>
  <r>
    <x v="18"/>
    <x v="72"/>
    <n v="595008"/>
    <n v="14700"/>
    <n v="77393"/>
    <s v="2.47"/>
    <s v="0.00"/>
    <s v="97.53"/>
  </r>
  <r>
    <x v="18"/>
    <x v="73"/>
    <n v="6131"/>
    <n v="141"/>
    <n v="2210"/>
    <s v="2.30"/>
    <s v="0.00"/>
    <s v="97.70"/>
  </r>
  <r>
    <x v="18"/>
    <x v="74"/>
    <n v="35067"/>
    <n v="895"/>
    <n v="31724"/>
    <s v="2.55"/>
    <s v="0.00"/>
    <s v="97.45"/>
  </r>
  <r>
    <x v="18"/>
    <x v="75"/>
    <n v="12323"/>
    <n v="213"/>
    <n v="1106"/>
    <s v="1.73"/>
    <s v="0.00"/>
    <s v="98.27"/>
  </r>
  <r>
    <x v="18"/>
    <x v="76"/>
    <n v="374148"/>
    <n v="10191"/>
    <n v="186931"/>
    <s v="2.72"/>
    <s v="0.00"/>
    <s v="97.28"/>
  </r>
  <r>
    <x v="18"/>
    <x v="77"/>
    <n v="445325"/>
    <n v="9038"/>
    <n v="24195"/>
    <s v="2.03"/>
    <s v="0.00"/>
    <s v="97.97"/>
  </r>
  <r>
    <x v="18"/>
    <x v="78"/>
    <n v="23406"/>
    <n v="658"/>
    <n v="7894"/>
    <s v="2.81"/>
    <s v="0.00"/>
    <s v="97.19"/>
  </r>
  <r>
    <x v="18"/>
    <x v="79"/>
    <n v="843825"/>
    <n v="30492"/>
    <n v="410021"/>
    <s v="3.61"/>
    <s v="0.00"/>
    <s v="96.39"/>
  </r>
  <r>
    <x v="18"/>
    <x v="80"/>
    <n v="4240019"/>
    <n v="143205"/>
    <n v="2249033"/>
    <s v="3.38"/>
    <s v="0.00"/>
    <s v="96.62"/>
  </r>
  <r>
    <x v="18"/>
    <x v="81"/>
    <n v="429877"/>
    <n v="5369"/>
    <n v="22412"/>
    <s v="1.25"/>
    <s v="0.00"/>
    <s v="98.75"/>
  </r>
  <r>
    <x v="18"/>
    <x v="82"/>
    <n v="1323079"/>
    <n v="8049"/>
    <n v="418368"/>
    <s v="0.61"/>
    <s v="0.00"/>
    <s v="99.39"/>
  </r>
  <r>
    <x v="18"/>
    <x v="83"/>
    <n v="34189774"/>
    <n v="454712"/>
    <n v="7256875"/>
    <s v="1.33"/>
    <s v="0.00"/>
    <s v="98.67"/>
  </r>
  <r>
    <x v="18"/>
    <x v="84"/>
    <n v="2046274"/>
    <n v="22961"/>
    <n v="1613623"/>
    <s v="1.12"/>
    <s v="0.00"/>
    <s v="98.88"/>
  </r>
  <r>
    <x v="18"/>
    <x v="85"/>
    <n v="5860844"/>
    <n v="125223"/>
    <n v="4265589"/>
    <s v="2.14"/>
    <s v="0.00"/>
    <s v="97.86"/>
  </r>
  <r>
    <x v="18"/>
    <x v="86"/>
    <n v="12899"/>
    <n v="33"/>
    <n v="5275"/>
    <s v="0.26"/>
    <s v="0.00"/>
    <s v="99.74"/>
  </r>
  <r>
    <x v="18"/>
    <x v="87"/>
    <n v="4741185"/>
    <n v="131826"/>
    <n v="4149349"/>
    <s v="2.78"/>
    <s v="0.00"/>
    <s v="97.22"/>
  </r>
  <r>
    <x v="18"/>
    <x v="88"/>
    <n v="88259"/>
    <n v="2179"/>
    <n v="30375"/>
    <s v="2.47"/>
    <s v="0.00"/>
    <s v="97.53"/>
  </r>
  <r>
    <x v="18"/>
    <x v="89"/>
    <n v="851410"/>
    <n v="10951"/>
    <n v="199046"/>
    <s v="1.29"/>
    <s v="0.00"/>
    <s v="98.71"/>
  </r>
  <r>
    <x v="18"/>
    <x v="90"/>
    <n v="1717698"/>
    <n v="18207"/>
    <n v="822652"/>
    <s v="1.06"/>
    <s v="0.00"/>
    <s v="98.94"/>
  </r>
  <r>
    <x v="18"/>
    <x v="91"/>
    <n v="252672"/>
    <n v="5257"/>
    <n v="154811"/>
    <s v="2.08"/>
    <s v="0.00"/>
    <s v="97.92"/>
  </r>
  <r>
    <x v="18"/>
    <x v="92"/>
    <n v="180563"/>
    <n v="2653"/>
    <n v="77318"/>
    <s v="1.47"/>
    <s v="0.00"/>
    <s v="98.53"/>
  </r>
  <r>
    <x v="18"/>
    <x v="94"/>
    <n v="2"/>
    <n v="0"/>
    <n v="1"/>
    <s v="0.00"/>
    <s v="0.00"/>
    <s v="100.00"/>
  </r>
  <r>
    <x v="18"/>
    <x v="93"/>
    <n v="117772"/>
    <n v="2734"/>
    <n v="31724"/>
    <s v="2.32"/>
    <s v="0.00"/>
    <s v="97.68"/>
  </r>
  <r>
    <x v="18"/>
    <x v="95"/>
    <n v="4205"/>
    <n v="147"/>
    <n v="1125"/>
    <s v="3.50"/>
    <s v="0.00"/>
    <s v="96.50"/>
  </r>
  <r>
    <x v="18"/>
    <x v="96"/>
    <n v="2625"/>
    <n v="21"/>
    <n v="2549"/>
    <s v="0.80"/>
    <s v="0.00"/>
    <s v="99.20"/>
  </r>
  <r>
    <x v="18"/>
    <x v="97"/>
    <n v="353089"/>
    <n v="2773"/>
    <n v="156076"/>
    <s v="0.79"/>
    <s v="0.00"/>
    <s v="99.21"/>
  </r>
  <r>
    <x v="18"/>
    <x v="98"/>
    <n v="412527"/>
    <n v="2461"/>
    <n v="136550"/>
    <s v="0.60"/>
    <s v="0.00"/>
    <s v="99.40"/>
  </r>
  <r>
    <x v="18"/>
    <x v="99"/>
    <n v="1008555"/>
    <n v="16871"/>
    <n v="309723"/>
    <s v="1.67"/>
    <s v="0.00"/>
    <s v="98.33"/>
  </r>
  <r>
    <x v="18"/>
    <x v="100"/>
    <n v="35633"/>
    <n v="52"/>
    <n v="27702"/>
    <s v="0.15"/>
    <s v="0.00"/>
    <s v="99.85"/>
  </r>
  <r>
    <x v="18"/>
    <x v="101"/>
    <n v="637819"/>
    <n v="8453"/>
    <n v="286157"/>
    <s v="1.33"/>
    <s v="0.00"/>
    <s v="98.67"/>
  </r>
  <r>
    <x v="18"/>
    <x v="102"/>
    <n v="12426"/>
    <n v="241"/>
    <n v="10707"/>
    <s v="1.94"/>
    <s v="0.00"/>
    <s v="98.06"/>
  </r>
  <r>
    <x v="18"/>
    <x v="103"/>
    <n v="3623"/>
    <n v="60"/>
    <n v="3431"/>
    <s v="1.66"/>
    <s v="0.00"/>
    <s v="98.34"/>
  </r>
  <r>
    <x v="18"/>
    <x v="104"/>
    <n v="536084"/>
    <n v="13611"/>
    <n v="331789"/>
    <s v="2.54"/>
    <s v="0.00"/>
    <s v="97.46"/>
  </r>
  <r>
    <x v="18"/>
    <x v="105"/>
    <n v="5811"/>
    <n v="287"/>
    <n v="1011"/>
    <s v="4.94"/>
    <s v="0.00"/>
    <s v="95.06"/>
  </r>
  <r>
    <x v="18"/>
    <x v="106"/>
    <n v="21587"/>
    <n v="656"/>
    <n v="19011"/>
    <s v="3.04"/>
    <s v="0.00"/>
    <s v="96.96"/>
  </r>
  <r>
    <x v="18"/>
    <x v="107"/>
    <n v="388185"/>
    <n v="5633"/>
    <n v="62695"/>
    <s v="1.45"/>
    <s v="0.00"/>
    <s v="98.55"/>
  </r>
  <r>
    <x v="18"/>
    <x v="108"/>
    <n v="80603"/>
    <n v="842"/>
    <n v="4289"/>
    <s v="1.04"/>
    <s v="0.00"/>
    <s v="98.96"/>
  </r>
  <r>
    <x v="18"/>
    <x v="109"/>
    <n v="202573"/>
    <n v="3028"/>
    <n v="29031"/>
    <s v="1.49"/>
    <s v="0.00"/>
    <s v="98.51"/>
  </r>
  <r>
    <x v="18"/>
    <x v="110"/>
    <n v="353626"/>
    <n v="5006"/>
    <n v="113272"/>
    <s v="1.42"/>
    <s v="0.00"/>
    <s v="98.58"/>
  </r>
  <r>
    <x v="18"/>
    <x v="111"/>
    <n v="944277"/>
    <n v="14612"/>
    <n v="626563"/>
    <s v="1.55"/>
    <s v="0.00"/>
    <s v="98.45"/>
  </r>
  <r>
    <x v="18"/>
    <x v="112"/>
    <n v="3389"/>
    <n v="36"/>
    <n v="1703"/>
    <s v="1.06"/>
    <s v="0.00"/>
    <s v="98.94"/>
  </r>
  <r>
    <x v="18"/>
    <x v="113"/>
    <n v="328000"/>
    <n v="7497"/>
    <n v="244653"/>
    <s v="2.29"/>
    <s v="0.00"/>
    <s v="97.71"/>
  </r>
  <r>
    <x v="18"/>
    <x v="114"/>
    <n v="140922"/>
    <n v="2065"/>
    <n v="6119"/>
    <s v="1.47"/>
    <s v="0.00"/>
    <s v="98.53"/>
  </r>
  <r>
    <x v="18"/>
    <x v="115"/>
    <n v="3888"/>
    <n v="55"/>
    <n v="3083"/>
    <s v="1.41"/>
    <s v="0.00"/>
    <s v="98.59"/>
  </r>
  <r>
    <x v="18"/>
    <x v="116"/>
    <n v="43622"/>
    <n v="960"/>
    <n v="40457"/>
    <s v="2.20"/>
    <s v="0.00"/>
    <s v="97.80"/>
  </r>
  <r>
    <x v="18"/>
    <x v="117"/>
    <n v="4"/>
    <n v="0"/>
    <n v="0"/>
    <s v="0.00"/>
    <s v="0.00"/>
    <s v="100.00"/>
  </r>
  <r>
    <x v="18"/>
    <x v="118"/>
    <n v="199766"/>
    <n v="7051"/>
    <n v="7746"/>
    <s v="3.53"/>
    <s v="0.00"/>
    <s v="96.47"/>
  </r>
  <r>
    <x v="18"/>
    <x v="119"/>
    <n v="15848"/>
    <n v="558"/>
    <n v="3184"/>
    <s v="3.52"/>
    <s v="0.00"/>
    <s v="96.48"/>
  </r>
  <r>
    <x v="18"/>
    <x v="120"/>
    <n v="494263"/>
    <n v="18538"/>
    <n v="51488"/>
    <s v="3.75"/>
    <s v="0.00"/>
    <s v="96.25"/>
  </r>
  <r>
    <x v="18"/>
    <x v="121"/>
    <n v="349509"/>
    <n v="1660"/>
    <n v="133052"/>
    <s v="0.47"/>
    <s v="0.00"/>
    <s v="99.53"/>
  </r>
  <r>
    <x v="18"/>
    <x v="122"/>
    <n v="77"/>
    <n v="0"/>
    <n v="64"/>
    <s v="0.00"/>
    <s v="0.00"/>
    <s v="100.00"/>
  </r>
  <r>
    <x v="18"/>
    <x v="123"/>
    <n v="42820"/>
    <n v="673"/>
    <n v="16802"/>
    <s v="1.57"/>
    <s v="0.00"/>
    <s v="98.43"/>
  </r>
  <r>
    <x v="18"/>
    <x v="124"/>
    <n v="36955"/>
    <n v="792"/>
    <n v="21597"/>
    <s v="2.14"/>
    <s v="0.00"/>
    <s v="97.86"/>
  </r>
  <r>
    <x v="18"/>
    <x v="125"/>
    <n v="37551"/>
    <n v="459"/>
    <n v="35806"/>
    <s v="1.22"/>
    <s v="0.00"/>
    <s v="98.78"/>
  </r>
  <r>
    <x v="18"/>
    <x v="126"/>
    <n v="17047"/>
    <n v="148"/>
    <n v="11157"/>
    <s v="0.87"/>
    <s v="0.00"/>
    <s v="99.13"/>
  </r>
  <r>
    <x v="18"/>
    <x v="127"/>
    <n v="86922"/>
    <n v="240"/>
    <n v="5042"/>
    <s v="0.28"/>
    <s v="0.00"/>
    <s v="99.72"/>
  </r>
  <r>
    <x v="18"/>
    <x v="128"/>
    <n v="61757"/>
    <n v="2296"/>
    <n v="28598"/>
    <s v="3.72"/>
    <s v="0.00"/>
    <s v="96.28"/>
  </r>
  <r>
    <x v="18"/>
    <x v="129"/>
    <n v="3781661"/>
    <n v="286259"/>
    <n v="1657621"/>
    <s v="7.57"/>
    <s v="0.00"/>
    <s v="92.43"/>
  </r>
  <r>
    <x v="18"/>
    <x v="130"/>
    <n v="2431716"/>
    <n v="28400"/>
    <n v="2363741"/>
    <s v="1.17"/>
    <s v="0.00"/>
    <s v="98.83"/>
  </r>
  <r>
    <x v="18"/>
    <x v="131"/>
    <n v="151225"/>
    <n v="1928"/>
    <n v="43535"/>
    <s v="1.27"/>
    <s v="0.00"/>
    <s v="98.73"/>
  </r>
  <r>
    <x v="18"/>
    <x v="132"/>
    <n v="128824"/>
    <n v="3550"/>
    <n v="20296"/>
    <s v="2.76"/>
    <s v="0.00"/>
    <s v="97.24"/>
  </r>
  <r>
    <x v="18"/>
    <x v="133"/>
    <n v="10482"/>
    <n v="257"/>
    <n v="7716"/>
    <s v="2.45"/>
    <s v="0.00"/>
    <s v="97.55"/>
  </r>
  <r>
    <x v="18"/>
    <x v="134"/>
    <n v="6254"/>
    <n v="207"/>
    <n v="5731"/>
    <s v="3.31"/>
    <s v="0.00"/>
    <s v="96.69"/>
  </r>
  <r>
    <x v="18"/>
    <x v="135"/>
    <n v="210460"/>
    <n v="2882"/>
    <n v="55431"/>
    <s v="1.37"/>
    <s v="0.00"/>
    <s v="98.63"/>
  </r>
  <r>
    <x v="18"/>
    <x v="136"/>
    <n v="16241"/>
    <n v="207"/>
    <n v="11236"/>
    <s v="1.27"/>
    <s v="0.00"/>
    <s v="98.73"/>
  </r>
  <r>
    <x v="18"/>
    <x v="137"/>
    <n v="2122247"/>
    <n v="18752"/>
    <n v="478220"/>
    <s v="0.88"/>
    <s v="0.00"/>
    <s v="99.12"/>
  </r>
  <r>
    <x v="18"/>
    <x v="138"/>
    <n v="200517"/>
    <n v="894"/>
    <n v="26615"/>
    <s v="0.45"/>
    <s v="0.00"/>
    <s v="99.55"/>
  </r>
  <r>
    <x v="18"/>
    <x v="139"/>
    <n v="809056"/>
    <n v="11348"/>
    <n v="667970"/>
    <s v="1.40"/>
    <s v="0.00"/>
    <s v="98.60"/>
  </r>
  <r>
    <x v="18"/>
    <x v="140"/>
    <n v="5750"/>
    <n v="28"/>
    <n v="1991"/>
    <s v="0.49"/>
    <s v="0.00"/>
    <s v="99.51"/>
  </r>
  <r>
    <x v="18"/>
    <x v="141"/>
    <n v="304163"/>
    <n v="4110"/>
    <n v="258918"/>
    <s v="1.35"/>
    <s v="0.00"/>
    <s v="98.65"/>
  </r>
  <r>
    <x v="18"/>
    <x v="142"/>
    <n v="471403"/>
    <n v="7307"/>
    <n v="181047"/>
    <s v="1.55"/>
    <s v="0.00"/>
    <s v="98.45"/>
  </r>
  <r>
    <x v="18"/>
    <x v="143"/>
    <n v="2195859"/>
    <n v="200052"/>
    <n v="244181"/>
    <s v="9.11"/>
    <s v="0.00"/>
    <s v="90.89"/>
  </r>
  <r>
    <x v="18"/>
    <x v="144"/>
    <n v="45515"/>
    <n v="635"/>
    <n v="44844"/>
    <s v="1.40"/>
    <s v="0.00"/>
    <s v="98.60"/>
  </r>
  <r>
    <x v="18"/>
    <x v="145"/>
    <n v="27627"/>
    <n v="335"/>
    <n v="16721"/>
    <s v="1.21"/>
    <s v="0.00"/>
    <s v="98.79"/>
  </r>
  <r>
    <x v="18"/>
    <x v="146"/>
    <n v="2756923"/>
    <n v="41793"/>
    <n v="1420160"/>
    <s v="1.52"/>
    <s v="0.00"/>
    <s v="98.48"/>
  </r>
  <r>
    <x v="18"/>
    <x v="147"/>
    <n v="1269234"/>
    <n v="28386"/>
    <n v="397734"/>
    <s v="2.24"/>
    <s v="0.00"/>
    <s v="97.76"/>
  </r>
  <r>
    <x v="18"/>
    <x v="148"/>
    <n v="2972927"/>
    <n v="76447"/>
    <n v="2196748"/>
    <s v="2.57"/>
    <s v="0.00"/>
    <s v="97.43"/>
  </r>
  <r>
    <x v="18"/>
    <x v="149"/>
    <n v="450310"/>
    <n v="4611"/>
    <n v="204976"/>
    <s v="1.02"/>
    <s v="0.00"/>
    <s v="98.98"/>
  </r>
  <r>
    <x v="18"/>
    <x v="150"/>
    <n v="1085138"/>
    <n v="18133"/>
    <n v="411297"/>
    <s v="1.67"/>
    <s v="0.00"/>
    <s v="98.33"/>
  </r>
  <r>
    <x v="18"/>
    <x v="151"/>
    <n v="8"/>
    <n v="0"/>
    <n v="0"/>
    <s v="0.00"/>
    <s v="0.00"/>
    <s v="100.00"/>
  </r>
  <r>
    <x v="18"/>
    <x v="152"/>
    <n v="460701"/>
    <n v="16230"/>
    <n v="81497"/>
    <s v="3.52"/>
    <s v="0.00"/>
    <s v="96.48"/>
  </r>
  <r>
    <x v="18"/>
    <x v="153"/>
    <n v="238518"/>
    <n v="609"/>
    <n v="30703"/>
    <s v="0.26"/>
    <s v="0.00"/>
    <s v="99.74"/>
  </r>
  <r>
    <x v="18"/>
    <x v="154"/>
    <n v="54438"/>
    <n v="372"/>
    <n v="38159"/>
    <s v="0.68"/>
    <s v="0.00"/>
    <s v="99.32"/>
  </r>
  <r>
    <x v="18"/>
    <x v="155"/>
    <n v="1561928"/>
    <n v="44679"/>
    <n v="786749"/>
    <s v="2.86"/>
    <s v="0.00"/>
    <s v="97.14"/>
  </r>
  <r>
    <x v="18"/>
    <x v="156"/>
    <n v="1098209"/>
    <n v="9509"/>
    <n v="91814"/>
    <s v="0.87"/>
    <s v="0.00"/>
    <s v="99.13"/>
  </r>
  <r>
    <x v="18"/>
    <x v="157"/>
    <n v="8112999"/>
    <n v="226464"/>
    <n v="7328938"/>
    <s v="2.79"/>
    <s v="0.00"/>
    <s v="97.21"/>
  </r>
  <r>
    <x v="18"/>
    <x v="158"/>
    <n v="99374"/>
    <n v="1320"/>
    <n v="28683"/>
    <s v="1.33"/>
    <s v="0.00"/>
    <s v="98.67"/>
  </r>
  <r>
    <x v="18"/>
    <x v="159"/>
    <n v="548252"/>
    <n v="8778"/>
    <n v="373205"/>
    <s v="1.60"/>
    <s v="0.00"/>
    <s v="98.40"/>
  </r>
  <r>
    <x v="18"/>
    <x v="160"/>
    <n v="20"/>
    <n v="0"/>
    <n v="18"/>
    <s v="0.00"/>
    <s v="0.00"/>
    <s v="100.00"/>
  </r>
  <r>
    <x v="18"/>
    <x v="161"/>
    <n v="22102"/>
    <n v="119"/>
    <n v="338"/>
    <s v="0.54"/>
    <s v="0.00"/>
    <s v="99.46"/>
  </r>
  <r>
    <x v="18"/>
    <x v="162"/>
    <n v="40238"/>
    <n v="3099"/>
    <n v="32059"/>
    <s v="7.70"/>
    <s v="0.00"/>
    <s v="92.30"/>
  </r>
  <r>
    <x v="18"/>
    <x v="163"/>
    <n v="1165996"/>
    <n v="14993"/>
    <n v="576103"/>
    <s v="1.29"/>
    <s v="0.00"/>
    <s v="98.71"/>
  </r>
  <r>
    <x v="18"/>
    <x v="164"/>
    <n v="172644"/>
    <n v="315"/>
    <n v="149838"/>
    <s v="0.18"/>
    <s v="0.00"/>
    <s v="99.82"/>
  </r>
  <r>
    <x v="18"/>
    <x v="165"/>
    <n v="319913"/>
    <n v="4683"/>
    <n v="304982"/>
    <s v="1.46"/>
    <s v="0.00"/>
    <s v="98.54"/>
  </r>
  <r>
    <x v="18"/>
    <x v="166"/>
    <n v="456438"/>
    <n v="12903"/>
    <n v="411291"/>
    <s v="2.83"/>
    <s v="0.00"/>
    <s v="97.17"/>
  </r>
  <r>
    <x v="18"/>
    <x v="167"/>
    <n v="6397"/>
    <n v="121"/>
    <n v="4033"/>
    <s v="1.89"/>
    <s v="0.00"/>
    <s v="98.11"/>
  </r>
  <r>
    <x v="18"/>
    <x v="168"/>
    <n v="5497"/>
    <n v="91"/>
    <n v="1329"/>
    <s v="1.66"/>
    <s v="0.00"/>
    <s v="98.34"/>
  </r>
  <r>
    <x v="18"/>
    <x v="169"/>
    <n v="73893"/>
    <n v="1878"/>
    <n v="766"/>
    <s v="2.54"/>
    <s v="0.00"/>
    <s v="97.46"/>
  </r>
  <r>
    <x v="18"/>
    <x v="170"/>
    <n v="21269"/>
    <n v="1180"/>
    <n v="431"/>
    <s v="5.55"/>
    <s v="0.00"/>
    <s v="94.45"/>
  </r>
  <r>
    <x v="18"/>
    <x v="171"/>
    <n v="48118"/>
    <n v="1058"/>
    <n v="36810"/>
    <s v="2.20"/>
    <s v="0.00"/>
    <s v="97.80"/>
  </r>
  <r>
    <x v="18"/>
    <x v="173"/>
    <n v="3697"/>
    <n v="56"/>
    <n v="2823"/>
    <s v="1.51"/>
    <s v="0.00"/>
    <s v="98.49"/>
  </r>
  <r>
    <x v="18"/>
    <x v="172"/>
    <n v="12279"/>
    <n v="133"/>
    <n v="4013"/>
    <s v="1.08"/>
    <s v="0.00"/>
    <s v="98.92"/>
  </r>
  <r>
    <x v="18"/>
    <x v="174"/>
    <n v="112290"/>
    <n v="3564"/>
    <n v="107571"/>
    <s v="3.17"/>
    <s v="0.00"/>
    <s v="96.83"/>
  </r>
  <r>
    <x v="18"/>
    <x v="175"/>
    <n v="41515"/>
    <n v="2504"/>
    <n v="32343"/>
    <s v="6.03"/>
    <s v="0.00"/>
    <s v="93.97"/>
  </r>
  <r>
    <x v="18"/>
    <x v="176"/>
    <n v="46384"/>
    <n v="1241"/>
    <n v="13432"/>
    <s v="2.68"/>
    <s v="0.00"/>
    <s v="97.32"/>
  </r>
  <r>
    <x v="18"/>
    <x v="177"/>
    <n v="5069"/>
    <n v="174"/>
    <n v="1018"/>
    <s v="3.43"/>
    <s v="0.00"/>
    <s v="96.57"/>
  </r>
  <r>
    <x v="18"/>
    <x v="178"/>
    <n v="25992"/>
    <n v="242"/>
    <n v="8276"/>
    <s v="0.93"/>
    <s v="0.00"/>
    <s v="99.07"/>
  </r>
  <r>
    <x v="18"/>
    <x v="179"/>
    <n v="1850482"/>
    <n v="18755"/>
    <n v="1582065"/>
    <s v="1.01"/>
    <s v="0.00"/>
    <s v="98.99"/>
  </r>
  <r>
    <x v="18"/>
    <x v="180"/>
    <n v="17486"/>
    <n v="125"/>
    <n v="13504"/>
    <s v="0.71"/>
    <s v="0.00"/>
    <s v="99.29"/>
  </r>
  <r>
    <x v="18"/>
    <x v="181"/>
    <n v="19770"/>
    <n v="121"/>
    <n v="13525"/>
    <s v="0.61"/>
    <s v="0.00"/>
    <s v="99.39"/>
  </r>
  <r>
    <x v="18"/>
    <x v="182"/>
    <n v="711693"/>
    <n v="25149"/>
    <n v="658013"/>
    <s v="3.53"/>
    <s v="0.00"/>
    <s v="96.47"/>
  </r>
  <r>
    <x v="18"/>
    <x v="184"/>
    <n v="7851775"/>
    <n v="69112"/>
    <n v="6710533"/>
    <s v="0.88"/>
    <s v="0.00"/>
    <s v="99.12"/>
  </r>
  <r>
    <x v="18"/>
    <x v="185"/>
    <n v="55681"/>
    <n v="1645"/>
    <n v="52836"/>
    <s v="2.95"/>
    <s v="0.00"/>
    <s v="97.05"/>
  </r>
  <r>
    <x v="18"/>
    <x v="186"/>
    <n v="16368"/>
    <n v="846"/>
    <n v="13228"/>
    <s v="5.17"/>
    <s v="0.00"/>
    <s v="94.83"/>
  </r>
  <r>
    <x v="18"/>
    <x v="187"/>
    <n v="26034"/>
    <n v="724"/>
    <n v="22499"/>
    <s v="2.78"/>
    <s v="0.00"/>
    <s v="97.22"/>
  </r>
  <r>
    <x v="18"/>
    <x v="188"/>
    <n v="2898049"/>
    <n v="68008"/>
    <n v="863115"/>
    <s v="2.35"/>
    <s v="0.00"/>
    <s v="97.65"/>
  </r>
  <r>
    <x v="18"/>
    <x v="189"/>
    <n v="125710"/>
    <n v="3200"/>
    <n v="115441"/>
    <s v="2.55"/>
    <s v="0.00"/>
    <s v="97.45"/>
  </r>
  <r>
    <x v="18"/>
    <x v="190"/>
    <n v="45463901"/>
    <n v="735941"/>
    <n v="27380721"/>
    <s v="1.62"/>
    <s v="0.00"/>
    <s v="98.38"/>
  </r>
  <r>
    <x v="18"/>
    <x v="191"/>
    <n v="392148"/>
    <n v="6071"/>
    <n v="154530"/>
    <s v="1.55"/>
    <s v="0.00"/>
    <s v="98.45"/>
  </r>
  <r>
    <x v="18"/>
    <x v="192"/>
    <n v="183569"/>
    <n v="1304"/>
    <n v="84275"/>
    <s v="0.71"/>
    <s v="0.00"/>
    <s v="99.29"/>
  </r>
  <r>
    <x v="18"/>
    <x v="194"/>
    <n v="4850"/>
    <n v="60"/>
    <n v="4281"/>
    <s v="1.24"/>
    <s v="0.00"/>
    <s v="98.76"/>
  </r>
  <r>
    <x v="18"/>
    <x v="193"/>
    <n v="27"/>
    <n v="0"/>
    <n v="27"/>
    <s v="0.00"/>
    <s v="0.00"/>
    <s v="100.00"/>
  </r>
  <r>
    <x v="18"/>
    <x v="195"/>
    <n v="400511"/>
    <n v="4810"/>
    <n v="80770"/>
    <s v="1.20"/>
    <s v="0.00"/>
    <s v="98.80"/>
  </r>
  <r>
    <x v="18"/>
    <x v="196"/>
    <n v="888940"/>
    <n v="21673"/>
    <n v="713700"/>
    <s v="2.44"/>
    <s v="0.00"/>
    <s v="97.56"/>
  </r>
  <r>
    <x v="18"/>
    <x v="197"/>
    <n v="4"/>
    <n v="1"/>
    <n v="2"/>
    <s v="25.00"/>
    <s v="0.00"/>
    <s v="75.00"/>
  </r>
  <r>
    <x v="18"/>
    <x v="198"/>
    <n v="3"/>
    <n v="0"/>
    <n v="1"/>
    <s v="0.00"/>
    <s v="0.00"/>
    <s v="100.00"/>
  </r>
  <r>
    <x v="18"/>
    <x v="199"/>
    <n v="160635"/>
    <n v="2974"/>
    <n v="114467"/>
    <s v="1.85"/>
    <s v="0.00"/>
    <s v="98.15"/>
  </r>
  <r>
    <x v="18"/>
    <x v="200"/>
    <n v="9678"/>
    <n v="1840"/>
    <n v="4407"/>
    <s v="19.01"/>
    <s v="0.00"/>
    <s v="80.99"/>
  </r>
  <r>
    <x v="18"/>
    <x v="201"/>
    <n v="20485"/>
    <n v="182"/>
    <n v="2037"/>
    <s v="0.89"/>
    <s v="0.00"/>
    <s v="99.11"/>
  </r>
  <r>
    <x v="18"/>
    <x v="202"/>
    <n v="2919632"/>
    <n v="88925"/>
    <n v="951005"/>
    <s v="3.05"/>
    <s v="0.00"/>
    <s v="96.95"/>
  </r>
  <r>
    <x v="18"/>
    <x v="203"/>
    <n v="209634"/>
    <n v="3659"/>
    <n v="72020"/>
    <s v="1.75"/>
    <s v="0.00"/>
    <s v="98.25"/>
  </r>
  <r>
    <x v="18"/>
    <x v="204"/>
    <n v="132651"/>
    <n v="4669"/>
    <n v="8191"/>
    <s v="3.52"/>
    <s v="0.00"/>
    <s v="96.48"/>
  </r>
  <r>
    <x v="18"/>
    <x v="205"/>
    <n v="721"/>
    <n v="15"/>
    <n v="309"/>
    <s v="2.08"/>
    <s v="0.00"/>
    <s v="97.92"/>
  </r>
  <r>
    <x v="19"/>
    <x v="205"/>
    <n v="721"/>
    <n v="15"/>
    <n v="440"/>
    <s v="2.08"/>
    <s v="0.00"/>
    <s v="97.92"/>
  </r>
  <r>
    <x v="19"/>
    <x v="204"/>
    <n v="132588"/>
    <n v="4663"/>
    <n v="55885"/>
    <s v="3.52"/>
    <s v="0.00"/>
    <s v="96.48"/>
  </r>
  <r>
    <x v="19"/>
    <x v="203"/>
    <n v="209629"/>
    <n v="3659"/>
    <n v="85308"/>
    <s v="1.75"/>
    <s v="0.00"/>
    <s v="98.25"/>
  </r>
  <r>
    <x v="19"/>
    <x v="202"/>
    <n v="2919332"/>
    <n v="88914"/>
    <n v="1452981"/>
    <s v="3.05"/>
    <s v="0.00"/>
    <s v="96.95"/>
  </r>
  <r>
    <x v="19"/>
    <x v="201"/>
    <n v="20485"/>
    <n v="182"/>
    <n v="19102"/>
    <s v="0.89"/>
    <s v="0.00"/>
    <s v="99.11"/>
  </r>
  <r>
    <x v="19"/>
    <x v="200"/>
    <n v="9662"/>
    <n v="1838"/>
    <n v="7679"/>
    <s v="19.02"/>
    <s v="0.00"/>
    <s v="80.98"/>
  </r>
  <r>
    <x v="19"/>
    <x v="199"/>
    <n v="160622"/>
    <n v="2974"/>
    <n v="62380"/>
    <s v="1.85"/>
    <s v="0.00"/>
    <s v="98.15"/>
  </r>
  <r>
    <x v="19"/>
    <x v="198"/>
    <n v="3"/>
    <n v="0"/>
    <n v="0"/>
    <s v="0.00"/>
    <s v="0.00"/>
    <s v="100.00"/>
  </r>
  <r>
    <x v="19"/>
    <x v="197"/>
    <n v="4"/>
    <n v="1"/>
    <n v="3"/>
    <s v="25.00"/>
    <s v="0.00"/>
    <s v="75.00"/>
  </r>
  <r>
    <x v="19"/>
    <x v="196"/>
    <n v="884895"/>
    <n v="21620"/>
    <n v="820167"/>
    <s v="2.44"/>
    <s v="0.00"/>
    <s v="97.56"/>
  </r>
  <r>
    <x v="19"/>
    <x v="195"/>
    <n v="399667"/>
    <n v="4800"/>
    <n v="195439"/>
    <s v="1.20"/>
    <s v="0.00"/>
    <s v="98.80"/>
  </r>
  <r>
    <x v="19"/>
    <x v="193"/>
    <n v="27"/>
    <n v="0"/>
    <n v="12"/>
    <s v="0.00"/>
    <s v="0.00"/>
    <s v="100.00"/>
  </r>
  <r>
    <x v="19"/>
    <x v="194"/>
    <n v="4814"/>
    <n v="60"/>
    <n v="4488"/>
    <s v="1.25"/>
    <s v="0.00"/>
    <s v="98.75"/>
  </r>
  <r>
    <x v="19"/>
    <x v="192"/>
    <n v="183191"/>
    <n v="1302"/>
    <n v="137854"/>
    <s v="0.71"/>
    <s v="0.00"/>
    <s v="99.29"/>
  </r>
  <r>
    <x v="19"/>
    <x v="191"/>
    <n v="392029"/>
    <n v="6071"/>
    <n v="142419"/>
    <s v="1.55"/>
    <s v="0.00"/>
    <s v="98.45"/>
  </r>
  <r>
    <x v="19"/>
    <x v="190"/>
    <n v="45447586"/>
    <n v="735800"/>
    <n v="21703145"/>
    <s v="1.62"/>
    <s v="0.00"/>
    <s v="98.38"/>
  </r>
  <r>
    <x v="19"/>
    <x v="189"/>
    <n v="125645"/>
    <n v="3198"/>
    <n v="82366"/>
    <s v="2.55"/>
    <s v="0.00"/>
    <s v="97.45"/>
  </r>
  <r>
    <x v="19"/>
    <x v="188"/>
    <n v="2876288"/>
    <n v="67597"/>
    <n v="1707274"/>
    <s v="2.35"/>
    <s v="0.00"/>
    <s v="97.65"/>
  </r>
  <r>
    <x v="19"/>
    <x v="187"/>
    <n v="26034"/>
    <n v="724"/>
    <n v="21842"/>
    <s v="2.78"/>
    <s v="0.00"/>
    <s v="97.22"/>
  </r>
  <r>
    <x v="19"/>
    <x v="186"/>
    <n v="16364"/>
    <n v="846"/>
    <n v="2076"/>
    <s v="5.17"/>
    <s v="0.00"/>
    <s v="94.83"/>
  </r>
  <r>
    <x v="19"/>
    <x v="185"/>
    <n v="55437"/>
    <n v="1639"/>
    <n v="42409"/>
    <s v="2.96"/>
    <s v="0.00"/>
    <s v="97.04"/>
  </r>
  <r>
    <x v="19"/>
    <x v="184"/>
    <n v="7826983"/>
    <n v="68917"/>
    <n v="2483883"/>
    <s v="0.88"/>
    <s v="0.00"/>
    <s v="99.12"/>
  </r>
  <r>
    <x v="19"/>
    <x v="182"/>
    <n v="711521"/>
    <n v="25139"/>
    <n v="132664"/>
    <s v="3.53"/>
    <s v="0.00"/>
    <s v="96.47"/>
  </r>
  <r>
    <x v="19"/>
    <x v="181"/>
    <n v="19766"/>
    <n v="120"/>
    <n v="5946"/>
    <s v="0.61"/>
    <s v="0.00"/>
    <s v="99.39"/>
  </r>
  <r>
    <x v="19"/>
    <x v="180"/>
    <n v="17486"/>
    <n v="125"/>
    <n v="4067"/>
    <s v="0.71"/>
    <s v="0.00"/>
    <s v="99.29"/>
  </r>
  <r>
    <x v="19"/>
    <x v="179"/>
    <n v="1841131"/>
    <n v="18699"/>
    <n v="13991"/>
    <s v="1.02"/>
    <s v="0.00"/>
    <s v="98.98"/>
  </r>
  <r>
    <x v="19"/>
    <x v="178"/>
    <n v="25989"/>
    <n v="242"/>
    <n v="21153"/>
    <s v="0.93"/>
    <s v="0.00"/>
    <s v="99.07"/>
  </r>
  <r>
    <x v="19"/>
    <x v="177"/>
    <n v="5069"/>
    <n v="174"/>
    <n v="958"/>
    <s v="3.43"/>
    <s v="0.00"/>
    <s v="96.57"/>
  </r>
  <r>
    <x v="19"/>
    <x v="176"/>
    <n v="46384"/>
    <n v="1241"/>
    <n v="15705"/>
    <s v="2.68"/>
    <s v="0.00"/>
    <s v="97.32"/>
  </r>
  <r>
    <x v="19"/>
    <x v="175"/>
    <n v="41222"/>
    <n v="2492"/>
    <n v="6255"/>
    <s v="6.05"/>
    <s v="0.00"/>
    <s v="93.95"/>
  </r>
  <r>
    <x v="19"/>
    <x v="174"/>
    <n v="112290"/>
    <n v="3554"/>
    <n v="86752"/>
    <s v="3.17"/>
    <s v="0.00"/>
    <s v="96.83"/>
  </r>
  <r>
    <x v="19"/>
    <x v="172"/>
    <n v="12279"/>
    <n v="133"/>
    <n v="11639"/>
    <s v="1.08"/>
    <s v="0.00"/>
    <s v="98.92"/>
  </r>
  <r>
    <x v="19"/>
    <x v="173"/>
    <n v="3697"/>
    <n v="56"/>
    <n v="1493"/>
    <s v="1.51"/>
    <s v="0.00"/>
    <s v="98.49"/>
  </r>
  <r>
    <x v="19"/>
    <x v="171"/>
    <n v="47978"/>
    <n v="1058"/>
    <n v="5547"/>
    <s v="2.21"/>
    <s v="0.00"/>
    <s v="97.79"/>
  </r>
  <r>
    <x v="19"/>
    <x v="170"/>
    <n v="21269"/>
    <n v="1180"/>
    <n v="3773"/>
    <s v="5.55"/>
    <s v="0.00"/>
    <s v="94.45"/>
  </r>
  <r>
    <x v="19"/>
    <x v="169"/>
    <n v="73891"/>
    <n v="1877"/>
    <n v="2694"/>
    <s v="2.54"/>
    <s v="0.00"/>
    <s v="97.46"/>
  </r>
  <r>
    <x v="19"/>
    <x v="168"/>
    <n v="5497"/>
    <n v="91"/>
    <n v="300"/>
    <s v="1.66"/>
    <s v="0.00"/>
    <s v="98.34"/>
  </r>
  <r>
    <x v="19"/>
    <x v="167"/>
    <n v="6397"/>
    <n v="121"/>
    <n v="746"/>
    <s v="1.89"/>
    <s v="0.00"/>
    <s v="98.11"/>
  </r>
  <r>
    <x v="19"/>
    <x v="166"/>
    <n v="453231"/>
    <n v="12895"/>
    <n v="355643"/>
    <s v="2.85"/>
    <s v="0.00"/>
    <s v="97.15"/>
  </r>
  <r>
    <x v="19"/>
    <x v="165"/>
    <n v="318412"/>
    <n v="4678"/>
    <n v="171714"/>
    <s v="1.47"/>
    <s v="0.00"/>
    <s v="98.53"/>
  </r>
  <r>
    <x v="19"/>
    <x v="164"/>
    <n v="169261"/>
    <n v="300"/>
    <n v="37380"/>
    <s v="0.18"/>
    <s v="0.00"/>
    <s v="99.82"/>
  </r>
  <r>
    <x v="19"/>
    <x v="163"/>
    <n v="1165996"/>
    <n v="14993"/>
    <n v="32811"/>
    <s v="1.29"/>
    <s v="0.00"/>
    <s v="98.71"/>
  </r>
  <r>
    <x v="19"/>
    <x v="162"/>
    <n v="40238"/>
    <n v="3099"/>
    <n v="6280"/>
    <s v="7.70"/>
    <s v="0.00"/>
    <s v="92.30"/>
  </r>
  <r>
    <x v="19"/>
    <x v="161"/>
    <n v="22102"/>
    <n v="119"/>
    <n v="7342"/>
    <s v="0.54"/>
    <s v="0.00"/>
    <s v="99.46"/>
  </r>
  <r>
    <x v="19"/>
    <x v="160"/>
    <n v="20"/>
    <n v="0"/>
    <n v="0"/>
    <s v="0.00"/>
    <s v="0.00"/>
    <s v="100.00"/>
  </r>
  <r>
    <x v="19"/>
    <x v="159"/>
    <n v="548205"/>
    <n v="8776"/>
    <n v="362044"/>
    <s v="1.60"/>
    <s v="0.00"/>
    <s v="98.40"/>
  </r>
  <r>
    <x v="19"/>
    <x v="158"/>
    <n v="99354"/>
    <n v="1320"/>
    <n v="19187"/>
    <s v="1.33"/>
    <s v="0.00"/>
    <s v="98.67"/>
  </r>
  <r>
    <x v="19"/>
    <x v="157"/>
    <n v="8078309"/>
    <n v="225417"/>
    <n v="806709"/>
    <s v="2.79"/>
    <s v="0.00"/>
    <s v="97.21"/>
  </r>
  <r>
    <x v="19"/>
    <x v="156"/>
    <n v="1092476"/>
    <n v="9448"/>
    <n v="186491"/>
    <s v="0.86"/>
    <s v="0.00"/>
    <s v="99.14"/>
  </r>
  <r>
    <x v="19"/>
    <x v="155"/>
    <n v="1550203"/>
    <n v="44290"/>
    <n v="1363307"/>
    <s v="2.86"/>
    <s v="0.00"/>
    <s v="97.14"/>
  </r>
  <r>
    <x v="19"/>
    <x v="154"/>
    <n v="54438"/>
    <n v="372"/>
    <n v="16737"/>
    <s v="0.68"/>
    <s v="0.00"/>
    <s v="99.32"/>
  </r>
  <r>
    <x v="19"/>
    <x v="153"/>
    <n v="238436"/>
    <n v="608"/>
    <n v="25432"/>
    <s v="0.25"/>
    <s v="0.00"/>
    <s v="99.75"/>
  </r>
  <r>
    <x v="19"/>
    <x v="152"/>
    <n v="460679"/>
    <n v="16229"/>
    <n v="35799"/>
    <s v="3.52"/>
    <s v="0.00"/>
    <s v="96.48"/>
  </r>
  <r>
    <x v="19"/>
    <x v="151"/>
    <n v="8"/>
    <n v="0"/>
    <n v="4"/>
    <s v="0.00"/>
    <s v="0.00"/>
    <s v="100.00"/>
  </r>
  <r>
    <x v="19"/>
    <x v="150"/>
    <n v="1084534"/>
    <n v="18129"/>
    <n v="965443"/>
    <s v="1.67"/>
    <s v="0.00"/>
    <s v="98.33"/>
  </r>
  <r>
    <x v="19"/>
    <x v="149"/>
    <n v="450310"/>
    <n v="4611"/>
    <n v="397253"/>
    <s v="1.02"/>
    <s v="0.00"/>
    <s v="98.98"/>
  </r>
  <r>
    <x v="19"/>
    <x v="148"/>
    <n v="2968200"/>
    <n v="76434"/>
    <n v="811969"/>
    <s v="2.58"/>
    <s v="0.00"/>
    <s v="97.42"/>
  </r>
  <r>
    <x v="19"/>
    <x v="147"/>
    <n v="1268536"/>
    <n v="28377"/>
    <n v="980622"/>
    <s v="2.24"/>
    <s v="0.00"/>
    <s v="97.76"/>
  </r>
  <r>
    <x v="19"/>
    <x v="146"/>
    <n v="2751667"/>
    <n v="41585"/>
    <n v="1752629"/>
    <s v="1.51"/>
    <s v="0.00"/>
    <s v="98.49"/>
  </r>
  <r>
    <x v="19"/>
    <x v="145"/>
    <n v="26731"/>
    <n v="329"/>
    <n v="21056"/>
    <s v="1.23"/>
    <s v="0.00"/>
    <s v="98.77"/>
  </r>
  <r>
    <x v="19"/>
    <x v="144"/>
    <n v="45515"/>
    <n v="635"/>
    <n v="38517"/>
    <s v="1.40"/>
    <s v="0.00"/>
    <s v="98.60"/>
  </r>
  <r>
    <x v="19"/>
    <x v="143"/>
    <n v="2195101"/>
    <n v="200019"/>
    <n v="1484300"/>
    <s v="9.11"/>
    <s v="0.00"/>
    <s v="90.89"/>
  </r>
  <r>
    <x v="19"/>
    <x v="142"/>
    <n v="471403"/>
    <n v="7307"/>
    <n v="379261"/>
    <s v="1.55"/>
    <s v="0.00"/>
    <s v="98.45"/>
  </r>
  <r>
    <x v="19"/>
    <x v="141"/>
    <n v="304116"/>
    <n v="4107"/>
    <n v="240996"/>
    <s v="1.35"/>
    <s v="0.00"/>
    <s v="98.65"/>
  </r>
  <r>
    <x v="19"/>
    <x v="140"/>
    <n v="5639"/>
    <n v="28"/>
    <n v="268"/>
    <s v="0.50"/>
    <s v="0.00"/>
    <s v="99.50"/>
  </r>
  <r>
    <x v="19"/>
    <x v="139"/>
    <n v="808534"/>
    <n v="11345"/>
    <n v="409275"/>
    <s v="1.40"/>
    <s v="0.00"/>
    <s v="98.60"/>
  </r>
  <r>
    <x v="19"/>
    <x v="138"/>
    <n v="200093"/>
    <n v="894"/>
    <n v="126381"/>
    <s v="0.45"/>
    <s v="0.00"/>
    <s v="99.55"/>
  </r>
  <r>
    <x v="19"/>
    <x v="137"/>
    <n v="2115936"/>
    <n v="18750"/>
    <n v="624424"/>
    <s v="0.89"/>
    <s v="0.00"/>
    <s v="99.11"/>
  </r>
  <r>
    <x v="19"/>
    <x v="136"/>
    <n v="16241"/>
    <n v="207"/>
    <n v="6217"/>
    <s v="1.27"/>
    <s v="0.00"/>
    <s v="98.73"/>
  </r>
  <r>
    <x v="19"/>
    <x v="135"/>
    <n v="210295"/>
    <n v="2856"/>
    <n v="40574"/>
    <s v="1.36"/>
    <s v="0.00"/>
    <s v="98.64"/>
  </r>
  <r>
    <x v="19"/>
    <x v="134"/>
    <n v="6248"/>
    <n v="207"/>
    <n v="3011"/>
    <s v="3.31"/>
    <s v="0.00"/>
    <s v="96.69"/>
  </r>
  <r>
    <x v="19"/>
    <x v="133"/>
    <n v="10454"/>
    <n v="252"/>
    <n v="7940"/>
    <s v="2.41"/>
    <s v="0.00"/>
    <s v="97.59"/>
  </r>
  <r>
    <x v="19"/>
    <x v="132"/>
    <n v="128801"/>
    <n v="3546"/>
    <n v="56522"/>
    <s v="2.75"/>
    <s v="0.00"/>
    <s v="97.25"/>
  </r>
  <r>
    <x v="19"/>
    <x v="131"/>
    <n v="151220"/>
    <n v="1928"/>
    <n v="134266"/>
    <s v="1.27"/>
    <s v="0.00"/>
    <s v="98.73"/>
  </r>
  <r>
    <x v="19"/>
    <x v="130"/>
    <n v="2426050"/>
    <n v="28354"/>
    <n v="1811153"/>
    <s v="1.17"/>
    <s v="0.00"/>
    <s v="98.83"/>
  </r>
  <r>
    <x v="19"/>
    <x v="129"/>
    <n v="3781661"/>
    <n v="286259"/>
    <n v="3474335"/>
    <s v="7.57"/>
    <s v="0.00"/>
    <s v="92.43"/>
  </r>
  <r>
    <x v="19"/>
    <x v="128"/>
    <n v="61757"/>
    <n v="2296"/>
    <n v="40404"/>
    <s v="3.72"/>
    <s v="0.00"/>
    <s v="96.28"/>
  </r>
  <r>
    <x v="19"/>
    <x v="127"/>
    <n v="86830"/>
    <n v="240"/>
    <n v="80071"/>
    <s v="0.28"/>
    <s v="0.00"/>
    <s v="99.72"/>
  </r>
  <r>
    <x v="19"/>
    <x v="126"/>
    <n v="17047"/>
    <n v="148"/>
    <n v="14592"/>
    <s v="0.87"/>
    <s v="0.00"/>
    <s v="99.13"/>
  </r>
  <r>
    <x v="19"/>
    <x v="125"/>
    <n v="37539"/>
    <n v="459"/>
    <n v="35268"/>
    <s v="1.22"/>
    <s v="0.00"/>
    <s v="98.78"/>
  </r>
  <r>
    <x v="19"/>
    <x v="124"/>
    <n v="36910"/>
    <n v="792"/>
    <n v="7012"/>
    <s v="2.15"/>
    <s v="0.00"/>
    <s v="97.85"/>
  </r>
  <r>
    <x v="19"/>
    <x v="123"/>
    <n v="42820"/>
    <n v="673"/>
    <n v="2966"/>
    <s v="1.57"/>
    <s v="0.00"/>
    <s v="98.43"/>
  </r>
  <r>
    <x v="19"/>
    <x v="122"/>
    <n v="77"/>
    <n v="0"/>
    <n v="28"/>
    <s v="0.00"/>
    <s v="0.00"/>
    <s v="100.00"/>
  </r>
  <r>
    <x v="19"/>
    <x v="121"/>
    <n v="348188"/>
    <n v="1643"/>
    <n v="98969"/>
    <s v="0.47"/>
    <s v="0.00"/>
    <s v="99.53"/>
  </r>
  <r>
    <x v="19"/>
    <x v="120"/>
    <n v="493576"/>
    <n v="18511"/>
    <n v="188269"/>
    <s v="3.75"/>
    <s v="0.00"/>
    <s v="96.25"/>
  </r>
  <r>
    <x v="19"/>
    <x v="119"/>
    <n v="15809"/>
    <n v="558"/>
    <n v="10623"/>
    <s v="3.53"/>
    <s v="0.00"/>
    <s v="96.47"/>
  </r>
  <r>
    <x v="19"/>
    <x v="118"/>
    <n v="199539"/>
    <n v="7036"/>
    <n v="108615"/>
    <s v="3.53"/>
    <s v="0.00"/>
    <s v="96.47"/>
  </r>
  <r>
    <x v="19"/>
    <x v="117"/>
    <n v="4"/>
    <n v="0"/>
    <n v="4"/>
    <s v="0.00"/>
    <s v="0.00"/>
    <s v="100.00"/>
  </r>
  <r>
    <x v="19"/>
    <x v="116"/>
    <n v="43622"/>
    <n v="960"/>
    <n v="14192"/>
    <s v="2.20"/>
    <s v="0.00"/>
    <s v="97.80"/>
  </r>
  <r>
    <x v="19"/>
    <x v="115"/>
    <n v="3888"/>
    <n v="55"/>
    <n v="668"/>
    <s v="1.41"/>
    <s v="0.00"/>
    <s v="98.59"/>
  </r>
  <r>
    <x v="19"/>
    <x v="114"/>
    <n v="140489"/>
    <n v="2059"/>
    <n v="62108"/>
    <s v="1.47"/>
    <s v="0.00"/>
    <s v="98.53"/>
  </r>
  <r>
    <x v="19"/>
    <x v="113"/>
    <n v="327094"/>
    <n v="7459"/>
    <n v="241927"/>
    <s v="2.28"/>
    <s v="0.00"/>
    <s v="97.72"/>
  </r>
  <r>
    <x v="19"/>
    <x v="112"/>
    <n v="3389"/>
    <n v="35"/>
    <n v="876"/>
    <s v="1.03"/>
    <s v="0.00"/>
    <s v="98.97"/>
  </r>
  <r>
    <x v="19"/>
    <x v="111"/>
    <n v="944076"/>
    <n v="14606"/>
    <n v="283219"/>
    <s v="1.55"/>
    <s v="0.00"/>
    <s v="98.45"/>
  </r>
  <r>
    <x v="19"/>
    <x v="110"/>
    <n v="352881"/>
    <n v="4982"/>
    <n v="105690"/>
    <s v="1.41"/>
    <s v="0.00"/>
    <s v="98.59"/>
  </r>
  <r>
    <x v="19"/>
    <x v="109"/>
    <n v="200321"/>
    <n v="3018"/>
    <n v="78419"/>
    <s v="1.51"/>
    <s v="0.00"/>
    <s v="98.49"/>
  </r>
  <r>
    <x v="19"/>
    <x v="108"/>
    <n v="80603"/>
    <n v="842"/>
    <n v="54483"/>
    <s v="1.04"/>
    <s v="0.00"/>
    <s v="98.96"/>
  </r>
  <r>
    <x v="19"/>
    <x v="107"/>
    <n v="385640"/>
    <n v="5602"/>
    <n v="68136"/>
    <s v="1.45"/>
    <s v="0.00"/>
    <s v="98.55"/>
  </r>
  <r>
    <x v="19"/>
    <x v="106"/>
    <n v="21584"/>
    <n v="656"/>
    <n v="552"/>
    <s v="3.04"/>
    <s v="0.00"/>
    <s v="96.96"/>
  </r>
  <r>
    <x v="19"/>
    <x v="105"/>
    <n v="5811"/>
    <n v="287"/>
    <n v="2933"/>
    <s v="4.94"/>
    <s v="0.00"/>
    <s v="95.06"/>
  </r>
  <r>
    <x v="19"/>
    <x v="104"/>
    <n v="535529"/>
    <n v="13593"/>
    <n v="46990"/>
    <s v="2.54"/>
    <s v="0.00"/>
    <s v="97.46"/>
  </r>
  <r>
    <x v="19"/>
    <x v="103"/>
    <n v="3623"/>
    <n v="60"/>
    <n v="918"/>
    <s v="1.66"/>
    <s v="0.00"/>
    <s v="98.34"/>
  </r>
  <r>
    <x v="19"/>
    <x v="102"/>
    <n v="12411"/>
    <n v="240"/>
    <n v="6961"/>
    <s v="1.93"/>
    <s v="0.00"/>
    <s v="98.07"/>
  </r>
  <r>
    <x v="19"/>
    <x v="101"/>
    <n v="637312"/>
    <n v="8449"/>
    <n v="397207"/>
    <s v="1.33"/>
    <s v="0.00"/>
    <s v="98.67"/>
  </r>
  <r>
    <x v="19"/>
    <x v="100"/>
    <n v="34985"/>
    <n v="50"/>
    <n v="3"/>
    <s v="0.14"/>
    <s v="0.00"/>
    <s v="99.86"/>
  </r>
  <r>
    <x v="19"/>
    <x v="99"/>
    <n v="1005130"/>
    <n v="16871"/>
    <n v="521871"/>
    <s v="1.68"/>
    <s v="0.00"/>
    <s v="98.32"/>
  </r>
  <r>
    <x v="19"/>
    <x v="98"/>
    <n v="412506"/>
    <n v="2460"/>
    <n v="402940"/>
    <s v="0.60"/>
    <s v="0.00"/>
    <s v="99.40"/>
  </r>
  <r>
    <x v="19"/>
    <x v="97"/>
    <n v="351899"/>
    <n v="2766"/>
    <n v="209986"/>
    <s v="0.79"/>
    <s v="0.00"/>
    <s v="99.21"/>
  </r>
  <r>
    <x v="19"/>
    <x v="96"/>
    <n v="2623"/>
    <n v="21"/>
    <n v="469"/>
    <s v="0.80"/>
    <s v="0.00"/>
    <s v="99.20"/>
  </r>
  <r>
    <x v="19"/>
    <x v="95"/>
    <n v="4204"/>
    <n v="147"/>
    <n v="3441"/>
    <s v="3.50"/>
    <s v="0.00"/>
    <s v="96.50"/>
  </r>
  <r>
    <x v="19"/>
    <x v="93"/>
    <n v="117644"/>
    <n v="2725"/>
    <n v="2543"/>
    <s v="2.32"/>
    <s v="0.00"/>
    <s v="97.68"/>
  </r>
  <r>
    <x v="19"/>
    <x v="94"/>
    <n v="2"/>
    <n v="0"/>
    <n v="0"/>
    <s v="0.00"/>
    <s v="0.00"/>
    <s v="100.00"/>
  </r>
  <r>
    <x v="19"/>
    <x v="92"/>
    <n v="180467"/>
    <n v="2650"/>
    <n v="8674"/>
    <s v="1.47"/>
    <s v="0.00"/>
    <s v="98.53"/>
  </r>
  <r>
    <x v="19"/>
    <x v="91"/>
    <n v="252628"/>
    <n v="5255"/>
    <n v="54892"/>
    <s v="2.08"/>
    <s v="0.00"/>
    <s v="97.92"/>
  </r>
  <r>
    <x v="19"/>
    <x v="90"/>
    <n v="1717462"/>
    <n v="18199"/>
    <n v="726208"/>
    <s v="1.06"/>
    <s v="0.00"/>
    <s v="98.94"/>
  </r>
  <r>
    <x v="19"/>
    <x v="89"/>
    <n v="849758"/>
    <n v="10941"/>
    <n v="739453"/>
    <s v="1.29"/>
    <s v="0.00"/>
    <s v="98.71"/>
  </r>
  <r>
    <x v="19"/>
    <x v="88"/>
    <n v="88159"/>
    <n v="2175"/>
    <n v="17681"/>
    <s v="2.47"/>
    <s v="0.00"/>
    <s v="97.53"/>
  </r>
  <r>
    <x v="19"/>
    <x v="87"/>
    <n v="4737462"/>
    <n v="131802"/>
    <n v="3933612"/>
    <s v="2.78"/>
    <s v="0.00"/>
    <s v="97.22"/>
  </r>
  <r>
    <x v="19"/>
    <x v="86"/>
    <n v="12899"/>
    <n v="33"/>
    <n v="4634"/>
    <s v="0.26"/>
    <s v="0.00"/>
    <s v="99.74"/>
  </r>
  <r>
    <x v="19"/>
    <x v="85"/>
    <n v="5851670"/>
    <n v="125052"/>
    <n v="3760465"/>
    <s v="2.14"/>
    <s v="0.00"/>
    <s v="97.86"/>
  </r>
  <r>
    <x v="19"/>
    <x v="84"/>
    <n v="2045027"/>
    <n v="22937"/>
    <n v="1864883"/>
    <s v="1.12"/>
    <s v="0.00"/>
    <s v="98.88"/>
  </r>
  <r>
    <x v="19"/>
    <x v="83"/>
    <n v="34175468"/>
    <n v="454269"/>
    <n v="10634943"/>
    <s v="1.33"/>
    <s v="0.00"/>
    <s v="98.67"/>
  </r>
  <r>
    <x v="19"/>
    <x v="82"/>
    <n v="1322395"/>
    <n v="8046"/>
    <n v="1222989"/>
    <s v="0.61"/>
    <s v="0.00"/>
    <s v="99.39"/>
  </r>
  <r>
    <x v="19"/>
    <x v="81"/>
    <n v="428152"/>
    <n v="5369"/>
    <n v="83866"/>
    <s v="1.25"/>
    <s v="0.00"/>
    <s v="98.75"/>
  </r>
  <r>
    <x v="19"/>
    <x v="80"/>
    <n v="4239396"/>
    <n v="143176"/>
    <n v="3339987"/>
    <s v="3.38"/>
    <s v="0.00"/>
    <s v="96.62"/>
  </r>
  <r>
    <x v="19"/>
    <x v="79"/>
    <n v="843825"/>
    <n v="30492"/>
    <n v="775898"/>
    <s v="3.61"/>
    <s v="0.00"/>
    <s v="96.39"/>
  </r>
  <r>
    <x v="19"/>
    <x v="78"/>
    <n v="23406"/>
    <n v="658"/>
    <n v="21161"/>
    <s v="2.81"/>
    <s v="0.00"/>
    <s v="97.19"/>
  </r>
  <r>
    <x v="19"/>
    <x v="77"/>
    <n v="443032"/>
    <n v="9010"/>
    <n v="222349"/>
    <s v="2.03"/>
    <s v="0.00"/>
    <s v="97.97"/>
  </r>
  <r>
    <x v="19"/>
    <x v="76"/>
    <n v="374148"/>
    <n v="10191"/>
    <n v="223430"/>
    <s v="2.72"/>
    <s v="0.00"/>
    <s v="97.28"/>
  </r>
  <r>
    <x v="19"/>
    <x v="75"/>
    <n v="12319"/>
    <n v="213"/>
    <n v="1255"/>
    <s v="1.73"/>
    <s v="0.00"/>
    <s v="98.27"/>
  </r>
  <r>
    <x v="19"/>
    <x v="74"/>
    <n v="34977"/>
    <n v="894"/>
    <n v="23112"/>
    <s v="2.56"/>
    <s v="0.00"/>
    <s v="97.44"/>
  </r>
  <r>
    <x v="19"/>
    <x v="73"/>
    <n v="6131"/>
    <n v="141"/>
    <n v="5811"/>
    <s v="2.30"/>
    <s v="0.00"/>
    <s v="97.70"/>
  </r>
  <r>
    <x v="19"/>
    <x v="72"/>
    <n v="594665"/>
    <n v="14655"/>
    <n v="177527"/>
    <s v="2.46"/>
    <s v="0.00"/>
    <s v="97.54"/>
  </r>
  <r>
    <x v="19"/>
    <x v="71"/>
    <n v="714283"/>
    <n v="15598"/>
    <n v="458251"/>
    <s v="2.18"/>
    <s v="0.00"/>
    <s v="97.82"/>
  </r>
  <r>
    <x v="19"/>
    <x v="70"/>
    <n v="13166"/>
    <n v="163"/>
    <n v="12682"/>
    <s v="1.24"/>
    <s v="0.00"/>
    <s v="98.76"/>
  </r>
  <r>
    <x v="19"/>
    <x v="69"/>
    <n v="54095"/>
    <n v="809"/>
    <n v="33404"/>
    <s v="1.50"/>
    <s v="0.00"/>
    <s v="98.50"/>
  </r>
  <r>
    <x v="19"/>
    <x v="67"/>
    <n v="9956"/>
    <n v="339"/>
    <n v="7006"/>
    <s v="3.40"/>
    <s v="0.00"/>
    <s v="96.60"/>
  </r>
  <r>
    <x v="19"/>
    <x v="68"/>
    <n v="30626"/>
    <n v="385"/>
    <n v="26418"/>
    <s v="1.26"/>
    <s v="0.00"/>
    <s v="98.74"/>
  </r>
  <r>
    <x v="19"/>
    <x v="66"/>
    <n v="5858"/>
    <n v="98"/>
    <n v="4427"/>
    <s v="1.67"/>
    <s v="0.00"/>
    <s v="98.33"/>
  </r>
  <r>
    <x v="19"/>
    <x v="65"/>
    <n v="129805"/>
    <n v="1170"/>
    <n v="40688"/>
    <s v="0.90"/>
    <s v="0.00"/>
    <s v="99.10"/>
  </r>
  <r>
    <x v="19"/>
    <x v="64"/>
    <n v="43938"/>
    <n v="298"/>
    <n v="10998"/>
    <s v="0.68"/>
    <s v="0.00"/>
    <s v="99.32"/>
  </r>
  <r>
    <x v="19"/>
    <x v="62"/>
    <n v="5815"/>
    <n v="196"/>
    <n v="498"/>
    <s v="3.37"/>
    <s v="0.00"/>
    <s v="96.63"/>
  </r>
  <r>
    <x v="19"/>
    <x v="63"/>
    <n v="688804"/>
    <n v="9699"/>
    <n v="359459"/>
    <s v="1.41"/>
    <s v="0.00"/>
    <s v="98.59"/>
  </r>
  <r>
    <x v="19"/>
    <x v="61"/>
    <n v="8770031"/>
    <n v="139780"/>
    <n v="6148155"/>
    <s v="1.59"/>
    <s v="0.00"/>
    <s v="98.41"/>
  </r>
  <r>
    <x v="19"/>
    <x v="60"/>
    <n v="34601"/>
    <n v="224"/>
    <n v="10797"/>
    <s v="0.65"/>
    <s v="0.00"/>
    <s v="99.35"/>
  </r>
  <r>
    <x v="19"/>
    <x v="59"/>
    <n v="6944649"/>
    <n v="115114"/>
    <n v="3656237"/>
    <s v="1.66"/>
    <s v="0.00"/>
    <s v="98.34"/>
  </r>
  <r>
    <x v="19"/>
    <x v="58"/>
    <n v="1537"/>
    <n v="2"/>
    <n v="86"/>
    <s v="0.13"/>
    <s v="0.00"/>
    <s v="99.87"/>
  </r>
  <r>
    <x v="19"/>
    <x v="57"/>
    <n v="51977"/>
    <n v="673"/>
    <n v="27663"/>
    <s v="1.29"/>
    <s v="0.00"/>
    <s v="98.71"/>
  </r>
  <r>
    <x v="19"/>
    <x v="56"/>
    <n v="153156"/>
    <n v="1139"/>
    <n v="40858"/>
    <s v="0.74"/>
    <s v="0.00"/>
    <s v="99.26"/>
  </r>
  <r>
    <x v="19"/>
    <x v="55"/>
    <n v="362088"/>
    <n v="6347"/>
    <n v="260705"/>
    <s v="1.75"/>
    <s v="0.00"/>
    <s v="98.25"/>
  </r>
  <r>
    <x v="19"/>
    <x v="54"/>
    <n v="4997732"/>
    <n v="87132"/>
    <n v="431070"/>
    <s v="1.74"/>
    <s v="0.00"/>
    <s v="98.26"/>
  </r>
  <r>
    <x v="19"/>
    <x v="53"/>
    <n v="6789"/>
    <n v="45"/>
    <n v="4944"/>
    <s v="0.66"/>
    <s v="0.00"/>
    <s v="99.34"/>
  </r>
  <r>
    <x v="19"/>
    <x v="52"/>
    <n v="323733"/>
    <n v="18242"/>
    <n v="280781"/>
    <s v="5.63"/>
    <s v="0.00"/>
    <s v="94.37"/>
  </r>
  <r>
    <x v="19"/>
    <x v="51"/>
    <n v="180252"/>
    <n v="1454"/>
    <n v="157"/>
    <s v="0.81"/>
    <s v="0.00"/>
    <s v="99.19"/>
  </r>
  <r>
    <x v="19"/>
    <x v="50"/>
    <n v="514087"/>
    <n v="32937"/>
    <n v="19432"/>
    <s v="6.41"/>
    <s v="0.00"/>
    <s v="93.59"/>
  </r>
  <r>
    <x v="19"/>
    <x v="49"/>
    <n v="205750"/>
    <n v="5886"/>
    <n v="18786"/>
    <s v="2.86"/>
    <s v="0.00"/>
    <s v="97.14"/>
  </r>
  <r>
    <x v="19"/>
    <x v="48"/>
    <n v="375545"/>
    <n v="4106"/>
    <n v="129143"/>
    <s v="1.09"/>
    <s v="0.00"/>
    <s v="98.91"/>
  </r>
  <r>
    <x v="19"/>
    <x v="47"/>
    <n v="4508"/>
    <n v="30"/>
    <n v="828"/>
    <s v="0.67"/>
    <s v="0.00"/>
    <s v="99.33"/>
  </r>
  <r>
    <x v="19"/>
    <x v="46"/>
    <n v="375796"/>
    <n v="2697"/>
    <n v="35786"/>
    <s v="0.72"/>
    <s v="0.00"/>
    <s v="99.28"/>
  </r>
  <r>
    <x v="19"/>
    <x v="45"/>
    <n v="13444"/>
    <n v="181"/>
    <n v="2067"/>
    <s v="1.35"/>
    <s v="0.00"/>
    <s v="98.65"/>
  </r>
  <r>
    <x v="19"/>
    <x v="44"/>
    <n v="4476187"/>
    <n v="95105"/>
    <n v="3066938"/>
    <s v="2.12"/>
    <s v="0.00"/>
    <s v="97.88"/>
  </r>
  <r>
    <x v="19"/>
    <x v="43"/>
    <n v="1726690"/>
    <n v="30608"/>
    <n v="1397324"/>
    <s v="1.77"/>
    <s v="0.00"/>
    <s v="98.23"/>
  </r>
  <r>
    <x v="19"/>
    <x v="42"/>
    <n v="122996"/>
    <n v="569"/>
    <n v="63119"/>
    <s v="0.46"/>
    <s v="0.00"/>
    <s v="99.54"/>
  </r>
  <r>
    <x v="19"/>
    <x v="41"/>
    <n v="38130"/>
    <n v="349"/>
    <n v="26894"/>
    <s v="0.92"/>
    <s v="0.00"/>
    <s v="99.08"/>
  </r>
  <r>
    <x v="19"/>
    <x v="40"/>
    <n v="944431"/>
    <n v="8167"/>
    <n v="363507"/>
    <s v="0.86"/>
    <s v="0.00"/>
    <s v="99.14"/>
  </r>
  <r>
    <x v="19"/>
    <x v="39"/>
    <n v="555970"/>
    <n v="6946"/>
    <n v="146423"/>
    <s v="1.25"/>
    <s v="0.00"/>
    <s v="98.75"/>
  </r>
  <r>
    <x v="19"/>
    <x v="38"/>
    <n v="4989681"/>
    <n v="127032"/>
    <n v="3317025"/>
    <s v="2.55"/>
    <s v="0.00"/>
    <s v="97.45"/>
  </r>
  <r>
    <x v="19"/>
    <x v="37"/>
    <n v="96759"/>
    <n v="4636"/>
    <n v="91040"/>
    <s v="4.79"/>
    <s v="0.00"/>
    <s v="95.21"/>
  </r>
  <r>
    <x v="19"/>
    <x v="36"/>
    <n v="100289"/>
    <n v="1600"/>
    <n v="53435"/>
    <s v="1.60"/>
    <s v="0.00"/>
    <s v="98.40"/>
  </r>
  <r>
    <x v="19"/>
    <x v="35"/>
    <n v="1680017"/>
    <n v="37662"/>
    <n v="574560"/>
    <s v="2.24"/>
    <s v="0.00"/>
    <s v="97.76"/>
  </r>
  <r>
    <x v="19"/>
    <x v="34"/>
    <n v="61178"/>
    <n v="690"/>
    <n v="8730"/>
    <s v="1.13"/>
    <s v="0.00"/>
    <s v="98.87"/>
  </r>
  <r>
    <x v="19"/>
    <x v="33"/>
    <n v="862411"/>
    <n v="11181"/>
    <n v="701346"/>
    <s v="1.30"/>
    <s v="0.00"/>
    <s v="98.70"/>
  </r>
  <r>
    <x v="19"/>
    <x v="32"/>
    <n v="16408"/>
    <n v="239"/>
    <n v="2372"/>
    <s v="1.46"/>
    <s v="0.00"/>
    <s v="98.54"/>
  </r>
  <r>
    <x v="19"/>
    <x v="31"/>
    <n v="11518"/>
    <n v="100"/>
    <n v="335"/>
    <s v="0.87"/>
    <s v="0.00"/>
    <s v="99.13"/>
  </r>
  <r>
    <x v="19"/>
    <x v="30"/>
    <n v="57432"/>
    <n v="1091"/>
    <n v="402"/>
    <s v="1.90"/>
    <s v="0.00"/>
    <s v="98.10"/>
  </r>
  <r>
    <x v="19"/>
    <x v="29"/>
    <n v="1705750"/>
    <n v="28797"/>
    <n v="205602"/>
    <s v="1.69"/>
    <s v="0.00"/>
    <s v="98.31"/>
  </r>
  <r>
    <x v="19"/>
    <x v="28"/>
    <n v="25445"/>
    <n v="473"/>
    <n v="7924"/>
    <s v="1.86"/>
    <s v="0.00"/>
    <s v="98.14"/>
  </r>
  <r>
    <x v="19"/>
    <x v="27"/>
    <n v="584190"/>
    <n v="4499"/>
    <n v="227332"/>
    <s v="0.77"/>
    <s v="0.00"/>
    <s v="99.23"/>
  </r>
  <r>
    <x v="19"/>
    <x v="26"/>
    <n v="184919"/>
    <n v="2396"/>
    <n v="108751"/>
    <s v="1.30"/>
    <s v="0.00"/>
    <s v="98.70"/>
  </r>
  <r>
    <x v="19"/>
    <x v="25"/>
    <n v="2617"/>
    <n v="3"/>
    <n v="785"/>
    <s v="0.11"/>
    <s v="0.00"/>
    <s v="99.89"/>
  </r>
  <r>
    <x v="19"/>
    <x v="24"/>
    <n v="22179"/>
    <n v="642"/>
    <n v="11751"/>
    <s v="2.89"/>
    <s v="0.00"/>
    <s v="97.11"/>
  </r>
  <r>
    <x v="19"/>
    <x v="23"/>
    <n v="21723559"/>
    <n v="605457"/>
    <n v="19901012"/>
    <s v="2.79"/>
    <s v="0.00"/>
    <s v="97.21"/>
  </r>
  <r>
    <x v="19"/>
    <x v="22"/>
    <n v="509709"/>
    <n v="18898"/>
    <n v="409741"/>
    <s v="3.71"/>
    <s v="0.00"/>
    <s v="96.29"/>
  </r>
  <r>
    <x v="19"/>
    <x v="21"/>
    <n v="11901"/>
    <n v="80"/>
    <n v="10263"/>
    <s v="0.67"/>
    <s v="0.00"/>
    <s v="99.33"/>
  </r>
  <r>
    <x v="19"/>
    <x v="20"/>
    <n v="1659"/>
    <n v="6"/>
    <n v="1458"/>
    <s v="0.36"/>
    <s v="0.00"/>
    <s v="99.64"/>
  </r>
  <r>
    <x v="19"/>
    <x v="19"/>
    <n v="24560"/>
    <n v="161"/>
    <n v="11455"/>
    <s v="0.66"/>
    <s v="0.00"/>
    <s v="99.34"/>
  </r>
  <r>
    <x v="19"/>
    <x v="18"/>
    <n v="19894"/>
    <n v="38"/>
    <n v="6124"/>
    <s v="0.19"/>
    <s v="0.00"/>
    <s v="99.81"/>
  </r>
  <r>
    <x v="19"/>
    <x v="17"/>
    <n v="276526"/>
    <n v="1393"/>
    <n v="252285"/>
    <s v="0.50"/>
    <s v="0.00"/>
    <s v="99.50"/>
  </r>
  <r>
    <x v="19"/>
    <x v="16"/>
    <n v="568073"/>
    <n v="23033"/>
    <n v="167511"/>
    <s v="4.05"/>
    <s v="0.00"/>
    <s v="95.95"/>
  </r>
  <r>
    <x v="19"/>
    <x v="15"/>
    <n v="14793"/>
    <n v="214"/>
    <n v="8160"/>
    <s v="1.45"/>
    <s v="0.00"/>
    <s v="98.55"/>
  </r>
  <r>
    <x v="19"/>
    <x v="14"/>
    <n v="1312360"/>
    <n v="25846"/>
    <n v="928548"/>
    <s v="1.97"/>
    <s v="0.00"/>
    <s v="98.03"/>
  </r>
  <r>
    <x v="19"/>
    <x v="13"/>
    <n v="1567417"/>
    <n v="27814"/>
    <n v="1269042"/>
    <s v="1.77"/>
    <s v="0.00"/>
    <s v="98.23"/>
  </r>
  <r>
    <x v="19"/>
    <x v="12"/>
    <n v="15050"/>
    <n v="128"/>
    <n v="3175"/>
    <s v="0.85"/>
    <s v="0.00"/>
    <s v="99.15"/>
  </r>
  <r>
    <x v="19"/>
    <x v="11"/>
    <n v="247958"/>
    <n v="11322"/>
    <n v="50808"/>
    <s v="4.57"/>
    <s v="0.00"/>
    <s v="95.43"/>
  </r>
  <r>
    <x v="19"/>
    <x v="10"/>
    <n v="514289"/>
    <n v="6869"/>
    <n v="36460"/>
    <s v="1.34"/>
    <s v="0.00"/>
    <s v="98.66"/>
  </r>
  <r>
    <x v="19"/>
    <x v="9"/>
    <n v="158546"/>
    <n v="1637"/>
    <n v="14360"/>
    <s v="1.03"/>
    <s v="0.00"/>
    <s v="98.97"/>
  </r>
  <r>
    <x v="19"/>
    <x v="8"/>
    <n v="794982"/>
    <n v="11245"/>
    <n v="687539"/>
    <s v="1.41"/>
    <s v="0.00"/>
    <s v="98.59"/>
  </r>
  <r>
    <x v="19"/>
    <x v="7"/>
    <n v="5279818"/>
    <n v="115823"/>
    <n v="1887273"/>
    <s v="2.19"/>
    <s v="0.00"/>
    <s v="97.81"/>
  </r>
  <r>
    <x v="19"/>
    <x v="6"/>
    <n v="63775"/>
    <n v="1695"/>
    <n v="51516"/>
    <s v="2.66"/>
    <s v="0.00"/>
    <s v="97.34"/>
  </r>
  <r>
    <x v="19"/>
    <x v="5"/>
    <n v="293014"/>
    <n v="5975"/>
    <n v="272615"/>
    <s v="2.04"/>
    <s v="0.00"/>
    <s v="97.96"/>
  </r>
  <r>
    <x v="19"/>
    <x v="4"/>
    <n v="181252"/>
    <n v="2870"/>
    <n v="27633"/>
    <s v="1.58"/>
    <s v="0.00"/>
    <s v="98.42"/>
  </r>
  <r>
    <x v="19"/>
    <x v="3"/>
    <n v="4019"/>
    <n v="99"/>
    <n v="682"/>
    <s v="2.46"/>
    <s v="0.00"/>
    <s v="97.54"/>
  </r>
  <r>
    <x v="19"/>
    <x v="2"/>
    <n v="155940"/>
    <n v="7253"/>
    <n v="107254"/>
    <s v="4.65"/>
    <s v="0.00"/>
    <s v="95.35"/>
  </r>
  <r>
    <x v="19"/>
    <x v="1"/>
    <n v="739190"/>
    <n v="2129"/>
    <n v="731440"/>
    <s v="0.29"/>
    <s v="0.00"/>
    <s v="99.71"/>
  </r>
  <r>
    <x v="19"/>
    <x v="0"/>
    <n v="15404"/>
    <n v="130"/>
    <n v="6878"/>
    <s v="0.84"/>
    <s v="0.00"/>
    <s v="99.16"/>
  </r>
  <r>
    <x v="20"/>
    <x v="0"/>
    <n v="15404"/>
    <n v="130"/>
    <n v="7330"/>
    <s v="0.84"/>
    <s v="0.00"/>
    <s v="99.16"/>
  </r>
  <r>
    <x v="20"/>
    <x v="1"/>
    <n v="739106"/>
    <n v="2128"/>
    <n v="82412"/>
    <s v="0.29"/>
    <s v="0.00"/>
    <s v="99.71"/>
  </r>
  <r>
    <x v="20"/>
    <x v="2"/>
    <n v="155931"/>
    <n v="7252"/>
    <n v="127906"/>
    <s v="4.65"/>
    <s v="0.00"/>
    <s v="95.35"/>
  </r>
  <r>
    <x v="20"/>
    <x v="3"/>
    <n v="3994"/>
    <n v="97"/>
    <n v="238"/>
    <s v="2.43"/>
    <s v="0.00"/>
    <s v="97.57"/>
  </r>
  <r>
    <x v="20"/>
    <x v="4"/>
    <n v="180623"/>
    <n v="2863"/>
    <n v="39086"/>
    <s v="1.59"/>
    <s v="0.00"/>
    <s v="98.41"/>
  </r>
  <r>
    <x v="20"/>
    <x v="5"/>
    <n v="291052"/>
    <n v="5944"/>
    <n v="77826"/>
    <s v="2.04"/>
    <s v="0.00"/>
    <s v="97.96"/>
  </r>
  <r>
    <x v="20"/>
    <x v="6"/>
    <n v="63691"/>
    <n v="1693"/>
    <n v="5878"/>
    <s v="2.66"/>
    <s v="0.00"/>
    <s v="97.34"/>
  </r>
  <r>
    <x v="20"/>
    <x v="7"/>
    <n v="5278910"/>
    <n v="115819"/>
    <n v="4034148"/>
    <s v="2.19"/>
    <s v="0.00"/>
    <s v="97.81"/>
  </r>
  <r>
    <x v="20"/>
    <x v="8"/>
    <n v="791226"/>
    <n v="11233"/>
    <n v="229467"/>
    <s v="1.42"/>
    <s v="0.00"/>
    <s v="98.58"/>
  </r>
  <r>
    <x v="20"/>
    <x v="9"/>
    <n v="156372"/>
    <n v="1622"/>
    <n v="108580"/>
    <s v="1.04"/>
    <s v="0.00"/>
    <s v="98.96"/>
  </r>
  <r>
    <x v="20"/>
    <x v="10"/>
    <n v="511974"/>
    <n v="6847"/>
    <n v="363238"/>
    <s v="1.34"/>
    <s v="0.00"/>
    <s v="98.66"/>
  </r>
  <r>
    <x v="20"/>
    <x v="11"/>
    <n v="247958"/>
    <n v="11322"/>
    <n v="13099"/>
    <s v="4.57"/>
    <s v="0.00"/>
    <s v="95.43"/>
  </r>
  <r>
    <x v="20"/>
    <x v="12"/>
    <n v="14753"/>
    <n v="126"/>
    <n v="3109"/>
    <s v="0.85"/>
    <s v="0.00"/>
    <s v="99.15"/>
  </r>
  <r>
    <x v="20"/>
    <x v="13"/>
    <n v="1567139"/>
    <n v="27805"/>
    <n v="1052368"/>
    <s v="1.77"/>
    <s v="0.00"/>
    <s v="98.23"/>
  </r>
  <r>
    <x v="20"/>
    <x v="14"/>
    <n v="1312360"/>
    <n v="25846"/>
    <n v="736733"/>
    <s v="1.97"/>
    <s v="0.00"/>
    <s v="98.03"/>
  </r>
  <r>
    <x v="20"/>
    <x v="15"/>
    <n v="14793"/>
    <n v="214"/>
    <n v="6966"/>
    <s v="1.45"/>
    <s v="0.00"/>
    <s v="98.55"/>
  </r>
  <r>
    <x v="20"/>
    <x v="16"/>
    <n v="564719"/>
    <n v="22975"/>
    <n v="171673"/>
    <s v="4.07"/>
    <s v="0.00"/>
    <s v="95.93"/>
  </r>
  <r>
    <x v="20"/>
    <x v="17"/>
    <n v="276461"/>
    <n v="1393"/>
    <n v="258516"/>
    <s v="0.50"/>
    <s v="0.00"/>
    <s v="99.50"/>
  </r>
  <r>
    <x v="20"/>
    <x v="18"/>
    <n v="19894"/>
    <n v="38"/>
    <n v="6970"/>
    <s v="0.19"/>
    <s v="0.00"/>
    <s v="99.81"/>
  </r>
  <r>
    <x v="20"/>
    <x v="19"/>
    <n v="24560"/>
    <n v="161"/>
    <n v="23476"/>
    <s v="0.66"/>
    <s v="0.00"/>
    <s v="99.34"/>
  </r>
  <r>
    <x v="20"/>
    <x v="20"/>
    <n v="1659"/>
    <n v="6"/>
    <n v="250"/>
    <s v="0.36"/>
    <s v="0.00"/>
    <s v="99.64"/>
  </r>
  <r>
    <x v="20"/>
    <x v="21"/>
    <n v="11672"/>
    <n v="79"/>
    <n v="1830"/>
    <s v="0.68"/>
    <s v="0.00"/>
    <s v="99.32"/>
  </r>
  <r>
    <x v="20"/>
    <x v="22"/>
    <n v="509276"/>
    <n v="18896"/>
    <n v="280134"/>
    <s v="3.71"/>
    <s v="0.00"/>
    <s v="96.29"/>
  </r>
  <r>
    <x v="20"/>
    <x v="23"/>
    <n v="21711843"/>
    <n v="605139"/>
    <n v="18656260"/>
    <s v="2.79"/>
    <s v="0.00"/>
    <s v="97.21"/>
  </r>
  <r>
    <x v="20"/>
    <x v="24"/>
    <n v="22179"/>
    <n v="642"/>
    <n v="10219"/>
    <s v="2.89"/>
    <s v="0.00"/>
    <s v="97.11"/>
  </r>
  <r>
    <x v="20"/>
    <x v="25"/>
    <n v="2617"/>
    <n v="3"/>
    <n v="812"/>
    <s v="0.11"/>
    <s v="0.00"/>
    <s v="99.89"/>
  </r>
  <r>
    <x v="20"/>
    <x v="26"/>
    <n v="184919"/>
    <n v="2396"/>
    <n v="40409"/>
    <s v="1.30"/>
    <s v="0.00"/>
    <s v="98.70"/>
  </r>
  <r>
    <x v="20"/>
    <x v="27"/>
    <n v="582111"/>
    <n v="4482"/>
    <n v="342418"/>
    <s v="0.77"/>
    <s v="0.00"/>
    <s v="99.23"/>
  </r>
  <r>
    <x v="20"/>
    <x v="28"/>
    <n v="25445"/>
    <n v="473"/>
    <n v="7189"/>
    <s v="1.86"/>
    <s v="0.00"/>
    <s v="98.14"/>
  </r>
  <r>
    <x v="20"/>
    <x v="29"/>
    <n v="1704019"/>
    <n v="28782"/>
    <n v="636937"/>
    <s v="1.69"/>
    <s v="0.00"/>
    <s v="98.31"/>
  </r>
  <r>
    <x v="20"/>
    <x v="30"/>
    <n v="57432"/>
    <n v="1091"/>
    <n v="42762"/>
    <s v="1.90"/>
    <s v="0.00"/>
    <s v="98.10"/>
  </r>
  <r>
    <x v="20"/>
    <x v="31"/>
    <n v="11518"/>
    <n v="100"/>
    <n v="3945"/>
    <s v="0.87"/>
    <s v="0.00"/>
    <s v="99.13"/>
  </r>
  <r>
    <x v="20"/>
    <x v="32"/>
    <n v="16408"/>
    <n v="239"/>
    <n v="12674"/>
    <s v="1.46"/>
    <s v="0.00"/>
    <s v="98.54"/>
  </r>
  <r>
    <x v="20"/>
    <x v="33"/>
    <n v="862411"/>
    <n v="11182"/>
    <n v="511775"/>
    <s v="1.30"/>
    <s v="0.00"/>
    <s v="98.70"/>
  </r>
  <r>
    <x v="20"/>
    <x v="34"/>
    <n v="61152"/>
    <n v="689"/>
    <n v="56556"/>
    <s v="1.13"/>
    <s v="0.00"/>
    <s v="98.87"/>
  </r>
  <r>
    <x v="20"/>
    <x v="35"/>
    <n v="1678023"/>
    <n v="37651"/>
    <n v="1046623"/>
    <s v="2.24"/>
    <s v="0.00"/>
    <s v="97.76"/>
  </r>
  <r>
    <x v="20"/>
    <x v="36"/>
    <n v="100289"/>
    <n v="1600"/>
    <n v="14938"/>
    <s v="1.60"/>
    <s v="0.00"/>
    <s v="98.40"/>
  </r>
  <r>
    <x v="20"/>
    <x v="37"/>
    <n v="96715"/>
    <n v="4636"/>
    <n v="36168"/>
    <s v="4.79"/>
    <s v="0.00"/>
    <s v="95.21"/>
  </r>
  <r>
    <x v="20"/>
    <x v="38"/>
    <n v="4988021"/>
    <n v="126994"/>
    <n v="3420545"/>
    <s v="2.55"/>
    <s v="0.00"/>
    <s v="97.45"/>
  </r>
  <r>
    <x v="20"/>
    <x v="39"/>
    <n v="555970"/>
    <n v="6946"/>
    <n v="393250"/>
    <s v="1.25"/>
    <s v="0.00"/>
    <s v="98.75"/>
  </r>
  <r>
    <x v="20"/>
    <x v="40"/>
    <n v="943038"/>
    <n v="8153"/>
    <n v="622043"/>
    <s v="0.86"/>
    <s v="0.00"/>
    <s v="99.14"/>
  </r>
  <r>
    <x v="20"/>
    <x v="41"/>
    <n v="38098"/>
    <n v="347"/>
    <n v="3503"/>
    <s v="0.91"/>
    <s v="0.00"/>
    <s v="99.09"/>
  </r>
  <r>
    <x v="20"/>
    <x v="42"/>
    <n v="122996"/>
    <n v="568"/>
    <n v="110322"/>
    <s v="0.46"/>
    <s v="0.00"/>
    <s v="99.54"/>
  </r>
  <r>
    <x v="20"/>
    <x v="43"/>
    <n v="1722446"/>
    <n v="30593"/>
    <n v="53273"/>
    <s v="1.78"/>
    <s v="0.00"/>
    <s v="98.22"/>
  </r>
  <r>
    <x v="20"/>
    <x v="44"/>
    <n v="4462324"/>
    <n v="95081"/>
    <n v="4091856"/>
    <s v="2.13"/>
    <s v="0.00"/>
    <s v="97.87"/>
  </r>
  <r>
    <x v="20"/>
    <x v="45"/>
    <n v="13436"/>
    <n v="181"/>
    <n v="10360"/>
    <s v="1.35"/>
    <s v="0.00"/>
    <s v="98.65"/>
  </r>
  <r>
    <x v="20"/>
    <x v="46"/>
    <n v="374534"/>
    <n v="2696"/>
    <n v="217446"/>
    <s v="0.72"/>
    <s v="0.00"/>
    <s v="99.28"/>
  </r>
  <r>
    <x v="20"/>
    <x v="47"/>
    <n v="4508"/>
    <n v="30"/>
    <n v="3352"/>
    <s v="0.67"/>
    <s v="0.00"/>
    <s v="99.33"/>
  </r>
  <r>
    <x v="20"/>
    <x v="48"/>
    <n v="374722"/>
    <n v="4100"/>
    <n v="370616"/>
    <s v="1.09"/>
    <s v="0.00"/>
    <s v="98.91"/>
  </r>
  <r>
    <x v="20"/>
    <x v="49"/>
    <n v="205683"/>
    <n v="5883"/>
    <n v="41808"/>
    <s v="2.86"/>
    <s v="0.00"/>
    <s v="97.14"/>
  </r>
  <r>
    <x v="20"/>
    <x v="50"/>
    <n v="514087"/>
    <n v="32937"/>
    <n v="234101"/>
    <s v="6.41"/>
    <s v="0.00"/>
    <s v="93.59"/>
  </r>
  <r>
    <x v="20"/>
    <x v="51"/>
    <n v="178610"/>
    <n v="1449"/>
    <n v="58025"/>
    <s v="0.81"/>
    <s v="0.00"/>
    <s v="99.19"/>
  </r>
  <r>
    <x v="20"/>
    <x v="52"/>
    <n v="322852"/>
    <n v="18195"/>
    <n v="192286"/>
    <s v="5.64"/>
    <s v="0.00"/>
    <s v="94.36"/>
  </r>
  <r>
    <x v="20"/>
    <x v="53"/>
    <n v="6788"/>
    <n v="45"/>
    <n v="2665"/>
    <s v="0.66"/>
    <s v="0.00"/>
    <s v="99.34"/>
  </r>
  <r>
    <x v="20"/>
    <x v="54"/>
    <n v="4997732"/>
    <n v="87132"/>
    <n v="4012925"/>
    <s v="1.74"/>
    <s v="0.00"/>
    <s v="98.26"/>
  </r>
  <r>
    <x v="20"/>
    <x v="55"/>
    <n v="361647"/>
    <n v="6333"/>
    <n v="290781"/>
    <s v="1.75"/>
    <s v="0.00"/>
    <s v="98.25"/>
  </r>
  <r>
    <x v="20"/>
    <x v="56"/>
    <n v="153156"/>
    <n v="1139"/>
    <n v="44854"/>
    <s v="0.74"/>
    <s v="0.00"/>
    <s v="99.26"/>
  </r>
  <r>
    <x v="20"/>
    <x v="57"/>
    <n v="51977"/>
    <n v="673"/>
    <n v="29653"/>
    <s v="1.29"/>
    <s v="0.00"/>
    <s v="98.71"/>
  </r>
  <r>
    <x v="20"/>
    <x v="58"/>
    <n v="1448"/>
    <n v="2"/>
    <n v="301"/>
    <s v="0.14"/>
    <s v="0.00"/>
    <s v="99.86"/>
  </r>
  <r>
    <x v="20"/>
    <x v="59"/>
    <n v="6938358"/>
    <n v="115091"/>
    <n v="2527602"/>
    <s v="1.66"/>
    <s v="0.00"/>
    <s v="98.34"/>
  </r>
  <r>
    <x v="20"/>
    <x v="60"/>
    <n v="34601"/>
    <n v="224"/>
    <n v="24584"/>
    <s v="0.65"/>
    <s v="0.00"/>
    <s v="99.35"/>
  </r>
  <r>
    <x v="20"/>
    <x v="61"/>
    <n v="8724945"/>
    <n v="139645"/>
    <n v="3165324"/>
    <s v="1.60"/>
    <s v="0.00"/>
    <s v="98.40"/>
  </r>
  <r>
    <x v="20"/>
    <x v="63"/>
    <n v="684337"/>
    <n v="9657"/>
    <n v="577194"/>
    <s v="1.41"/>
    <s v="0.00"/>
    <s v="98.59"/>
  </r>
  <r>
    <x v="20"/>
    <x v="62"/>
    <n v="5809"/>
    <n v="196"/>
    <n v="2641"/>
    <s v="3.37"/>
    <s v="0.00"/>
    <s v="96.63"/>
  </r>
  <r>
    <x v="20"/>
    <x v="64"/>
    <n v="43938"/>
    <n v="298"/>
    <n v="20059"/>
    <s v="0.68"/>
    <s v="0.00"/>
    <s v="99.32"/>
  </r>
  <r>
    <x v="20"/>
    <x v="65"/>
    <n v="129592"/>
    <n v="1169"/>
    <n v="97357"/>
    <s v="0.90"/>
    <s v="0.00"/>
    <s v="99.10"/>
  </r>
  <r>
    <x v="20"/>
    <x v="66"/>
    <n v="5842"/>
    <n v="98"/>
    <n v="3677"/>
    <s v="1.68"/>
    <s v="0.00"/>
    <s v="98.32"/>
  </r>
  <r>
    <x v="20"/>
    <x v="68"/>
    <n v="30626"/>
    <n v="385"/>
    <n v="7305"/>
    <s v="1.26"/>
    <s v="0.00"/>
    <s v="98.74"/>
  </r>
  <r>
    <x v="20"/>
    <x v="67"/>
    <n v="9956"/>
    <n v="339"/>
    <n v="6964"/>
    <s v="3.40"/>
    <s v="0.00"/>
    <s v="96.60"/>
  </r>
  <r>
    <x v="20"/>
    <x v="69"/>
    <n v="54095"/>
    <n v="809"/>
    <n v="34567"/>
    <s v="1.50"/>
    <s v="0.00"/>
    <s v="98.50"/>
  </r>
  <r>
    <x v="20"/>
    <x v="70"/>
    <n v="13097"/>
    <n v="163"/>
    <n v="1057"/>
    <s v="1.24"/>
    <s v="0.00"/>
    <s v="98.76"/>
  </r>
  <r>
    <x v="20"/>
    <x v="71"/>
    <n v="711128"/>
    <n v="15555"/>
    <n v="458767"/>
    <s v="2.19"/>
    <s v="0.00"/>
    <s v="97.81"/>
  </r>
  <r>
    <x v="20"/>
    <x v="72"/>
    <n v="593459"/>
    <n v="14615"/>
    <n v="61260"/>
    <s v="2.46"/>
    <s v="0.00"/>
    <s v="97.54"/>
  </r>
  <r>
    <x v="20"/>
    <x v="73"/>
    <n v="6131"/>
    <n v="141"/>
    <n v="3595"/>
    <s v="2.30"/>
    <s v="0.00"/>
    <s v="97.70"/>
  </r>
  <r>
    <x v="20"/>
    <x v="74"/>
    <n v="34877"/>
    <n v="893"/>
    <n v="12518"/>
    <s v="2.56"/>
    <s v="0.00"/>
    <s v="97.44"/>
  </r>
  <r>
    <x v="20"/>
    <x v="75"/>
    <n v="12313"/>
    <n v="213"/>
    <n v="7872"/>
    <s v="1.73"/>
    <s v="0.00"/>
    <s v="98.27"/>
  </r>
  <r>
    <x v="20"/>
    <x v="76"/>
    <n v="373838"/>
    <n v="10182"/>
    <n v="294110"/>
    <s v="2.72"/>
    <s v="0.00"/>
    <s v="97.28"/>
  </r>
  <r>
    <x v="20"/>
    <x v="77"/>
    <n v="439447"/>
    <n v="8985"/>
    <n v="251878"/>
    <s v="2.04"/>
    <s v="0.00"/>
    <s v="97.96"/>
  </r>
  <r>
    <x v="20"/>
    <x v="78"/>
    <n v="23406"/>
    <n v="658"/>
    <n v="10387"/>
    <s v="2.81"/>
    <s v="0.00"/>
    <s v="97.19"/>
  </r>
  <r>
    <x v="20"/>
    <x v="79"/>
    <n v="843825"/>
    <n v="30492"/>
    <n v="492896"/>
    <s v="3.61"/>
    <s v="0.00"/>
    <s v="96.39"/>
  </r>
  <r>
    <x v="20"/>
    <x v="80"/>
    <n v="4238594"/>
    <n v="143153"/>
    <n v="2912405"/>
    <s v="3.38"/>
    <s v="0.00"/>
    <s v="96.62"/>
  </r>
  <r>
    <x v="20"/>
    <x v="81"/>
    <n v="425725"/>
    <n v="5369"/>
    <n v="94767"/>
    <s v="1.26"/>
    <s v="0.00"/>
    <s v="98.74"/>
  </r>
  <r>
    <x v="20"/>
    <x v="82"/>
    <n v="1321894"/>
    <n v="8039"/>
    <n v="1127794"/>
    <s v="0.61"/>
    <s v="0.00"/>
    <s v="99.39"/>
  </r>
  <r>
    <x v="20"/>
    <x v="83"/>
    <n v="34159562"/>
    <n v="453708"/>
    <n v="3501034"/>
    <s v="1.33"/>
    <s v="0.00"/>
    <s v="98.67"/>
  </r>
  <r>
    <x v="20"/>
    <x v="84"/>
    <n v="2043963"/>
    <n v="22901"/>
    <n v="708962"/>
    <s v="1.12"/>
    <s v="0.00"/>
    <s v="98.88"/>
  </r>
  <r>
    <x v="20"/>
    <x v="85"/>
    <n v="5844589"/>
    <n v="124928"/>
    <n v="5711669"/>
    <s v="2.14"/>
    <s v="0.00"/>
    <s v="97.86"/>
  </r>
  <r>
    <x v="20"/>
    <x v="86"/>
    <n v="12899"/>
    <n v="33"/>
    <n v="10400"/>
    <s v="0.26"/>
    <s v="0.00"/>
    <s v="99.74"/>
  </r>
  <r>
    <x v="20"/>
    <x v="87"/>
    <n v="4733557"/>
    <n v="131763"/>
    <n v="2743667"/>
    <s v="2.78"/>
    <s v="0.00"/>
    <s v="97.22"/>
  </r>
  <r>
    <x v="20"/>
    <x v="88"/>
    <n v="87970"/>
    <n v="2153"/>
    <n v="16314"/>
    <s v="2.45"/>
    <s v="0.00"/>
    <s v="97.55"/>
  </r>
  <r>
    <x v="20"/>
    <x v="89"/>
    <n v="849000"/>
    <n v="10930"/>
    <n v="71196"/>
    <s v="1.29"/>
    <s v="0.00"/>
    <s v="98.71"/>
  </r>
  <r>
    <x v="20"/>
    <x v="90"/>
    <n v="1717177"/>
    <n v="18194"/>
    <n v="480837"/>
    <s v="1.06"/>
    <s v="0.00"/>
    <s v="98.94"/>
  </r>
  <r>
    <x v="20"/>
    <x v="91"/>
    <n v="252499"/>
    <n v="5249"/>
    <n v="45841"/>
    <s v="2.08"/>
    <s v="0.00"/>
    <s v="97.92"/>
  </r>
  <r>
    <x v="20"/>
    <x v="92"/>
    <n v="180348"/>
    <n v="2647"/>
    <n v="64255"/>
    <s v="1.47"/>
    <s v="0.00"/>
    <s v="98.53"/>
  </r>
  <r>
    <x v="20"/>
    <x v="94"/>
    <n v="2"/>
    <n v="0"/>
    <n v="1"/>
    <s v="0.00"/>
    <s v="0.00"/>
    <s v="100.00"/>
  </r>
  <r>
    <x v="20"/>
    <x v="93"/>
    <n v="117500"/>
    <n v="2715"/>
    <n v="67967"/>
    <s v="2.31"/>
    <s v="0.00"/>
    <s v="97.69"/>
  </r>
  <r>
    <x v="20"/>
    <x v="95"/>
    <n v="4200"/>
    <n v="147"/>
    <n v="3067"/>
    <s v="3.50"/>
    <s v="0.00"/>
    <s v="96.50"/>
  </r>
  <r>
    <x v="20"/>
    <x v="96"/>
    <n v="2619"/>
    <n v="21"/>
    <n v="787"/>
    <s v="0.80"/>
    <s v="0.00"/>
    <s v="99.20"/>
  </r>
  <r>
    <x v="20"/>
    <x v="97"/>
    <n v="350476"/>
    <n v="2745"/>
    <n v="341283"/>
    <s v="0.78"/>
    <s v="0.00"/>
    <s v="99.22"/>
  </r>
  <r>
    <x v="20"/>
    <x v="98"/>
    <n v="412481"/>
    <n v="2460"/>
    <n v="283998"/>
    <s v="0.60"/>
    <s v="0.00"/>
    <s v="99.40"/>
  </r>
  <r>
    <x v="20"/>
    <x v="99"/>
    <n v="1005130"/>
    <n v="16871"/>
    <n v="560474"/>
    <s v="1.68"/>
    <s v="0.00"/>
    <s v="98.32"/>
  </r>
  <r>
    <x v="20"/>
    <x v="100"/>
    <n v="34518"/>
    <n v="49"/>
    <n v="31939"/>
    <s v="0.14"/>
    <s v="0.00"/>
    <s v="99.86"/>
  </r>
  <r>
    <x v="20"/>
    <x v="101"/>
    <n v="636685"/>
    <n v="8445"/>
    <n v="529704"/>
    <s v="1.33"/>
    <s v="0.00"/>
    <s v="98.67"/>
  </r>
  <r>
    <x v="20"/>
    <x v="102"/>
    <n v="12385"/>
    <n v="239"/>
    <n v="11426"/>
    <s v="1.93"/>
    <s v="0.00"/>
    <s v="98.07"/>
  </r>
  <r>
    <x v="20"/>
    <x v="103"/>
    <n v="3623"/>
    <n v="60"/>
    <n v="462"/>
    <s v="1.66"/>
    <s v="0.00"/>
    <s v="98.34"/>
  </r>
  <r>
    <x v="20"/>
    <x v="104"/>
    <n v="534975"/>
    <n v="13574"/>
    <n v="107602"/>
    <s v="2.54"/>
    <s v="0.00"/>
    <s v="97.46"/>
  </r>
  <r>
    <x v="20"/>
    <x v="105"/>
    <n v="5811"/>
    <n v="287"/>
    <n v="1677"/>
    <s v="4.94"/>
    <s v="0.00"/>
    <s v="95.06"/>
  </r>
  <r>
    <x v="20"/>
    <x v="106"/>
    <n v="21575"/>
    <n v="656"/>
    <n v="13593"/>
    <s v="3.04"/>
    <s v="0.00"/>
    <s v="96.96"/>
  </r>
  <r>
    <x v="20"/>
    <x v="107"/>
    <n v="382454"/>
    <n v="5571"/>
    <n v="60361"/>
    <s v="1.46"/>
    <s v="0.00"/>
    <s v="98.54"/>
  </r>
  <r>
    <x v="20"/>
    <x v="108"/>
    <n v="80603"/>
    <n v="842"/>
    <n v="19883"/>
    <s v="1.04"/>
    <s v="0.00"/>
    <s v="98.96"/>
  </r>
  <r>
    <x v="20"/>
    <x v="109"/>
    <n v="197389"/>
    <n v="2992"/>
    <n v="19565"/>
    <s v="1.52"/>
    <s v="0.00"/>
    <s v="98.48"/>
  </r>
  <r>
    <x v="20"/>
    <x v="110"/>
    <n v="352881"/>
    <n v="4982"/>
    <n v="248768"/>
    <s v="1.41"/>
    <s v="0.00"/>
    <s v="98.59"/>
  </r>
  <r>
    <x v="20"/>
    <x v="111"/>
    <n v="943652"/>
    <n v="14600"/>
    <n v="375493"/>
    <s v="1.55"/>
    <s v="0.00"/>
    <s v="98.45"/>
  </r>
  <r>
    <x v="20"/>
    <x v="112"/>
    <n v="3388"/>
    <n v="35"/>
    <n v="2062"/>
    <s v="1.03"/>
    <s v="0.00"/>
    <s v="98.97"/>
  </r>
  <r>
    <x v="20"/>
    <x v="113"/>
    <n v="325526"/>
    <n v="7424"/>
    <n v="278758"/>
    <s v="2.28"/>
    <s v="0.00"/>
    <s v="97.72"/>
  </r>
  <r>
    <x v="20"/>
    <x v="114"/>
    <n v="139963"/>
    <n v="2057"/>
    <n v="73399"/>
    <s v="1.47"/>
    <s v="0.00"/>
    <s v="98.53"/>
  </r>
  <r>
    <x v="20"/>
    <x v="115"/>
    <n v="3888"/>
    <n v="55"/>
    <n v="1123"/>
    <s v="1.41"/>
    <s v="0.00"/>
    <s v="98.59"/>
  </r>
  <r>
    <x v="20"/>
    <x v="116"/>
    <n v="43622"/>
    <n v="960"/>
    <n v="3204"/>
    <s v="2.20"/>
    <s v="0.00"/>
    <s v="97.80"/>
  </r>
  <r>
    <x v="20"/>
    <x v="117"/>
    <n v="4"/>
    <n v="0"/>
    <n v="4"/>
    <s v="0.00"/>
    <s v="0.00"/>
    <s v="100.00"/>
  </r>
  <r>
    <x v="20"/>
    <x v="118"/>
    <n v="199057"/>
    <n v="7019"/>
    <n v="138241"/>
    <s v="3.53"/>
    <s v="0.00"/>
    <s v="96.47"/>
  </r>
  <r>
    <x v="20"/>
    <x v="119"/>
    <n v="15776"/>
    <n v="558"/>
    <n v="11327"/>
    <s v="3.54"/>
    <s v="0.00"/>
    <s v="96.46"/>
  </r>
  <r>
    <x v="20"/>
    <x v="120"/>
    <n v="492509"/>
    <n v="18491"/>
    <n v="327127"/>
    <s v="3.75"/>
    <s v="0.00"/>
    <s v="96.25"/>
  </r>
  <r>
    <x v="20"/>
    <x v="121"/>
    <n v="348188"/>
    <n v="1643"/>
    <n v="39113"/>
    <s v="0.47"/>
    <s v="0.00"/>
    <s v="99.53"/>
  </r>
  <r>
    <x v="20"/>
    <x v="122"/>
    <n v="77"/>
    <n v="0"/>
    <n v="65"/>
    <s v="0.00"/>
    <s v="0.00"/>
    <s v="100.00"/>
  </r>
  <r>
    <x v="20"/>
    <x v="123"/>
    <n v="42820"/>
    <n v="673"/>
    <n v="37734"/>
    <s v="1.57"/>
    <s v="0.00"/>
    <s v="98.43"/>
  </r>
  <r>
    <x v="20"/>
    <x v="124"/>
    <n v="36866"/>
    <n v="791"/>
    <n v="31088"/>
    <s v="2.15"/>
    <s v="0.00"/>
    <s v="97.85"/>
  </r>
  <r>
    <x v="20"/>
    <x v="125"/>
    <n v="37533"/>
    <n v="459"/>
    <n v="10287"/>
    <s v="1.22"/>
    <s v="0.00"/>
    <s v="98.78"/>
  </r>
  <r>
    <x v="20"/>
    <x v="126"/>
    <n v="17047"/>
    <n v="148"/>
    <n v="16084"/>
    <s v="0.87"/>
    <s v="0.00"/>
    <s v="99.13"/>
  </r>
  <r>
    <x v="20"/>
    <x v="127"/>
    <n v="86605"/>
    <n v="240"/>
    <n v="57512"/>
    <s v="0.28"/>
    <s v="0.00"/>
    <s v="99.72"/>
  </r>
  <r>
    <x v="20"/>
    <x v="128"/>
    <n v="61747"/>
    <n v="2296"/>
    <n v="29688"/>
    <s v="3.72"/>
    <s v="0.00"/>
    <s v="96.28"/>
  </r>
  <r>
    <x v="20"/>
    <x v="129"/>
    <n v="3777209"/>
    <n v="285953"/>
    <n v="3398892"/>
    <s v="7.57"/>
    <s v="0.00"/>
    <s v="92.43"/>
  </r>
  <r>
    <x v="20"/>
    <x v="130"/>
    <n v="2420222"/>
    <n v="28312"/>
    <n v="761347"/>
    <s v="1.17"/>
    <s v="0.00"/>
    <s v="98.83"/>
  </r>
  <r>
    <x v="20"/>
    <x v="131"/>
    <n v="151195"/>
    <n v="1927"/>
    <n v="129270"/>
    <s v="1.27"/>
    <s v="0.00"/>
    <s v="98.73"/>
  </r>
  <r>
    <x v="20"/>
    <x v="132"/>
    <n v="128444"/>
    <n v="3545"/>
    <n v="50634"/>
    <s v="2.76"/>
    <s v="0.00"/>
    <s v="97.24"/>
  </r>
  <r>
    <x v="20"/>
    <x v="133"/>
    <n v="10388"/>
    <n v="252"/>
    <n v="1850"/>
    <s v="2.43"/>
    <s v="0.00"/>
    <s v="97.57"/>
  </r>
  <r>
    <x v="20"/>
    <x v="134"/>
    <n v="6236"/>
    <n v="206"/>
    <n v="589"/>
    <s v="3.30"/>
    <s v="0.00"/>
    <s v="96.70"/>
  </r>
  <r>
    <x v="20"/>
    <x v="135"/>
    <n v="210136"/>
    <n v="2855"/>
    <n v="190296"/>
    <s v="1.36"/>
    <s v="0.00"/>
    <s v="98.64"/>
  </r>
  <r>
    <x v="20"/>
    <x v="136"/>
    <n v="16241"/>
    <n v="207"/>
    <n v="7578"/>
    <s v="1.27"/>
    <s v="0.00"/>
    <s v="98.73"/>
  </r>
  <r>
    <x v="20"/>
    <x v="137"/>
    <n v="2110236"/>
    <n v="18727"/>
    <n v="1987463"/>
    <s v="0.89"/>
    <s v="0.00"/>
    <s v="99.11"/>
  </r>
  <r>
    <x v="20"/>
    <x v="138"/>
    <n v="199550"/>
    <n v="894"/>
    <n v="135356"/>
    <s v="0.45"/>
    <s v="0.00"/>
    <s v="99.55"/>
  </r>
  <r>
    <x v="20"/>
    <x v="139"/>
    <n v="808096"/>
    <n v="11337"/>
    <n v="319217"/>
    <s v="1.40"/>
    <s v="0.00"/>
    <s v="98.60"/>
  </r>
  <r>
    <x v="20"/>
    <x v="140"/>
    <n v="5555"/>
    <n v="28"/>
    <n v="1699"/>
    <s v="0.50"/>
    <s v="0.00"/>
    <s v="99.50"/>
  </r>
  <r>
    <x v="20"/>
    <x v="141"/>
    <n v="304116"/>
    <n v="4107"/>
    <n v="127372"/>
    <s v="1.35"/>
    <s v="0.00"/>
    <s v="98.65"/>
  </r>
  <r>
    <x v="20"/>
    <x v="142"/>
    <n v="471253"/>
    <n v="7306"/>
    <n v="279638"/>
    <s v="1.55"/>
    <s v="0.00"/>
    <s v="98.45"/>
  </r>
  <r>
    <x v="20"/>
    <x v="143"/>
    <n v="2194132"/>
    <n v="200003"/>
    <n v="757413"/>
    <s v="9.12"/>
    <s v="0.00"/>
    <s v="90.88"/>
  </r>
  <r>
    <x v="20"/>
    <x v="144"/>
    <n v="45515"/>
    <n v="635"/>
    <n v="14427"/>
    <s v="1.40"/>
    <s v="0.00"/>
    <s v="98.60"/>
  </r>
  <r>
    <x v="20"/>
    <x v="145"/>
    <n v="26731"/>
    <n v="329"/>
    <n v="15636"/>
    <s v="1.23"/>
    <s v="0.00"/>
    <s v="98.77"/>
  </r>
  <r>
    <x v="20"/>
    <x v="146"/>
    <n v="2745889"/>
    <n v="41520"/>
    <n v="582802"/>
    <s v="1.51"/>
    <s v="0.00"/>
    <s v="98.49"/>
  </r>
  <r>
    <x v="20"/>
    <x v="147"/>
    <n v="1267945"/>
    <n v="28359"/>
    <n v="9441"/>
    <s v="2.24"/>
    <s v="0.00"/>
    <s v="97.76"/>
  </r>
  <r>
    <x v="20"/>
    <x v="148"/>
    <n v="2961923"/>
    <n v="76359"/>
    <n v="2108889"/>
    <s v="2.58"/>
    <s v="0.00"/>
    <s v="97.42"/>
  </r>
  <r>
    <x v="20"/>
    <x v="149"/>
    <n v="450310"/>
    <n v="4611"/>
    <n v="81613"/>
    <s v="1.02"/>
    <s v="0.00"/>
    <s v="98.98"/>
  </r>
  <r>
    <x v="20"/>
    <x v="150"/>
    <n v="1083651"/>
    <n v="18125"/>
    <n v="204924"/>
    <s v="1.67"/>
    <s v="0.00"/>
    <s v="98.33"/>
  </r>
  <r>
    <x v="20"/>
    <x v="151"/>
    <n v="8"/>
    <n v="0"/>
    <n v="7"/>
    <s v="0.00"/>
    <s v="0.00"/>
    <s v="100.00"/>
  </r>
  <r>
    <x v="20"/>
    <x v="152"/>
    <n v="460679"/>
    <n v="16229"/>
    <n v="152379"/>
    <s v="3.52"/>
    <s v="0.00"/>
    <s v="96.48"/>
  </r>
  <r>
    <x v="20"/>
    <x v="153"/>
    <n v="238359"/>
    <n v="608"/>
    <n v="110689"/>
    <s v="0.26"/>
    <s v="0.00"/>
    <s v="99.74"/>
  </r>
  <r>
    <x v="20"/>
    <x v="154"/>
    <n v="54438"/>
    <n v="372"/>
    <n v="31136"/>
    <s v="0.68"/>
    <s v="0.00"/>
    <s v="99.32"/>
  </r>
  <r>
    <x v="20"/>
    <x v="155"/>
    <n v="1534942"/>
    <n v="43844"/>
    <n v="1205266"/>
    <s v="2.86"/>
    <s v="0.00"/>
    <s v="97.14"/>
  </r>
  <r>
    <x v="20"/>
    <x v="156"/>
    <n v="1085728"/>
    <n v="9388"/>
    <n v="42635"/>
    <s v="0.86"/>
    <s v="0.00"/>
    <s v="99.14"/>
  </r>
  <r>
    <x v="20"/>
    <x v="157"/>
    <n v="8041581"/>
    <n v="224369"/>
    <n v="7120020"/>
    <s v="2.79"/>
    <s v="0.00"/>
    <s v="97.21"/>
  </r>
  <r>
    <x v="20"/>
    <x v="158"/>
    <n v="99325"/>
    <n v="1318"/>
    <n v="80518"/>
    <s v="1.33"/>
    <s v="0.00"/>
    <s v="98.67"/>
  </r>
  <r>
    <x v="20"/>
    <x v="159"/>
    <n v="548162"/>
    <n v="8774"/>
    <n v="275954"/>
    <s v="1.60"/>
    <s v="0.00"/>
    <s v="98.40"/>
  </r>
  <r>
    <x v="20"/>
    <x v="160"/>
    <n v="20"/>
    <n v="0"/>
    <n v="6"/>
    <s v="0.00"/>
    <s v="0.00"/>
    <s v="100.00"/>
  </r>
  <r>
    <x v="20"/>
    <x v="161"/>
    <n v="22102"/>
    <n v="119"/>
    <n v="14515"/>
    <s v="0.54"/>
    <s v="0.00"/>
    <s v="99.46"/>
  </r>
  <r>
    <x v="20"/>
    <x v="162"/>
    <n v="40084"/>
    <n v="3038"/>
    <n v="25578"/>
    <s v="7.58"/>
    <s v="0.00"/>
    <s v="92.42"/>
  </r>
  <r>
    <x v="20"/>
    <x v="163"/>
    <n v="1165996"/>
    <n v="14993"/>
    <n v="526894"/>
    <s v="1.29"/>
    <s v="0.00"/>
    <s v="98.71"/>
  </r>
  <r>
    <x v="20"/>
    <x v="164"/>
    <n v="165663"/>
    <n v="294"/>
    <n v="101600"/>
    <s v="0.18"/>
    <s v="0.00"/>
    <s v="99.82"/>
  </r>
  <r>
    <x v="20"/>
    <x v="165"/>
    <n v="316138"/>
    <n v="4669"/>
    <n v="192192"/>
    <s v="1.48"/>
    <s v="0.00"/>
    <s v="98.52"/>
  </r>
  <r>
    <x v="20"/>
    <x v="166"/>
    <n v="449775"/>
    <n v="12886"/>
    <n v="328503"/>
    <s v="2.86"/>
    <s v="0.00"/>
    <s v="97.14"/>
  </r>
  <r>
    <x v="20"/>
    <x v="167"/>
    <n v="6397"/>
    <n v="121"/>
    <n v="2590"/>
    <s v="1.89"/>
    <s v="0.00"/>
    <s v="98.11"/>
  </r>
  <r>
    <x v="20"/>
    <x v="168"/>
    <n v="5497"/>
    <n v="91"/>
    <n v="1260"/>
    <s v="1.66"/>
    <s v="0.00"/>
    <s v="98.34"/>
  </r>
  <r>
    <x v="20"/>
    <x v="169"/>
    <n v="73880"/>
    <n v="1876"/>
    <n v="25800"/>
    <s v="2.54"/>
    <s v="0.00"/>
    <s v="97.46"/>
  </r>
  <r>
    <x v="20"/>
    <x v="170"/>
    <n v="21269"/>
    <n v="1180"/>
    <n v="8839"/>
    <s v="5.55"/>
    <s v="0.00"/>
    <s v="94.45"/>
  </r>
  <r>
    <x v="20"/>
    <x v="171"/>
    <n v="47875"/>
    <n v="1054"/>
    <n v="39421"/>
    <s v="2.20"/>
    <s v="0.00"/>
    <s v="97.80"/>
  </r>
  <r>
    <x v="20"/>
    <x v="173"/>
    <n v="3691"/>
    <n v="56"/>
    <n v="12"/>
    <s v="1.52"/>
    <s v="0.00"/>
    <s v="98.48"/>
  </r>
  <r>
    <x v="20"/>
    <x v="172"/>
    <n v="12279"/>
    <n v="133"/>
    <n v="9019"/>
    <s v="1.08"/>
    <s v="0.00"/>
    <s v="98.92"/>
  </r>
  <r>
    <x v="20"/>
    <x v="174"/>
    <n v="112290"/>
    <n v="3544"/>
    <n v="31081"/>
    <s v="3.16"/>
    <s v="0.00"/>
    <s v="96.84"/>
  </r>
  <r>
    <x v="20"/>
    <x v="175"/>
    <n v="40922"/>
    <n v="2478"/>
    <n v="28436"/>
    <s v="6.06"/>
    <s v="0.00"/>
    <s v="93.94"/>
  </r>
  <r>
    <x v="20"/>
    <x v="176"/>
    <n v="46383"/>
    <n v="1239"/>
    <n v="43390"/>
    <s v="2.67"/>
    <s v="0.00"/>
    <s v="97.33"/>
  </r>
  <r>
    <x v="20"/>
    <x v="177"/>
    <n v="5069"/>
    <n v="174"/>
    <n v="1971"/>
    <s v="3.43"/>
    <s v="0.00"/>
    <s v="96.57"/>
  </r>
  <r>
    <x v="20"/>
    <x v="178"/>
    <n v="25967"/>
    <n v="240"/>
    <n v="6657"/>
    <s v="0.92"/>
    <s v="0.00"/>
    <s v="99.08"/>
  </r>
  <r>
    <x v="20"/>
    <x v="179"/>
    <n v="1831389"/>
    <n v="18625"/>
    <n v="643064"/>
    <s v="1.02"/>
    <s v="0.00"/>
    <s v="98.98"/>
  </r>
  <r>
    <x v="20"/>
    <x v="180"/>
    <n v="17486"/>
    <n v="125"/>
    <n v="14478"/>
    <s v="0.71"/>
    <s v="0.00"/>
    <s v="99.29"/>
  </r>
  <r>
    <x v="20"/>
    <x v="181"/>
    <n v="19759"/>
    <n v="120"/>
    <n v="10050"/>
    <s v="0.61"/>
    <s v="0.00"/>
    <s v="99.39"/>
  </r>
  <r>
    <x v="20"/>
    <x v="182"/>
    <n v="711397"/>
    <n v="25132"/>
    <n v="431884"/>
    <s v="3.53"/>
    <s v="0.00"/>
    <s v="96.47"/>
  </r>
  <r>
    <x v="20"/>
    <x v="184"/>
    <n v="7800766"/>
    <n v="68700"/>
    <n v="1003938"/>
    <s v="0.88"/>
    <s v="0.00"/>
    <s v="99.12"/>
  </r>
  <r>
    <x v="20"/>
    <x v="185"/>
    <n v="55203"/>
    <n v="1633"/>
    <n v="8142"/>
    <s v="2.96"/>
    <s v="0.00"/>
    <s v="97.04"/>
  </r>
  <r>
    <x v="20"/>
    <x v="186"/>
    <n v="16357"/>
    <n v="846"/>
    <n v="6954"/>
    <s v="5.17"/>
    <s v="0.00"/>
    <s v="94.83"/>
  </r>
  <r>
    <x v="20"/>
    <x v="187"/>
    <n v="26034"/>
    <n v="724"/>
    <n v="18153"/>
    <s v="2.78"/>
    <s v="0.00"/>
    <s v="97.22"/>
  </r>
  <r>
    <x v="20"/>
    <x v="188"/>
    <n v="2852109"/>
    <n v="67087"/>
    <n v="1728235"/>
    <s v="2.35"/>
    <s v="0.00"/>
    <s v="97.65"/>
  </r>
  <r>
    <x v="20"/>
    <x v="189"/>
    <n v="125537"/>
    <n v="3194"/>
    <n v="78791"/>
    <s v="2.54"/>
    <s v="0.00"/>
    <s v="97.46"/>
  </r>
  <r>
    <x v="20"/>
    <x v="190"/>
    <n v="45400466"/>
    <n v="735373"/>
    <n v="29629985"/>
    <s v="1.62"/>
    <s v="0.00"/>
    <s v="98.38"/>
  </r>
  <r>
    <x v="20"/>
    <x v="191"/>
    <n v="391890"/>
    <n v="6070"/>
    <n v="156322"/>
    <s v="1.55"/>
    <s v="0.00"/>
    <s v="98.45"/>
  </r>
  <r>
    <x v="20"/>
    <x v="192"/>
    <n v="182819"/>
    <n v="1300"/>
    <n v="59251"/>
    <s v="0.71"/>
    <s v="0.00"/>
    <s v="99.29"/>
  </r>
  <r>
    <x v="20"/>
    <x v="194"/>
    <n v="4814"/>
    <n v="60"/>
    <n v="801"/>
    <s v="1.25"/>
    <s v="0.00"/>
    <s v="98.75"/>
  </r>
  <r>
    <x v="20"/>
    <x v="193"/>
    <n v="27"/>
    <n v="0"/>
    <n v="6"/>
    <s v="0.00"/>
    <s v="0.00"/>
    <s v="100.00"/>
  </r>
  <r>
    <x v="20"/>
    <x v="195"/>
    <n v="397370"/>
    <n v="4775"/>
    <n v="351363"/>
    <s v="1.20"/>
    <s v="0.00"/>
    <s v="98.80"/>
  </r>
  <r>
    <x v="20"/>
    <x v="196"/>
    <n v="881522"/>
    <n v="21543"/>
    <n v="733014"/>
    <s v="2.44"/>
    <s v="0.00"/>
    <s v="97.56"/>
  </r>
  <r>
    <x v="20"/>
    <x v="197"/>
    <n v="4"/>
    <n v="1"/>
    <n v="0"/>
    <s v="25.00"/>
    <s v="0.00"/>
    <s v="75.00"/>
  </r>
  <r>
    <x v="20"/>
    <x v="198"/>
    <n v="3"/>
    <n v="0"/>
    <n v="0"/>
    <s v="0.00"/>
    <s v="0.00"/>
    <s v="100.00"/>
  </r>
  <r>
    <x v="20"/>
    <x v="199"/>
    <n v="160606"/>
    <n v="2974"/>
    <n v="103406"/>
    <s v="1.85"/>
    <s v="0.00"/>
    <s v="98.15"/>
  </r>
  <r>
    <x v="20"/>
    <x v="200"/>
    <n v="9650"/>
    <n v="1835"/>
    <n v="7815"/>
    <s v="19.02"/>
    <s v="0.00"/>
    <s v="80.98"/>
  </r>
  <r>
    <x v="20"/>
    <x v="201"/>
    <n v="20485"/>
    <n v="182"/>
    <n v="10788"/>
    <s v="0.89"/>
    <s v="0.00"/>
    <s v="99.11"/>
  </r>
  <r>
    <x v="20"/>
    <x v="202"/>
    <n v="2918883"/>
    <n v="88891"/>
    <n v="1403045"/>
    <s v="3.05"/>
    <s v="0.00"/>
    <s v="96.95"/>
  </r>
  <r>
    <x v="20"/>
    <x v="203"/>
    <n v="209610"/>
    <n v="3658"/>
    <n v="117816"/>
    <s v="1.75"/>
    <s v="0.00"/>
    <s v="98.25"/>
  </r>
  <r>
    <x v="20"/>
    <x v="204"/>
    <n v="132588"/>
    <n v="4663"/>
    <n v="39087"/>
    <s v="3.52"/>
    <s v="0.00"/>
    <s v="96.48"/>
  </r>
  <r>
    <x v="20"/>
    <x v="205"/>
    <n v="721"/>
    <n v="15"/>
    <n v="620"/>
    <s v="2.08"/>
    <s v="0.00"/>
    <s v="97.92"/>
  </r>
  <r>
    <x v="21"/>
    <x v="205"/>
    <n v="721"/>
    <n v="15"/>
    <n v="448"/>
    <s v="2.08"/>
    <s v="0.00"/>
    <s v="97.92"/>
  </r>
  <r>
    <x v="21"/>
    <x v="204"/>
    <n v="132540"/>
    <n v="4662"/>
    <n v="36283"/>
    <s v="3.52"/>
    <s v="0.00"/>
    <s v="96.48"/>
  </r>
  <r>
    <x v="21"/>
    <x v="203"/>
    <n v="209589"/>
    <n v="3658"/>
    <n v="104203"/>
    <s v="1.75"/>
    <s v="0.00"/>
    <s v="98.25"/>
  </r>
  <r>
    <x v="21"/>
    <x v="202"/>
    <n v="2918366"/>
    <n v="88835"/>
    <n v="1163160"/>
    <s v="3.04"/>
    <s v="0.00"/>
    <s v="96.96"/>
  </r>
  <r>
    <x v="21"/>
    <x v="201"/>
    <n v="20464"/>
    <n v="182"/>
    <n v="3176"/>
    <s v="0.89"/>
    <s v="0.00"/>
    <s v="99.11"/>
  </r>
  <r>
    <x v="21"/>
    <x v="200"/>
    <n v="9635"/>
    <n v="1831"/>
    <n v="7653"/>
    <s v="19.00"/>
    <s v="0.00"/>
    <s v="81.00"/>
  </r>
  <r>
    <x v="21"/>
    <x v="199"/>
    <n v="160590"/>
    <n v="2974"/>
    <n v="76104"/>
    <s v="1.85"/>
    <s v="0.00"/>
    <s v="98.15"/>
  </r>
  <r>
    <x v="21"/>
    <x v="198"/>
    <n v="3"/>
    <n v="0"/>
    <n v="1"/>
    <s v="0.00"/>
    <s v="0.00"/>
    <s v="100.00"/>
  </r>
  <r>
    <x v="21"/>
    <x v="197"/>
    <n v="4"/>
    <n v="1"/>
    <n v="3"/>
    <s v="25.00"/>
    <s v="0.00"/>
    <s v="75.00"/>
  </r>
  <r>
    <x v="21"/>
    <x v="196"/>
    <n v="877537"/>
    <n v="21487"/>
    <n v="167273"/>
    <s v="2.45"/>
    <s v="0.00"/>
    <s v="97.55"/>
  </r>
  <r>
    <x v="21"/>
    <x v="195"/>
    <n v="396477"/>
    <n v="4763"/>
    <n v="181697"/>
    <s v="1.20"/>
    <s v="0.00"/>
    <s v="98.80"/>
  </r>
  <r>
    <x v="21"/>
    <x v="193"/>
    <n v="27"/>
    <n v="0"/>
    <n v="24"/>
    <s v="0.00"/>
    <s v="0.00"/>
    <s v="100.00"/>
  </r>
  <r>
    <x v="21"/>
    <x v="194"/>
    <n v="4786"/>
    <n v="56"/>
    <n v="4246"/>
    <s v="1.17"/>
    <s v="0.00"/>
    <s v="98.83"/>
  </r>
  <r>
    <x v="21"/>
    <x v="192"/>
    <n v="182421"/>
    <n v="1297"/>
    <n v="168584"/>
    <s v="0.71"/>
    <s v="0.00"/>
    <s v="99.29"/>
  </r>
  <r>
    <x v="21"/>
    <x v="191"/>
    <n v="391700"/>
    <n v="6069"/>
    <n v="124323"/>
    <s v="1.55"/>
    <s v="0.00"/>
    <s v="98.45"/>
  </r>
  <r>
    <x v="21"/>
    <x v="190"/>
    <n v="45301044"/>
    <n v="733553"/>
    <n v="5216722"/>
    <s v="1.62"/>
    <s v="0.00"/>
    <s v="98.38"/>
  </r>
  <r>
    <x v="21"/>
    <x v="189"/>
    <n v="125426"/>
    <n v="3192"/>
    <n v="18974"/>
    <s v="2.54"/>
    <s v="0.00"/>
    <s v="97.46"/>
  </r>
  <r>
    <x v="21"/>
    <x v="188"/>
    <n v="2827388"/>
    <n v="66447"/>
    <n v="1110049"/>
    <s v="2.35"/>
    <s v="0.00"/>
    <s v="97.65"/>
  </r>
  <r>
    <x v="21"/>
    <x v="187"/>
    <n v="26034"/>
    <n v="724"/>
    <n v="1424"/>
    <s v="2.78"/>
    <s v="0.00"/>
    <s v="97.22"/>
  </r>
  <r>
    <x v="21"/>
    <x v="186"/>
    <n v="16349"/>
    <n v="846"/>
    <n v="1184"/>
    <s v="5.17"/>
    <s v="0.00"/>
    <s v="94.83"/>
  </r>
  <r>
    <x v="21"/>
    <x v="185"/>
    <n v="54881"/>
    <n v="1629"/>
    <n v="40409"/>
    <s v="2.97"/>
    <s v="0.00"/>
    <s v="97.03"/>
  </r>
  <r>
    <x v="21"/>
    <x v="184"/>
    <n v="7772574"/>
    <n v="68472"/>
    <n v="3101494"/>
    <s v="0.88"/>
    <s v="0.00"/>
    <s v="99.12"/>
  </r>
  <r>
    <x v="21"/>
    <x v="182"/>
    <n v="711397"/>
    <n v="25132"/>
    <n v="589608"/>
    <s v="3.53"/>
    <s v="0.00"/>
    <s v="96.47"/>
  </r>
  <r>
    <x v="21"/>
    <x v="181"/>
    <n v="19749"/>
    <n v="120"/>
    <n v="10616"/>
    <s v="0.61"/>
    <s v="0.00"/>
    <s v="99.39"/>
  </r>
  <r>
    <x v="21"/>
    <x v="180"/>
    <n v="17484"/>
    <n v="125"/>
    <n v="3594"/>
    <s v="0.71"/>
    <s v="0.00"/>
    <s v="99.29"/>
  </r>
  <r>
    <x v="21"/>
    <x v="179"/>
    <n v="1821579"/>
    <n v="18559"/>
    <n v="158516"/>
    <s v="1.02"/>
    <s v="0.00"/>
    <s v="98.98"/>
  </r>
  <r>
    <x v="21"/>
    <x v="178"/>
    <n v="25950"/>
    <n v="240"/>
    <n v="21316"/>
    <s v="0.92"/>
    <s v="0.00"/>
    <s v="99.08"/>
  </r>
  <r>
    <x v="21"/>
    <x v="177"/>
    <n v="5069"/>
    <n v="174"/>
    <n v="4225"/>
    <s v="3.43"/>
    <s v="0.00"/>
    <s v="96.57"/>
  </r>
  <r>
    <x v="21"/>
    <x v="176"/>
    <n v="46380"/>
    <n v="1238"/>
    <n v="19553"/>
    <s v="2.67"/>
    <s v="0.00"/>
    <s v="97.33"/>
  </r>
  <r>
    <x v="21"/>
    <x v="175"/>
    <n v="40630"/>
    <n v="2467"/>
    <n v="26459"/>
    <s v="6.07"/>
    <s v="0.00"/>
    <s v="93.93"/>
  </r>
  <r>
    <x v="21"/>
    <x v="174"/>
    <n v="110188"/>
    <n v="3532"/>
    <n v="6183"/>
    <s v="3.21"/>
    <s v="0.00"/>
    <s v="96.79"/>
  </r>
  <r>
    <x v="21"/>
    <x v="172"/>
    <n v="12279"/>
    <n v="133"/>
    <n v="6120"/>
    <s v="1.08"/>
    <s v="0.00"/>
    <s v="98.92"/>
  </r>
  <r>
    <x v="21"/>
    <x v="173"/>
    <n v="3689"/>
    <n v="56"/>
    <n v="2312"/>
    <s v="1.52"/>
    <s v="0.00"/>
    <s v="98.48"/>
  </r>
  <r>
    <x v="21"/>
    <x v="171"/>
    <n v="47677"/>
    <n v="1048"/>
    <n v="25608"/>
    <s v="2.20"/>
    <s v="0.00"/>
    <s v="97.80"/>
  </r>
  <r>
    <x v="21"/>
    <x v="170"/>
    <n v="21269"/>
    <n v="1180"/>
    <n v="1039"/>
    <s v="5.55"/>
    <s v="0.00"/>
    <s v="94.45"/>
  </r>
  <r>
    <x v="21"/>
    <x v="169"/>
    <n v="73876"/>
    <n v="1876"/>
    <n v="50893"/>
    <s v="2.54"/>
    <s v="0.00"/>
    <s v="97.46"/>
  </r>
  <r>
    <x v="21"/>
    <x v="168"/>
    <n v="5490"/>
    <n v="91"/>
    <n v="3082"/>
    <s v="1.66"/>
    <s v="0.00"/>
    <s v="98.34"/>
  </r>
  <r>
    <x v="21"/>
    <x v="167"/>
    <n v="6397"/>
    <n v="121"/>
    <n v="2238"/>
    <s v="1.89"/>
    <s v="0.00"/>
    <s v="98.11"/>
  </r>
  <r>
    <x v="21"/>
    <x v="166"/>
    <n v="446305"/>
    <n v="12883"/>
    <n v="429125"/>
    <s v="2.89"/>
    <s v="0.00"/>
    <s v="97.11"/>
  </r>
  <r>
    <x v="21"/>
    <x v="165"/>
    <n v="314162"/>
    <n v="4661"/>
    <n v="268561"/>
    <s v="1.48"/>
    <s v="0.00"/>
    <s v="98.52"/>
  </r>
  <r>
    <x v="21"/>
    <x v="164"/>
    <n v="162026"/>
    <n v="280"/>
    <n v="73083"/>
    <s v="0.17"/>
    <s v="0.00"/>
    <s v="99.83"/>
  </r>
  <r>
    <x v="21"/>
    <x v="163"/>
    <n v="1165194"/>
    <n v="14986"/>
    <n v="926788"/>
    <s v="1.29"/>
    <s v="0.00"/>
    <s v="98.71"/>
  </r>
  <r>
    <x v="21"/>
    <x v="162"/>
    <n v="40084"/>
    <n v="3038"/>
    <n v="12457"/>
    <s v="7.58"/>
    <s v="0.00"/>
    <s v="92.42"/>
  </r>
  <r>
    <x v="21"/>
    <x v="161"/>
    <n v="22071"/>
    <n v="119"/>
    <n v="8780"/>
    <s v="0.54"/>
    <s v="0.00"/>
    <s v="99.46"/>
  </r>
  <r>
    <x v="21"/>
    <x v="160"/>
    <n v="20"/>
    <n v="0"/>
    <n v="20"/>
    <s v="0.00"/>
    <s v="0.00"/>
    <s v="100.00"/>
  </r>
  <r>
    <x v="21"/>
    <x v="159"/>
    <n v="548111"/>
    <n v="8773"/>
    <n v="74551"/>
    <s v="1.60"/>
    <s v="0.00"/>
    <s v="98.40"/>
  </r>
  <r>
    <x v="21"/>
    <x v="158"/>
    <n v="99288"/>
    <n v="1316"/>
    <n v="42036"/>
    <s v="1.33"/>
    <s v="0.00"/>
    <s v="98.67"/>
  </r>
  <r>
    <x v="21"/>
    <x v="157"/>
    <n v="8005376"/>
    <n v="223331"/>
    <n v="7773320"/>
    <s v="2.79"/>
    <s v="0.00"/>
    <s v="97.21"/>
  </r>
  <r>
    <x v="21"/>
    <x v="156"/>
    <n v="1078032"/>
    <n v="9331"/>
    <n v="26131"/>
    <s v="0.87"/>
    <s v="0.00"/>
    <s v="99.13"/>
  </r>
  <r>
    <x v="21"/>
    <x v="155"/>
    <n v="1519532"/>
    <n v="43487"/>
    <n v="698360"/>
    <s v="2.86"/>
    <s v="0.00"/>
    <s v="97.14"/>
  </r>
  <r>
    <x v="21"/>
    <x v="154"/>
    <n v="54024"/>
    <n v="370"/>
    <n v="37315"/>
    <s v="0.68"/>
    <s v="0.00"/>
    <s v="99.32"/>
  </r>
  <r>
    <x v="21"/>
    <x v="153"/>
    <n v="238271"/>
    <n v="608"/>
    <n v="70399"/>
    <s v="0.26"/>
    <s v="0.00"/>
    <s v="99.74"/>
  </r>
  <r>
    <x v="21"/>
    <x v="152"/>
    <n v="460646"/>
    <n v="16229"/>
    <n v="353721"/>
    <s v="3.52"/>
    <s v="0.00"/>
    <s v="96.48"/>
  </r>
  <r>
    <x v="21"/>
    <x v="151"/>
    <n v="8"/>
    <n v="0"/>
    <n v="8"/>
    <s v="0.00"/>
    <s v="0.00"/>
    <s v="100.00"/>
  </r>
  <r>
    <x v="21"/>
    <x v="150"/>
    <n v="1082721"/>
    <n v="18117"/>
    <n v="782396"/>
    <s v="1.67"/>
    <s v="0.00"/>
    <s v="98.33"/>
  </r>
  <r>
    <x v="21"/>
    <x v="149"/>
    <n v="449980"/>
    <n v="4604"/>
    <n v="28084"/>
    <s v="1.02"/>
    <s v="0.00"/>
    <s v="98.98"/>
  </r>
  <r>
    <x v="21"/>
    <x v="148"/>
    <n v="2956207"/>
    <n v="76300"/>
    <n v="2150897"/>
    <s v="2.58"/>
    <s v="0.00"/>
    <s v="97.42"/>
  </r>
  <r>
    <x v="21"/>
    <x v="146"/>
    <n v="2740111"/>
    <n v="41237"/>
    <n v="97778"/>
    <s v="1.50"/>
    <s v="0.00"/>
    <s v="98.50"/>
  </r>
  <r>
    <x v="21"/>
    <x v="147"/>
    <n v="1267393"/>
    <n v="28344"/>
    <n v="162277"/>
    <s v="2.24"/>
    <s v="0.00"/>
    <s v="97.76"/>
  </r>
  <r>
    <x v="21"/>
    <x v="145"/>
    <n v="26154"/>
    <n v="325"/>
    <n v="6920"/>
    <s v="1.24"/>
    <s v="0.00"/>
    <s v="98.76"/>
  </r>
  <r>
    <x v="21"/>
    <x v="144"/>
    <n v="45506"/>
    <n v="635"/>
    <n v="7462"/>
    <s v="1.40"/>
    <s v="0.00"/>
    <s v="98.60"/>
  </r>
  <r>
    <x v="21"/>
    <x v="143"/>
    <n v="2192205"/>
    <n v="199945"/>
    <n v="617659"/>
    <s v="9.12"/>
    <s v="0.00"/>
    <s v="90.88"/>
  </r>
  <r>
    <x v="21"/>
    <x v="142"/>
    <n v="471060"/>
    <n v="7303"/>
    <n v="287042"/>
    <s v="1.55"/>
    <s v="0.00"/>
    <s v="98.45"/>
  </r>
  <r>
    <x v="21"/>
    <x v="141"/>
    <n v="304116"/>
    <n v="4107"/>
    <n v="178574"/>
    <s v="1.35"/>
    <s v="0.00"/>
    <s v="98.65"/>
  </r>
  <r>
    <x v="21"/>
    <x v="140"/>
    <n v="5450"/>
    <n v="28"/>
    <n v="1544"/>
    <s v="0.51"/>
    <s v="0.00"/>
    <s v="99.49"/>
  </r>
  <r>
    <x v="21"/>
    <x v="139"/>
    <n v="807522"/>
    <n v="11326"/>
    <n v="517793"/>
    <s v="1.40"/>
    <s v="0.00"/>
    <s v="98.60"/>
  </r>
  <r>
    <x v="21"/>
    <x v="138"/>
    <n v="198909"/>
    <n v="893"/>
    <n v="110695"/>
    <s v="0.45"/>
    <s v="0.00"/>
    <s v="99.55"/>
  </r>
  <r>
    <x v="21"/>
    <x v="137"/>
    <n v="2104333"/>
    <n v="18717"/>
    <n v="1673123"/>
    <s v="0.89"/>
    <s v="0.00"/>
    <s v="99.11"/>
  </r>
  <r>
    <x v="21"/>
    <x v="136"/>
    <n v="16241"/>
    <n v="207"/>
    <n v="1371"/>
    <s v="1.27"/>
    <s v="0.00"/>
    <s v="98.73"/>
  </r>
  <r>
    <x v="21"/>
    <x v="135"/>
    <n v="209960"/>
    <n v="2850"/>
    <n v="81394"/>
    <s v="1.36"/>
    <s v="0.00"/>
    <s v="98.64"/>
  </r>
  <r>
    <x v="21"/>
    <x v="134"/>
    <n v="6227"/>
    <n v="206"/>
    <n v="1173"/>
    <s v="3.31"/>
    <s v="0.00"/>
    <s v="96.69"/>
  </r>
  <r>
    <x v="21"/>
    <x v="133"/>
    <n v="10305"/>
    <n v="247"/>
    <n v="4044"/>
    <s v="2.40"/>
    <s v="0.00"/>
    <s v="97.60"/>
  </r>
  <r>
    <x v="21"/>
    <x v="132"/>
    <n v="128414"/>
    <n v="3544"/>
    <n v="54368"/>
    <s v="2.76"/>
    <s v="0.00"/>
    <s v="97.24"/>
  </r>
  <r>
    <x v="21"/>
    <x v="131"/>
    <n v="151174"/>
    <n v="1927"/>
    <n v="94549"/>
    <s v="1.27"/>
    <s v="0.00"/>
    <s v="98.73"/>
  </r>
  <r>
    <x v="21"/>
    <x v="130"/>
    <n v="2413592"/>
    <n v="28234"/>
    <n v="524403"/>
    <s v="1.17"/>
    <s v="0.00"/>
    <s v="98.83"/>
  </r>
  <r>
    <x v="21"/>
    <x v="129"/>
    <n v="3772556"/>
    <n v="285669"/>
    <n v="1647179"/>
    <s v="7.57"/>
    <s v="0.00"/>
    <s v="92.43"/>
  </r>
  <r>
    <x v="21"/>
    <x v="128"/>
    <n v="61745"/>
    <n v="2296"/>
    <n v="43956"/>
    <s v="3.72"/>
    <s v="0.00"/>
    <s v="96.28"/>
  </r>
  <r>
    <x v="21"/>
    <x v="127"/>
    <n v="86550"/>
    <n v="240"/>
    <n v="81338"/>
    <s v="0.28"/>
    <s v="0.00"/>
    <s v="99.72"/>
  </r>
  <r>
    <x v="21"/>
    <x v="126"/>
    <n v="16951"/>
    <n v="145"/>
    <n v="5059"/>
    <s v="0.86"/>
    <s v="0.00"/>
    <s v="99.14"/>
  </r>
  <r>
    <x v="21"/>
    <x v="125"/>
    <n v="37523"/>
    <n v="459"/>
    <n v="19465"/>
    <s v="1.22"/>
    <s v="0.00"/>
    <s v="98.78"/>
  </r>
  <r>
    <x v="21"/>
    <x v="124"/>
    <n v="36820"/>
    <n v="791"/>
    <n v="6776"/>
    <s v="2.15"/>
    <s v="0.00"/>
    <s v="97.85"/>
  </r>
  <r>
    <x v="21"/>
    <x v="123"/>
    <n v="42748"/>
    <n v="670"/>
    <n v="7150"/>
    <s v="1.57"/>
    <s v="0.00"/>
    <s v="98.43"/>
  </r>
  <r>
    <x v="21"/>
    <x v="122"/>
    <n v="77"/>
    <n v="0"/>
    <n v="1"/>
    <s v="0.00"/>
    <s v="0.00"/>
    <s v="100.00"/>
  </r>
  <r>
    <x v="21"/>
    <x v="121"/>
    <n v="344736"/>
    <n v="1607"/>
    <n v="244752"/>
    <s v="0.47"/>
    <s v="0.00"/>
    <s v="99.53"/>
  </r>
  <r>
    <x v="21"/>
    <x v="120"/>
    <n v="491584"/>
    <n v="18465"/>
    <n v="27248"/>
    <s v="3.76"/>
    <s v="0.00"/>
    <s v="96.24"/>
  </r>
  <r>
    <x v="21"/>
    <x v="119"/>
    <n v="15741"/>
    <n v="558"/>
    <n v="2052"/>
    <s v="3.54"/>
    <s v="0.00"/>
    <s v="96.46"/>
  </r>
  <r>
    <x v="21"/>
    <x v="118"/>
    <n v="198646"/>
    <n v="7012"/>
    <n v="118949"/>
    <s v="3.53"/>
    <s v="0.00"/>
    <s v="96.47"/>
  </r>
  <r>
    <x v="21"/>
    <x v="117"/>
    <n v="4"/>
    <n v="0"/>
    <n v="2"/>
    <s v="0.00"/>
    <s v="0.00"/>
    <s v="100.00"/>
  </r>
  <r>
    <x v="21"/>
    <x v="116"/>
    <n v="43622"/>
    <n v="960"/>
    <n v="2753"/>
    <s v="2.20"/>
    <s v="0.00"/>
    <s v="97.80"/>
  </r>
  <r>
    <x v="21"/>
    <x v="115"/>
    <n v="3888"/>
    <n v="55"/>
    <n v="1620"/>
    <s v="1.41"/>
    <s v="0.00"/>
    <s v="98.59"/>
  </r>
  <r>
    <x v="21"/>
    <x v="114"/>
    <n v="139488"/>
    <n v="2054"/>
    <n v="91493"/>
    <s v="1.47"/>
    <s v="0.00"/>
    <s v="98.53"/>
  </r>
  <r>
    <x v="21"/>
    <x v="113"/>
    <n v="323469"/>
    <n v="7386"/>
    <n v="267932"/>
    <s v="2.28"/>
    <s v="0.00"/>
    <s v="97.72"/>
  </r>
  <r>
    <x v="21"/>
    <x v="112"/>
    <n v="3387"/>
    <n v="35"/>
    <n v="2300"/>
    <s v="1.03"/>
    <s v="0.00"/>
    <s v="98.97"/>
  </r>
  <r>
    <x v="21"/>
    <x v="111"/>
    <n v="943222"/>
    <n v="14593"/>
    <n v="505407"/>
    <s v="1.55"/>
    <s v="0.00"/>
    <s v="98.45"/>
  </r>
  <r>
    <x v="21"/>
    <x v="110"/>
    <n v="352192"/>
    <n v="4962"/>
    <n v="206628"/>
    <s v="1.41"/>
    <s v="0.00"/>
    <s v="98.59"/>
  </r>
  <r>
    <x v="21"/>
    <x v="109"/>
    <n v="194256"/>
    <n v="2967"/>
    <n v="102444"/>
    <s v="1.53"/>
    <s v="0.00"/>
    <s v="98.47"/>
  </r>
  <r>
    <x v="21"/>
    <x v="108"/>
    <n v="80462"/>
    <n v="842"/>
    <n v="16023"/>
    <s v="1.05"/>
    <s v="0.00"/>
    <s v="98.95"/>
  </r>
  <r>
    <x v="21"/>
    <x v="107"/>
    <n v="379438"/>
    <n v="5544"/>
    <n v="70395"/>
    <s v="1.46"/>
    <s v="0.00"/>
    <s v="98.54"/>
  </r>
  <r>
    <x v="21"/>
    <x v="106"/>
    <n v="21566"/>
    <n v="655"/>
    <n v="19907"/>
    <s v="3.04"/>
    <s v="0.00"/>
    <s v="96.96"/>
  </r>
  <r>
    <x v="21"/>
    <x v="105"/>
    <n v="5811"/>
    <n v="287"/>
    <n v="2200"/>
    <s v="4.94"/>
    <s v="0.00"/>
    <s v="95.06"/>
  </r>
  <r>
    <x v="21"/>
    <x v="104"/>
    <n v="533860"/>
    <n v="13562"/>
    <n v="382087"/>
    <s v="2.54"/>
    <s v="0.00"/>
    <s v="97.46"/>
  </r>
  <r>
    <x v="21"/>
    <x v="103"/>
    <n v="3619"/>
    <n v="60"/>
    <n v="2852"/>
    <s v="1.66"/>
    <s v="0.00"/>
    <s v="98.34"/>
  </r>
  <r>
    <x v="21"/>
    <x v="102"/>
    <n v="12331"/>
    <n v="238"/>
    <n v="999"/>
    <s v="1.93"/>
    <s v="0.00"/>
    <s v="98.07"/>
  </r>
  <r>
    <x v="21"/>
    <x v="101"/>
    <n v="636147"/>
    <n v="8441"/>
    <n v="313702"/>
    <s v="1.33"/>
    <s v="0.00"/>
    <s v="98.67"/>
  </r>
  <r>
    <x v="21"/>
    <x v="100"/>
    <n v="33998"/>
    <n v="49"/>
    <n v="20478"/>
    <s v="0.14"/>
    <s v="0.00"/>
    <s v="99.86"/>
  </r>
  <r>
    <x v="21"/>
    <x v="99"/>
    <n v="1003262"/>
    <n v="16835"/>
    <n v="86018"/>
    <s v="1.68"/>
    <s v="0.00"/>
    <s v="98.32"/>
  </r>
  <r>
    <x v="21"/>
    <x v="98"/>
    <n v="412449"/>
    <n v="2459"/>
    <n v="44948"/>
    <s v="0.60"/>
    <s v="0.00"/>
    <s v="99.40"/>
  </r>
  <r>
    <x v="21"/>
    <x v="97"/>
    <n v="348969"/>
    <n v="2725"/>
    <n v="265439"/>
    <s v="0.78"/>
    <s v="0.00"/>
    <s v="99.22"/>
  </r>
  <r>
    <x v="21"/>
    <x v="96"/>
    <n v="2591"/>
    <n v="21"/>
    <n v="1427"/>
    <s v="0.81"/>
    <s v="0.00"/>
    <s v="99.19"/>
  </r>
  <r>
    <x v="21"/>
    <x v="95"/>
    <n v="4197"/>
    <n v="147"/>
    <n v="3470"/>
    <s v="3.50"/>
    <s v="0.00"/>
    <s v="96.50"/>
  </r>
  <r>
    <x v="21"/>
    <x v="93"/>
    <n v="117352"/>
    <n v="2704"/>
    <n v="109053"/>
    <s v="2.30"/>
    <s v="0.00"/>
    <s v="97.70"/>
  </r>
  <r>
    <x v="21"/>
    <x v="94"/>
    <n v="2"/>
    <n v="0"/>
    <n v="2"/>
    <s v="0.00"/>
    <s v="0.00"/>
    <s v="100.00"/>
  </r>
  <r>
    <x v="21"/>
    <x v="92"/>
    <n v="180223"/>
    <n v="2643"/>
    <n v="8764"/>
    <s v="1.47"/>
    <s v="0.00"/>
    <s v="98.53"/>
  </r>
  <r>
    <x v="21"/>
    <x v="91"/>
    <n v="252375"/>
    <n v="5238"/>
    <n v="26722"/>
    <s v="2.08"/>
    <s v="0.00"/>
    <s v="97.92"/>
  </r>
  <r>
    <x v="21"/>
    <x v="90"/>
    <n v="1716858"/>
    <n v="18182"/>
    <n v="530167"/>
    <s v="1.06"/>
    <s v="0.00"/>
    <s v="98.94"/>
  </r>
  <r>
    <x v="21"/>
    <x v="89"/>
    <n v="846033"/>
    <n v="10903"/>
    <n v="809992"/>
    <s v="1.29"/>
    <s v="0.00"/>
    <s v="98.71"/>
  </r>
  <r>
    <x v="21"/>
    <x v="88"/>
    <n v="87797"/>
    <n v="2133"/>
    <n v="69847"/>
    <s v="2.43"/>
    <s v="0.00"/>
    <s v="97.57"/>
  </r>
  <r>
    <x v="21"/>
    <x v="87"/>
    <n v="4729678"/>
    <n v="131724"/>
    <n v="2035586"/>
    <s v="2.79"/>
    <s v="0.00"/>
    <s v="97.21"/>
  </r>
  <r>
    <x v="21"/>
    <x v="86"/>
    <n v="12827"/>
    <n v="33"/>
    <n v="1620"/>
    <s v="0.26"/>
    <s v="0.00"/>
    <s v="99.74"/>
  </r>
  <r>
    <x v="21"/>
    <x v="85"/>
    <n v="5833525"/>
    <n v="124763"/>
    <n v="606783"/>
    <s v="2.14"/>
    <s v="0.00"/>
    <s v="97.86"/>
  </r>
  <r>
    <x v="21"/>
    <x v="84"/>
    <n v="2042117"/>
    <n v="22875"/>
    <n v="418809"/>
    <s v="1.12"/>
    <s v="0.00"/>
    <s v="98.88"/>
  </r>
  <r>
    <x v="21"/>
    <x v="83"/>
    <n v="34143236"/>
    <n v="453042"/>
    <n v="5477734"/>
    <s v="1.33"/>
    <s v="0.00"/>
    <s v="98.67"/>
  </r>
  <r>
    <x v="21"/>
    <x v="82"/>
    <n v="1320962"/>
    <n v="8036"/>
    <n v="1150"/>
    <s v="0.61"/>
    <s v="0.00"/>
    <s v="99.39"/>
  </r>
  <r>
    <x v="21"/>
    <x v="81"/>
    <n v="423260"/>
    <n v="5369"/>
    <n v="98616"/>
    <s v="1.27"/>
    <s v="0.00"/>
    <s v="98.73"/>
  </r>
  <r>
    <x v="21"/>
    <x v="80"/>
    <n v="4237834"/>
    <n v="143120"/>
    <n v="1442874"/>
    <s v="3.38"/>
    <s v="0.00"/>
    <s v="96.62"/>
  </r>
  <r>
    <x v="21"/>
    <x v="79"/>
    <n v="841277"/>
    <n v="30468"/>
    <n v="104294"/>
    <s v="3.62"/>
    <s v="0.00"/>
    <s v="96.38"/>
  </r>
  <r>
    <x v="21"/>
    <x v="78"/>
    <n v="23406"/>
    <n v="658"/>
    <n v="1750"/>
    <s v="2.81"/>
    <s v="0.00"/>
    <s v="97.19"/>
  </r>
  <r>
    <x v="21"/>
    <x v="77"/>
    <n v="436189"/>
    <n v="8968"/>
    <n v="188582"/>
    <s v="2.06"/>
    <s v="0.00"/>
    <s v="97.94"/>
  </r>
  <r>
    <x v="21"/>
    <x v="76"/>
    <n v="373589"/>
    <n v="10170"/>
    <n v="340786"/>
    <s v="2.72"/>
    <s v="0.00"/>
    <s v="97.28"/>
  </r>
  <r>
    <x v="21"/>
    <x v="75"/>
    <n v="12311"/>
    <n v="213"/>
    <n v="7031"/>
    <s v="1.73"/>
    <s v="0.00"/>
    <s v="98.27"/>
  </r>
  <r>
    <x v="21"/>
    <x v="74"/>
    <n v="34800"/>
    <n v="887"/>
    <n v="21483"/>
    <s v="2.55"/>
    <s v="0.00"/>
    <s v="97.45"/>
  </r>
  <r>
    <x v="21"/>
    <x v="73"/>
    <n v="6131"/>
    <n v="141"/>
    <n v="2065"/>
    <s v="2.30"/>
    <s v="0.00"/>
    <s v="97.70"/>
  </r>
  <r>
    <x v="21"/>
    <x v="72"/>
    <n v="591767"/>
    <n v="14566"/>
    <n v="202860"/>
    <s v="2.46"/>
    <s v="0.00"/>
    <s v="97.54"/>
  </r>
  <r>
    <x v="21"/>
    <x v="71"/>
    <n v="707587"/>
    <n v="15519"/>
    <n v="185579"/>
    <s v="2.19"/>
    <s v="0.00"/>
    <s v="97.81"/>
  </r>
  <r>
    <x v="21"/>
    <x v="70"/>
    <n v="13097"/>
    <n v="163"/>
    <n v="10430"/>
    <s v="1.24"/>
    <s v="0.00"/>
    <s v="98.76"/>
  </r>
  <r>
    <x v="21"/>
    <x v="69"/>
    <n v="54095"/>
    <n v="809"/>
    <n v="30391"/>
    <s v="1.50"/>
    <s v="0.00"/>
    <s v="98.50"/>
  </r>
  <r>
    <x v="21"/>
    <x v="67"/>
    <n v="9946"/>
    <n v="339"/>
    <n v="8680"/>
    <s v="3.41"/>
    <s v="0.00"/>
    <s v="96.59"/>
  </r>
  <r>
    <x v="21"/>
    <x v="68"/>
    <n v="30605"/>
    <n v="385"/>
    <n v="6315"/>
    <s v="1.26"/>
    <s v="0.00"/>
    <s v="98.74"/>
  </r>
  <r>
    <x v="21"/>
    <x v="66"/>
    <n v="5824"/>
    <n v="98"/>
    <n v="5096"/>
    <s v="1.68"/>
    <s v="0.00"/>
    <s v="98.32"/>
  </r>
  <r>
    <x v="21"/>
    <x v="65"/>
    <n v="129592"/>
    <n v="1169"/>
    <n v="81212"/>
    <s v="0.90"/>
    <s v="0.00"/>
    <s v="99.10"/>
  </r>
  <r>
    <x v="21"/>
    <x v="64"/>
    <n v="43690"/>
    <n v="297"/>
    <n v="34301"/>
    <s v="0.68"/>
    <s v="0.00"/>
    <s v="99.32"/>
  </r>
  <r>
    <x v="21"/>
    <x v="62"/>
    <n v="5795"/>
    <n v="194"/>
    <n v="1407"/>
    <s v="3.35"/>
    <s v="0.00"/>
    <s v="96.65"/>
  </r>
  <r>
    <x v="21"/>
    <x v="63"/>
    <n v="680182"/>
    <n v="9617"/>
    <n v="512533"/>
    <s v="1.41"/>
    <s v="0.00"/>
    <s v="98.59"/>
  </r>
  <r>
    <x v="21"/>
    <x v="61"/>
    <n v="8675971"/>
    <n v="139464"/>
    <n v="7159830"/>
    <s v="1.61"/>
    <s v="0.00"/>
    <s v="98.39"/>
  </r>
  <r>
    <x v="21"/>
    <x v="60"/>
    <n v="34281"/>
    <n v="219"/>
    <n v="11413"/>
    <s v="0.64"/>
    <s v="0.00"/>
    <s v="99.36"/>
  </r>
  <r>
    <x v="21"/>
    <x v="59"/>
    <n v="6932747"/>
    <n v="115068"/>
    <n v="5794382"/>
    <s v="1.66"/>
    <s v="0.00"/>
    <s v="98.34"/>
  </r>
  <r>
    <x v="21"/>
    <x v="58"/>
    <n v="1410"/>
    <n v="2"/>
    <n v="448"/>
    <s v="0.14"/>
    <s v="0.00"/>
    <s v="99.86"/>
  </r>
  <r>
    <x v="21"/>
    <x v="57"/>
    <n v="51909"/>
    <n v="663"/>
    <n v="29441"/>
    <s v="1.28"/>
    <s v="0.00"/>
    <s v="98.72"/>
  </r>
  <r>
    <x v="21"/>
    <x v="56"/>
    <n v="152707"/>
    <n v="1135"/>
    <n v="101520"/>
    <s v="0.74"/>
    <s v="0.00"/>
    <s v="99.26"/>
  </r>
  <r>
    <x v="21"/>
    <x v="55"/>
    <n v="361027"/>
    <n v="6316"/>
    <n v="222547"/>
    <s v="1.75"/>
    <s v="0.00"/>
    <s v="98.25"/>
  </r>
  <r>
    <x v="21"/>
    <x v="54"/>
    <n v="4995176"/>
    <n v="87102"/>
    <n v="100061"/>
    <s v="1.74"/>
    <s v="0.00"/>
    <s v="98.26"/>
  </r>
  <r>
    <x v="21"/>
    <x v="53"/>
    <n v="6788"/>
    <n v="45"/>
    <n v="423"/>
    <s v="0.66"/>
    <s v="0.00"/>
    <s v="99.34"/>
  </r>
  <r>
    <x v="21"/>
    <x v="52"/>
    <n v="321967"/>
    <n v="18151"/>
    <n v="244818"/>
    <s v="5.64"/>
    <s v="0.00"/>
    <s v="94.36"/>
  </r>
  <r>
    <x v="21"/>
    <x v="51"/>
    <n v="177287"/>
    <n v="1444"/>
    <n v="85173"/>
    <s v="0.81"/>
    <s v="0.00"/>
    <s v="99.19"/>
  </r>
  <r>
    <x v="21"/>
    <x v="50"/>
    <n v="514087"/>
    <n v="32937"/>
    <n v="12273"/>
    <s v="6.41"/>
    <s v="0.00"/>
    <s v="93.59"/>
  </r>
  <r>
    <x v="21"/>
    <x v="49"/>
    <n v="205599"/>
    <n v="5881"/>
    <n v="46859"/>
    <s v="2.86"/>
    <s v="0.00"/>
    <s v="97.14"/>
  </r>
  <r>
    <x v="21"/>
    <x v="48"/>
    <n v="373929"/>
    <n v="4097"/>
    <n v="193818"/>
    <s v="1.10"/>
    <s v="0.00"/>
    <s v="98.90"/>
  </r>
  <r>
    <x v="21"/>
    <x v="47"/>
    <n v="4465"/>
    <n v="30"/>
    <n v="2806"/>
    <s v="0.67"/>
    <s v="0.00"/>
    <s v="99.33"/>
  </r>
  <r>
    <x v="21"/>
    <x v="46"/>
    <n v="373249"/>
    <n v="2696"/>
    <n v="162186"/>
    <s v="0.72"/>
    <s v="0.00"/>
    <s v="99.28"/>
  </r>
  <r>
    <x v="21"/>
    <x v="45"/>
    <n v="13423"/>
    <n v="181"/>
    <n v="8345"/>
    <s v="1.35"/>
    <s v="0.00"/>
    <s v="98.65"/>
  </r>
  <r>
    <x v="21"/>
    <x v="44"/>
    <n v="4447231"/>
    <n v="94995"/>
    <n v="641922"/>
    <s v="2.14"/>
    <s v="0.00"/>
    <s v="97.86"/>
  </r>
  <r>
    <x v="21"/>
    <x v="43"/>
    <n v="1718808"/>
    <n v="30587"/>
    <n v="498664"/>
    <s v="1.78"/>
    <s v="0.00"/>
    <s v="98.22"/>
  </r>
  <r>
    <x v="21"/>
    <x v="42"/>
    <n v="122852"/>
    <n v="567"/>
    <n v="59537"/>
    <s v="0.46"/>
    <s v="0.00"/>
    <s v="99.54"/>
  </r>
  <r>
    <x v="21"/>
    <x v="41"/>
    <n v="38098"/>
    <n v="347"/>
    <n v="17181"/>
    <s v="0.91"/>
    <s v="0.00"/>
    <s v="99.09"/>
  </r>
  <r>
    <x v="21"/>
    <x v="40"/>
    <n v="941562"/>
    <n v="8133"/>
    <n v="109218"/>
    <s v="0.86"/>
    <s v="0.00"/>
    <s v="99.14"/>
  </r>
  <r>
    <x v="21"/>
    <x v="39"/>
    <n v="554604"/>
    <n v="6895"/>
    <n v="396975"/>
    <s v="1.24"/>
    <s v="0.00"/>
    <s v="98.76"/>
  </r>
  <r>
    <x v="21"/>
    <x v="38"/>
    <n v="4986249"/>
    <n v="126959"/>
    <n v="3948557"/>
    <s v="2.55"/>
    <s v="0.00"/>
    <s v="97.45"/>
  </r>
  <r>
    <x v="21"/>
    <x v="37"/>
    <n v="96670"/>
    <n v="4636"/>
    <n v="72750"/>
    <s v="4.80"/>
    <s v="0.00"/>
    <s v="95.20"/>
  </r>
  <r>
    <x v="21"/>
    <x v="36"/>
    <n v="100289"/>
    <n v="1600"/>
    <n v="94543"/>
    <s v="1.60"/>
    <s v="0.00"/>
    <s v="98.40"/>
  </r>
  <r>
    <x v="21"/>
    <x v="35"/>
    <n v="1676019"/>
    <n v="37640"/>
    <n v="1570765"/>
    <s v="2.25"/>
    <s v="0.00"/>
    <s v="97.75"/>
  </r>
  <r>
    <x v="21"/>
    <x v="34"/>
    <n v="61139"/>
    <n v="689"/>
    <n v="25117"/>
    <s v="1.13"/>
    <s v="0.00"/>
    <s v="98.87"/>
  </r>
  <r>
    <x v="21"/>
    <x v="33"/>
    <n v="861123"/>
    <n v="11178"/>
    <n v="741528"/>
    <s v="1.30"/>
    <s v="0.00"/>
    <s v="98.70"/>
  </r>
  <r>
    <x v="21"/>
    <x v="32"/>
    <n v="16408"/>
    <n v="239"/>
    <n v="4565"/>
    <s v="1.46"/>
    <s v="0.00"/>
    <s v="98.54"/>
  </r>
  <r>
    <x v="21"/>
    <x v="31"/>
    <n v="11478"/>
    <n v="100"/>
    <n v="1456"/>
    <s v="0.87"/>
    <s v="0.00"/>
    <s v="99.13"/>
  </r>
  <r>
    <x v="21"/>
    <x v="30"/>
    <n v="57402"/>
    <n v="1091"/>
    <n v="16469"/>
    <s v="1.90"/>
    <s v="0.00"/>
    <s v="98.10"/>
  </r>
  <r>
    <x v="21"/>
    <x v="29"/>
    <n v="1701354"/>
    <n v="28722"/>
    <n v="209885"/>
    <s v="1.69"/>
    <s v="0.00"/>
    <s v="98.31"/>
  </r>
  <r>
    <x v="21"/>
    <x v="28"/>
    <n v="25244"/>
    <n v="473"/>
    <n v="23485"/>
    <s v="1.87"/>
    <s v="0.00"/>
    <s v="98.13"/>
  </r>
  <r>
    <x v="21"/>
    <x v="27"/>
    <n v="580029"/>
    <n v="4466"/>
    <n v="345964"/>
    <s v="0.77"/>
    <s v="0.00"/>
    <s v="99.23"/>
  </r>
  <r>
    <x v="21"/>
    <x v="26"/>
    <n v="184919"/>
    <n v="2396"/>
    <n v="164297"/>
    <s v="1.30"/>
    <s v="0.00"/>
    <s v="98.70"/>
  </r>
  <r>
    <x v="21"/>
    <x v="25"/>
    <n v="2617"/>
    <n v="3"/>
    <n v="2009"/>
    <s v="0.11"/>
    <s v="0.00"/>
    <s v="99.89"/>
  </r>
  <r>
    <x v="21"/>
    <x v="24"/>
    <n v="22154"/>
    <n v="630"/>
    <n v="17228"/>
    <s v="2.84"/>
    <s v="0.00"/>
    <s v="97.16"/>
  </r>
  <r>
    <x v="21"/>
    <x v="23"/>
    <n v="21697341"/>
    <n v="604679"/>
    <n v="3174117"/>
    <s v="2.79"/>
    <s v="0.00"/>
    <s v="97.21"/>
  </r>
  <r>
    <x v="21"/>
    <x v="22"/>
    <n v="508702"/>
    <n v="18891"/>
    <n v="38065"/>
    <s v="3.71"/>
    <s v="0.00"/>
    <s v="96.29"/>
  </r>
  <r>
    <x v="21"/>
    <x v="21"/>
    <n v="11542"/>
    <n v="79"/>
    <n v="3250"/>
    <s v="0.68"/>
    <s v="0.00"/>
    <s v="99.32"/>
  </r>
  <r>
    <x v="21"/>
    <x v="20"/>
    <n v="1659"/>
    <n v="6"/>
    <n v="308"/>
    <s v="0.36"/>
    <s v="0.00"/>
    <s v="99.64"/>
  </r>
  <r>
    <x v="21"/>
    <x v="19"/>
    <n v="24560"/>
    <n v="161"/>
    <n v="10980"/>
    <s v="0.66"/>
    <s v="0.00"/>
    <s v="99.34"/>
  </r>
  <r>
    <x v="21"/>
    <x v="18"/>
    <n v="19867"/>
    <n v="38"/>
    <n v="14159"/>
    <s v="0.19"/>
    <s v="0.00"/>
    <s v="99.81"/>
  </r>
  <r>
    <x v="21"/>
    <x v="17"/>
    <n v="276395"/>
    <n v="1392"/>
    <n v="64804"/>
    <s v="0.50"/>
    <s v="0.00"/>
    <s v="99.50"/>
  </r>
  <r>
    <x v="21"/>
    <x v="16"/>
    <n v="559893"/>
    <n v="22839"/>
    <n v="365840"/>
    <s v="4.08"/>
    <s v="0.00"/>
    <s v="95.92"/>
  </r>
  <r>
    <x v="21"/>
    <x v="15"/>
    <n v="14793"/>
    <n v="214"/>
    <n v="102"/>
    <s v="1.45"/>
    <s v="0.00"/>
    <s v="98.55"/>
  </r>
  <r>
    <x v="21"/>
    <x v="14"/>
    <n v="1305678"/>
    <n v="25835"/>
    <n v="229104"/>
    <s v="1.98"/>
    <s v="0.00"/>
    <s v="98.02"/>
  </r>
  <r>
    <x v="21"/>
    <x v="13"/>
    <n v="1566907"/>
    <n v="27801"/>
    <n v="149629"/>
    <s v="1.77"/>
    <s v="0.00"/>
    <s v="98.23"/>
  </r>
  <r>
    <x v="21"/>
    <x v="12"/>
    <n v="14326"/>
    <n v="124"/>
    <n v="8576"/>
    <s v="0.87"/>
    <s v="0.00"/>
    <s v="99.13"/>
  </r>
  <r>
    <x v="21"/>
    <x v="11"/>
    <n v="247182"/>
    <n v="11283"/>
    <n v="17719"/>
    <s v="4.56"/>
    <s v="0.00"/>
    <s v="95.44"/>
  </r>
  <r>
    <x v="21"/>
    <x v="10"/>
    <n v="509862"/>
    <n v="6829"/>
    <n v="100463"/>
    <s v="1.34"/>
    <s v="0.00"/>
    <s v="98.66"/>
  </r>
  <r>
    <x v="21"/>
    <x v="9"/>
    <n v="154489"/>
    <n v="1611"/>
    <n v="118663"/>
    <s v="1.04"/>
    <s v="0.00"/>
    <s v="98.96"/>
  </r>
  <r>
    <x v="21"/>
    <x v="8"/>
    <n v="787644"/>
    <n v="11220"/>
    <n v="681351"/>
    <s v="1.42"/>
    <s v="0.00"/>
    <s v="98.58"/>
  </r>
  <r>
    <x v="21"/>
    <x v="7"/>
    <n v="5277525"/>
    <n v="115796"/>
    <n v="1011835"/>
    <s v="2.19"/>
    <s v="0.00"/>
    <s v="97.81"/>
  </r>
  <r>
    <x v="21"/>
    <x v="6"/>
    <n v="63567"/>
    <n v="1685"/>
    <n v="51810"/>
    <s v="2.65"/>
    <s v="0.00"/>
    <s v="97.35"/>
  </r>
  <r>
    <x v="21"/>
    <x v="5"/>
    <n v="288906"/>
    <n v="5902"/>
    <n v="203169"/>
    <s v="2.04"/>
    <s v="0.00"/>
    <s v="97.96"/>
  </r>
  <r>
    <x v="21"/>
    <x v="4"/>
    <n v="180029"/>
    <n v="2855"/>
    <n v="150332"/>
    <s v="1.59"/>
    <s v="0.00"/>
    <s v="98.41"/>
  </r>
  <r>
    <x v="21"/>
    <x v="3"/>
    <n v="3984"/>
    <n v="97"/>
    <n v="714"/>
    <s v="2.43"/>
    <s v="0.00"/>
    <s v="97.57"/>
  </r>
  <r>
    <x v="21"/>
    <x v="2"/>
    <n v="155891"/>
    <n v="7249"/>
    <n v="36978"/>
    <s v="4.65"/>
    <s v="0.00"/>
    <s v="95.35"/>
  </r>
  <r>
    <x v="21"/>
    <x v="1"/>
    <n v="739018"/>
    <n v="2126"/>
    <n v="328022"/>
    <s v="0.29"/>
    <s v="0.00"/>
    <s v="99.71"/>
  </r>
  <r>
    <x v="21"/>
    <x v="0"/>
    <n v="15382"/>
    <n v="130"/>
    <n v="8078"/>
    <s v="0.85"/>
    <s v="0.00"/>
    <s v="99.15"/>
  </r>
  <r>
    <x v="22"/>
    <x v="0"/>
    <n v="15382"/>
    <n v="130"/>
    <n v="8448"/>
    <s v="0.85"/>
    <s v="0.00"/>
    <s v="99.15"/>
  </r>
  <r>
    <x v="22"/>
    <x v="1"/>
    <n v="738924"/>
    <n v="2124"/>
    <n v="232068"/>
    <s v="0.29"/>
    <s v="0.00"/>
    <s v="99.71"/>
  </r>
  <r>
    <x v="22"/>
    <x v="2"/>
    <n v="155859"/>
    <n v="7247"/>
    <n v="105915"/>
    <s v="4.65"/>
    <s v="0.00"/>
    <s v="95.35"/>
  </r>
  <r>
    <x v="22"/>
    <x v="3"/>
    <n v="3939"/>
    <n v="97"/>
    <n v="1271"/>
    <s v="2.46"/>
    <s v="0.00"/>
    <s v="97.54"/>
  </r>
  <r>
    <x v="22"/>
    <x v="4"/>
    <n v="179463"/>
    <n v="2849"/>
    <n v="149945"/>
    <s v="1.59"/>
    <s v="0.00"/>
    <s v="98.41"/>
  </r>
  <r>
    <x v="22"/>
    <x v="5"/>
    <n v="286303"/>
    <n v="5870"/>
    <n v="36585"/>
    <s v="2.05"/>
    <s v="0.00"/>
    <s v="97.95"/>
  </r>
  <r>
    <x v="22"/>
    <x v="6"/>
    <n v="63340"/>
    <n v="1682"/>
    <n v="48511"/>
    <s v="2.66"/>
    <s v="0.00"/>
    <s v="97.34"/>
  </r>
  <r>
    <x v="22"/>
    <x v="7"/>
    <n v="5275984"/>
    <n v="115770"/>
    <n v="1792899"/>
    <s v="2.19"/>
    <s v="0.00"/>
    <s v="97.81"/>
  </r>
  <r>
    <x v="22"/>
    <x v="8"/>
    <n v="783996"/>
    <n v="11209"/>
    <n v="134882"/>
    <s v="1.43"/>
    <s v="0.00"/>
    <s v="98.57"/>
  </r>
  <r>
    <x v="22"/>
    <x v="9"/>
    <n v="151942"/>
    <n v="1590"/>
    <n v="44472"/>
    <s v="1.05"/>
    <s v="0.00"/>
    <s v="98.95"/>
  </r>
  <r>
    <x v="22"/>
    <x v="10"/>
    <n v="507857"/>
    <n v="6809"/>
    <n v="492743"/>
    <s v="1.34"/>
    <s v="0.00"/>
    <s v="98.66"/>
  </r>
  <r>
    <x v="22"/>
    <x v="11"/>
    <n v="246555"/>
    <n v="11253"/>
    <n v="235184"/>
    <s v="4.56"/>
    <s v="0.00"/>
    <s v="95.44"/>
  </r>
  <r>
    <x v="22"/>
    <x v="12"/>
    <n v="13934"/>
    <n v="123"/>
    <n v="12681"/>
    <s v="0.88"/>
    <s v="0.00"/>
    <s v="99.12"/>
  </r>
  <r>
    <x v="22"/>
    <x v="13"/>
    <n v="1566664"/>
    <n v="27791"/>
    <n v="799101"/>
    <s v="1.77"/>
    <s v="0.00"/>
    <s v="98.23"/>
  </r>
  <r>
    <x v="22"/>
    <x v="14"/>
    <n v="1299439"/>
    <n v="25816"/>
    <n v="1192306"/>
    <s v="1.99"/>
    <s v="0.00"/>
    <s v="98.01"/>
  </r>
  <r>
    <x v="22"/>
    <x v="15"/>
    <n v="14793"/>
    <n v="214"/>
    <n v="10973"/>
    <s v="1.45"/>
    <s v="0.00"/>
    <s v="98.55"/>
  </r>
  <r>
    <x v="22"/>
    <x v="16"/>
    <n v="555077"/>
    <n v="22719"/>
    <n v="168309"/>
    <s v="4.09"/>
    <s v="0.00"/>
    <s v="95.91"/>
  </r>
  <r>
    <x v="22"/>
    <x v="17"/>
    <n v="276336"/>
    <n v="1392"/>
    <n v="61253"/>
    <s v="0.50"/>
    <s v="0.00"/>
    <s v="99.50"/>
  </r>
  <r>
    <x v="22"/>
    <x v="18"/>
    <n v="19819"/>
    <n v="38"/>
    <n v="16597"/>
    <s v="0.19"/>
    <s v="0.00"/>
    <s v="99.81"/>
  </r>
  <r>
    <x v="22"/>
    <x v="19"/>
    <n v="24560"/>
    <n v="161"/>
    <n v="5885"/>
    <s v="0.66"/>
    <s v="0.00"/>
    <s v="99.34"/>
  </r>
  <r>
    <x v="22"/>
    <x v="20"/>
    <n v="1659"/>
    <n v="6"/>
    <n v="471"/>
    <s v="0.36"/>
    <s v="0.00"/>
    <s v="99.64"/>
  </r>
  <r>
    <x v="22"/>
    <x v="21"/>
    <n v="11386"/>
    <n v="78"/>
    <n v="3159"/>
    <s v="0.69"/>
    <s v="0.00"/>
    <s v="99.31"/>
  </r>
  <r>
    <x v="22"/>
    <x v="22"/>
    <n v="508166"/>
    <n v="18887"/>
    <n v="78324"/>
    <s v="3.72"/>
    <s v="0.00"/>
    <s v="96.28"/>
  </r>
  <r>
    <x v="22"/>
    <x v="23"/>
    <n v="21680488"/>
    <n v="604228"/>
    <n v="19458928"/>
    <s v="2.79"/>
    <s v="0.00"/>
    <s v="97.21"/>
  </r>
  <r>
    <x v="22"/>
    <x v="24"/>
    <n v="22092"/>
    <n v="626"/>
    <n v="7507"/>
    <s v="2.83"/>
    <s v="0.00"/>
    <s v="97.17"/>
  </r>
  <r>
    <x v="22"/>
    <x v="25"/>
    <n v="2617"/>
    <n v="3"/>
    <n v="1491"/>
    <s v="0.11"/>
    <s v="0.00"/>
    <s v="99.89"/>
  </r>
  <r>
    <x v="22"/>
    <x v="26"/>
    <n v="184051"/>
    <n v="2389"/>
    <n v="9142"/>
    <s v="1.30"/>
    <s v="0.00"/>
    <s v="98.70"/>
  </r>
  <r>
    <x v="22"/>
    <x v="27"/>
    <n v="577932"/>
    <n v="4449"/>
    <n v="10037"/>
    <s v="0.77"/>
    <s v="0.00"/>
    <s v="99.23"/>
  </r>
  <r>
    <x v="22"/>
    <x v="28"/>
    <n v="24948"/>
    <n v="471"/>
    <n v="5398"/>
    <s v="1.89"/>
    <s v="0.00"/>
    <s v="98.11"/>
  </r>
  <r>
    <x v="22"/>
    <x v="29"/>
    <n v="1698515"/>
    <n v="28698"/>
    <n v="1288393"/>
    <s v="1.69"/>
    <s v="0.00"/>
    <s v="98.31"/>
  </r>
  <r>
    <x v="22"/>
    <x v="30"/>
    <n v="57402"/>
    <n v="1091"/>
    <n v="45636"/>
    <s v="1.90"/>
    <s v="0.00"/>
    <s v="98.10"/>
  </r>
  <r>
    <x v="22"/>
    <x v="31"/>
    <n v="11478"/>
    <n v="100"/>
    <n v="11195"/>
    <s v="0.87"/>
    <s v="0.00"/>
    <s v="99.13"/>
  </r>
  <r>
    <x v="22"/>
    <x v="32"/>
    <n v="15962"/>
    <n v="231"/>
    <n v="15509"/>
    <s v="1.45"/>
    <s v="0.00"/>
    <s v="98.55"/>
  </r>
  <r>
    <x v="22"/>
    <x v="33"/>
    <n v="859646"/>
    <n v="11173"/>
    <n v="746692"/>
    <s v="1.30"/>
    <s v="0.00"/>
    <s v="98.70"/>
  </r>
  <r>
    <x v="22"/>
    <x v="34"/>
    <n v="61113"/>
    <n v="689"/>
    <n v="7880"/>
    <s v="1.13"/>
    <s v="0.00"/>
    <s v="98.87"/>
  </r>
  <r>
    <x v="22"/>
    <x v="35"/>
    <n v="1674226"/>
    <n v="37628"/>
    <n v="441885"/>
    <s v="2.25"/>
    <s v="0.00"/>
    <s v="97.75"/>
  </r>
  <r>
    <x v="22"/>
    <x v="36"/>
    <n v="100289"/>
    <n v="1600"/>
    <n v="62783"/>
    <s v="1.60"/>
    <s v="0.00"/>
    <s v="98.40"/>
  </r>
  <r>
    <x v="22"/>
    <x v="37"/>
    <n v="96622"/>
    <n v="4636"/>
    <n v="68285"/>
    <s v="4.80"/>
    <s v="0.00"/>
    <s v="95.20"/>
  </r>
  <r>
    <x v="22"/>
    <x v="38"/>
    <n v="4984751"/>
    <n v="126931"/>
    <n v="324712"/>
    <s v="2.55"/>
    <s v="0.00"/>
    <s v="97.45"/>
  </r>
  <r>
    <x v="22"/>
    <x v="39"/>
    <n v="554604"/>
    <n v="6895"/>
    <n v="58069"/>
    <s v="1.24"/>
    <s v="0.00"/>
    <s v="98.76"/>
  </r>
  <r>
    <x v="22"/>
    <x v="40"/>
    <n v="940127"/>
    <n v="8114"/>
    <n v="536962"/>
    <s v="0.86"/>
    <s v="0.00"/>
    <s v="99.14"/>
  </r>
  <r>
    <x v="22"/>
    <x v="41"/>
    <n v="38082"/>
    <n v="347"/>
    <n v="31349"/>
    <s v="0.91"/>
    <s v="0.00"/>
    <s v="99.09"/>
  </r>
  <r>
    <x v="22"/>
    <x v="42"/>
    <n v="122709"/>
    <n v="567"/>
    <n v="28360"/>
    <s v="0.46"/>
    <s v="0.00"/>
    <s v="99.54"/>
  </r>
  <r>
    <x v="22"/>
    <x v="43"/>
    <n v="1715515"/>
    <n v="30574"/>
    <n v="462026"/>
    <s v="1.78"/>
    <s v="0.00"/>
    <s v="98.22"/>
  </r>
  <r>
    <x v="22"/>
    <x v="44"/>
    <n v="4429723"/>
    <n v="94886"/>
    <n v="3568564"/>
    <s v="2.14"/>
    <s v="0.00"/>
    <s v="97.86"/>
  </r>
  <r>
    <x v="22"/>
    <x v="45"/>
    <n v="13423"/>
    <n v="181"/>
    <n v="3327"/>
    <s v="1.35"/>
    <s v="0.00"/>
    <s v="98.65"/>
  </r>
  <r>
    <x v="22"/>
    <x v="46"/>
    <n v="371986"/>
    <n v="2694"/>
    <n v="117827"/>
    <s v="0.72"/>
    <s v="0.00"/>
    <s v="99.28"/>
  </r>
  <r>
    <x v="22"/>
    <x v="47"/>
    <n v="4412"/>
    <n v="30"/>
    <n v="610"/>
    <s v="0.68"/>
    <s v="0.00"/>
    <s v="99.32"/>
  </r>
  <r>
    <x v="22"/>
    <x v="48"/>
    <n v="373040"/>
    <n v="4093"/>
    <n v="221259"/>
    <s v="1.10"/>
    <s v="0.00"/>
    <s v="98.90"/>
  </r>
  <r>
    <x v="22"/>
    <x v="49"/>
    <n v="205529"/>
    <n v="5878"/>
    <n v="154545"/>
    <s v="2.86"/>
    <s v="0.00"/>
    <s v="97.14"/>
  </r>
  <r>
    <x v="22"/>
    <x v="50"/>
    <n v="514087"/>
    <n v="32937"/>
    <n v="424767"/>
    <s v="6.41"/>
    <s v="0.00"/>
    <s v="93.59"/>
  </r>
  <r>
    <x v="22"/>
    <x v="51"/>
    <n v="175782"/>
    <n v="1438"/>
    <n v="115235"/>
    <s v="0.82"/>
    <s v="0.00"/>
    <s v="99.18"/>
  </r>
  <r>
    <x v="22"/>
    <x v="52"/>
    <n v="321084"/>
    <n v="18105"/>
    <n v="173295"/>
    <s v="5.64"/>
    <s v="0.00"/>
    <s v="94.36"/>
  </r>
  <r>
    <x v="22"/>
    <x v="53"/>
    <n v="6780"/>
    <n v="45"/>
    <n v="2248"/>
    <s v="0.66"/>
    <s v="0.00"/>
    <s v="99.34"/>
  </r>
  <r>
    <x v="22"/>
    <x v="54"/>
    <n v="4993295"/>
    <n v="87082"/>
    <n v="2983396"/>
    <s v="1.74"/>
    <s v="0.00"/>
    <s v="98.26"/>
  </r>
  <r>
    <x v="22"/>
    <x v="55"/>
    <n v="360503"/>
    <n v="6287"/>
    <n v="46197"/>
    <s v="1.74"/>
    <s v="0.00"/>
    <s v="98.26"/>
  </r>
  <r>
    <x v="22"/>
    <x v="56"/>
    <n v="152099"/>
    <n v="1133"/>
    <n v="111750"/>
    <s v="0.74"/>
    <s v="0.00"/>
    <s v="99.26"/>
  </r>
  <r>
    <x v="22"/>
    <x v="57"/>
    <n v="51909"/>
    <n v="663"/>
    <n v="8174"/>
    <s v="1.28"/>
    <s v="0.00"/>
    <s v="98.72"/>
  </r>
  <r>
    <x v="22"/>
    <x v="58"/>
    <n v="1350"/>
    <n v="2"/>
    <n v="196"/>
    <s v="0.15"/>
    <s v="0.00"/>
    <s v="99.85"/>
  </r>
  <r>
    <x v="22"/>
    <x v="59"/>
    <n v="6926734"/>
    <n v="115031"/>
    <n v="1380885"/>
    <s v="1.66"/>
    <s v="0.00"/>
    <s v="98.34"/>
  </r>
  <r>
    <x v="22"/>
    <x v="60"/>
    <n v="34281"/>
    <n v="219"/>
    <n v="2555"/>
    <s v="0.64"/>
    <s v="0.00"/>
    <s v="99.36"/>
  </r>
  <r>
    <x v="22"/>
    <x v="61"/>
    <n v="8624273"/>
    <n v="139346"/>
    <n v="4469543"/>
    <s v="1.62"/>
    <s v="0.00"/>
    <s v="98.38"/>
  </r>
  <r>
    <x v="22"/>
    <x v="63"/>
    <n v="675771"/>
    <n v="9588"/>
    <n v="511150"/>
    <s v="1.42"/>
    <s v="0.00"/>
    <s v="98.58"/>
  </r>
  <r>
    <x v="22"/>
    <x v="62"/>
    <n v="5790"/>
    <n v="193"/>
    <n v="594"/>
    <s v="3.33"/>
    <s v="0.00"/>
    <s v="96.67"/>
  </r>
  <r>
    <x v="22"/>
    <x v="64"/>
    <n v="43690"/>
    <n v="297"/>
    <n v="36752"/>
    <s v="0.68"/>
    <s v="0.00"/>
    <s v="99.32"/>
  </r>
  <r>
    <x v="22"/>
    <x v="65"/>
    <n v="129592"/>
    <n v="1169"/>
    <n v="94106"/>
    <s v="0.90"/>
    <s v="0.00"/>
    <s v="99.10"/>
  </r>
  <r>
    <x v="22"/>
    <x v="66"/>
    <n v="5803"/>
    <n v="98"/>
    <n v="2185"/>
    <s v="1.69"/>
    <s v="0.00"/>
    <s v="98.31"/>
  </r>
  <r>
    <x v="22"/>
    <x v="68"/>
    <n v="30605"/>
    <n v="385"/>
    <n v="6090"/>
    <s v="1.26"/>
    <s v="0.00"/>
    <s v="98.74"/>
  </r>
  <r>
    <x v="22"/>
    <x v="67"/>
    <n v="9946"/>
    <n v="339"/>
    <n v="5756"/>
    <s v="3.41"/>
    <s v="0.00"/>
    <s v="96.59"/>
  </r>
  <r>
    <x v="22"/>
    <x v="69"/>
    <n v="54095"/>
    <n v="809"/>
    <n v="17691"/>
    <s v="1.50"/>
    <s v="0.00"/>
    <s v="98.50"/>
  </r>
  <r>
    <x v="22"/>
    <x v="70"/>
    <n v="13097"/>
    <n v="163"/>
    <n v="7970"/>
    <s v="1.24"/>
    <s v="0.00"/>
    <s v="98.76"/>
  </r>
  <r>
    <x v="22"/>
    <x v="71"/>
    <n v="704211"/>
    <n v="15485"/>
    <n v="591767"/>
    <s v="2.20"/>
    <s v="0.00"/>
    <s v="97.80"/>
  </r>
  <r>
    <x v="22"/>
    <x v="72"/>
    <n v="591460"/>
    <n v="14515"/>
    <n v="246175"/>
    <s v="2.45"/>
    <s v="0.00"/>
    <s v="97.55"/>
  </r>
  <r>
    <x v="22"/>
    <x v="73"/>
    <n v="6131"/>
    <n v="141"/>
    <n v="193"/>
    <s v="2.30"/>
    <s v="0.00"/>
    <s v="97.70"/>
  </r>
  <r>
    <x v="22"/>
    <x v="74"/>
    <n v="34726"/>
    <n v="881"/>
    <n v="23074"/>
    <s v="2.54"/>
    <s v="0.00"/>
    <s v="97.46"/>
  </r>
  <r>
    <x v="22"/>
    <x v="75"/>
    <n v="12305"/>
    <n v="213"/>
    <n v="9590"/>
    <s v="1.73"/>
    <s v="0.00"/>
    <s v="98.27"/>
  </r>
  <r>
    <x v="22"/>
    <x v="76"/>
    <n v="373206"/>
    <n v="10147"/>
    <n v="95924"/>
    <s v="2.72"/>
    <s v="0.00"/>
    <s v="97.28"/>
  </r>
  <r>
    <x v="22"/>
    <x v="77"/>
    <n v="433136"/>
    <n v="8951"/>
    <n v="181735"/>
    <s v="2.07"/>
    <s v="0.00"/>
    <s v="97.93"/>
  </r>
  <r>
    <x v="22"/>
    <x v="78"/>
    <n v="23406"/>
    <n v="658"/>
    <n v="4689"/>
    <s v="2.81"/>
    <s v="0.00"/>
    <s v="97.19"/>
  </r>
  <r>
    <x v="22"/>
    <x v="79"/>
    <n v="838916"/>
    <n v="30448"/>
    <n v="668228"/>
    <s v="3.63"/>
    <s v="0.00"/>
    <s v="96.37"/>
  </r>
  <r>
    <x v="22"/>
    <x v="80"/>
    <n v="4237201"/>
    <n v="143077"/>
    <n v="80858"/>
    <s v="3.38"/>
    <s v="0.00"/>
    <s v="96.62"/>
  </r>
  <r>
    <x v="22"/>
    <x v="81"/>
    <n v="421234"/>
    <n v="5369"/>
    <n v="226724"/>
    <s v="1.27"/>
    <s v="0.00"/>
    <s v="98.73"/>
  </r>
  <r>
    <x v="22"/>
    <x v="82"/>
    <n v="1319902"/>
    <n v="8029"/>
    <n v="191338"/>
    <s v="0.61"/>
    <s v="0.00"/>
    <s v="99.39"/>
  </r>
  <r>
    <x v="22"/>
    <x v="83"/>
    <n v="34127450"/>
    <n v="452811"/>
    <n v="27513363"/>
    <s v="1.33"/>
    <s v="0.00"/>
    <s v="98.67"/>
  </r>
  <r>
    <x v="22"/>
    <x v="84"/>
    <n v="2040235"/>
    <n v="22836"/>
    <n v="1441670"/>
    <s v="1.12"/>
    <s v="0.00"/>
    <s v="98.88"/>
  </r>
  <r>
    <x v="22"/>
    <x v="85"/>
    <n v="5821737"/>
    <n v="124585"/>
    <n v="5061943"/>
    <s v="2.14"/>
    <s v="0.00"/>
    <s v="97.86"/>
  </r>
  <r>
    <x v="22"/>
    <x v="86"/>
    <n v="12775"/>
    <n v="33"/>
    <n v="1979"/>
    <s v="0.26"/>
    <s v="0.00"/>
    <s v="99.74"/>
  </r>
  <r>
    <x v="22"/>
    <x v="87"/>
    <n v="4725887"/>
    <n v="131688"/>
    <n v="1549570"/>
    <s v="2.79"/>
    <s v="0.00"/>
    <s v="97.21"/>
  </r>
  <r>
    <x v="22"/>
    <x v="88"/>
    <n v="87723"/>
    <n v="2129"/>
    <n v="20002"/>
    <s v="2.43"/>
    <s v="0.00"/>
    <s v="97.57"/>
  </r>
  <r>
    <x v="22"/>
    <x v="89"/>
    <n v="846033"/>
    <n v="10903"/>
    <n v="521522"/>
    <s v="1.29"/>
    <s v="0.00"/>
    <s v="98.71"/>
  </r>
  <r>
    <x v="22"/>
    <x v="90"/>
    <n v="1716508"/>
    <n v="18166"/>
    <n v="1032145"/>
    <s v="1.06"/>
    <s v="0.00"/>
    <s v="98.94"/>
  </r>
  <r>
    <x v="22"/>
    <x v="91"/>
    <n v="252308"/>
    <n v="5238"/>
    <n v="92427"/>
    <s v="2.08"/>
    <s v="0.00"/>
    <s v="97.92"/>
  </r>
  <r>
    <x v="22"/>
    <x v="92"/>
    <n v="180109"/>
    <n v="2641"/>
    <n v="40091"/>
    <s v="1.47"/>
    <s v="0.00"/>
    <s v="98.53"/>
  </r>
  <r>
    <x v="22"/>
    <x v="94"/>
    <n v="2"/>
    <n v="0"/>
    <n v="0"/>
    <s v="0.00"/>
    <s v="0.00"/>
    <s v="100.00"/>
  </r>
  <r>
    <x v="22"/>
    <x v="93"/>
    <n v="117201"/>
    <n v="2693"/>
    <n v="29978"/>
    <s v="2.30"/>
    <s v="0.00"/>
    <s v="97.70"/>
  </r>
  <r>
    <x v="22"/>
    <x v="95"/>
    <n v="4194"/>
    <n v="147"/>
    <n v="821"/>
    <s v="3.51"/>
    <s v="0.00"/>
    <s v="96.49"/>
  </r>
  <r>
    <x v="22"/>
    <x v="96"/>
    <n v="2589"/>
    <n v="21"/>
    <n v="1768"/>
    <s v="0.81"/>
    <s v="0.00"/>
    <s v="99.19"/>
  </r>
  <r>
    <x v="22"/>
    <x v="97"/>
    <n v="347529"/>
    <n v="2709"/>
    <n v="65631"/>
    <s v="0.78"/>
    <s v="0.00"/>
    <s v="99.22"/>
  </r>
  <r>
    <x v="22"/>
    <x v="98"/>
    <n v="412424"/>
    <n v="2458"/>
    <n v="195730"/>
    <s v="0.60"/>
    <s v="0.00"/>
    <s v="99.40"/>
  </r>
  <r>
    <x v="22"/>
    <x v="99"/>
    <n v="1001369"/>
    <n v="16794"/>
    <n v="455369"/>
    <s v="1.68"/>
    <s v="0.00"/>
    <s v="98.32"/>
  </r>
  <r>
    <x v="22"/>
    <x v="100"/>
    <n v="33606"/>
    <n v="47"/>
    <n v="13662"/>
    <s v="0.14"/>
    <s v="0.00"/>
    <s v="99.86"/>
  </r>
  <r>
    <x v="22"/>
    <x v="101"/>
    <n v="635447"/>
    <n v="8438"/>
    <n v="332839"/>
    <s v="1.33"/>
    <s v="0.00"/>
    <s v="98.67"/>
  </r>
  <r>
    <x v="22"/>
    <x v="102"/>
    <n v="12313"/>
    <n v="237"/>
    <n v="7827"/>
    <s v="1.92"/>
    <s v="0.00"/>
    <s v="98.08"/>
  </r>
  <r>
    <x v="22"/>
    <x v="103"/>
    <n v="3610"/>
    <n v="60"/>
    <n v="269"/>
    <s v="1.66"/>
    <s v="0.00"/>
    <s v="98.34"/>
  </r>
  <r>
    <x v="22"/>
    <x v="104"/>
    <n v="533305"/>
    <n v="13543"/>
    <n v="367374"/>
    <s v="2.54"/>
    <s v="0.00"/>
    <s v="97.46"/>
  </r>
  <r>
    <x v="22"/>
    <x v="105"/>
    <n v="5808"/>
    <n v="286"/>
    <n v="5222"/>
    <s v="4.92"/>
    <s v="0.00"/>
    <s v="95.08"/>
  </r>
  <r>
    <x v="22"/>
    <x v="106"/>
    <n v="21566"/>
    <n v="655"/>
    <n v="1845"/>
    <s v="3.04"/>
    <s v="0.00"/>
    <s v="96.96"/>
  </r>
  <r>
    <x v="22"/>
    <x v="107"/>
    <n v="376089"/>
    <n v="5511"/>
    <n v="321375"/>
    <s v="1.47"/>
    <s v="0.00"/>
    <s v="98.53"/>
  </r>
  <r>
    <x v="22"/>
    <x v="108"/>
    <n v="80331"/>
    <n v="842"/>
    <n v="21960"/>
    <s v="1.05"/>
    <s v="0.00"/>
    <s v="98.95"/>
  </r>
  <r>
    <x v="22"/>
    <x v="109"/>
    <n v="191321"/>
    <n v="2944"/>
    <n v="104518"/>
    <s v="1.54"/>
    <s v="0.00"/>
    <s v="98.46"/>
  </r>
  <r>
    <x v="22"/>
    <x v="110"/>
    <n v="351756"/>
    <n v="4945"/>
    <n v="18035"/>
    <s v="1.41"/>
    <s v="0.00"/>
    <s v="98.59"/>
  </r>
  <r>
    <x v="22"/>
    <x v="111"/>
    <n v="942967"/>
    <n v="14580"/>
    <n v="513540"/>
    <s v="1.55"/>
    <s v="0.00"/>
    <s v="98.45"/>
  </r>
  <r>
    <x v="22"/>
    <x v="112"/>
    <n v="3382"/>
    <n v="35"/>
    <n v="569"/>
    <s v="1.03"/>
    <s v="0.00"/>
    <s v="98.97"/>
  </r>
  <r>
    <x v="22"/>
    <x v="113"/>
    <n v="321682"/>
    <n v="7346"/>
    <n v="274846"/>
    <s v="2.28"/>
    <s v="0.00"/>
    <s v="97.72"/>
  </r>
  <r>
    <x v="22"/>
    <x v="114"/>
    <n v="139066"/>
    <n v="2050"/>
    <n v="42219"/>
    <s v="1.47"/>
    <s v="0.00"/>
    <s v="98.53"/>
  </r>
  <r>
    <x v="22"/>
    <x v="115"/>
    <n v="3888"/>
    <n v="55"/>
    <n v="2506"/>
    <s v="1.41"/>
    <s v="0.00"/>
    <s v="98.59"/>
  </r>
  <r>
    <x v="22"/>
    <x v="116"/>
    <n v="43622"/>
    <n v="960"/>
    <n v="27750"/>
    <s v="2.20"/>
    <s v="0.00"/>
    <s v="97.80"/>
  </r>
  <r>
    <x v="22"/>
    <x v="117"/>
    <n v="4"/>
    <n v="0"/>
    <n v="1"/>
    <s v="0.00"/>
    <s v="0.00"/>
    <s v="100.00"/>
  </r>
  <r>
    <x v="22"/>
    <x v="118"/>
    <n v="198156"/>
    <n v="6998"/>
    <n v="118031"/>
    <s v="3.53"/>
    <s v="0.00"/>
    <s v="96.47"/>
  </r>
  <r>
    <x v="22"/>
    <x v="119"/>
    <n v="15697"/>
    <n v="558"/>
    <n v="13528"/>
    <s v="3.55"/>
    <s v="0.00"/>
    <s v="96.45"/>
  </r>
  <r>
    <x v="22"/>
    <x v="120"/>
    <n v="490901"/>
    <n v="18444"/>
    <n v="42982"/>
    <s v="3.76"/>
    <s v="0.00"/>
    <s v="96.24"/>
  </r>
  <r>
    <x v="22"/>
    <x v="121"/>
    <n v="344736"/>
    <n v="1607"/>
    <n v="294979"/>
    <s v="0.47"/>
    <s v="0.00"/>
    <s v="99.53"/>
  </r>
  <r>
    <x v="22"/>
    <x v="122"/>
    <n v="77"/>
    <n v="0"/>
    <n v="55"/>
    <s v="0.00"/>
    <s v="0.00"/>
    <s v="100.00"/>
  </r>
  <r>
    <x v="22"/>
    <x v="123"/>
    <n v="42634"/>
    <n v="670"/>
    <n v="6740"/>
    <s v="1.57"/>
    <s v="0.00"/>
    <s v="98.43"/>
  </r>
  <r>
    <x v="22"/>
    <x v="124"/>
    <n v="36783"/>
    <n v="791"/>
    <n v="6775"/>
    <s v="2.15"/>
    <s v="0.00"/>
    <s v="97.85"/>
  </r>
  <r>
    <x v="22"/>
    <x v="125"/>
    <n v="37506"/>
    <n v="459"/>
    <n v="24103"/>
    <s v="1.22"/>
    <s v="0.00"/>
    <s v="98.78"/>
  </r>
  <r>
    <x v="22"/>
    <x v="126"/>
    <n v="16805"/>
    <n v="141"/>
    <n v="3972"/>
    <s v="0.84"/>
    <s v="0.00"/>
    <s v="99.16"/>
  </r>
  <r>
    <x v="22"/>
    <x v="127"/>
    <n v="86419"/>
    <n v="239"/>
    <n v="9620"/>
    <s v="0.28"/>
    <s v="0.00"/>
    <s v="99.72"/>
  </r>
  <r>
    <x v="22"/>
    <x v="128"/>
    <n v="61738"/>
    <n v="2296"/>
    <n v="52266"/>
    <s v="3.72"/>
    <s v="0.00"/>
    <s v="96.28"/>
  </r>
  <r>
    <x v="22"/>
    <x v="129"/>
    <n v="3767758"/>
    <n v="285347"/>
    <n v="3245089"/>
    <s v="7.57"/>
    <s v="0.00"/>
    <s v="92.43"/>
  </r>
  <r>
    <x v="22"/>
    <x v="130"/>
    <n v="2407382"/>
    <n v="28138"/>
    <n v="1637511"/>
    <s v="1.17"/>
    <s v="0.00"/>
    <s v="98.83"/>
  </r>
  <r>
    <x v="22"/>
    <x v="131"/>
    <n v="151157"/>
    <n v="1927"/>
    <n v="59203"/>
    <s v="1.27"/>
    <s v="0.00"/>
    <s v="98.73"/>
  </r>
  <r>
    <x v="22"/>
    <x v="132"/>
    <n v="128395"/>
    <n v="3543"/>
    <n v="37038"/>
    <s v="2.76"/>
    <s v="0.00"/>
    <s v="97.24"/>
  </r>
  <r>
    <x v="22"/>
    <x v="133"/>
    <n v="10213"/>
    <n v="245"/>
    <n v="5750"/>
    <s v="2.40"/>
    <s v="0.00"/>
    <s v="97.60"/>
  </r>
  <r>
    <x v="22"/>
    <x v="134"/>
    <n v="6203"/>
    <n v="205"/>
    <n v="5193"/>
    <s v="3.30"/>
    <s v="0.00"/>
    <s v="96.70"/>
  </r>
  <r>
    <x v="22"/>
    <x v="135"/>
    <n v="209713"/>
    <n v="2840"/>
    <n v="123333"/>
    <s v="1.35"/>
    <s v="0.00"/>
    <s v="98.65"/>
  </r>
  <r>
    <x v="22"/>
    <x v="136"/>
    <n v="16241"/>
    <n v="207"/>
    <n v="2849"/>
    <s v="1.27"/>
    <s v="0.00"/>
    <s v="98.73"/>
  </r>
  <r>
    <x v="22"/>
    <x v="137"/>
    <n v="2099103"/>
    <n v="18709"/>
    <n v="157681"/>
    <s v="0.89"/>
    <s v="0.00"/>
    <s v="99.11"/>
  </r>
  <r>
    <x v="22"/>
    <x v="138"/>
    <n v="198161"/>
    <n v="893"/>
    <n v="185097"/>
    <s v="0.45"/>
    <s v="0.00"/>
    <s v="99.55"/>
  </r>
  <r>
    <x v="22"/>
    <x v="139"/>
    <n v="807052"/>
    <n v="11318"/>
    <n v="551155"/>
    <s v="1.40"/>
    <s v="0.00"/>
    <s v="98.60"/>
  </r>
  <r>
    <x v="22"/>
    <x v="140"/>
    <n v="5316"/>
    <n v="28"/>
    <n v="4253"/>
    <s v="0.53"/>
    <s v="0.00"/>
    <s v="99.47"/>
  </r>
  <r>
    <x v="22"/>
    <x v="141"/>
    <n v="304101"/>
    <n v="4107"/>
    <n v="263199"/>
    <s v="1.35"/>
    <s v="0.00"/>
    <s v="98.65"/>
  </r>
  <r>
    <x v="22"/>
    <x v="142"/>
    <n v="470855"/>
    <n v="7300"/>
    <n v="200338"/>
    <s v="1.55"/>
    <s v="0.00"/>
    <s v="98.45"/>
  </r>
  <r>
    <x v="22"/>
    <x v="143"/>
    <n v="2192205"/>
    <n v="199945"/>
    <n v="1851503"/>
    <s v="9.12"/>
    <s v="0.00"/>
    <s v="90.88"/>
  </r>
  <r>
    <x v="22"/>
    <x v="144"/>
    <n v="45439"/>
    <n v="635"/>
    <n v="29934"/>
    <s v="1.40"/>
    <s v="0.00"/>
    <s v="98.60"/>
  </r>
  <r>
    <x v="22"/>
    <x v="145"/>
    <n v="25769"/>
    <n v="312"/>
    <n v="15828"/>
    <s v="1.21"/>
    <s v="0.00"/>
    <s v="98.79"/>
  </r>
  <r>
    <x v="22"/>
    <x v="147"/>
    <n v="1266826"/>
    <n v="28328"/>
    <n v="749340"/>
    <s v="2.24"/>
    <s v="0.00"/>
    <s v="97.76"/>
  </r>
  <r>
    <x v="22"/>
    <x v="146"/>
    <n v="2735369"/>
    <n v="40977"/>
    <n v="791249"/>
    <s v="1.50"/>
    <s v="0.00"/>
    <s v="98.50"/>
  </r>
  <r>
    <x v="22"/>
    <x v="148"/>
    <n v="2950616"/>
    <n v="76254"/>
    <n v="2015008"/>
    <s v="2.58"/>
    <s v="0.00"/>
    <s v="97.42"/>
  </r>
  <r>
    <x v="22"/>
    <x v="149"/>
    <n v="449705"/>
    <n v="4599"/>
    <n v="128892"/>
    <s v="1.02"/>
    <s v="0.00"/>
    <s v="98.98"/>
  </r>
  <r>
    <x v="22"/>
    <x v="150"/>
    <n v="1081856"/>
    <n v="18109"/>
    <n v="258570"/>
    <s v="1.67"/>
    <s v="0.00"/>
    <s v="98.33"/>
  </r>
  <r>
    <x v="22"/>
    <x v="151"/>
    <n v="8"/>
    <n v="0"/>
    <n v="8"/>
    <s v="0.00"/>
    <s v="0.00"/>
    <s v="100.00"/>
  </r>
  <r>
    <x v="22"/>
    <x v="152"/>
    <n v="460615"/>
    <n v="16228"/>
    <n v="436789"/>
    <s v="3.52"/>
    <s v="0.00"/>
    <s v="96.48"/>
  </r>
  <r>
    <x v="22"/>
    <x v="153"/>
    <n v="238165"/>
    <n v="608"/>
    <n v="178616"/>
    <s v="0.26"/>
    <s v="0.00"/>
    <s v="99.74"/>
  </r>
  <r>
    <x v="22"/>
    <x v="154"/>
    <n v="54024"/>
    <n v="370"/>
    <n v="3256"/>
    <s v="0.68"/>
    <s v="0.00"/>
    <s v="99.32"/>
  </r>
  <r>
    <x v="22"/>
    <x v="155"/>
    <n v="1503422"/>
    <n v="43039"/>
    <n v="1330341"/>
    <s v="2.86"/>
    <s v="0.00"/>
    <s v="97.14"/>
  </r>
  <r>
    <x v="22"/>
    <x v="156"/>
    <n v="1070705"/>
    <n v="9272"/>
    <n v="291321"/>
    <s v="0.87"/>
    <s v="0.00"/>
    <s v="99.13"/>
  </r>
  <r>
    <x v="22"/>
    <x v="157"/>
    <n v="7969960"/>
    <n v="222320"/>
    <n v="4480157"/>
    <s v="2.79"/>
    <s v="0.00"/>
    <s v="97.21"/>
  </r>
  <r>
    <x v="22"/>
    <x v="158"/>
    <n v="99252"/>
    <n v="1314"/>
    <n v="4867"/>
    <s v="1.32"/>
    <s v="0.00"/>
    <s v="98.68"/>
  </r>
  <r>
    <x v="22"/>
    <x v="159"/>
    <n v="548065"/>
    <n v="8770"/>
    <n v="118237"/>
    <s v="1.60"/>
    <s v="0.00"/>
    <s v="98.40"/>
  </r>
  <r>
    <x v="22"/>
    <x v="160"/>
    <n v="20"/>
    <n v="0"/>
    <n v="1"/>
    <s v="0.00"/>
    <s v="0.00"/>
    <s v="100.00"/>
  </r>
  <r>
    <x v="22"/>
    <x v="161"/>
    <n v="22039"/>
    <n v="119"/>
    <n v="14639"/>
    <s v="0.54"/>
    <s v="0.00"/>
    <s v="99.46"/>
  </r>
  <r>
    <x v="22"/>
    <x v="162"/>
    <n v="39839"/>
    <n v="3038"/>
    <n v="26054"/>
    <s v="7.63"/>
    <s v="0.00"/>
    <s v="92.37"/>
  </r>
  <r>
    <x v="22"/>
    <x v="163"/>
    <n v="1164402"/>
    <n v="14985"/>
    <n v="61131"/>
    <s v="1.29"/>
    <s v="0.00"/>
    <s v="98.71"/>
  </r>
  <r>
    <x v="22"/>
    <x v="164"/>
    <n v="158587"/>
    <n v="264"/>
    <n v="109286"/>
    <s v="0.17"/>
    <s v="0.00"/>
    <s v="99.83"/>
  </r>
  <r>
    <x v="22"/>
    <x v="165"/>
    <n v="312316"/>
    <n v="4654"/>
    <n v="140817"/>
    <s v="1.49"/>
    <s v="0.00"/>
    <s v="98.51"/>
  </r>
  <r>
    <x v="22"/>
    <x v="166"/>
    <n v="443214"/>
    <n v="12872"/>
    <n v="157661"/>
    <s v="2.90"/>
    <s v="0.00"/>
    <s v="97.10"/>
  </r>
  <r>
    <x v="22"/>
    <x v="167"/>
    <n v="6397"/>
    <n v="121"/>
    <n v="5018"/>
    <s v="1.89"/>
    <s v="0.00"/>
    <s v="98.11"/>
  </r>
  <r>
    <x v="22"/>
    <x v="168"/>
    <n v="5481"/>
    <n v="91"/>
    <n v="4252"/>
    <s v="1.66"/>
    <s v="0.00"/>
    <s v="98.34"/>
  </r>
  <r>
    <x v="22"/>
    <x v="169"/>
    <n v="73875"/>
    <n v="1873"/>
    <n v="39859"/>
    <s v="2.54"/>
    <s v="0.00"/>
    <s v="97.46"/>
  </r>
  <r>
    <x v="22"/>
    <x v="170"/>
    <n v="21269"/>
    <n v="1180"/>
    <n v="15906"/>
    <s v="5.55"/>
    <s v="0.00"/>
    <s v="94.45"/>
  </r>
  <r>
    <x v="22"/>
    <x v="171"/>
    <n v="47477"/>
    <n v="1044"/>
    <n v="19766"/>
    <s v="2.20"/>
    <s v="0.00"/>
    <s v="97.80"/>
  </r>
  <r>
    <x v="22"/>
    <x v="173"/>
    <n v="3687"/>
    <n v="56"/>
    <n v="3083"/>
    <s v="1.52"/>
    <s v="0.00"/>
    <s v="98.48"/>
  </r>
  <r>
    <x v="22"/>
    <x v="172"/>
    <n v="12270"/>
    <n v="133"/>
    <n v="11448"/>
    <s v="1.08"/>
    <s v="0.00"/>
    <s v="98.92"/>
  </r>
  <r>
    <x v="22"/>
    <x v="174"/>
    <n v="110188"/>
    <n v="3520"/>
    <n v="101799"/>
    <s v="3.19"/>
    <s v="0.00"/>
    <s v="96.81"/>
  </r>
  <r>
    <x v="22"/>
    <x v="175"/>
    <n v="40294"/>
    <n v="2457"/>
    <n v="34747"/>
    <s v="6.10"/>
    <s v="0.00"/>
    <s v="93.90"/>
  </r>
  <r>
    <x v="22"/>
    <x v="176"/>
    <n v="46376"/>
    <n v="1236"/>
    <n v="28603"/>
    <s v="2.67"/>
    <s v="0.00"/>
    <s v="97.33"/>
  </r>
  <r>
    <x v="22"/>
    <x v="177"/>
    <n v="5069"/>
    <n v="174"/>
    <n v="1396"/>
    <s v="3.43"/>
    <s v="0.00"/>
    <s v="96.57"/>
  </r>
  <r>
    <x v="22"/>
    <x v="178"/>
    <n v="25936"/>
    <n v="240"/>
    <n v="19122"/>
    <s v="0.93"/>
    <s v="0.00"/>
    <s v="99.07"/>
  </r>
  <r>
    <x v="22"/>
    <x v="179"/>
    <n v="1811852"/>
    <n v="18486"/>
    <n v="902632"/>
    <s v="1.02"/>
    <s v="0.00"/>
    <s v="98.98"/>
  </r>
  <r>
    <x v="22"/>
    <x v="180"/>
    <n v="17484"/>
    <n v="125"/>
    <n v="10605"/>
    <s v="0.71"/>
    <s v="0.00"/>
    <s v="99.29"/>
  </r>
  <r>
    <x v="22"/>
    <x v="181"/>
    <n v="19746"/>
    <n v="120"/>
    <n v="5746"/>
    <s v="0.61"/>
    <s v="0.00"/>
    <s v="99.39"/>
  </r>
  <r>
    <x v="22"/>
    <x v="182"/>
    <n v="711164"/>
    <n v="25121"/>
    <n v="340864"/>
    <s v="3.53"/>
    <s v="0.00"/>
    <s v="96.47"/>
  </r>
  <r>
    <x v="22"/>
    <x v="184"/>
    <n v="7744109"/>
    <n v="68274"/>
    <n v="5192280"/>
    <s v="0.88"/>
    <s v="0.00"/>
    <s v="99.12"/>
  </r>
  <r>
    <x v="22"/>
    <x v="185"/>
    <n v="54623"/>
    <n v="1621"/>
    <n v="26436"/>
    <s v="2.97"/>
    <s v="0.00"/>
    <s v="97.03"/>
  </r>
  <r>
    <x v="22"/>
    <x v="186"/>
    <n v="16347"/>
    <n v="846"/>
    <n v="3673"/>
    <s v="5.18"/>
    <s v="0.00"/>
    <s v="94.82"/>
  </r>
  <r>
    <x v="22"/>
    <x v="187"/>
    <n v="26034"/>
    <n v="724"/>
    <n v="21772"/>
    <s v="2.78"/>
    <s v="0.00"/>
    <s v="97.22"/>
  </r>
  <r>
    <x v="22"/>
    <x v="188"/>
    <n v="2804050"/>
    <n v="65876"/>
    <n v="1928087"/>
    <s v="2.35"/>
    <s v="0.00"/>
    <s v="97.65"/>
  </r>
  <r>
    <x v="22"/>
    <x v="189"/>
    <n v="125364"/>
    <n v="3188"/>
    <n v="80001"/>
    <s v="2.54"/>
    <s v="0.00"/>
    <s v="97.46"/>
  </r>
  <r>
    <x v="22"/>
    <x v="190"/>
    <n v="45220898"/>
    <n v="731649"/>
    <n v="17652766"/>
    <s v="1.62"/>
    <s v="0.00"/>
    <s v="98.38"/>
  </r>
  <r>
    <x v="22"/>
    <x v="191"/>
    <n v="391522"/>
    <n v="6069"/>
    <n v="349596"/>
    <s v="1.55"/>
    <s v="0.00"/>
    <s v="98.45"/>
  </r>
  <r>
    <x v="22"/>
    <x v="192"/>
    <n v="182060"/>
    <n v="1295"/>
    <n v="180384"/>
    <s v="0.71"/>
    <s v="0.00"/>
    <s v="99.29"/>
  </r>
  <r>
    <x v="22"/>
    <x v="194"/>
    <n v="4729"/>
    <n v="56"/>
    <n v="2139"/>
    <s v="1.18"/>
    <s v="0.00"/>
    <s v="98.82"/>
  </r>
  <r>
    <x v="22"/>
    <x v="193"/>
    <n v="27"/>
    <n v="0"/>
    <n v="24"/>
    <s v="0.00"/>
    <s v="0.00"/>
    <s v="100.00"/>
  </r>
  <r>
    <x v="22"/>
    <x v="195"/>
    <n v="396477"/>
    <n v="4763"/>
    <n v="379551"/>
    <s v="1.20"/>
    <s v="0.00"/>
    <s v="98.80"/>
  </r>
  <r>
    <x v="22"/>
    <x v="196"/>
    <n v="873901"/>
    <n v="21416"/>
    <n v="209339"/>
    <s v="2.45"/>
    <s v="0.00"/>
    <s v="97.55"/>
  </r>
  <r>
    <x v="22"/>
    <x v="197"/>
    <n v="4"/>
    <n v="1"/>
    <n v="1"/>
    <s v="25.00"/>
    <s v="0.00"/>
    <s v="75.00"/>
  </r>
  <r>
    <x v="22"/>
    <x v="198"/>
    <n v="3"/>
    <n v="0"/>
    <n v="0"/>
    <s v="0.00"/>
    <s v="0.00"/>
    <s v="100.00"/>
  </r>
  <r>
    <x v="22"/>
    <x v="199"/>
    <n v="160572"/>
    <n v="2974"/>
    <n v="141474"/>
    <s v="1.85"/>
    <s v="0.00"/>
    <s v="98.15"/>
  </r>
  <r>
    <x v="22"/>
    <x v="200"/>
    <n v="9596"/>
    <n v="1821"/>
    <n v="1913"/>
    <s v="18.98"/>
    <s v="0.00"/>
    <s v="81.02"/>
  </r>
  <r>
    <x v="22"/>
    <x v="201"/>
    <n v="20464"/>
    <n v="182"/>
    <n v="734"/>
    <s v="0.89"/>
    <s v="0.00"/>
    <s v="99.11"/>
  </r>
  <r>
    <x v="22"/>
    <x v="202"/>
    <n v="2917846"/>
    <n v="88754"/>
    <n v="2782881"/>
    <s v="3.04"/>
    <s v="0.00"/>
    <s v="96.96"/>
  </r>
  <r>
    <x v="22"/>
    <x v="203"/>
    <n v="209571"/>
    <n v="3658"/>
    <n v="11230"/>
    <s v="1.75"/>
    <s v="0.00"/>
    <s v="98.25"/>
  </r>
  <r>
    <x v="22"/>
    <x v="204"/>
    <n v="132437"/>
    <n v="4659"/>
    <n v="78591"/>
    <s v="3.52"/>
    <s v="0.00"/>
    <s v="96.48"/>
  </r>
  <r>
    <x v="22"/>
    <x v="205"/>
    <n v="721"/>
    <n v="15"/>
    <n v="220"/>
    <s v="2.08"/>
    <s v="0.00"/>
    <s v="97.92"/>
  </r>
  <r>
    <x v="23"/>
    <x v="205"/>
    <n v="721"/>
    <n v="15"/>
    <n v="280"/>
    <s v="2.08"/>
    <s v="0.00"/>
    <s v="97.92"/>
  </r>
  <r>
    <x v="23"/>
    <x v="204"/>
    <n v="132405"/>
    <n v="4659"/>
    <n v="33870"/>
    <s v="3.52"/>
    <s v="0.00"/>
    <s v="96.48"/>
  </r>
  <r>
    <x v="23"/>
    <x v="203"/>
    <n v="209549"/>
    <n v="3658"/>
    <n v="196851"/>
    <s v="1.75"/>
    <s v="0.00"/>
    <s v="98.25"/>
  </r>
  <r>
    <x v="23"/>
    <x v="202"/>
    <n v="2917255"/>
    <n v="88674"/>
    <n v="1961488"/>
    <s v="3.04"/>
    <s v="0.00"/>
    <s v="96.96"/>
  </r>
  <r>
    <x v="23"/>
    <x v="201"/>
    <n v="20439"/>
    <n v="181"/>
    <n v="11058"/>
    <s v="0.89"/>
    <s v="0.00"/>
    <s v="99.11"/>
  </r>
  <r>
    <x v="23"/>
    <x v="200"/>
    <n v="9575"/>
    <n v="1813"/>
    <n v="6005"/>
    <s v="18.93"/>
    <s v="0.00"/>
    <s v="81.07"/>
  </r>
  <r>
    <x v="23"/>
    <x v="199"/>
    <n v="160558"/>
    <n v="2974"/>
    <n v="32716"/>
    <s v="1.85"/>
    <s v="0.00"/>
    <s v="98.15"/>
  </r>
  <r>
    <x v="23"/>
    <x v="198"/>
    <n v="3"/>
    <n v="0"/>
    <n v="1"/>
    <s v="0.00"/>
    <s v="0.00"/>
    <s v="100.00"/>
  </r>
  <r>
    <x v="23"/>
    <x v="197"/>
    <n v="4"/>
    <n v="1"/>
    <n v="3"/>
    <s v="25.00"/>
    <s v="0.00"/>
    <s v="75.00"/>
  </r>
  <r>
    <x v="23"/>
    <x v="196"/>
    <n v="870255"/>
    <n v="21344"/>
    <n v="643570"/>
    <s v="2.45"/>
    <s v="0.00"/>
    <s v="97.55"/>
  </r>
  <r>
    <x v="23"/>
    <x v="195"/>
    <n v="395223"/>
    <n v="4748"/>
    <n v="283837"/>
    <s v="1.20"/>
    <s v="0.00"/>
    <s v="98.80"/>
  </r>
  <r>
    <x v="23"/>
    <x v="193"/>
    <n v="27"/>
    <n v="0"/>
    <n v="10"/>
    <s v="0.00"/>
    <s v="0.00"/>
    <s v="100.00"/>
  </r>
  <r>
    <x v="23"/>
    <x v="194"/>
    <n v="4637"/>
    <n v="54"/>
    <n v="981"/>
    <s v="1.16"/>
    <s v="0.00"/>
    <s v="98.84"/>
  </r>
  <r>
    <x v="23"/>
    <x v="192"/>
    <n v="181654"/>
    <n v="1292"/>
    <n v="75774"/>
    <s v="0.71"/>
    <s v="0.00"/>
    <s v="99.29"/>
  </r>
  <r>
    <x v="23"/>
    <x v="191"/>
    <n v="391358"/>
    <n v="6069"/>
    <n v="131736"/>
    <s v="1.55"/>
    <s v="0.00"/>
    <s v="98.45"/>
  </r>
  <r>
    <x v="23"/>
    <x v="190"/>
    <n v="45132148"/>
    <n v="728531"/>
    <n v="8380924"/>
    <s v="1.61"/>
    <s v="0.00"/>
    <s v="98.39"/>
  </r>
  <r>
    <x v="23"/>
    <x v="189"/>
    <n v="125283"/>
    <n v="3187"/>
    <n v="75950"/>
    <s v="2.54"/>
    <s v="0.00"/>
    <s v="97.46"/>
  </r>
  <r>
    <x v="23"/>
    <x v="188"/>
    <n v="2784227"/>
    <n v="65359"/>
    <n v="219482"/>
    <s v="2.35"/>
    <s v="0.00"/>
    <s v="97.65"/>
  </r>
  <r>
    <x v="23"/>
    <x v="187"/>
    <n v="26034"/>
    <n v="724"/>
    <n v="16873"/>
    <s v="2.78"/>
    <s v="0.00"/>
    <s v="97.22"/>
  </r>
  <r>
    <x v="23"/>
    <x v="186"/>
    <n v="16343"/>
    <n v="846"/>
    <n v="492"/>
    <s v="5.18"/>
    <s v="0.00"/>
    <s v="94.82"/>
  </r>
  <r>
    <x v="23"/>
    <x v="185"/>
    <n v="54405"/>
    <n v="1613"/>
    <n v="9461"/>
    <s v="2.96"/>
    <s v="0.00"/>
    <s v="97.04"/>
  </r>
  <r>
    <x v="23"/>
    <x v="184"/>
    <n v="7714349"/>
    <n v="68060"/>
    <n v="6395365"/>
    <s v="0.88"/>
    <s v="0.00"/>
    <s v="99.12"/>
  </r>
  <r>
    <x v="23"/>
    <x v="182"/>
    <n v="711007"/>
    <n v="25103"/>
    <n v="491646"/>
    <s v="3.53"/>
    <s v="0.00"/>
    <s v="96.47"/>
  </r>
  <r>
    <x v="23"/>
    <x v="181"/>
    <n v="19730"/>
    <n v="120"/>
    <n v="15912"/>
    <s v="0.61"/>
    <s v="0.00"/>
    <s v="99.39"/>
  </r>
  <r>
    <x v="23"/>
    <x v="180"/>
    <n v="17484"/>
    <n v="125"/>
    <n v="9576"/>
    <s v="0.71"/>
    <s v="0.00"/>
    <s v="99.29"/>
  </r>
  <r>
    <x v="23"/>
    <x v="179"/>
    <n v="1802934"/>
    <n v="18407"/>
    <n v="1215279"/>
    <s v="1.02"/>
    <s v="0.00"/>
    <s v="98.98"/>
  </r>
  <r>
    <x v="23"/>
    <x v="178"/>
    <n v="25926"/>
    <n v="240"/>
    <n v="5374"/>
    <s v="0.93"/>
    <s v="0.00"/>
    <s v="99.07"/>
  </r>
  <r>
    <x v="23"/>
    <x v="177"/>
    <n v="5069"/>
    <n v="174"/>
    <n v="4276"/>
    <s v="3.43"/>
    <s v="0.00"/>
    <s v="96.57"/>
  </r>
  <r>
    <x v="23"/>
    <x v="176"/>
    <n v="46372"/>
    <n v="1236"/>
    <n v="4657"/>
    <s v="2.67"/>
    <s v="0.00"/>
    <s v="97.33"/>
  </r>
  <r>
    <x v="23"/>
    <x v="175"/>
    <n v="39902"/>
    <n v="2446"/>
    <n v="20474"/>
    <s v="6.13"/>
    <s v="0.00"/>
    <s v="93.87"/>
  </r>
  <r>
    <x v="23"/>
    <x v="174"/>
    <n v="110188"/>
    <n v="3505"/>
    <n v="95559"/>
    <s v="3.18"/>
    <s v="0.00"/>
    <s v="96.82"/>
  </r>
  <r>
    <x v="23"/>
    <x v="172"/>
    <n v="12250"/>
    <n v="130"/>
    <n v="9355"/>
    <s v="1.06"/>
    <s v="0.00"/>
    <s v="98.94"/>
  </r>
  <r>
    <x v="23"/>
    <x v="173"/>
    <n v="3685"/>
    <n v="56"/>
    <n v="3458"/>
    <s v="1.52"/>
    <s v="0.00"/>
    <s v="98.48"/>
  </r>
  <r>
    <x v="23"/>
    <x v="171"/>
    <n v="47284"/>
    <n v="1040"/>
    <n v="44477"/>
    <s v="2.20"/>
    <s v="0.00"/>
    <s v="97.80"/>
  </r>
  <r>
    <x v="23"/>
    <x v="170"/>
    <n v="21269"/>
    <n v="1180"/>
    <n v="10198"/>
    <s v="5.55"/>
    <s v="0.00"/>
    <s v="94.45"/>
  </r>
  <r>
    <x v="23"/>
    <x v="169"/>
    <n v="73875"/>
    <n v="1872"/>
    <n v="18431"/>
    <s v="2.53"/>
    <s v="0.00"/>
    <s v="97.47"/>
  </r>
  <r>
    <x v="23"/>
    <x v="168"/>
    <n v="5479"/>
    <n v="91"/>
    <n v="840"/>
    <s v="1.66"/>
    <s v="0.00"/>
    <s v="98.34"/>
  </r>
  <r>
    <x v="23"/>
    <x v="167"/>
    <n v="6397"/>
    <n v="121"/>
    <n v="1627"/>
    <s v="1.89"/>
    <s v="0.00"/>
    <s v="98.11"/>
  </r>
  <r>
    <x v="23"/>
    <x v="166"/>
    <n v="439735"/>
    <n v="12864"/>
    <n v="405555"/>
    <s v="2.93"/>
    <s v="0.00"/>
    <s v="97.07"/>
  </r>
  <r>
    <x v="23"/>
    <x v="165"/>
    <n v="310170"/>
    <n v="4645"/>
    <n v="94296"/>
    <s v="1.50"/>
    <s v="0.00"/>
    <s v="98.50"/>
  </r>
  <r>
    <x v="23"/>
    <x v="164"/>
    <n v="154725"/>
    <n v="246"/>
    <n v="124515"/>
    <s v="0.16"/>
    <s v="0.00"/>
    <s v="99.84"/>
  </r>
  <r>
    <x v="23"/>
    <x v="163"/>
    <n v="1163595"/>
    <n v="14963"/>
    <n v="608179"/>
    <s v="1.29"/>
    <s v="0.00"/>
    <s v="98.71"/>
  </r>
  <r>
    <x v="23"/>
    <x v="162"/>
    <n v="39839"/>
    <n v="3038"/>
    <n v="27196"/>
    <s v="7.63"/>
    <s v="0.00"/>
    <s v="92.37"/>
  </r>
  <r>
    <x v="23"/>
    <x v="161"/>
    <n v="21991"/>
    <n v="119"/>
    <n v="20487"/>
    <s v="0.54"/>
    <s v="0.00"/>
    <s v="99.46"/>
  </r>
  <r>
    <x v="23"/>
    <x v="160"/>
    <n v="20"/>
    <n v="0"/>
    <n v="0"/>
    <s v="0.00"/>
    <s v="0.00"/>
    <s v="100.00"/>
  </r>
  <r>
    <x v="23"/>
    <x v="159"/>
    <n v="548018"/>
    <n v="8767"/>
    <n v="271388"/>
    <s v="1.60"/>
    <s v="0.00"/>
    <s v="98.40"/>
  </r>
  <r>
    <x v="23"/>
    <x v="158"/>
    <n v="99213"/>
    <n v="1314"/>
    <n v="8357"/>
    <s v="1.32"/>
    <s v="0.00"/>
    <s v="98.68"/>
  </r>
  <r>
    <x v="23"/>
    <x v="157"/>
    <n v="7936798"/>
    <n v="221314"/>
    <n v="5599366"/>
    <s v="2.79"/>
    <s v="0.00"/>
    <s v="97.21"/>
  </r>
  <r>
    <x v="23"/>
    <x v="156"/>
    <n v="1062960"/>
    <n v="9214"/>
    <n v="388396"/>
    <s v="0.87"/>
    <s v="0.00"/>
    <s v="99.13"/>
  </r>
  <r>
    <x v="23"/>
    <x v="155"/>
    <n v="1486264"/>
    <n v="42616"/>
    <n v="717363"/>
    <s v="2.87"/>
    <s v="0.00"/>
    <s v="97.13"/>
  </r>
  <r>
    <x v="23"/>
    <x v="154"/>
    <n v="54024"/>
    <n v="370"/>
    <n v="38207"/>
    <s v="0.68"/>
    <s v="0.00"/>
    <s v="99.32"/>
  </r>
  <r>
    <x v="23"/>
    <x v="153"/>
    <n v="238079"/>
    <n v="608"/>
    <n v="35987"/>
    <s v="0.26"/>
    <s v="0.00"/>
    <s v="99.74"/>
  </r>
  <r>
    <x v="23"/>
    <x v="152"/>
    <n v="460582"/>
    <n v="16228"/>
    <n v="392767"/>
    <s v="3.52"/>
    <s v="0.00"/>
    <s v="96.48"/>
  </r>
  <r>
    <x v="23"/>
    <x v="151"/>
    <n v="8"/>
    <n v="0"/>
    <n v="1"/>
    <s v="0.00"/>
    <s v="0.00"/>
    <s v="100.00"/>
  </r>
  <r>
    <x v="23"/>
    <x v="150"/>
    <n v="1080929"/>
    <n v="18106"/>
    <n v="767347"/>
    <s v="1.68"/>
    <s v="0.00"/>
    <s v="98.32"/>
  </r>
  <r>
    <x v="23"/>
    <x v="149"/>
    <n v="449031"/>
    <n v="4590"/>
    <n v="123699"/>
    <s v="1.02"/>
    <s v="0.00"/>
    <s v="98.98"/>
  </r>
  <r>
    <x v="23"/>
    <x v="148"/>
    <n v="2945056"/>
    <n v="76179"/>
    <n v="217436"/>
    <s v="2.59"/>
    <s v="0.00"/>
    <s v="97.41"/>
  </r>
  <r>
    <x v="23"/>
    <x v="146"/>
    <n v="2731735"/>
    <n v="40972"/>
    <n v="2331639"/>
    <s v="1.50"/>
    <s v="0.00"/>
    <s v="98.50"/>
  </r>
  <r>
    <x v="23"/>
    <x v="147"/>
    <n v="1266204"/>
    <n v="28312"/>
    <n v="326618"/>
    <s v="2.24"/>
    <s v="0.00"/>
    <s v="97.76"/>
  </r>
  <r>
    <x v="23"/>
    <x v="145"/>
    <n v="25356"/>
    <n v="312"/>
    <n v="6708"/>
    <s v="1.23"/>
    <s v="0.00"/>
    <s v="98.77"/>
  </r>
  <r>
    <x v="23"/>
    <x v="144"/>
    <n v="45439"/>
    <n v="635"/>
    <n v="40325"/>
    <s v="1.40"/>
    <s v="0.00"/>
    <s v="98.60"/>
  </r>
  <r>
    <x v="23"/>
    <x v="143"/>
    <n v="2191171"/>
    <n v="199928"/>
    <n v="1072486"/>
    <s v="9.12"/>
    <s v="0.00"/>
    <s v="90.88"/>
  </r>
  <r>
    <x v="23"/>
    <x v="142"/>
    <n v="470395"/>
    <n v="7294"/>
    <n v="325184"/>
    <s v="1.55"/>
    <s v="0.00"/>
    <s v="98.45"/>
  </r>
  <r>
    <x v="23"/>
    <x v="141"/>
    <n v="304066"/>
    <n v="4106"/>
    <n v="2962"/>
    <s v="1.35"/>
    <s v="0.00"/>
    <s v="98.65"/>
  </r>
  <r>
    <x v="23"/>
    <x v="140"/>
    <n v="5214"/>
    <n v="28"/>
    <n v="2566"/>
    <s v="0.54"/>
    <s v="0.00"/>
    <s v="99.46"/>
  </r>
  <r>
    <x v="23"/>
    <x v="139"/>
    <n v="806517"/>
    <n v="11305"/>
    <n v="552971"/>
    <s v="1.40"/>
    <s v="0.00"/>
    <s v="98.60"/>
  </r>
  <r>
    <x v="23"/>
    <x v="138"/>
    <n v="197504"/>
    <n v="884"/>
    <n v="39730"/>
    <s v="0.45"/>
    <s v="0.00"/>
    <s v="99.55"/>
  </r>
  <r>
    <x v="23"/>
    <x v="137"/>
    <n v="2094470"/>
    <n v="18698"/>
    <n v="1944616"/>
    <s v="0.89"/>
    <s v="0.00"/>
    <s v="99.11"/>
  </r>
  <r>
    <x v="23"/>
    <x v="136"/>
    <n v="16241"/>
    <n v="207"/>
    <n v="9262"/>
    <s v="1.27"/>
    <s v="0.00"/>
    <s v="98.73"/>
  </r>
  <r>
    <x v="23"/>
    <x v="135"/>
    <n v="209546"/>
    <n v="2838"/>
    <n v="186706"/>
    <s v="1.35"/>
    <s v="0.00"/>
    <s v="98.65"/>
  </r>
  <r>
    <x v="23"/>
    <x v="134"/>
    <n v="6193"/>
    <n v="205"/>
    <n v="2280"/>
    <s v="3.31"/>
    <s v="0.00"/>
    <s v="96.69"/>
  </r>
  <r>
    <x v="23"/>
    <x v="133"/>
    <n v="10163"/>
    <n v="243"/>
    <n v="6736"/>
    <s v="2.39"/>
    <s v="0.00"/>
    <s v="97.61"/>
  </r>
  <r>
    <x v="23"/>
    <x v="132"/>
    <n v="128377"/>
    <n v="3540"/>
    <n v="121661"/>
    <s v="2.76"/>
    <s v="0.00"/>
    <s v="97.24"/>
  </r>
  <r>
    <x v="23"/>
    <x v="131"/>
    <n v="151136"/>
    <n v="1927"/>
    <n v="34525"/>
    <s v="1.28"/>
    <s v="0.00"/>
    <s v="98.72"/>
  </r>
  <r>
    <x v="23"/>
    <x v="130"/>
    <n v="2401866"/>
    <n v="28062"/>
    <n v="901503"/>
    <s v="1.17"/>
    <s v="0.00"/>
    <s v="98.83"/>
  </r>
  <r>
    <x v="23"/>
    <x v="129"/>
    <n v="3762689"/>
    <n v="284925"/>
    <n v="1357649"/>
    <s v="7.57"/>
    <s v="0.00"/>
    <s v="92.43"/>
  </r>
  <r>
    <x v="23"/>
    <x v="128"/>
    <n v="61732"/>
    <n v="2295"/>
    <n v="47267"/>
    <s v="3.72"/>
    <s v="0.00"/>
    <s v="96.28"/>
  </r>
  <r>
    <x v="23"/>
    <x v="127"/>
    <n v="86324"/>
    <n v="239"/>
    <n v="9088"/>
    <s v="0.28"/>
    <s v="0.00"/>
    <s v="99.72"/>
  </r>
  <r>
    <x v="23"/>
    <x v="126"/>
    <n v="16805"/>
    <n v="141"/>
    <n v="228"/>
    <s v="0.84"/>
    <s v="0.00"/>
    <s v="99.16"/>
  </r>
  <r>
    <x v="23"/>
    <x v="125"/>
    <n v="37486"/>
    <n v="459"/>
    <n v="6106"/>
    <s v="1.22"/>
    <s v="0.00"/>
    <s v="98.78"/>
  </r>
  <r>
    <x v="23"/>
    <x v="124"/>
    <n v="36759"/>
    <n v="790"/>
    <n v="33095"/>
    <s v="2.15"/>
    <s v="0.00"/>
    <s v="97.85"/>
  </r>
  <r>
    <x v="23"/>
    <x v="123"/>
    <n v="42543"/>
    <n v="668"/>
    <n v="3017"/>
    <s v="1.57"/>
    <s v="0.00"/>
    <s v="98.43"/>
  </r>
  <r>
    <x v="23"/>
    <x v="122"/>
    <n v="77"/>
    <n v="0"/>
    <n v="13"/>
    <s v="0.00"/>
    <s v="0.00"/>
    <s v="100.00"/>
  </r>
  <r>
    <x v="23"/>
    <x v="121"/>
    <n v="342992"/>
    <n v="1591"/>
    <n v="154688"/>
    <s v="0.46"/>
    <s v="0.00"/>
    <s v="99.54"/>
  </r>
  <r>
    <x v="23"/>
    <x v="120"/>
    <n v="490008"/>
    <n v="18416"/>
    <n v="160588"/>
    <s v="3.76"/>
    <s v="0.00"/>
    <s v="96.24"/>
  </r>
  <r>
    <x v="23"/>
    <x v="119"/>
    <n v="15674"/>
    <n v="558"/>
    <n v="6843"/>
    <s v="3.56"/>
    <s v="0.00"/>
    <s v="96.44"/>
  </r>
  <r>
    <x v="23"/>
    <x v="118"/>
    <n v="197669"/>
    <n v="6978"/>
    <n v="85225"/>
    <s v="3.53"/>
    <s v="0.00"/>
    <s v="96.47"/>
  </r>
  <r>
    <x v="23"/>
    <x v="117"/>
    <n v="4"/>
    <n v="0"/>
    <n v="1"/>
    <s v="0.00"/>
    <s v="0.00"/>
    <s v="100.00"/>
  </r>
  <r>
    <x v="23"/>
    <x v="116"/>
    <n v="43622"/>
    <n v="960"/>
    <n v="10062"/>
    <s v="2.20"/>
    <s v="0.00"/>
    <s v="97.80"/>
  </r>
  <r>
    <x v="23"/>
    <x v="115"/>
    <n v="3888"/>
    <n v="55"/>
    <n v="2800"/>
    <s v="1.41"/>
    <s v="0.00"/>
    <s v="98.59"/>
  </r>
  <r>
    <x v="23"/>
    <x v="114"/>
    <n v="138607"/>
    <n v="2042"/>
    <n v="17034"/>
    <s v="1.47"/>
    <s v="0.00"/>
    <s v="98.53"/>
  </r>
  <r>
    <x v="23"/>
    <x v="113"/>
    <n v="319614"/>
    <n v="7309"/>
    <n v="112116"/>
    <s v="2.29"/>
    <s v="0.00"/>
    <s v="97.71"/>
  </r>
  <r>
    <x v="23"/>
    <x v="112"/>
    <n v="3378"/>
    <n v="35"/>
    <n v="2186"/>
    <s v="1.04"/>
    <s v="0.00"/>
    <s v="98.96"/>
  </r>
  <r>
    <x v="23"/>
    <x v="111"/>
    <n v="942779"/>
    <n v="14566"/>
    <n v="662587"/>
    <s v="1.55"/>
    <s v="0.00"/>
    <s v="98.45"/>
  </r>
  <r>
    <x v="23"/>
    <x v="110"/>
    <n v="351224"/>
    <n v="4924"/>
    <n v="142168"/>
    <s v="1.40"/>
    <s v="0.00"/>
    <s v="98.60"/>
  </r>
  <r>
    <x v="23"/>
    <x v="109"/>
    <n v="188722"/>
    <n v="2920"/>
    <n v="119421"/>
    <s v="1.55"/>
    <s v="0.00"/>
    <s v="98.45"/>
  </r>
  <r>
    <x v="23"/>
    <x v="108"/>
    <n v="80085"/>
    <n v="840"/>
    <n v="15670"/>
    <s v="1.05"/>
    <s v="0.00"/>
    <s v="98.95"/>
  </r>
  <r>
    <x v="23"/>
    <x v="107"/>
    <n v="372585"/>
    <n v="5489"/>
    <n v="310100"/>
    <s v="1.47"/>
    <s v="0.00"/>
    <s v="98.53"/>
  </r>
  <r>
    <x v="23"/>
    <x v="106"/>
    <n v="21557"/>
    <n v="655"/>
    <n v="11095"/>
    <s v="3.04"/>
    <s v="0.00"/>
    <s v="96.96"/>
  </r>
  <r>
    <x v="23"/>
    <x v="105"/>
    <n v="5807"/>
    <n v="286"/>
    <n v="2124"/>
    <s v="4.93"/>
    <s v="0.00"/>
    <s v="95.07"/>
  </r>
  <r>
    <x v="23"/>
    <x v="104"/>
    <n v="532766"/>
    <n v="13525"/>
    <n v="88376"/>
    <s v="2.54"/>
    <s v="0.00"/>
    <s v="97.46"/>
  </r>
  <r>
    <x v="23"/>
    <x v="103"/>
    <n v="3606"/>
    <n v="60"/>
    <n v="2388"/>
    <s v="1.66"/>
    <s v="0.00"/>
    <s v="98.34"/>
  </r>
  <r>
    <x v="23"/>
    <x v="102"/>
    <n v="12280"/>
    <n v="237"/>
    <n v="9700"/>
    <s v="1.93"/>
    <s v="0.00"/>
    <s v="98.07"/>
  </r>
  <r>
    <x v="23"/>
    <x v="101"/>
    <n v="634669"/>
    <n v="8434"/>
    <n v="395015"/>
    <s v="1.33"/>
    <s v="0.00"/>
    <s v="98.67"/>
  </r>
  <r>
    <x v="23"/>
    <x v="100"/>
    <n v="32971"/>
    <n v="45"/>
    <n v="24547"/>
    <s v="0.14"/>
    <s v="0.00"/>
    <s v="99.86"/>
  </r>
  <r>
    <x v="23"/>
    <x v="99"/>
    <n v="999374"/>
    <n v="16766"/>
    <n v="266512"/>
    <s v="1.68"/>
    <s v="0.00"/>
    <s v="98.32"/>
  </r>
  <r>
    <x v="23"/>
    <x v="98"/>
    <n v="412403"/>
    <n v="2458"/>
    <n v="155204"/>
    <s v="0.60"/>
    <s v="0.00"/>
    <s v="99.40"/>
  </r>
  <r>
    <x v="23"/>
    <x v="97"/>
    <n v="346088"/>
    <n v="2698"/>
    <n v="103571"/>
    <s v="0.78"/>
    <s v="0.00"/>
    <s v="99.22"/>
  </r>
  <r>
    <x v="23"/>
    <x v="96"/>
    <n v="2574"/>
    <n v="21"/>
    <n v="1261"/>
    <s v="0.82"/>
    <s v="0.00"/>
    <s v="99.18"/>
  </r>
  <r>
    <x v="23"/>
    <x v="95"/>
    <n v="4191"/>
    <n v="147"/>
    <n v="2579"/>
    <s v="3.51"/>
    <s v="0.00"/>
    <s v="96.49"/>
  </r>
  <r>
    <x v="23"/>
    <x v="93"/>
    <n v="117035"/>
    <n v="2681"/>
    <n v="46317"/>
    <s v="2.29"/>
    <s v="0.00"/>
    <s v="97.71"/>
  </r>
  <r>
    <x v="23"/>
    <x v="94"/>
    <n v="2"/>
    <n v="0"/>
    <n v="1"/>
    <s v="0.00"/>
    <s v="0.00"/>
    <s v="100.00"/>
  </r>
  <r>
    <x v="23"/>
    <x v="92"/>
    <n v="180006"/>
    <n v="2638"/>
    <n v="157653"/>
    <s v="1.47"/>
    <s v="0.00"/>
    <s v="98.53"/>
  </r>
  <r>
    <x v="23"/>
    <x v="90"/>
    <n v="1716117"/>
    <n v="18156"/>
    <n v="298955"/>
    <s v="1.06"/>
    <s v="0.00"/>
    <s v="98.94"/>
  </r>
  <r>
    <x v="23"/>
    <x v="91"/>
    <n v="252199"/>
    <n v="5233"/>
    <n v="3185"/>
    <s v="2.07"/>
    <s v="0.00"/>
    <s v="97.93"/>
  </r>
  <r>
    <x v="23"/>
    <x v="89"/>
    <n v="844801"/>
    <n v="10895"/>
    <n v="587467"/>
    <s v="1.29"/>
    <s v="0.00"/>
    <s v="98.71"/>
  </r>
  <r>
    <x v="23"/>
    <x v="88"/>
    <n v="87667"/>
    <n v="2123"/>
    <n v="65281"/>
    <s v="2.42"/>
    <s v="0.00"/>
    <s v="97.58"/>
  </r>
  <r>
    <x v="23"/>
    <x v="87"/>
    <n v="4722188"/>
    <n v="131655"/>
    <n v="3391650"/>
    <s v="2.79"/>
    <s v="0.00"/>
    <s v="97.21"/>
  </r>
  <r>
    <x v="23"/>
    <x v="86"/>
    <n v="12703"/>
    <n v="33"/>
    <n v="390"/>
    <s v="0.26"/>
    <s v="0.00"/>
    <s v="99.74"/>
  </r>
  <r>
    <x v="23"/>
    <x v="85"/>
    <n v="5809967"/>
    <n v="124423"/>
    <n v="4410533"/>
    <s v="2.14"/>
    <s v="0.00"/>
    <s v="97.86"/>
  </r>
  <r>
    <x v="23"/>
    <x v="84"/>
    <n v="2038847"/>
    <n v="22810"/>
    <n v="1137266"/>
    <s v="1.12"/>
    <s v="0.00"/>
    <s v="98.88"/>
  </r>
  <r>
    <x v="23"/>
    <x v="83"/>
    <n v="34108996"/>
    <n v="452651"/>
    <n v="22351026"/>
    <s v="1.33"/>
    <s v="0.00"/>
    <s v="98.67"/>
  </r>
  <r>
    <x v="23"/>
    <x v="82"/>
    <n v="1319001"/>
    <n v="8021"/>
    <n v="125035"/>
    <s v="0.61"/>
    <s v="0.00"/>
    <s v="99.39"/>
  </r>
  <r>
    <x v="23"/>
    <x v="81"/>
    <n v="419087"/>
    <n v="5306"/>
    <n v="360043"/>
    <s v="1.27"/>
    <s v="0.00"/>
    <s v="98.73"/>
  </r>
  <r>
    <x v="23"/>
    <x v="80"/>
    <n v="4236287"/>
    <n v="143049"/>
    <n v="2303097"/>
    <s v="3.38"/>
    <s v="0.00"/>
    <s v="96.62"/>
  </r>
  <r>
    <x v="23"/>
    <x v="79"/>
    <n v="837248"/>
    <n v="30418"/>
    <n v="230380"/>
    <s v="3.63"/>
    <s v="0.00"/>
    <s v="96.37"/>
  </r>
  <r>
    <x v="23"/>
    <x v="78"/>
    <n v="23324"/>
    <n v="658"/>
    <n v="5968"/>
    <s v="2.82"/>
    <s v="0.00"/>
    <s v="97.18"/>
  </r>
  <r>
    <x v="23"/>
    <x v="77"/>
    <n v="429974"/>
    <n v="8928"/>
    <n v="239085"/>
    <s v="2.08"/>
    <s v="0.00"/>
    <s v="97.92"/>
  </r>
  <r>
    <x v="23"/>
    <x v="76"/>
    <n v="373206"/>
    <n v="10147"/>
    <n v="74148"/>
    <s v="2.72"/>
    <s v="0.00"/>
    <s v="97.28"/>
  </r>
  <r>
    <x v="23"/>
    <x v="75"/>
    <n v="12301"/>
    <n v="213"/>
    <n v="7352"/>
    <s v="1.73"/>
    <s v="0.00"/>
    <s v="98.27"/>
  </r>
  <r>
    <x v="23"/>
    <x v="74"/>
    <n v="34608"/>
    <n v="877"/>
    <n v="20729"/>
    <s v="2.53"/>
    <s v="0.00"/>
    <s v="97.47"/>
  </r>
  <r>
    <x v="23"/>
    <x v="73"/>
    <n v="6130"/>
    <n v="141"/>
    <n v="3911"/>
    <s v="2.30"/>
    <s v="0.00"/>
    <s v="97.70"/>
  </r>
  <r>
    <x v="23"/>
    <x v="72"/>
    <n v="589986"/>
    <n v="14436"/>
    <n v="191320"/>
    <s v="2.45"/>
    <s v="0.00"/>
    <s v="97.55"/>
  </r>
  <r>
    <x v="23"/>
    <x v="71"/>
    <n v="700959"/>
    <n v="15447"/>
    <n v="139648"/>
    <s v="2.20"/>
    <s v="0.00"/>
    <s v="97.80"/>
  </r>
  <r>
    <x v="23"/>
    <x v="70"/>
    <n v="13020"/>
    <n v="161"/>
    <n v="995"/>
    <s v="1.24"/>
    <s v="0.00"/>
    <s v="98.76"/>
  </r>
  <r>
    <x v="23"/>
    <x v="69"/>
    <n v="54095"/>
    <n v="809"/>
    <n v="50619"/>
    <s v="1.50"/>
    <s v="0.00"/>
    <s v="98.50"/>
  </r>
  <r>
    <x v="23"/>
    <x v="67"/>
    <n v="9946"/>
    <n v="339"/>
    <n v="6432"/>
    <s v="3.41"/>
    <s v="0.00"/>
    <s v="96.59"/>
  </r>
  <r>
    <x v="23"/>
    <x v="68"/>
    <n v="30599"/>
    <n v="385"/>
    <n v="6610"/>
    <s v="1.26"/>
    <s v="0.00"/>
    <s v="98.74"/>
  </r>
  <r>
    <x v="23"/>
    <x v="66"/>
    <n v="5780"/>
    <n v="98"/>
    <n v="576"/>
    <s v="1.70"/>
    <s v="0.00"/>
    <s v="98.30"/>
  </r>
  <r>
    <x v="23"/>
    <x v="65"/>
    <n v="129592"/>
    <n v="1169"/>
    <n v="50188"/>
    <s v="0.90"/>
    <s v="0.00"/>
    <s v="99.10"/>
  </r>
  <r>
    <x v="23"/>
    <x v="64"/>
    <n v="43561"/>
    <n v="297"/>
    <n v="6587"/>
    <s v="0.68"/>
    <s v="0.00"/>
    <s v="99.32"/>
  </r>
  <r>
    <x v="23"/>
    <x v="62"/>
    <n v="5776"/>
    <n v="193"/>
    <n v="2504"/>
    <s v="3.34"/>
    <s v="0.00"/>
    <s v="96.66"/>
  </r>
  <r>
    <x v="23"/>
    <x v="63"/>
    <n v="670552"/>
    <n v="9546"/>
    <n v="545260"/>
    <s v="1.42"/>
    <s v="0.00"/>
    <s v="98.58"/>
  </r>
  <r>
    <x v="23"/>
    <x v="61"/>
    <n v="8575498"/>
    <n v="139167"/>
    <n v="7303971"/>
    <s v="1.62"/>
    <s v="0.00"/>
    <s v="98.38"/>
  </r>
  <r>
    <x v="23"/>
    <x v="60"/>
    <n v="33842"/>
    <n v="218"/>
    <n v="13325"/>
    <s v="0.64"/>
    <s v="0.00"/>
    <s v="99.36"/>
  </r>
  <r>
    <x v="23"/>
    <x v="59"/>
    <n v="6920943"/>
    <n v="115008"/>
    <n v="5018166"/>
    <s v="1.66"/>
    <s v="0.00"/>
    <s v="98.34"/>
  </r>
  <r>
    <x v="23"/>
    <x v="58"/>
    <n v="1350"/>
    <n v="2"/>
    <n v="793"/>
    <s v="0.15"/>
    <s v="0.00"/>
    <s v="99.85"/>
  </r>
  <r>
    <x v="23"/>
    <x v="57"/>
    <n v="51846"/>
    <n v="663"/>
    <n v="13309"/>
    <s v="1.28"/>
    <s v="0.00"/>
    <s v="98.72"/>
  </r>
  <r>
    <x v="23"/>
    <x v="56"/>
    <n v="151787"/>
    <n v="1128"/>
    <n v="75552"/>
    <s v="0.74"/>
    <s v="0.00"/>
    <s v="99.26"/>
  </r>
  <r>
    <x v="23"/>
    <x v="55"/>
    <n v="359881"/>
    <n v="6258"/>
    <n v="231603"/>
    <s v="1.74"/>
    <s v="0.00"/>
    <s v="98.26"/>
  </r>
  <r>
    <x v="23"/>
    <x v="54"/>
    <n v="4990767"/>
    <n v="87051"/>
    <n v="3876395"/>
    <s v="1.74"/>
    <s v="0.00"/>
    <s v="98.26"/>
  </r>
  <r>
    <x v="23"/>
    <x v="53"/>
    <n v="6778"/>
    <n v="45"/>
    <n v="1038"/>
    <s v="0.66"/>
    <s v="0.00"/>
    <s v="99.34"/>
  </r>
  <r>
    <x v="23"/>
    <x v="52"/>
    <n v="320207"/>
    <n v="18058"/>
    <n v="19240"/>
    <s v="5.64"/>
    <s v="0.00"/>
    <s v="94.36"/>
  </r>
  <r>
    <x v="23"/>
    <x v="51"/>
    <n v="174436"/>
    <n v="1435"/>
    <n v="24555"/>
    <s v="0.82"/>
    <s v="0.00"/>
    <s v="99.18"/>
  </r>
  <r>
    <x v="23"/>
    <x v="50"/>
    <n v="514087"/>
    <n v="32937"/>
    <n v="419002"/>
    <s v="6.41"/>
    <s v="0.00"/>
    <s v="93.59"/>
  </r>
  <r>
    <x v="23"/>
    <x v="49"/>
    <n v="205453"/>
    <n v="5875"/>
    <n v="8722"/>
    <s v="2.86"/>
    <s v="0.00"/>
    <s v="97.14"/>
  </r>
  <r>
    <x v="23"/>
    <x v="48"/>
    <n v="372077"/>
    <n v="4093"/>
    <n v="223494"/>
    <s v="1.10"/>
    <s v="0.00"/>
    <s v="98.90"/>
  </r>
  <r>
    <x v="23"/>
    <x v="47"/>
    <n v="4366"/>
    <n v="30"/>
    <n v="1869"/>
    <s v="0.69"/>
    <s v="0.00"/>
    <s v="99.31"/>
  </r>
  <r>
    <x v="23"/>
    <x v="46"/>
    <n v="370847"/>
    <n v="2690"/>
    <n v="261281"/>
    <s v="0.73"/>
    <s v="0.00"/>
    <s v="99.27"/>
  </r>
  <r>
    <x v="23"/>
    <x v="45"/>
    <n v="13423"/>
    <n v="181"/>
    <n v="7823"/>
    <s v="1.35"/>
    <s v="0.00"/>
    <s v="98.65"/>
  </r>
  <r>
    <x v="23"/>
    <x v="44"/>
    <n v="4410921"/>
    <n v="94812"/>
    <n v="3897294"/>
    <s v="2.15"/>
    <s v="0.00"/>
    <s v="97.85"/>
  </r>
  <r>
    <x v="23"/>
    <x v="43"/>
    <n v="1712246"/>
    <n v="30570"/>
    <n v="1102693"/>
    <s v="1.79"/>
    <s v="0.00"/>
    <s v="98.21"/>
  </r>
  <r>
    <x v="23"/>
    <x v="42"/>
    <n v="122528"/>
    <n v="565"/>
    <n v="38314"/>
    <s v="0.46"/>
    <s v="0.00"/>
    <s v="99.54"/>
  </r>
  <r>
    <x v="23"/>
    <x v="41"/>
    <n v="38052"/>
    <n v="347"/>
    <n v="8553"/>
    <s v="0.91"/>
    <s v="0.00"/>
    <s v="99.09"/>
  </r>
  <r>
    <x v="23"/>
    <x v="40"/>
    <n v="938577"/>
    <n v="8101"/>
    <n v="308632"/>
    <s v="0.86"/>
    <s v="0.00"/>
    <s v="99.14"/>
  </r>
  <r>
    <x v="23"/>
    <x v="39"/>
    <n v="553661"/>
    <n v="6880"/>
    <n v="379120"/>
    <s v="1.24"/>
    <s v="0.00"/>
    <s v="98.76"/>
  </r>
  <r>
    <x v="23"/>
    <x v="38"/>
    <n v="4983527"/>
    <n v="126910"/>
    <n v="129441"/>
    <s v="2.55"/>
    <s v="0.00"/>
    <s v="97.45"/>
  </r>
  <r>
    <x v="23"/>
    <x v="37"/>
    <n v="96601"/>
    <n v="4636"/>
    <n v="83365"/>
    <s v="4.80"/>
    <s v="0.00"/>
    <s v="95.20"/>
  </r>
  <r>
    <x v="23"/>
    <x v="36"/>
    <n v="100289"/>
    <n v="1600"/>
    <n v="79307"/>
    <s v="1.60"/>
    <s v="0.00"/>
    <s v="98.40"/>
  </r>
  <r>
    <x v="23"/>
    <x v="35"/>
    <n v="1672998"/>
    <n v="37623"/>
    <n v="780948"/>
    <s v="2.25"/>
    <s v="0.00"/>
    <s v="97.75"/>
  </r>
  <r>
    <x v="23"/>
    <x v="34"/>
    <n v="61089"/>
    <n v="685"/>
    <n v="13793"/>
    <s v="1.12"/>
    <s v="0.00"/>
    <s v="98.88"/>
  </r>
  <r>
    <x v="23"/>
    <x v="33"/>
    <n v="858198"/>
    <n v="11168"/>
    <n v="517920"/>
    <s v="1.30"/>
    <s v="0.00"/>
    <s v="98.70"/>
  </r>
  <r>
    <x v="23"/>
    <x v="32"/>
    <n v="15962"/>
    <n v="231"/>
    <n v="4901"/>
    <s v="1.45"/>
    <s v="0.00"/>
    <s v="98.55"/>
  </r>
  <r>
    <x v="23"/>
    <x v="31"/>
    <n v="11478"/>
    <n v="100"/>
    <n v="3908"/>
    <s v="0.87"/>
    <s v="0.00"/>
    <s v="99.13"/>
  </r>
  <r>
    <x v="23"/>
    <x v="30"/>
    <n v="57338"/>
    <n v="1091"/>
    <n v="25427"/>
    <s v="1.90"/>
    <s v="0.00"/>
    <s v="98.10"/>
  </r>
  <r>
    <x v="23"/>
    <x v="29"/>
    <n v="1695788"/>
    <n v="28657"/>
    <n v="248960"/>
    <s v="1.69"/>
    <s v="0.00"/>
    <s v="98.31"/>
  </r>
  <r>
    <x v="23"/>
    <x v="28"/>
    <n v="24768"/>
    <n v="466"/>
    <n v="4139"/>
    <s v="1.88"/>
    <s v="0.00"/>
    <s v="98.12"/>
  </r>
  <r>
    <x v="23"/>
    <x v="27"/>
    <n v="575856"/>
    <n v="4432"/>
    <n v="487408"/>
    <s v="0.77"/>
    <s v="0.00"/>
    <s v="99.23"/>
  </r>
  <r>
    <x v="23"/>
    <x v="26"/>
    <n v="184051"/>
    <n v="2389"/>
    <n v="151555"/>
    <s v="1.30"/>
    <s v="0.00"/>
    <s v="98.70"/>
  </r>
  <r>
    <x v="23"/>
    <x v="25"/>
    <n v="2617"/>
    <n v="3"/>
    <n v="1794"/>
    <s v="0.11"/>
    <s v="0.00"/>
    <s v="99.89"/>
  </r>
  <r>
    <x v="23"/>
    <x v="24"/>
    <n v="22048"/>
    <n v="626"/>
    <n v="10799"/>
    <s v="2.84"/>
    <s v="0.00"/>
    <s v="97.16"/>
  </r>
  <r>
    <x v="23"/>
    <x v="23"/>
    <n v="21664879"/>
    <n v="603855"/>
    <n v="5578208"/>
    <s v="2.79"/>
    <s v="0.00"/>
    <s v="97.21"/>
  </r>
  <r>
    <x v="23"/>
    <x v="22"/>
    <n v="507134"/>
    <n v="18877"/>
    <n v="328297"/>
    <s v="3.72"/>
    <s v="0.00"/>
    <s v="96.28"/>
  </r>
  <r>
    <x v="23"/>
    <x v="21"/>
    <n v="11220"/>
    <n v="77"/>
    <n v="11018"/>
    <s v="0.69"/>
    <s v="0.00"/>
    <s v="99.31"/>
  </r>
  <r>
    <x v="23"/>
    <x v="20"/>
    <n v="1659"/>
    <n v="6"/>
    <n v="107"/>
    <s v="0.36"/>
    <s v="0.00"/>
    <s v="99.64"/>
  </r>
  <r>
    <x v="23"/>
    <x v="19"/>
    <n v="24560"/>
    <n v="161"/>
    <n v="22858"/>
    <s v="0.66"/>
    <s v="0.00"/>
    <s v="99.34"/>
  </r>
  <r>
    <x v="23"/>
    <x v="18"/>
    <n v="19745"/>
    <n v="38"/>
    <n v="14587"/>
    <s v="0.19"/>
    <s v="0.00"/>
    <s v="99.81"/>
  </r>
  <r>
    <x v="23"/>
    <x v="17"/>
    <n v="276262"/>
    <n v="1392"/>
    <n v="244552"/>
    <s v="0.50"/>
    <s v="0.00"/>
    <s v="99.50"/>
  </r>
  <r>
    <x v="23"/>
    <x v="16"/>
    <n v="550555"/>
    <n v="22612"/>
    <n v="995"/>
    <s v="4.11"/>
    <s v="0.00"/>
    <s v="95.89"/>
  </r>
  <r>
    <x v="23"/>
    <x v="15"/>
    <n v="14759"/>
    <n v="209"/>
    <n v="5103"/>
    <s v="1.42"/>
    <s v="0.00"/>
    <s v="98.58"/>
  </r>
  <r>
    <x v="23"/>
    <x v="14"/>
    <n v="1292887"/>
    <n v="25797"/>
    <n v="538445"/>
    <s v="2.00"/>
    <s v="0.00"/>
    <s v="98.00"/>
  </r>
  <r>
    <x v="23"/>
    <x v="13"/>
    <n v="1566296"/>
    <n v="27785"/>
    <n v="834628"/>
    <s v="1.77"/>
    <s v="0.00"/>
    <s v="98.23"/>
  </r>
  <r>
    <x v="23"/>
    <x v="12"/>
    <n v="13553"/>
    <n v="120"/>
    <n v="2396"/>
    <s v="0.89"/>
    <s v="0.00"/>
    <s v="99.11"/>
  </r>
  <r>
    <x v="23"/>
    <x v="11"/>
    <n v="245791"/>
    <n v="11228"/>
    <n v="74341"/>
    <s v="4.57"/>
    <s v="0.00"/>
    <s v="95.43"/>
  </r>
  <r>
    <x v="23"/>
    <x v="10"/>
    <n v="505554"/>
    <n v="6793"/>
    <n v="34534"/>
    <s v="1.34"/>
    <s v="0.00"/>
    <s v="98.66"/>
  </r>
  <r>
    <x v="23"/>
    <x v="9"/>
    <n v="149398"/>
    <n v="1577"/>
    <n v="42133"/>
    <s v="1.06"/>
    <s v="0.00"/>
    <s v="98.94"/>
  </r>
  <r>
    <x v="23"/>
    <x v="8"/>
    <n v="780269"/>
    <n v="11196"/>
    <n v="51783"/>
    <s v="1.43"/>
    <s v="0.00"/>
    <s v="98.57"/>
  </r>
  <r>
    <x v="23"/>
    <x v="7"/>
    <n v="5274766"/>
    <n v="115737"/>
    <n v="4878855"/>
    <s v="2.19"/>
    <s v="0.00"/>
    <s v="97.81"/>
  </r>
  <r>
    <x v="23"/>
    <x v="6"/>
    <n v="63197"/>
    <n v="1678"/>
    <n v="11352"/>
    <s v="2.66"/>
    <s v="0.00"/>
    <s v="97.34"/>
  </r>
  <r>
    <x v="23"/>
    <x v="5"/>
    <n v="284237"/>
    <n v="5842"/>
    <n v="247796"/>
    <s v="2.06"/>
    <s v="0.00"/>
    <s v="97.94"/>
  </r>
  <r>
    <x v="23"/>
    <x v="4"/>
    <n v="178804"/>
    <n v="2841"/>
    <n v="142255"/>
    <s v="1.59"/>
    <s v="0.00"/>
    <s v="98.41"/>
  </r>
  <r>
    <x v="23"/>
    <x v="3"/>
    <n v="3918"/>
    <n v="95"/>
    <n v="1909"/>
    <s v="2.42"/>
    <s v="0.00"/>
    <s v="97.58"/>
  </r>
  <r>
    <x v="23"/>
    <x v="2"/>
    <n v="155801"/>
    <n v="7247"/>
    <n v="40099"/>
    <s v="4.65"/>
    <s v="0.00"/>
    <s v="95.35"/>
  </r>
  <r>
    <x v="23"/>
    <x v="1"/>
    <n v="738812"/>
    <n v="2122"/>
    <n v="516393"/>
    <s v="0.29"/>
    <s v="0.00"/>
    <s v="99.71"/>
  </r>
  <r>
    <x v="23"/>
    <x v="0"/>
    <n v="15369"/>
    <n v="130"/>
    <n v="1910"/>
    <s v="0.85"/>
    <s v="0.00"/>
    <s v="99.15"/>
  </r>
  <r>
    <x v="24"/>
    <x v="0"/>
    <n v="15367"/>
    <n v="130"/>
    <n v="11562"/>
    <s v="0.85"/>
    <s v="0.00"/>
    <s v="99.15"/>
  </r>
  <r>
    <x v="24"/>
    <x v="1"/>
    <n v="738690"/>
    <n v="2120"/>
    <n v="648724"/>
    <s v="0.29"/>
    <s v="0.00"/>
    <s v="99.71"/>
  </r>
  <r>
    <x v="24"/>
    <x v="2"/>
    <n v="155776"/>
    <n v="7246"/>
    <n v="90886"/>
    <s v="4.65"/>
    <s v="0.00"/>
    <s v="95.35"/>
  </r>
  <r>
    <x v="24"/>
    <x v="3"/>
    <n v="3918"/>
    <n v="95"/>
    <n v="864"/>
    <s v="2.42"/>
    <s v="0.00"/>
    <s v="97.58"/>
  </r>
  <r>
    <x v="24"/>
    <x v="4"/>
    <n v="178188"/>
    <n v="2829"/>
    <n v="107054"/>
    <s v="1.59"/>
    <s v="0.00"/>
    <s v="98.41"/>
  </r>
  <r>
    <x v="24"/>
    <x v="5"/>
    <n v="283183"/>
    <n v="5805"/>
    <n v="226229"/>
    <s v="2.05"/>
    <s v="0.00"/>
    <s v="97.95"/>
  </r>
  <r>
    <x v="24"/>
    <x v="6"/>
    <n v="63012"/>
    <n v="1670"/>
    <n v="15429"/>
    <s v="2.65"/>
    <s v="0.00"/>
    <s v="97.35"/>
  </r>
  <r>
    <x v="24"/>
    <x v="7"/>
    <n v="5273463"/>
    <n v="115704"/>
    <n v="2524710"/>
    <s v="2.19"/>
    <s v="0.00"/>
    <s v="97.81"/>
  </r>
  <r>
    <x v="24"/>
    <x v="8"/>
    <n v="777679"/>
    <n v="11180"/>
    <n v="295010"/>
    <s v="1.44"/>
    <s v="0.00"/>
    <s v="98.56"/>
  </r>
  <r>
    <x v="24"/>
    <x v="9"/>
    <n v="147301"/>
    <n v="1558"/>
    <n v="124516"/>
    <s v="1.06"/>
    <s v="0.00"/>
    <s v="98.94"/>
  </r>
  <r>
    <x v="24"/>
    <x v="10"/>
    <n v="503452"/>
    <n v="6778"/>
    <n v="218891"/>
    <s v="1.35"/>
    <s v="0.00"/>
    <s v="98.65"/>
  </r>
  <r>
    <x v="24"/>
    <x v="11"/>
    <n v="245082"/>
    <n v="11201"/>
    <n v="120590"/>
    <s v="4.57"/>
    <s v="0.00"/>
    <s v="95.43"/>
  </r>
  <r>
    <x v="24"/>
    <x v="12"/>
    <n v="13171"/>
    <n v="119"/>
    <n v="2347"/>
    <s v="0.90"/>
    <s v="0.00"/>
    <s v="99.10"/>
  </r>
  <r>
    <x v="24"/>
    <x v="13"/>
    <n v="1565827"/>
    <n v="27778"/>
    <n v="762103"/>
    <s v="1.77"/>
    <s v="0.00"/>
    <s v="98.23"/>
  </r>
  <r>
    <x v="24"/>
    <x v="14"/>
    <n v="1289033"/>
    <n v="25780"/>
    <n v="188732"/>
    <s v="2.00"/>
    <s v="0.00"/>
    <s v="98.00"/>
  </r>
  <r>
    <x v="24"/>
    <x v="15"/>
    <n v="14752"/>
    <n v="203"/>
    <n v="2278"/>
    <s v="1.38"/>
    <s v="0.00"/>
    <s v="98.62"/>
  </r>
  <r>
    <x v="24"/>
    <x v="16"/>
    <n v="545598"/>
    <n v="22488"/>
    <n v="122738"/>
    <s v="4.12"/>
    <s v="0.00"/>
    <s v="95.88"/>
  </r>
  <r>
    <x v="24"/>
    <x v="17"/>
    <n v="276188"/>
    <n v="1391"/>
    <n v="209218"/>
    <s v="0.50"/>
    <s v="0.00"/>
    <s v="99.50"/>
  </r>
  <r>
    <x v="24"/>
    <x v="18"/>
    <n v="19730"/>
    <n v="38"/>
    <n v="1281"/>
    <s v="0.19"/>
    <s v="0.00"/>
    <s v="99.81"/>
  </r>
  <r>
    <x v="24"/>
    <x v="19"/>
    <n v="24560"/>
    <n v="161"/>
    <n v="15600"/>
    <s v="0.66"/>
    <s v="0.00"/>
    <s v="99.34"/>
  </r>
  <r>
    <x v="24"/>
    <x v="20"/>
    <n v="1658"/>
    <n v="6"/>
    <n v="1329"/>
    <s v="0.36"/>
    <s v="0.00"/>
    <s v="99.64"/>
  </r>
  <r>
    <x v="24"/>
    <x v="21"/>
    <n v="11047"/>
    <n v="76"/>
    <n v="5441"/>
    <s v="0.69"/>
    <s v="0.00"/>
    <s v="99.31"/>
  </r>
  <r>
    <x v="24"/>
    <x v="22"/>
    <n v="507134"/>
    <n v="18834"/>
    <n v="50"/>
    <s v="3.71"/>
    <s v="0.00"/>
    <s v="96.29"/>
  </r>
  <r>
    <x v="24"/>
    <x v="23"/>
    <n v="21651910"/>
    <n v="603465"/>
    <n v="20523897"/>
    <s v="2.79"/>
    <s v="0.00"/>
    <s v="97.21"/>
  </r>
  <r>
    <x v="24"/>
    <x v="24"/>
    <n v="21978"/>
    <n v="626"/>
    <n v="12525"/>
    <s v="2.85"/>
    <s v="0.00"/>
    <s v="97.15"/>
  </r>
  <r>
    <x v="24"/>
    <x v="25"/>
    <n v="2617"/>
    <n v="3"/>
    <n v="1119"/>
    <s v="0.11"/>
    <s v="0.00"/>
    <s v="99.89"/>
  </r>
  <r>
    <x v="24"/>
    <x v="26"/>
    <n v="184051"/>
    <n v="2389"/>
    <n v="5907"/>
    <s v="1.30"/>
    <s v="0.00"/>
    <s v="98.70"/>
  </r>
  <r>
    <x v="24"/>
    <x v="27"/>
    <n v="573943"/>
    <n v="4417"/>
    <n v="364892"/>
    <s v="0.77"/>
    <s v="0.00"/>
    <s v="99.23"/>
  </r>
  <r>
    <x v="24"/>
    <x v="28"/>
    <n v="24447"/>
    <n v="465"/>
    <n v="23734"/>
    <s v="1.90"/>
    <s v="0.00"/>
    <s v="98.10"/>
  </r>
  <r>
    <x v="24"/>
    <x v="29"/>
    <n v="1693364"/>
    <n v="28616"/>
    <n v="914319"/>
    <s v="1.69"/>
    <s v="0.00"/>
    <s v="98.31"/>
  </r>
  <r>
    <x v="24"/>
    <x v="30"/>
    <n v="57338"/>
    <n v="1091"/>
    <n v="22458"/>
    <s v="1.90"/>
    <s v="0.00"/>
    <s v="98.10"/>
  </r>
  <r>
    <x v="24"/>
    <x v="31"/>
    <n v="11478"/>
    <n v="100"/>
    <n v="8641"/>
    <s v="0.87"/>
    <s v="0.00"/>
    <s v="99.13"/>
  </r>
  <r>
    <x v="24"/>
    <x v="32"/>
    <n v="15962"/>
    <n v="231"/>
    <n v="14622"/>
    <s v="1.45"/>
    <s v="0.00"/>
    <s v="98.55"/>
  </r>
  <r>
    <x v="24"/>
    <x v="33"/>
    <n v="856957"/>
    <n v="11162"/>
    <n v="284454"/>
    <s v="1.30"/>
    <s v="0.00"/>
    <s v="98.70"/>
  </r>
  <r>
    <x v="24"/>
    <x v="34"/>
    <n v="61072"/>
    <n v="685"/>
    <n v="51950"/>
    <s v="1.12"/>
    <s v="0.00"/>
    <s v="98.88"/>
  </r>
  <r>
    <x v="24"/>
    <x v="35"/>
    <n v="1672065"/>
    <n v="37620"/>
    <n v="1440826"/>
    <s v="2.25"/>
    <s v="0.00"/>
    <s v="97.75"/>
  </r>
  <r>
    <x v="24"/>
    <x v="36"/>
    <n v="98402"/>
    <n v="1550"/>
    <n v="42443"/>
    <s v="1.58"/>
    <s v="0.00"/>
    <s v="98.42"/>
  </r>
  <r>
    <x v="24"/>
    <x v="37"/>
    <n v="96571"/>
    <n v="4636"/>
    <n v="42271"/>
    <s v="4.80"/>
    <s v="0.00"/>
    <s v="95.20"/>
  </r>
  <r>
    <x v="24"/>
    <x v="38"/>
    <n v="4982575"/>
    <n v="126886"/>
    <n v="2108796"/>
    <s v="2.55"/>
    <s v="0.00"/>
    <s v="97.45"/>
  </r>
  <r>
    <x v="24"/>
    <x v="39"/>
    <n v="552953"/>
    <n v="6857"/>
    <n v="182653"/>
    <s v="1.24"/>
    <s v="0.00"/>
    <s v="98.76"/>
  </r>
  <r>
    <x v="24"/>
    <x v="40"/>
    <n v="936809"/>
    <n v="8079"/>
    <n v="423377"/>
    <s v="0.86"/>
    <s v="0.00"/>
    <s v="99.14"/>
  </r>
  <r>
    <x v="24"/>
    <x v="41"/>
    <n v="38049"/>
    <n v="347"/>
    <n v="14028"/>
    <s v="0.91"/>
    <s v="0.00"/>
    <s v="99.09"/>
  </r>
  <r>
    <x v="24"/>
    <x v="42"/>
    <n v="122362"/>
    <n v="565"/>
    <n v="23314"/>
    <s v="0.46"/>
    <s v="0.00"/>
    <s v="99.54"/>
  </r>
  <r>
    <x v="24"/>
    <x v="43"/>
    <n v="1709716"/>
    <n v="30554"/>
    <n v="1054588"/>
    <s v="1.79"/>
    <s v="0.00"/>
    <s v="98.21"/>
  </r>
  <r>
    <x v="24"/>
    <x v="44"/>
    <n v="4388581"/>
    <n v="94720"/>
    <n v="3779769"/>
    <s v="2.16"/>
    <s v="0.00"/>
    <s v="97.84"/>
  </r>
  <r>
    <x v="24"/>
    <x v="45"/>
    <n v="13415"/>
    <n v="181"/>
    <n v="12254"/>
    <s v="1.35"/>
    <s v="0.00"/>
    <s v="98.65"/>
  </r>
  <r>
    <x v="24"/>
    <x v="46"/>
    <n v="370057"/>
    <n v="2688"/>
    <n v="110234"/>
    <s v="0.73"/>
    <s v="0.00"/>
    <s v="99.27"/>
  </r>
  <r>
    <x v="24"/>
    <x v="47"/>
    <n v="4153"/>
    <n v="28"/>
    <n v="398"/>
    <s v="0.67"/>
    <s v="0.00"/>
    <s v="99.33"/>
  </r>
  <r>
    <x v="24"/>
    <x v="48"/>
    <n v="371447"/>
    <n v="4090"/>
    <n v="326463"/>
    <s v="1.10"/>
    <s v="0.00"/>
    <s v="98.90"/>
  </r>
  <r>
    <x v="24"/>
    <x v="49"/>
    <n v="205364"/>
    <n v="5873"/>
    <n v="87127"/>
    <s v="2.86"/>
    <s v="0.00"/>
    <s v="97.14"/>
  </r>
  <r>
    <x v="24"/>
    <x v="50"/>
    <n v="513026"/>
    <n v="32899"/>
    <n v="159635"/>
    <s v="6.41"/>
    <s v="0.00"/>
    <s v="93.59"/>
  </r>
  <r>
    <x v="24"/>
    <x v="51"/>
    <n v="173335"/>
    <n v="1429"/>
    <n v="158541"/>
    <s v="0.82"/>
    <s v="0.00"/>
    <s v="99.18"/>
  </r>
  <r>
    <x v="24"/>
    <x v="52"/>
    <n v="319339"/>
    <n v="18015"/>
    <n v="78568"/>
    <s v="5.64"/>
    <s v="0.00"/>
    <s v="94.36"/>
  </r>
  <r>
    <x v="24"/>
    <x v="53"/>
    <n v="6776"/>
    <n v="45"/>
    <n v="5493"/>
    <s v="0.66"/>
    <s v="0.00"/>
    <s v="99.34"/>
  </r>
  <r>
    <x v="24"/>
    <x v="54"/>
    <n v="4988878"/>
    <n v="87030"/>
    <n v="4518796"/>
    <s v="1.74"/>
    <s v="0.00"/>
    <s v="98.26"/>
  </r>
  <r>
    <x v="24"/>
    <x v="55"/>
    <n v="359495"/>
    <n v="6238"/>
    <n v="113991"/>
    <s v="1.74"/>
    <s v="0.00"/>
    <s v="98.26"/>
  </r>
  <r>
    <x v="24"/>
    <x v="56"/>
    <n v="151207"/>
    <n v="1120"/>
    <n v="79841"/>
    <s v="0.74"/>
    <s v="0.00"/>
    <s v="99.26"/>
  </r>
  <r>
    <x v="24"/>
    <x v="57"/>
    <n v="51846"/>
    <n v="663"/>
    <n v="23705"/>
    <s v="1.28"/>
    <s v="0.00"/>
    <s v="98.72"/>
  </r>
  <r>
    <x v="24"/>
    <x v="58"/>
    <n v="1350"/>
    <n v="2"/>
    <n v="639"/>
    <s v="0.15"/>
    <s v="0.00"/>
    <s v="99.85"/>
  </r>
  <r>
    <x v="24"/>
    <x v="59"/>
    <n v="6915848"/>
    <n v="114994"/>
    <n v="1638047"/>
    <s v="1.66"/>
    <s v="0.00"/>
    <s v="98.34"/>
  </r>
  <r>
    <x v="24"/>
    <x v="60"/>
    <n v="33842"/>
    <n v="218"/>
    <n v="19345"/>
    <s v="0.64"/>
    <s v="0.00"/>
    <s v="99.36"/>
  </r>
  <r>
    <x v="24"/>
    <x v="61"/>
    <n v="8531881"/>
    <n v="138944"/>
    <n v="7036817"/>
    <s v="1.63"/>
    <s v="0.00"/>
    <s v="98.37"/>
  </r>
  <r>
    <x v="24"/>
    <x v="63"/>
    <n v="664813"/>
    <n v="9510"/>
    <n v="127923"/>
    <s v="1.43"/>
    <s v="0.00"/>
    <s v="98.57"/>
  </r>
  <r>
    <x v="24"/>
    <x v="62"/>
    <n v="5769"/>
    <n v="193"/>
    <n v="3570"/>
    <s v="3.35"/>
    <s v="0.00"/>
    <s v="96.65"/>
  </r>
  <r>
    <x v="24"/>
    <x v="64"/>
    <n v="43255"/>
    <n v="293"/>
    <n v="2430"/>
    <s v="0.68"/>
    <s v="0.00"/>
    <s v="99.32"/>
  </r>
  <r>
    <x v="24"/>
    <x v="65"/>
    <n v="129440"/>
    <n v="1167"/>
    <n v="110980"/>
    <s v="0.90"/>
    <s v="0.00"/>
    <s v="99.10"/>
  </r>
  <r>
    <x v="24"/>
    <x v="66"/>
    <n v="5769"/>
    <n v="98"/>
    <n v="916"/>
    <s v="1.70"/>
    <s v="0.00"/>
    <s v="98.30"/>
  </r>
  <r>
    <x v="24"/>
    <x v="68"/>
    <n v="30572"/>
    <n v="385"/>
    <n v="22223"/>
    <s v="1.26"/>
    <s v="0.00"/>
    <s v="98.74"/>
  </r>
  <r>
    <x v="24"/>
    <x v="67"/>
    <n v="9946"/>
    <n v="339"/>
    <n v="6916"/>
    <s v="3.41"/>
    <s v="0.00"/>
    <s v="96.59"/>
  </r>
  <r>
    <x v="24"/>
    <x v="69"/>
    <n v="53836"/>
    <n v="800"/>
    <n v="25005"/>
    <s v="1.49"/>
    <s v="0.00"/>
    <s v="98.51"/>
  </r>
  <r>
    <x v="24"/>
    <x v="70"/>
    <n v="13020"/>
    <n v="161"/>
    <n v="3650"/>
    <s v="1.24"/>
    <s v="0.00"/>
    <s v="98.76"/>
  </r>
  <r>
    <x v="24"/>
    <x v="71"/>
    <n v="697033"/>
    <n v="15418"/>
    <n v="257886"/>
    <s v="2.21"/>
    <s v="0.00"/>
    <s v="97.79"/>
  </r>
  <r>
    <x v="24"/>
    <x v="72"/>
    <n v="588262"/>
    <n v="14387"/>
    <n v="149145"/>
    <s v="2.45"/>
    <s v="0.00"/>
    <s v="97.55"/>
  </r>
  <r>
    <x v="24"/>
    <x v="73"/>
    <n v="6130"/>
    <n v="141"/>
    <n v="1473"/>
    <s v="2.30"/>
    <s v="0.00"/>
    <s v="97.70"/>
  </r>
  <r>
    <x v="24"/>
    <x v="74"/>
    <n v="34514"/>
    <n v="875"/>
    <n v="17583"/>
    <s v="2.54"/>
    <s v="0.00"/>
    <s v="97.46"/>
  </r>
  <r>
    <x v="24"/>
    <x v="75"/>
    <n v="12299"/>
    <n v="213"/>
    <n v="4182"/>
    <s v="1.73"/>
    <s v="0.00"/>
    <s v="98.27"/>
  </r>
  <r>
    <x v="24"/>
    <x v="76"/>
    <n v="372179"/>
    <n v="10096"/>
    <n v="308850"/>
    <s v="2.71"/>
    <s v="0.00"/>
    <s v="97.29"/>
  </r>
  <r>
    <x v="24"/>
    <x v="77"/>
    <n v="428233"/>
    <n v="8907"/>
    <n v="159287"/>
    <s v="2.08"/>
    <s v="0.00"/>
    <s v="97.92"/>
  </r>
  <r>
    <x v="24"/>
    <x v="78"/>
    <n v="23042"/>
    <n v="657"/>
    <n v="12263"/>
    <s v="2.85"/>
    <s v="0.00"/>
    <s v="97.15"/>
  </r>
  <r>
    <x v="24"/>
    <x v="79"/>
    <n v="836389"/>
    <n v="30402"/>
    <n v="384090"/>
    <s v="3.63"/>
    <s v="0.00"/>
    <s v="96.37"/>
  </r>
  <r>
    <x v="24"/>
    <x v="80"/>
    <n v="4235384"/>
    <n v="142999"/>
    <n v="2517504"/>
    <s v="3.38"/>
    <s v="0.00"/>
    <s v="96.62"/>
  </r>
  <r>
    <x v="24"/>
    <x v="81"/>
    <n v="416690"/>
    <n v="5306"/>
    <n v="176013"/>
    <s v="1.27"/>
    <s v="0.00"/>
    <s v="98.73"/>
  </r>
  <r>
    <x v="24"/>
    <x v="82"/>
    <n v="1317758"/>
    <n v="8010"/>
    <n v="809438"/>
    <s v="0.61"/>
    <s v="0.00"/>
    <s v="99.39"/>
  </r>
  <r>
    <x v="24"/>
    <x v="83"/>
    <n v="34094373"/>
    <n v="452454"/>
    <n v="11709743"/>
    <s v="1.33"/>
    <s v="0.00"/>
    <s v="98.67"/>
  </r>
  <r>
    <x v="24"/>
    <x v="84"/>
    <n v="2037012"/>
    <n v="22785"/>
    <n v="424378"/>
    <s v="1.12"/>
    <s v="0.00"/>
    <s v="98.88"/>
  </r>
  <r>
    <x v="24"/>
    <x v="85"/>
    <n v="5796659"/>
    <n v="124256"/>
    <n v="1084466"/>
    <s v="2.14"/>
    <s v="0.00"/>
    <s v="97.86"/>
  </r>
  <r>
    <x v="24"/>
    <x v="86"/>
    <n v="12614"/>
    <n v="33"/>
    <n v="807"/>
    <s v="0.26"/>
    <s v="0.00"/>
    <s v="99.74"/>
  </r>
  <r>
    <x v="24"/>
    <x v="87"/>
    <n v="4719493"/>
    <n v="131585"/>
    <n v="1650773"/>
    <s v="2.79"/>
    <s v="0.00"/>
    <s v="97.21"/>
  </r>
  <r>
    <x v="24"/>
    <x v="88"/>
    <n v="87586"/>
    <n v="2117"/>
    <n v="39663"/>
    <s v="2.42"/>
    <s v="0.00"/>
    <s v="97.58"/>
  </r>
  <r>
    <x v="24"/>
    <x v="89"/>
    <n v="843204"/>
    <n v="10887"/>
    <n v="762849"/>
    <s v="1.29"/>
    <s v="0.00"/>
    <s v="98.71"/>
  </r>
  <r>
    <x v="24"/>
    <x v="91"/>
    <n v="252066"/>
    <n v="5224"/>
    <n v="27643"/>
    <s v="2.07"/>
    <s v="0.00"/>
    <s v="97.93"/>
  </r>
  <r>
    <x v="24"/>
    <x v="90"/>
    <n v="1715745"/>
    <n v="18129"/>
    <n v="1669172"/>
    <s v="1.06"/>
    <s v="0.00"/>
    <s v="98.94"/>
  </r>
  <r>
    <x v="24"/>
    <x v="92"/>
    <n v="179913"/>
    <n v="2636"/>
    <n v="111639"/>
    <s v="1.47"/>
    <s v="0.00"/>
    <s v="98.53"/>
  </r>
  <r>
    <x v="24"/>
    <x v="94"/>
    <n v="2"/>
    <n v="0"/>
    <n v="2"/>
    <s v="0.00"/>
    <s v="0.00"/>
    <s v="100.00"/>
  </r>
  <r>
    <x v="24"/>
    <x v="93"/>
    <n v="116860"/>
    <n v="2670"/>
    <n v="56119"/>
    <s v="2.28"/>
    <s v="0.00"/>
    <s v="97.72"/>
  </r>
  <r>
    <x v="24"/>
    <x v="95"/>
    <n v="4190"/>
    <n v="147"/>
    <n v="1876"/>
    <s v="3.51"/>
    <s v="0.00"/>
    <s v="96.49"/>
  </r>
  <r>
    <x v="24"/>
    <x v="96"/>
    <n v="2556"/>
    <n v="21"/>
    <n v="1685"/>
    <s v="0.82"/>
    <s v="0.00"/>
    <s v="99.18"/>
  </r>
  <r>
    <x v="24"/>
    <x v="97"/>
    <n v="344518"/>
    <n v="2689"/>
    <n v="101158"/>
    <s v="0.78"/>
    <s v="0.00"/>
    <s v="99.22"/>
  </r>
  <r>
    <x v="24"/>
    <x v="98"/>
    <n v="412371"/>
    <n v="2458"/>
    <n v="343074"/>
    <s v="0.60"/>
    <s v="0.00"/>
    <s v="99.40"/>
  </r>
  <r>
    <x v="24"/>
    <x v="99"/>
    <n v="997537"/>
    <n v="16713"/>
    <n v="340407"/>
    <s v="1.68"/>
    <s v="0.00"/>
    <s v="98.32"/>
  </r>
  <r>
    <x v="24"/>
    <x v="100"/>
    <n v="32314"/>
    <n v="40"/>
    <n v="3289"/>
    <s v="0.12"/>
    <s v="0.00"/>
    <s v="99.88"/>
  </r>
  <r>
    <x v="24"/>
    <x v="101"/>
    <n v="634209"/>
    <n v="8430"/>
    <n v="395433"/>
    <s v="1.33"/>
    <s v="0.00"/>
    <s v="98.67"/>
  </r>
  <r>
    <x v="24"/>
    <x v="102"/>
    <n v="12234"/>
    <n v="237"/>
    <n v="6669"/>
    <s v="1.94"/>
    <s v="0.00"/>
    <s v="98.06"/>
  </r>
  <r>
    <x v="24"/>
    <x v="103"/>
    <n v="3589"/>
    <n v="60"/>
    <n v="2656"/>
    <s v="1.67"/>
    <s v="0.00"/>
    <s v="98.33"/>
  </r>
  <r>
    <x v="24"/>
    <x v="104"/>
    <n v="532218"/>
    <n v="13507"/>
    <n v="243416"/>
    <s v="2.54"/>
    <s v="0.00"/>
    <s v="97.46"/>
  </r>
  <r>
    <x v="24"/>
    <x v="105"/>
    <n v="5807"/>
    <n v="286"/>
    <n v="3239"/>
    <s v="4.93"/>
    <s v="0.00"/>
    <s v="95.07"/>
  </r>
  <r>
    <x v="24"/>
    <x v="106"/>
    <n v="21530"/>
    <n v="655"/>
    <n v="8145"/>
    <s v="3.04"/>
    <s v="0.00"/>
    <s v="96.96"/>
  </r>
  <r>
    <x v="24"/>
    <x v="107"/>
    <n v="370119"/>
    <n v="5456"/>
    <n v="352102"/>
    <s v="1.47"/>
    <s v="0.00"/>
    <s v="98.53"/>
  </r>
  <r>
    <x v="24"/>
    <x v="108"/>
    <n v="79982"/>
    <n v="839"/>
    <n v="566"/>
    <s v="1.05"/>
    <s v="0.00"/>
    <s v="98.95"/>
  </r>
  <r>
    <x v="24"/>
    <x v="109"/>
    <n v="186869"/>
    <n v="2897"/>
    <n v="99554"/>
    <s v="1.55"/>
    <s v="0.00"/>
    <s v="98.45"/>
  </r>
  <r>
    <x v="24"/>
    <x v="110"/>
    <n v="350628"/>
    <n v="4904"/>
    <n v="285138"/>
    <s v="1.40"/>
    <s v="0.00"/>
    <s v="98.60"/>
  </r>
  <r>
    <x v="24"/>
    <x v="111"/>
    <n v="942280"/>
    <n v="14561"/>
    <n v="677847"/>
    <s v="1.55"/>
    <s v="0.00"/>
    <s v="98.45"/>
  </r>
  <r>
    <x v="24"/>
    <x v="112"/>
    <n v="3363"/>
    <n v="35"/>
    <n v="543"/>
    <s v="1.04"/>
    <s v="0.00"/>
    <s v="98.96"/>
  </r>
  <r>
    <x v="24"/>
    <x v="113"/>
    <n v="317899"/>
    <n v="7273"/>
    <n v="12321"/>
    <s v="2.29"/>
    <s v="0.00"/>
    <s v="97.71"/>
  </r>
  <r>
    <x v="24"/>
    <x v="114"/>
    <n v="138047"/>
    <n v="2036"/>
    <n v="89154"/>
    <s v="1.47"/>
    <s v="0.00"/>
    <s v="98.53"/>
  </r>
  <r>
    <x v="24"/>
    <x v="115"/>
    <n v="3878"/>
    <n v="55"/>
    <n v="2647"/>
    <s v="1.42"/>
    <s v="0.00"/>
    <s v="98.58"/>
  </r>
  <r>
    <x v="24"/>
    <x v="116"/>
    <n v="43616"/>
    <n v="960"/>
    <n v="33459"/>
    <s v="2.20"/>
    <s v="0.00"/>
    <s v="97.80"/>
  </r>
  <r>
    <x v="24"/>
    <x v="117"/>
    <n v="4"/>
    <n v="0"/>
    <n v="3"/>
    <s v="0.00"/>
    <s v="0.00"/>
    <s v="100.00"/>
  </r>
  <r>
    <x v="24"/>
    <x v="118"/>
    <n v="197197"/>
    <n v="6964"/>
    <n v="35668"/>
    <s v="3.53"/>
    <s v="0.00"/>
    <s v="96.47"/>
  </r>
  <r>
    <x v="24"/>
    <x v="119"/>
    <n v="15643"/>
    <n v="557"/>
    <n v="1855"/>
    <s v="3.56"/>
    <s v="0.00"/>
    <s v="96.44"/>
  </r>
  <r>
    <x v="24"/>
    <x v="120"/>
    <n v="488875"/>
    <n v="18388"/>
    <n v="8189"/>
    <s v="3.76"/>
    <s v="0.00"/>
    <s v="96.24"/>
  </r>
  <r>
    <x v="24"/>
    <x v="121"/>
    <n v="340839"/>
    <n v="1574"/>
    <n v="211948"/>
    <s v="0.46"/>
    <s v="0.00"/>
    <s v="99.54"/>
  </r>
  <r>
    <x v="24"/>
    <x v="122"/>
    <n v="77"/>
    <n v="0"/>
    <n v="13"/>
    <s v="0.00"/>
    <s v="0.00"/>
    <s v="100.00"/>
  </r>
  <r>
    <x v="24"/>
    <x v="123"/>
    <n v="42269"/>
    <n v="656"/>
    <n v="40017"/>
    <s v="1.55"/>
    <s v="0.00"/>
    <s v="98.45"/>
  </r>
  <r>
    <x v="24"/>
    <x v="124"/>
    <n v="36722"/>
    <n v="789"/>
    <n v="26351"/>
    <s v="2.15"/>
    <s v="0.00"/>
    <s v="97.85"/>
  </r>
  <r>
    <x v="24"/>
    <x v="125"/>
    <n v="37464"/>
    <n v="459"/>
    <n v="17471"/>
    <s v="1.23"/>
    <s v="0.00"/>
    <s v="98.77"/>
  </r>
  <r>
    <x v="24"/>
    <x v="126"/>
    <n v="16669"/>
    <n v="134"/>
    <n v="8194"/>
    <s v="0.80"/>
    <s v="0.00"/>
    <s v="99.20"/>
  </r>
  <r>
    <x v="24"/>
    <x v="127"/>
    <n v="86211"/>
    <n v="238"/>
    <n v="4473"/>
    <s v="0.28"/>
    <s v="0.00"/>
    <s v="99.72"/>
  </r>
  <r>
    <x v="24"/>
    <x v="128"/>
    <n v="61726"/>
    <n v="2294"/>
    <n v="44701"/>
    <s v="3.72"/>
    <s v="0.00"/>
    <s v="96.28"/>
  </r>
  <r>
    <x v="24"/>
    <x v="129"/>
    <n v="3758469"/>
    <n v="284477"/>
    <n v="2465147"/>
    <s v="7.57"/>
    <s v="0.00"/>
    <s v="92.43"/>
  </r>
  <r>
    <x v="24"/>
    <x v="130"/>
    <n v="2396121"/>
    <n v="27993"/>
    <n v="1920369"/>
    <s v="1.17"/>
    <s v="0.00"/>
    <s v="98.83"/>
  </r>
  <r>
    <x v="24"/>
    <x v="131"/>
    <n v="151112"/>
    <n v="1927"/>
    <n v="69928"/>
    <s v="1.28"/>
    <s v="0.00"/>
    <s v="98.72"/>
  </r>
  <r>
    <x v="24"/>
    <x v="132"/>
    <n v="128353"/>
    <n v="3540"/>
    <n v="50504"/>
    <s v="2.76"/>
    <s v="0.00"/>
    <s v="97.24"/>
  </r>
  <r>
    <x v="24"/>
    <x v="133"/>
    <n v="10070"/>
    <n v="242"/>
    <n v="2949"/>
    <s v="2.40"/>
    <s v="0.00"/>
    <s v="97.60"/>
  </r>
  <r>
    <x v="24"/>
    <x v="134"/>
    <n v="6177"/>
    <n v="205"/>
    <n v="5838"/>
    <s v="3.32"/>
    <s v="0.00"/>
    <s v="96.68"/>
  </r>
  <r>
    <x v="24"/>
    <x v="135"/>
    <n v="209387"/>
    <n v="2838"/>
    <n v="39901"/>
    <s v="1.36"/>
    <s v="0.00"/>
    <s v="98.64"/>
  </r>
  <r>
    <x v="24"/>
    <x v="136"/>
    <n v="15737"/>
    <n v="206"/>
    <n v="11389"/>
    <s v="1.31"/>
    <s v="0.00"/>
    <s v="98.69"/>
  </r>
  <r>
    <x v="24"/>
    <x v="137"/>
    <n v="2090522"/>
    <n v="18684"/>
    <n v="389139"/>
    <s v="0.89"/>
    <s v="0.00"/>
    <s v="99.11"/>
  </r>
  <r>
    <x v="24"/>
    <x v="138"/>
    <n v="196896"/>
    <n v="884"/>
    <n v="20976"/>
    <s v="0.45"/>
    <s v="0.00"/>
    <s v="99.55"/>
  </r>
  <r>
    <x v="24"/>
    <x v="139"/>
    <n v="805560"/>
    <n v="11293"/>
    <n v="602078"/>
    <s v="1.40"/>
    <s v="0.00"/>
    <s v="98.60"/>
  </r>
  <r>
    <x v="24"/>
    <x v="140"/>
    <n v="5154"/>
    <n v="28"/>
    <n v="5081"/>
    <s v="0.54"/>
    <s v="0.00"/>
    <s v="99.46"/>
  </r>
  <r>
    <x v="24"/>
    <x v="141"/>
    <n v="304066"/>
    <n v="4106"/>
    <n v="75409"/>
    <s v="1.35"/>
    <s v="0.00"/>
    <s v="98.65"/>
  </r>
  <r>
    <x v="24"/>
    <x v="142"/>
    <n v="470395"/>
    <n v="7294"/>
    <n v="122565"/>
    <s v="1.55"/>
    <s v="0.00"/>
    <s v="98.45"/>
  </r>
  <r>
    <x v="24"/>
    <x v="143"/>
    <n v="2190396"/>
    <n v="199882"/>
    <n v="559804"/>
    <s v="9.13"/>
    <s v="0.00"/>
    <s v="90.87"/>
  </r>
  <r>
    <x v="24"/>
    <x v="144"/>
    <n v="45439"/>
    <n v="635"/>
    <n v="7965"/>
    <s v="1.40"/>
    <s v="0.00"/>
    <s v="98.60"/>
  </r>
  <r>
    <x v="24"/>
    <x v="145"/>
    <n v="24857"/>
    <n v="309"/>
    <n v="9827"/>
    <s v="1.24"/>
    <s v="0.00"/>
    <s v="98.76"/>
  </r>
  <r>
    <x v="24"/>
    <x v="147"/>
    <n v="1265650"/>
    <n v="28300"/>
    <n v="902772"/>
    <s v="2.24"/>
    <s v="0.00"/>
    <s v="97.76"/>
  </r>
  <r>
    <x v="24"/>
    <x v="146"/>
    <n v="2727286"/>
    <n v="40761"/>
    <n v="2353763"/>
    <s v="1.49"/>
    <s v="0.00"/>
    <s v="98.51"/>
  </r>
  <r>
    <x v="24"/>
    <x v="148"/>
    <n v="2941126"/>
    <n v="76115"/>
    <n v="2438080"/>
    <s v="2.59"/>
    <s v="0.00"/>
    <s v="97.41"/>
  </r>
  <r>
    <x v="24"/>
    <x v="149"/>
    <n v="448322"/>
    <n v="4585"/>
    <n v="103849"/>
    <s v="1.02"/>
    <s v="0.00"/>
    <s v="98.98"/>
  </r>
  <r>
    <x v="24"/>
    <x v="150"/>
    <n v="1080097"/>
    <n v="18100"/>
    <n v="95067"/>
    <s v="1.68"/>
    <s v="0.00"/>
    <s v="98.32"/>
  </r>
  <r>
    <x v="24"/>
    <x v="151"/>
    <n v="8"/>
    <n v="0"/>
    <n v="8"/>
    <s v="0.00"/>
    <s v="0.00"/>
    <s v="100.00"/>
  </r>
  <r>
    <x v="24"/>
    <x v="152"/>
    <n v="460553"/>
    <n v="16228"/>
    <n v="233002"/>
    <s v="3.52"/>
    <s v="0.00"/>
    <s v="96.48"/>
  </r>
  <r>
    <x v="24"/>
    <x v="153"/>
    <n v="237996"/>
    <n v="608"/>
    <n v="27119"/>
    <s v="0.26"/>
    <s v="0.00"/>
    <s v="99.74"/>
  </r>
  <r>
    <x v="24"/>
    <x v="154"/>
    <n v="54024"/>
    <n v="370"/>
    <n v="38127"/>
    <s v="0.68"/>
    <s v="0.00"/>
    <s v="99.32"/>
  </r>
  <r>
    <x v="24"/>
    <x v="155"/>
    <n v="1467401"/>
    <n v="42042"/>
    <n v="1317991"/>
    <s v="2.87"/>
    <s v="0.00"/>
    <s v="97.13"/>
  </r>
  <r>
    <x v="24"/>
    <x v="156"/>
    <n v="1055296"/>
    <n v="9157"/>
    <n v="314304"/>
    <s v="0.87"/>
    <s v="0.00"/>
    <s v="99.13"/>
  </r>
  <r>
    <x v="24"/>
    <x v="157"/>
    <n v="7903963"/>
    <n v="220323"/>
    <n v="3907054"/>
    <s v="2.79"/>
    <s v="0.00"/>
    <s v="97.21"/>
  </r>
  <r>
    <x v="24"/>
    <x v="158"/>
    <n v="99181"/>
    <n v="1313"/>
    <n v="85667"/>
    <s v="1.32"/>
    <s v="0.00"/>
    <s v="98.68"/>
  </r>
  <r>
    <x v="24"/>
    <x v="159"/>
    <n v="547969"/>
    <n v="8765"/>
    <n v="299293"/>
    <s v="1.60"/>
    <s v="0.00"/>
    <s v="98.40"/>
  </r>
  <r>
    <x v="24"/>
    <x v="160"/>
    <n v="20"/>
    <n v="0"/>
    <n v="3"/>
    <s v="0.00"/>
    <s v="0.00"/>
    <s v="100.00"/>
  </r>
  <r>
    <x v="24"/>
    <x v="161"/>
    <n v="21947"/>
    <n v="119"/>
    <n v="17238"/>
    <s v="0.54"/>
    <s v="0.00"/>
    <s v="99.46"/>
  </r>
  <r>
    <x v="24"/>
    <x v="162"/>
    <n v="39839"/>
    <n v="3038"/>
    <n v="36314"/>
    <s v="7.63"/>
    <s v="0.00"/>
    <s v="92.37"/>
  </r>
  <r>
    <x v="24"/>
    <x v="163"/>
    <n v="1161933"/>
    <n v="14956"/>
    <n v="909223"/>
    <s v="1.29"/>
    <s v="0.00"/>
    <s v="98.71"/>
  </r>
  <r>
    <x v="24"/>
    <x v="164"/>
    <n v="150731"/>
    <n v="239"/>
    <n v="99918"/>
    <s v="0.16"/>
    <s v="0.00"/>
    <s v="99.84"/>
  </r>
  <r>
    <x v="24"/>
    <x v="165"/>
    <n v="308501"/>
    <n v="4641"/>
    <n v="130920"/>
    <s v="1.50"/>
    <s v="0.00"/>
    <s v="98.50"/>
  </r>
  <r>
    <x v="24"/>
    <x v="166"/>
    <n v="437938"/>
    <n v="12854"/>
    <n v="351557"/>
    <s v="2.94"/>
    <s v="0.00"/>
    <s v="97.06"/>
  </r>
  <r>
    <x v="24"/>
    <x v="167"/>
    <n v="6397"/>
    <n v="121"/>
    <n v="4236"/>
    <s v="1.89"/>
    <s v="0.00"/>
    <s v="98.11"/>
  </r>
  <r>
    <x v="24"/>
    <x v="168"/>
    <n v="5475"/>
    <n v="91"/>
    <n v="4291"/>
    <s v="1.66"/>
    <s v="0.00"/>
    <s v="98.34"/>
  </r>
  <r>
    <x v="24"/>
    <x v="169"/>
    <n v="73873"/>
    <n v="1871"/>
    <n v="19881"/>
    <s v="2.53"/>
    <s v="0.00"/>
    <s v="97.47"/>
  </r>
  <r>
    <x v="24"/>
    <x v="170"/>
    <n v="21269"/>
    <n v="1180"/>
    <n v="8141"/>
    <s v="5.55"/>
    <s v="0.00"/>
    <s v="94.45"/>
  </r>
  <r>
    <x v="24"/>
    <x v="171"/>
    <n v="46996"/>
    <n v="1029"/>
    <n v="40492"/>
    <s v="2.19"/>
    <s v="0.00"/>
    <s v="97.81"/>
  </r>
  <r>
    <x v="24"/>
    <x v="173"/>
    <n v="3677"/>
    <n v="56"/>
    <n v="3126"/>
    <s v="1.52"/>
    <s v="0.00"/>
    <s v="98.48"/>
  </r>
  <r>
    <x v="24"/>
    <x v="172"/>
    <n v="12225"/>
    <n v="130"/>
    <n v="6314"/>
    <s v="1.06"/>
    <s v="0.00"/>
    <s v="98.94"/>
  </r>
  <r>
    <x v="24"/>
    <x v="174"/>
    <n v="110188"/>
    <n v="3490"/>
    <n v="44756"/>
    <s v="3.17"/>
    <s v="0.00"/>
    <s v="96.83"/>
  </r>
  <r>
    <x v="24"/>
    <x v="175"/>
    <n v="39488"/>
    <n v="2429"/>
    <n v="4137"/>
    <s v="6.15"/>
    <s v="0.00"/>
    <s v="93.85"/>
  </r>
  <r>
    <x v="24"/>
    <x v="176"/>
    <n v="46371"/>
    <n v="1235"/>
    <n v="36506"/>
    <s v="2.66"/>
    <s v="0.00"/>
    <s v="97.34"/>
  </r>
  <r>
    <x v="24"/>
    <x v="177"/>
    <n v="5069"/>
    <n v="174"/>
    <n v="2227"/>
    <s v="3.43"/>
    <s v="0.00"/>
    <s v="96.57"/>
  </r>
  <r>
    <x v="24"/>
    <x v="178"/>
    <n v="25903"/>
    <n v="239"/>
    <n v="16734"/>
    <s v="0.92"/>
    <s v="0.00"/>
    <s v="99.08"/>
  </r>
  <r>
    <x v="24"/>
    <x v="179"/>
    <n v="1793812"/>
    <n v="18336"/>
    <n v="1528038"/>
    <s v="1.02"/>
    <s v="0.00"/>
    <s v="98.98"/>
  </r>
  <r>
    <x v="24"/>
    <x v="180"/>
    <n v="17484"/>
    <n v="125"/>
    <n v="1645"/>
    <s v="0.71"/>
    <s v="0.00"/>
    <s v="99.29"/>
  </r>
  <r>
    <x v="24"/>
    <x v="181"/>
    <n v="19725"/>
    <n v="119"/>
    <n v="5665"/>
    <s v="0.60"/>
    <s v="0.00"/>
    <s v="99.40"/>
  </r>
  <r>
    <x v="24"/>
    <x v="182"/>
    <n v="710953"/>
    <n v="25100"/>
    <n v="244141"/>
    <s v="3.53"/>
    <s v="0.00"/>
    <s v="96.47"/>
  </r>
  <r>
    <x v="24"/>
    <x v="184"/>
    <n v="7683487"/>
    <n v="67837"/>
    <n v="4514688"/>
    <s v="0.88"/>
    <s v="0.00"/>
    <s v="99.12"/>
  </r>
  <r>
    <x v="24"/>
    <x v="185"/>
    <n v="54267"/>
    <n v="1605"/>
    <n v="10427"/>
    <s v="2.96"/>
    <s v="0.00"/>
    <s v="97.04"/>
  </r>
  <r>
    <x v="24"/>
    <x v="186"/>
    <n v="16337"/>
    <n v="846"/>
    <n v="85"/>
    <s v="5.18"/>
    <s v="0.00"/>
    <s v="94.82"/>
  </r>
  <r>
    <x v="24"/>
    <x v="187"/>
    <n v="26034"/>
    <n v="724"/>
    <n v="3022"/>
    <s v="2.78"/>
    <s v="0.00"/>
    <s v="97.22"/>
  </r>
  <r>
    <x v="24"/>
    <x v="188"/>
    <n v="2767743"/>
    <n v="64797"/>
    <n v="500894"/>
    <s v="2.34"/>
    <s v="0.00"/>
    <s v="97.66"/>
  </r>
  <r>
    <x v="24"/>
    <x v="189"/>
    <n v="125261"/>
    <n v="3185"/>
    <n v="14349"/>
    <s v="2.54"/>
    <s v="0.00"/>
    <s v="97.46"/>
  </r>
  <r>
    <x v="24"/>
    <x v="190"/>
    <n v="45050910"/>
    <n v="725835"/>
    <n v="34160627"/>
    <s v="1.61"/>
    <s v="0.00"/>
    <s v="98.39"/>
  </r>
  <r>
    <x v="24"/>
    <x v="191"/>
    <n v="391167"/>
    <n v="6069"/>
    <n v="9690"/>
    <s v="1.55"/>
    <s v="0.00"/>
    <s v="98.45"/>
  </r>
  <r>
    <x v="24"/>
    <x v="192"/>
    <n v="181312"/>
    <n v="1290"/>
    <n v="42075"/>
    <s v="0.71"/>
    <s v="0.00"/>
    <s v="99.29"/>
  </r>
  <r>
    <x v="24"/>
    <x v="194"/>
    <n v="4627"/>
    <n v="53"/>
    <n v="1710"/>
    <s v="1.15"/>
    <s v="0.00"/>
    <s v="98.85"/>
  </r>
  <r>
    <x v="24"/>
    <x v="193"/>
    <n v="27"/>
    <n v="0"/>
    <n v="0"/>
    <s v="0.00"/>
    <s v="0.00"/>
    <s v="100.00"/>
  </r>
  <r>
    <x v="24"/>
    <x v="195"/>
    <n v="394061"/>
    <n v="4734"/>
    <n v="34979"/>
    <s v="1.20"/>
    <s v="0.00"/>
    <s v="98.80"/>
  </r>
  <r>
    <x v="24"/>
    <x v="196"/>
    <n v="867221"/>
    <n v="21269"/>
    <n v="777793"/>
    <s v="2.45"/>
    <s v="0.00"/>
    <s v="97.55"/>
  </r>
  <r>
    <x v="24"/>
    <x v="197"/>
    <n v="4"/>
    <n v="1"/>
    <n v="0"/>
    <s v="25.00"/>
    <s v="0.00"/>
    <s v="75.00"/>
  </r>
  <r>
    <x v="24"/>
    <x v="198"/>
    <n v="3"/>
    <n v="0"/>
    <n v="2"/>
    <s v="0.00"/>
    <s v="0.00"/>
    <s v="100.00"/>
  </r>
  <r>
    <x v="24"/>
    <x v="199"/>
    <n v="160541"/>
    <n v="2973"/>
    <n v="13703"/>
    <s v="1.85"/>
    <s v="0.00"/>
    <s v="98.15"/>
  </r>
  <r>
    <x v="24"/>
    <x v="200"/>
    <n v="9556"/>
    <n v="1807"/>
    <n v="2353"/>
    <s v="18.91"/>
    <s v="0.00"/>
    <s v="81.09"/>
  </r>
  <r>
    <x v="24"/>
    <x v="201"/>
    <n v="20439"/>
    <n v="181"/>
    <n v="7414"/>
    <s v="0.89"/>
    <s v="0.00"/>
    <s v="99.11"/>
  </r>
  <r>
    <x v="24"/>
    <x v="202"/>
    <n v="2916803"/>
    <n v="88619"/>
    <n v="1181792"/>
    <s v="3.04"/>
    <s v="0.00"/>
    <s v="96.96"/>
  </r>
  <r>
    <x v="24"/>
    <x v="203"/>
    <n v="209536"/>
    <n v="3658"/>
    <n v="183771"/>
    <s v="1.75"/>
    <s v="0.00"/>
    <s v="98.25"/>
  </r>
  <r>
    <x v="24"/>
    <x v="204"/>
    <n v="132368"/>
    <n v="4658"/>
    <n v="57297"/>
    <s v="3.52"/>
    <s v="0.00"/>
    <s v="96.48"/>
  </r>
  <r>
    <x v="24"/>
    <x v="205"/>
    <n v="721"/>
    <n v="15"/>
    <n v="326"/>
    <s v="2.08"/>
    <s v="0.00"/>
    <s v="97.92"/>
  </r>
  <r>
    <x v="25"/>
    <x v="205"/>
    <n v="721"/>
    <n v="15"/>
    <n v="292"/>
    <s v="2.08"/>
    <s v="0.00"/>
    <s v="97.92"/>
  </r>
  <r>
    <x v="25"/>
    <x v="204"/>
    <n v="132368"/>
    <n v="4658"/>
    <n v="69216"/>
    <s v="3.52"/>
    <s v="0.00"/>
    <s v="96.48"/>
  </r>
  <r>
    <x v="25"/>
    <x v="203"/>
    <n v="209521"/>
    <n v="3658"/>
    <n v="127056"/>
    <s v="1.75"/>
    <s v="0.00"/>
    <s v="98.25"/>
  </r>
  <r>
    <x v="25"/>
    <x v="202"/>
    <n v="2916593"/>
    <n v="88612"/>
    <n v="1355702"/>
    <s v="3.04"/>
    <s v="0.00"/>
    <s v="96.96"/>
  </r>
  <r>
    <x v="25"/>
    <x v="201"/>
    <n v="20439"/>
    <n v="181"/>
    <n v="347"/>
    <s v="0.89"/>
    <s v="0.00"/>
    <s v="99.11"/>
  </r>
  <r>
    <x v="25"/>
    <x v="200"/>
    <n v="9526"/>
    <n v="1804"/>
    <n v="4292"/>
    <s v="18.94"/>
    <s v="0.00"/>
    <s v="81.06"/>
  </r>
  <r>
    <x v="25"/>
    <x v="199"/>
    <n v="160540"/>
    <n v="2973"/>
    <n v="152539"/>
    <s v="1.85"/>
    <s v="0.00"/>
    <s v="98.15"/>
  </r>
  <r>
    <x v="25"/>
    <x v="198"/>
    <n v="3"/>
    <n v="0"/>
    <n v="0"/>
    <s v="0.00"/>
    <s v="0.00"/>
    <s v="100.00"/>
  </r>
  <r>
    <x v="25"/>
    <x v="197"/>
    <n v="4"/>
    <n v="1"/>
    <n v="3"/>
    <s v="25.00"/>
    <s v="0.00"/>
    <s v="75.00"/>
  </r>
  <r>
    <x v="25"/>
    <x v="196"/>
    <n v="864053"/>
    <n v="21194"/>
    <n v="53525"/>
    <s v="2.45"/>
    <s v="0.00"/>
    <s v="97.55"/>
  </r>
  <r>
    <x v="25"/>
    <x v="195"/>
    <n v="392762"/>
    <n v="4719"/>
    <n v="196049"/>
    <s v="1.20"/>
    <s v="0.00"/>
    <s v="98.80"/>
  </r>
  <r>
    <x v="25"/>
    <x v="193"/>
    <n v="27"/>
    <n v="0"/>
    <n v="20"/>
    <s v="0.00"/>
    <s v="0.00"/>
    <s v="100.00"/>
  </r>
  <r>
    <x v="25"/>
    <x v="194"/>
    <n v="4623"/>
    <n v="53"/>
    <n v="1325"/>
    <s v="1.15"/>
    <s v="0.00"/>
    <s v="98.85"/>
  </r>
  <r>
    <x v="25"/>
    <x v="192"/>
    <n v="180958"/>
    <n v="1287"/>
    <n v="150474"/>
    <s v="0.71"/>
    <s v="0.00"/>
    <s v="99.29"/>
  </r>
  <r>
    <x v="25"/>
    <x v="191"/>
    <n v="391044"/>
    <n v="6069"/>
    <n v="257927"/>
    <s v="1.55"/>
    <s v="0.00"/>
    <s v="98.45"/>
  </r>
  <r>
    <x v="25"/>
    <x v="190"/>
    <n v="44934357"/>
    <n v="724110"/>
    <n v="4886688"/>
    <s v="1.61"/>
    <s v="0.00"/>
    <s v="98.39"/>
  </r>
  <r>
    <x v="25"/>
    <x v="189"/>
    <n v="125186"/>
    <n v="3185"/>
    <n v="66054"/>
    <s v="2.54"/>
    <s v="0.00"/>
    <s v="97.46"/>
  </r>
  <r>
    <x v="25"/>
    <x v="188"/>
    <n v="2757328"/>
    <n v="64603"/>
    <n v="1326612"/>
    <s v="2.34"/>
    <s v="0.00"/>
    <s v="97.66"/>
  </r>
  <r>
    <x v="25"/>
    <x v="187"/>
    <n v="26034"/>
    <n v="724"/>
    <n v="21861"/>
    <s v="2.78"/>
    <s v="0.00"/>
    <s v="97.22"/>
  </r>
  <r>
    <x v="25"/>
    <x v="186"/>
    <n v="16337"/>
    <n v="846"/>
    <n v="3255"/>
    <s v="5.18"/>
    <s v="0.00"/>
    <s v="94.82"/>
  </r>
  <r>
    <x v="25"/>
    <x v="185"/>
    <n v="54114"/>
    <n v="1600"/>
    <n v="28009"/>
    <s v="2.96"/>
    <s v="0.00"/>
    <s v="97.04"/>
  </r>
  <r>
    <x v="25"/>
    <x v="184"/>
    <n v="7654247"/>
    <n v="67623"/>
    <n v="2564139"/>
    <s v="0.88"/>
    <s v="0.00"/>
    <s v="99.12"/>
  </r>
  <r>
    <x v="25"/>
    <x v="182"/>
    <n v="710906"/>
    <n v="25098"/>
    <n v="506917"/>
    <s v="3.53"/>
    <s v="0.00"/>
    <s v="96.47"/>
  </r>
  <r>
    <x v="25"/>
    <x v="181"/>
    <n v="19714"/>
    <n v="119"/>
    <n v="8186"/>
    <s v="0.60"/>
    <s v="0.00"/>
    <s v="99.40"/>
  </r>
  <r>
    <x v="25"/>
    <x v="180"/>
    <n v="17484"/>
    <n v="125"/>
    <n v="9316"/>
    <s v="0.71"/>
    <s v="0.00"/>
    <s v="99.29"/>
  </r>
  <r>
    <x v="25"/>
    <x v="179"/>
    <n v="1783701"/>
    <n v="18273"/>
    <n v="796733"/>
    <s v="1.02"/>
    <s v="0.00"/>
    <s v="98.98"/>
  </r>
  <r>
    <x v="25"/>
    <x v="178"/>
    <n v="25899"/>
    <n v="239"/>
    <n v="18587"/>
    <s v="0.92"/>
    <s v="0.00"/>
    <s v="99.08"/>
  </r>
  <r>
    <x v="25"/>
    <x v="177"/>
    <n v="5067"/>
    <n v="174"/>
    <n v="1017"/>
    <s v="3.43"/>
    <s v="0.00"/>
    <s v="96.57"/>
  </r>
  <r>
    <x v="25"/>
    <x v="176"/>
    <n v="46363"/>
    <n v="1233"/>
    <n v="32051"/>
    <s v="2.66"/>
    <s v="0.00"/>
    <s v="97.34"/>
  </r>
  <r>
    <x v="25"/>
    <x v="175"/>
    <n v="39086"/>
    <n v="2408"/>
    <n v="3074"/>
    <s v="6.16"/>
    <s v="0.00"/>
    <s v="93.84"/>
  </r>
  <r>
    <x v="25"/>
    <x v="174"/>
    <n v="110188"/>
    <n v="3477"/>
    <n v="105307"/>
    <s v="3.16"/>
    <s v="0.00"/>
    <s v="96.84"/>
  </r>
  <r>
    <x v="25"/>
    <x v="172"/>
    <n v="12184"/>
    <n v="130"/>
    <n v="1189"/>
    <s v="1.07"/>
    <s v="0.00"/>
    <s v="98.93"/>
  </r>
  <r>
    <x v="25"/>
    <x v="173"/>
    <n v="3677"/>
    <n v="56"/>
    <n v="2368"/>
    <s v="1.52"/>
    <s v="0.00"/>
    <s v="98.48"/>
  </r>
  <r>
    <x v="25"/>
    <x v="171"/>
    <n v="46447"/>
    <n v="1022"/>
    <n v="39851"/>
    <s v="2.20"/>
    <s v="0.00"/>
    <s v="97.80"/>
  </r>
  <r>
    <x v="25"/>
    <x v="170"/>
    <n v="21269"/>
    <n v="1180"/>
    <n v="16164"/>
    <s v="5.55"/>
    <s v="0.00"/>
    <s v="94.45"/>
  </r>
  <r>
    <x v="25"/>
    <x v="169"/>
    <n v="73866"/>
    <n v="1871"/>
    <n v="12869"/>
    <s v="2.53"/>
    <s v="0.00"/>
    <s v="97.47"/>
  </r>
  <r>
    <x v="25"/>
    <x v="168"/>
    <n v="5473"/>
    <n v="91"/>
    <n v="3363"/>
    <s v="1.66"/>
    <s v="0.00"/>
    <s v="98.34"/>
  </r>
  <r>
    <x v="25"/>
    <x v="167"/>
    <n v="6396"/>
    <n v="121"/>
    <n v="1995"/>
    <s v="1.89"/>
    <s v="0.00"/>
    <s v="98.11"/>
  </r>
  <r>
    <x v="25"/>
    <x v="166"/>
    <n v="437385"/>
    <n v="12846"/>
    <n v="258220"/>
    <s v="2.94"/>
    <s v="0.00"/>
    <s v="97.06"/>
  </r>
  <r>
    <x v="25"/>
    <x v="165"/>
    <n v="308136"/>
    <n v="4638"/>
    <n v="39042"/>
    <s v="1.51"/>
    <s v="0.00"/>
    <s v="98.49"/>
  </r>
  <r>
    <x v="25"/>
    <x v="164"/>
    <n v="148178"/>
    <n v="233"/>
    <n v="10494"/>
    <s v="0.16"/>
    <s v="0.00"/>
    <s v="99.84"/>
  </r>
  <r>
    <x v="25"/>
    <x v="163"/>
    <n v="1161933"/>
    <n v="14956"/>
    <n v="912694"/>
    <s v="1.29"/>
    <s v="0.00"/>
    <s v="98.71"/>
  </r>
  <r>
    <x v="25"/>
    <x v="162"/>
    <n v="39550"/>
    <n v="3038"/>
    <n v="12801"/>
    <s v="7.68"/>
    <s v="0.00"/>
    <s v="92.32"/>
  </r>
  <r>
    <x v="25"/>
    <x v="161"/>
    <n v="21854"/>
    <n v="119"/>
    <n v="14786"/>
    <s v="0.54"/>
    <s v="0.00"/>
    <s v="99.46"/>
  </r>
  <r>
    <x v="25"/>
    <x v="160"/>
    <n v="20"/>
    <n v="0"/>
    <n v="2"/>
    <s v="0.00"/>
    <s v="0.00"/>
    <s v="100.00"/>
  </r>
  <r>
    <x v="25"/>
    <x v="159"/>
    <n v="547931"/>
    <n v="8763"/>
    <n v="502218"/>
    <s v="1.60"/>
    <s v="0.00"/>
    <s v="98.40"/>
  </r>
  <r>
    <x v="25"/>
    <x v="158"/>
    <n v="99145"/>
    <n v="1313"/>
    <n v="94200"/>
    <s v="1.32"/>
    <s v="0.00"/>
    <s v="98.68"/>
  </r>
  <r>
    <x v="25"/>
    <x v="157"/>
    <n v="7870529"/>
    <n v="219342"/>
    <n v="3273447"/>
    <s v="2.79"/>
    <s v="0.00"/>
    <s v="97.21"/>
  </r>
  <r>
    <x v="25"/>
    <x v="156"/>
    <n v="1048835"/>
    <n v="9105"/>
    <n v="1022845"/>
    <s v="0.87"/>
    <s v="0.00"/>
    <s v="99.13"/>
  </r>
  <r>
    <x v="25"/>
    <x v="155"/>
    <n v="1457260"/>
    <n v="41781"/>
    <n v="85526"/>
    <s v="2.87"/>
    <s v="0.00"/>
    <s v="97.13"/>
  </r>
  <r>
    <x v="25"/>
    <x v="154"/>
    <n v="54024"/>
    <n v="370"/>
    <n v="42822"/>
    <s v="0.68"/>
    <s v="0.00"/>
    <s v="99.32"/>
  </r>
  <r>
    <x v="25"/>
    <x v="153"/>
    <n v="237929"/>
    <n v="608"/>
    <n v="32135"/>
    <s v="0.26"/>
    <s v="0.00"/>
    <s v="99.74"/>
  </r>
  <r>
    <x v="25"/>
    <x v="152"/>
    <n v="460322"/>
    <n v="16209"/>
    <n v="120864"/>
    <s v="3.52"/>
    <s v="0.00"/>
    <s v="96.48"/>
  </r>
  <r>
    <x v="25"/>
    <x v="151"/>
    <n v="8"/>
    <n v="0"/>
    <n v="6"/>
    <s v="0.00"/>
    <s v="0.00"/>
    <s v="100.00"/>
  </r>
  <r>
    <x v="25"/>
    <x v="150"/>
    <n v="1079806"/>
    <n v="18097"/>
    <n v="996686"/>
    <s v="1.68"/>
    <s v="0.00"/>
    <s v="98.32"/>
  </r>
  <r>
    <x v="25"/>
    <x v="149"/>
    <n v="447032"/>
    <n v="4556"/>
    <n v="223195"/>
    <s v="1.02"/>
    <s v="0.00"/>
    <s v="98.98"/>
  </r>
  <r>
    <x v="25"/>
    <x v="148"/>
    <n v="2939590"/>
    <n v="76112"/>
    <n v="136156"/>
    <s v="2.59"/>
    <s v="0.00"/>
    <s v="97.41"/>
  </r>
  <r>
    <x v="25"/>
    <x v="146"/>
    <n v="2720368"/>
    <n v="40675"/>
    <n v="2410637"/>
    <s v="1.50"/>
    <s v="0.00"/>
    <s v="98.50"/>
  </r>
  <r>
    <x v="25"/>
    <x v="147"/>
    <n v="1265047"/>
    <n v="28280"/>
    <n v="298921"/>
    <s v="2.24"/>
    <s v="0.00"/>
    <s v="97.76"/>
  </r>
  <r>
    <x v="25"/>
    <x v="145"/>
    <n v="24041"/>
    <n v="266"/>
    <n v="17692"/>
    <s v="1.11"/>
    <s v="0.00"/>
    <s v="98.89"/>
  </r>
  <r>
    <x v="25"/>
    <x v="144"/>
    <n v="45439"/>
    <n v="633"/>
    <n v="13818"/>
    <s v="1.39"/>
    <s v="0.00"/>
    <s v="98.61"/>
  </r>
  <r>
    <x v="25"/>
    <x v="143"/>
    <n v="2190009"/>
    <n v="199843"/>
    <n v="1053529"/>
    <s v="9.13"/>
    <s v="0.00"/>
    <s v="90.87"/>
  </r>
  <r>
    <x v="25"/>
    <x v="142"/>
    <n v="470264"/>
    <n v="7291"/>
    <n v="271218"/>
    <s v="1.55"/>
    <s v="0.00"/>
    <s v="98.45"/>
  </r>
  <r>
    <x v="25"/>
    <x v="141"/>
    <n v="304054"/>
    <n v="4105"/>
    <n v="142735"/>
    <s v="1.35"/>
    <s v="0.00"/>
    <s v="98.65"/>
  </r>
  <r>
    <x v="25"/>
    <x v="140"/>
    <n v="5056"/>
    <n v="28"/>
    <n v="3084"/>
    <s v="0.55"/>
    <s v="0.00"/>
    <s v="99.45"/>
  </r>
  <r>
    <x v="25"/>
    <x v="139"/>
    <n v="805037"/>
    <n v="11284"/>
    <n v="36872"/>
    <s v="1.40"/>
    <s v="0.00"/>
    <s v="98.60"/>
  </r>
  <r>
    <x v="25"/>
    <x v="138"/>
    <n v="196351"/>
    <n v="884"/>
    <n v="157444"/>
    <s v="0.45"/>
    <s v="0.00"/>
    <s v="99.55"/>
  </r>
  <r>
    <x v="25"/>
    <x v="137"/>
    <n v="2087144"/>
    <n v="18680"/>
    <n v="749858"/>
    <s v="0.90"/>
    <s v="0.00"/>
    <s v="99.10"/>
  </r>
  <r>
    <x v="25"/>
    <x v="136"/>
    <n v="15737"/>
    <n v="206"/>
    <n v="14245"/>
    <s v="1.31"/>
    <s v="0.00"/>
    <s v="98.69"/>
  </r>
  <r>
    <x v="25"/>
    <x v="135"/>
    <n v="209298"/>
    <n v="2837"/>
    <n v="62477"/>
    <s v="1.36"/>
    <s v="0.00"/>
    <s v="98.64"/>
  </r>
  <r>
    <x v="25"/>
    <x v="134"/>
    <n v="6170"/>
    <n v="204"/>
    <n v="3115"/>
    <s v="3.31"/>
    <s v="0.00"/>
    <s v="96.69"/>
  </r>
  <r>
    <x v="25"/>
    <x v="133"/>
    <n v="9977"/>
    <n v="241"/>
    <n v="9659"/>
    <s v="2.42"/>
    <s v="0.00"/>
    <s v="97.58"/>
  </r>
  <r>
    <x v="25"/>
    <x v="132"/>
    <n v="128328"/>
    <n v="3538"/>
    <n v="28205"/>
    <s v="2.76"/>
    <s v="0.00"/>
    <s v="97.24"/>
  </r>
  <r>
    <x v="25"/>
    <x v="131"/>
    <n v="151102"/>
    <n v="1926"/>
    <n v="115209"/>
    <s v="1.27"/>
    <s v="0.00"/>
    <s v="98.73"/>
  </r>
  <r>
    <x v="25"/>
    <x v="130"/>
    <n v="2390687"/>
    <n v="27921"/>
    <n v="625246"/>
    <s v="1.17"/>
    <s v="0.00"/>
    <s v="98.83"/>
  </r>
  <r>
    <x v="25"/>
    <x v="129"/>
    <n v="3757056"/>
    <n v="284381"/>
    <n v="3107814"/>
    <s v="7.57"/>
    <s v="0.00"/>
    <s v="92.43"/>
  </r>
  <r>
    <x v="25"/>
    <x v="128"/>
    <n v="61716"/>
    <n v="2292"/>
    <n v="52251"/>
    <s v="3.71"/>
    <s v="0.00"/>
    <s v="96.29"/>
  </r>
  <r>
    <x v="25"/>
    <x v="127"/>
    <n v="86165"/>
    <n v="238"/>
    <n v="21892"/>
    <s v="0.28"/>
    <s v="0.00"/>
    <s v="99.72"/>
  </r>
  <r>
    <x v="25"/>
    <x v="126"/>
    <n v="16621"/>
    <n v="129"/>
    <n v="4618"/>
    <s v="0.78"/>
    <s v="0.00"/>
    <s v="99.22"/>
  </r>
  <r>
    <x v="25"/>
    <x v="125"/>
    <n v="37453"/>
    <n v="459"/>
    <n v="14315"/>
    <s v="1.23"/>
    <s v="0.00"/>
    <s v="98.77"/>
  </r>
  <r>
    <x v="25"/>
    <x v="124"/>
    <n v="36677"/>
    <n v="788"/>
    <n v="17336"/>
    <s v="2.15"/>
    <s v="0.00"/>
    <s v="97.85"/>
  </r>
  <r>
    <x v="25"/>
    <x v="123"/>
    <n v="42269"/>
    <n v="656"/>
    <n v="24673"/>
    <s v="1.55"/>
    <s v="0.00"/>
    <s v="98.45"/>
  </r>
  <r>
    <x v="25"/>
    <x v="122"/>
    <n v="77"/>
    <n v="0"/>
    <n v="13"/>
    <s v="0.00"/>
    <s v="0.00"/>
    <s v="100.00"/>
  </r>
  <r>
    <x v="25"/>
    <x v="121"/>
    <n v="339536"/>
    <n v="1556"/>
    <n v="182355"/>
    <s v="0.46"/>
    <s v="0.00"/>
    <s v="99.54"/>
  </r>
  <r>
    <x v="25"/>
    <x v="120"/>
    <n v="487853"/>
    <n v="18359"/>
    <n v="342637"/>
    <s v="3.76"/>
    <s v="0.00"/>
    <s v="96.24"/>
  </r>
  <r>
    <x v="25"/>
    <x v="119"/>
    <n v="15619"/>
    <n v="557"/>
    <n v="3508"/>
    <s v="3.57"/>
    <s v="0.00"/>
    <s v="96.43"/>
  </r>
  <r>
    <x v="25"/>
    <x v="118"/>
    <n v="197091"/>
    <n v="6940"/>
    <n v="5717"/>
    <s v="3.52"/>
    <s v="0.00"/>
    <s v="96.48"/>
  </r>
  <r>
    <x v="25"/>
    <x v="117"/>
    <n v="4"/>
    <n v="0"/>
    <n v="0"/>
    <s v="0.00"/>
    <s v="0.00"/>
    <s v="100.00"/>
  </r>
  <r>
    <x v="25"/>
    <x v="116"/>
    <n v="43616"/>
    <n v="960"/>
    <n v="36390"/>
    <s v="2.20"/>
    <s v="0.00"/>
    <s v="97.80"/>
  </r>
  <r>
    <x v="25"/>
    <x v="115"/>
    <n v="3878"/>
    <n v="55"/>
    <n v="2665"/>
    <s v="1.42"/>
    <s v="0.00"/>
    <s v="98.58"/>
  </r>
  <r>
    <x v="25"/>
    <x v="114"/>
    <n v="137769"/>
    <n v="2023"/>
    <n v="98866"/>
    <s v="1.47"/>
    <s v="0.00"/>
    <s v="98.53"/>
  </r>
  <r>
    <x v="25"/>
    <x v="113"/>
    <n v="316529"/>
    <n v="7241"/>
    <n v="90476"/>
    <s v="2.29"/>
    <s v="0.00"/>
    <s v="97.71"/>
  </r>
  <r>
    <x v="25"/>
    <x v="112"/>
    <n v="3358"/>
    <n v="35"/>
    <n v="3115"/>
    <s v="1.04"/>
    <s v="0.00"/>
    <s v="98.96"/>
  </r>
  <r>
    <x v="25"/>
    <x v="111"/>
    <n v="942132"/>
    <n v="14544"/>
    <n v="222813"/>
    <s v="1.54"/>
    <s v="0.00"/>
    <s v="98.46"/>
  </r>
  <r>
    <x v="25"/>
    <x v="110"/>
    <n v="349990"/>
    <n v="4883"/>
    <n v="159873"/>
    <s v="1.40"/>
    <s v="0.00"/>
    <s v="98.60"/>
  </r>
  <r>
    <x v="25"/>
    <x v="109"/>
    <n v="185614"/>
    <n v="2890"/>
    <n v="177992"/>
    <s v="1.56"/>
    <s v="0.00"/>
    <s v="98.44"/>
  </r>
  <r>
    <x v="25"/>
    <x v="108"/>
    <n v="79720"/>
    <n v="839"/>
    <n v="16527"/>
    <s v="1.05"/>
    <s v="0.00"/>
    <s v="98.95"/>
  </r>
  <r>
    <x v="25"/>
    <x v="107"/>
    <n v="368641"/>
    <n v="5439"/>
    <n v="314681"/>
    <s v="1.48"/>
    <s v="0.00"/>
    <s v="98.52"/>
  </r>
  <r>
    <x v="25"/>
    <x v="106"/>
    <n v="21530"/>
    <n v="655"/>
    <n v="3820"/>
    <s v="3.04"/>
    <s v="0.00"/>
    <s v="96.96"/>
  </r>
  <r>
    <x v="25"/>
    <x v="105"/>
    <n v="5803"/>
    <n v="286"/>
    <n v="348"/>
    <s v="4.93"/>
    <s v="0.00"/>
    <s v="95.07"/>
  </r>
  <r>
    <x v="25"/>
    <x v="104"/>
    <n v="531648"/>
    <n v="13484"/>
    <n v="375089"/>
    <s v="2.54"/>
    <s v="0.00"/>
    <s v="97.46"/>
  </r>
  <r>
    <x v="25"/>
    <x v="103"/>
    <n v="3584"/>
    <n v="60"/>
    <n v="1483"/>
    <s v="1.67"/>
    <s v="0.00"/>
    <s v="98.33"/>
  </r>
  <r>
    <x v="25"/>
    <x v="102"/>
    <n v="12228"/>
    <n v="236"/>
    <n v="3992"/>
    <s v="1.93"/>
    <s v="0.00"/>
    <s v="98.07"/>
  </r>
  <r>
    <x v="25"/>
    <x v="101"/>
    <n v="633909"/>
    <n v="8425"/>
    <n v="273047"/>
    <s v="1.33"/>
    <s v="0.00"/>
    <s v="98.67"/>
  </r>
  <r>
    <x v="25"/>
    <x v="100"/>
    <n v="32029"/>
    <n v="40"/>
    <n v="4790"/>
    <s v="0.12"/>
    <s v="0.00"/>
    <s v="99.88"/>
  </r>
  <r>
    <x v="25"/>
    <x v="99"/>
    <n v="996141"/>
    <n v="16618"/>
    <n v="557015"/>
    <s v="1.67"/>
    <s v="0.00"/>
    <s v="98.33"/>
  </r>
  <r>
    <x v="25"/>
    <x v="98"/>
    <n v="412332"/>
    <n v="2457"/>
    <n v="224739"/>
    <s v="0.60"/>
    <s v="0.00"/>
    <s v="99.40"/>
  </r>
  <r>
    <x v="25"/>
    <x v="97"/>
    <n v="343445"/>
    <n v="2668"/>
    <n v="323404"/>
    <s v="0.78"/>
    <s v="0.00"/>
    <s v="99.22"/>
  </r>
  <r>
    <x v="25"/>
    <x v="96"/>
    <n v="2550"/>
    <n v="21"/>
    <n v="1288"/>
    <s v="0.82"/>
    <s v="0.00"/>
    <s v="99.18"/>
  </r>
  <r>
    <x v="25"/>
    <x v="95"/>
    <n v="4186"/>
    <n v="147"/>
    <n v="1479"/>
    <s v="3.51"/>
    <s v="0.00"/>
    <s v="96.49"/>
  </r>
  <r>
    <x v="25"/>
    <x v="93"/>
    <n v="116665"/>
    <n v="2658"/>
    <n v="79335"/>
    <s v="2.28"/>
    <s v="0.00"/>
    <s v="97.72"/>
  </r>
  <r>
    <x v="25"/>
    <x v="94"/>
    <n v="2"/>
    <n v="0"/>
    <n v="1"/>
    <s v="0.00"/>
    <s v="0.00"/>
    <s v="100.00"/>
  </r>
  <r>
    <x v="25"/>
    <x v="92"/>
    <n v="179845"/>
    <n v="2634"/>
    <n v="152646"/>
    <s v="1.46"/>
    <s v="0.00"/>
    <s v="98.54"/>
  </r>
  <r>
    <x v="25"/>
    <x v="90"/>
    <n v="1715515"/>
    <n v="18112"/>
    <n v="668794"/>
    <s v="1.06"/>
    <s v="0.00"/>
    <s v="98.94"/>
  </r>
  <r>
    <x v="25"/>
    <x v="91"/>
    <n v="252033"/>
    <n v="5223"/>
    <n v="39753"/>
    <s v="2.07"/>
    <s v="0.00"/>
    <s v="97.93"/>
  </r>
  <r>
    <x v="25"/>
    <x v="89"/>
    <n v="841489"/>
    <n v="10879"/>
    <n v="149207"/>
    <s v="1.29"/>
    <s v="0.00"/>
    <s v="98.71"/>
  </r>
  <r>
    <x v="25"/>
    <x v="88"/>
    <n v="87389"/>
    <n v="2110"/>
    <n v="47855"/>
    <s v="2.41"/>
    <s v="0.00"/>
    <s v="97.59"/>
  </r>
  <r>
    <x v="25"/>
    <x v="87"/>
    <n v="4717899"/>
    <n v="131541"/>
    <n v="1872026"/>
    <s v="2.79"/>
    <s v="0.00"/>
    <s v="97.21"/>
  </r>
  <r>
    <x v="25"/>
    <x v="86"/>
    <n v="12455"/>
    <n v="33"/>
    <n v="513"/>
    <s v="0.26"/>
    <s v="0.00"/>
    <s v="99.74"/>
  </r>
  <r>
    <x v="25"/>
    <x v="85"/>
    <n v="5784815"/>
    <n v="124075"/>
    <n v="2798726"/>
    <s v="2.14"/>
    <s v="0.00"/>
    <s v="97.86"/>
  </r>
  <r>
    <x v="25"/>
    <x v="84"/>
    <n v="2035453"/>
    <n v="22756"/>
    <n v="711971"/>
    <s v="1.12"/>
    <s v="0.00"/>
    <s v="98.88"/>
  </r>
  <r>
    <x v="25"/>
    <x v="83"/>
    <n v="34081315"/>
    <n v="452290"/>
    <n v="24853461"/>
    <s v="1.33"/>
    <s v="0.00"/>
    <s v="98.67"/>
  </r>
  <r>
    <x v="25"/>
    <x v="82"/>
    <n v="1316317"/>
    <n v="7999"/>
    <n v="894181"/>
    <s v="0.61"/>
    <s v="0.00"/>
    <s v="99.39"/>
  </r>
  <r>
    <x v="25"/>
    <x v="81"/>
    <n v="415114"/>
    <n v="5306"/>
    <n v="81178"/>
    <s v="1.28"/>
    <s v="0.00"/>
    <s v="98.72"/>
  </r>
  <r>
    <x v="25"/>
    <x v="80"/>
    <n v="4234758"/>
    <n v="142952"/>
    <n v="2767973"/>
    <s v="3.38"/>
    <s v="0.00"/>
    <s v="96.62"/>
  </r>
  <r>
    <x v="25"/>
    <x v="79"/>
    <n v="833115"/>
    <n v="30351"/>
    <n v="401151"/>
    <s v="3.64"/>
    <s v="0.00"/>
    <s v="96.36"/>
  </r>
  <r>
    <x v="25"/>
    <x v="78"/>
    <n v="22933"/>
    <n v="657"/>
    <n v="17493"/>
    <s v="2.86"/>
    <s v="0.00"/>
    <s v="97.14"/>
  </r>
  <r>
    <x v="25"/>
    <x v="77"/>
    <n v="427914"/>
    <n v="8896"/>
    <n v="55297"/>
    <s v="2.08"/>
    <s v="0.00"/>
    <s v="97.92"/>
  </r>
  <r>
    <x v="25"/>
    <x v="76"/>
    <n v="372179"/>
    <n v="10096"/>
    <n v="239095"/>
    <s v="2.71"/>
    <s v="0.00"/>
    <s v="97.29"/>
  </r>
  <r>
    <x v="25"/>
    <x v="75"/>
    <n v="12294"/>
    <n v="213"/>
    <n v="7668"/>
    <s v="1.73"/>
    <s v="0.00"/>
    <s v="98.27"/>
  </r>
  <r>
    <x v="25"/>
    <x v="74"/>
    <n v="34455"/>
    <n v="870"/>
    <n v="23863"/>
    <s v="2.53"/>
    <s v="0.00"/>
    <s v="97.47"/>
  </r>
  <r>
    <x v="25"/>
    <x v="73"/>
    <n v="6130"/>
    <n v="141"/>
    <n v="3889"/>
    <s v="2.30"/>
    <s v="0.00"/>
    <s v="97.70"/>
  </r>
  <r>
    <x v="25"/>
    <x v="72"/>
    <n v="588069"/>
    <n v="14330"/>
    <n v="489271"/>
    <s v="2.44"/>
    <s v="0.00"/>
    <s v="97.56"/>
  </r>
  <r>
    <x v="25"/>
    <x v="71"/>
    <n v="693886"/>
    <n v="15375"/>
    <n v="77963"/>
    <s v="2.22"/>
    <s v="0.00"/>
    <s v="97.78"/>
  </r>
  <r>
    <x v="25"/>
    <x v="70"/>
    <n v="12840"/>
    <n v="156"/>
    <n v="10935"/>
    <s v="1.21"/>
    <s v="0.00"/>
    <s v="98.79"/>
  </r>
  <r>
    <x v="25"/>
    <x v="69"/>
    <n v="53836"/>
    <n v="800"/>
    <n v="28675"/>
    <s v="1.49"/>
    <s v="0.00"/>
    <s v="98.51"/>
  </r>
  <r>
    <x v="25"/>
    <x v="67"/>
    <n v="9946"/>
    <n v="339"/>
    <n v="1612"/>
    <s v="3.41"/>
    <s v="0.00"/>
    <s v="96.59"/>
  </r>
  <r>
    <x v="25"/>
    <x v="68"/>
    <n v="30572"/>
    <n v="385"/>
    <n v="2790"/>
    <s v="1.26"/>
    <s v="0.00"/>
    <s v="98.74"/>
  </r>
  <r>
    <x v="25"/>
    <x v="66"/>
    <n v="5758"/>
    <n v="98"/>
    <n v="3351"/>
    <s v="1.70"/>
    <s v="0.00"/>
    <s v="98.30"/>
  </r>
  <r>
    <x v="25"/>
    <x v="65"/>
    <n v="129440"/>
    <n v="1167"/>
    <n v="80238"/>
    <s v="0.90"/>
    <s v="0.00"/>
    <s v="99.10"/>
  </r>
  <r>
    <x v="25"/>
    <x v="64"/>
    <n v="43255"/>
    <n v="293"/>
    <n v="22029"/>
    <s v="0.68"/>
    <s v="0.00"/>
    <s v="99.32"/>
  </r>
  <r>
    <x v="25"/>
    <x v="62"/>
    <n v="5746"/>
    <n v="192"/>
    <n v="567"/>
    <s v="3.34"/>
    <s v="0.00"/>
    <s v="96.66"/>
  </r>
  <r>
    <x v="25"/>
    <x v="63"/>
    <n v="662334"/>
    <n v="9468"/>
    <n v="353417"/>
    <s v="1.43"/>
    <s v="0.00"/>
    <s v="98.57"/>
  </r>
  <r>
    <x v="25"/>
    <x v="61"/>
    <n v="8482927"/>
    <n v="138899"/>
    <n v="374914"/>
    <s v="1.64"/>
    <s v="0.00"/>
    <s v="98.36"/>
  </r>
  <r>
    <x v="25"/>
    <x v="60"/>
    <n v="33442"/>
    <n v="213"/>
    <n v="8975"/>
    <s v="0.64"/>
    <s v="0.00"/>
    <s v="99.36"/>
  </r>
  <r>
    <x v="25"/>
    <x v="59"/>
    <n v="6914791"/>
    <n v="114948"/>
    <n v="161747"/>
    <s v="1.66"/>
    <s v="0.00"/>
    <s v="98.34"/>
  </r>
  <r>
    <x v="25"/>
    <x v="58"/>
    <n v="1350"/>
    <n v="2"/>
    <n v="105"/>
    <s v="0.15"/>
    <s v="0.00"/>
    <s v="99.85"/>
  </r>
  <r>
    <x v="25"/>
    <x v="57"/>
    <n v="51701"/>
    <n v="663"/>
    <n v="1885"/>
    <s v="1.28"/>
    <s v="0.00"/>
    <s v="98.72"/>
  </r>
  <r>
    <x v="25"/>
    <x v="56"/>
    <n v="149897"/>
    <n v="1116"/>
    <n v="45361"/>
    <s v="0.74"/>
    <s v="0.00"/>
    <s v="99.26"/>
  </r>
  <r>
    <x v="25"/>
    <x v="55"/>
    <n v="359247"/>
    <n v="6217"/>
    <n v="129100"/>
    <s v="1.73"/>
    <s v="0.00"/>
    <s v="98.27"/>
  </r>
  <r>
    <x v="25"/>
    <x v="54"/>
    <n v="4984386"/>
    <n v="86974"/>
    <n v="622044"/>
    <s v="1.74"/>
    <s v="0.00"/>
    <s v="98.26"/>
  </r>
  <r>
    <x v="25"/>
    <x v="53"/>
    <n v="6774"/>
    <n v="45"/>
    <n v="5593"/>
    <s v="0.66"/>
    <s v="0.00"/>
    <s v="99.34"/>
  </r>
  <r>
    <x v="25"/>
    <x v="52"/>
    <n v="318456"/>
    <n v="17970"/>
    <n v="298137"/>
    <s v="5.64"/>
    <s v="0.00"/>
    <s v="94.36"/>
  </r>
  <r>
    <x v="25"/>
    <x v="51"/>
    <n v="172514"/>
    <n v="1426"/>
    <n v="108015"/>
    <s v="0.83"/>
    <s v="0.00"/>
    <s v="99.17"/>
  </r>
  <r>
    <x v="25"/>
    <x v="50"/>
    <n v="513026"/>
    <n v="32899"/>
    <n v="402731"/>
    <s v="6.41"/>
    <s v="0.00"/>
    <s v="93.59"/>
  </r>
  <r>
    <x v="25"/>
    <x v="49"/>
    <n v="205286"/>
    <n v="5872"/>
    <n v="67761"/>
    <s v="2.86"/>
    <s v="0.00"/>
    <s v="97.14"/>
  </r>
  <r>
    <x v="25"/>
    <x v="48"/>
    <n v="370451"/>
    <n v="4087"/>
    <n v="357113"/>
    <s v="1.10"/>
    <s v="0.00"/>
    <s v="98.90"/>
  </r>
  <r>
    <x v="25"/>
    <x v="47"/>
    <n v="4153"/>
    <n v="28"/>
    <n v="3687"/>
    <s v="0.67"/>
    <s v="0.00"/>
    <s v="99.33"/>
  </r>
  <r>
    <x v="25"/>
    <x v="46"/>
    <n v="369305"/>
    <n v="2685"/>
    <n v="299291"/>
    <s v="0.73"/>
    <s v="0.00"/>
    <s v="99.27"/>
  </r>
  <r>
    <x v="25"/>
    <x v="45"/>
    <n v="13396"/>
    <n v="179"/>
    <n v="4186"/>
    <s v="1.34"/>
    <s v="0.00"/>
    <s v="98.66"/>
  </r>
  <r>
    <x v="25"/>
    <x v="44"/>
    <n v="4382019"/>
    <n v="94632"/>
    <n v="3743987"/>
    <s v="2.16"/>
    <s v="0.00"/>
    <s v="97.84"/>
  </r>
  <r>
    <x v="25"/>
    <x v="43"/>
    <n v="1708925"/>
    <n v="30545"/>
    <n v="450067"/>
    <s v="1.79"/>
    <s v="0.00"/>
    <s v="98.21"/>
  </r>
  <r>
    <x v="25"/>
    <x v="42"/>
    <n v="121995"/>
    <n v="563"/>
    <n v="41559"/>
    <s v="0.46"/>
    <s v="0.00"/>
    <s v="99.54"/>
  </r>
  <r>
    <x v="25"/>
    <x v="41"/>
    <n v="38040"/>
    <n v="347"/>
    <n v="10949"/>
    <s v="0.91"/>
    <s v="0.00"/>
    <s v="99.09"/>
  </r>
  <r>
    <x v="25"/>
    <x v="40"/>
    <n v="934965"/>
    <n v="8058"/>
    <n v="40345"/>
    <s v="0.86"/>
    <s v="0.00"/>
    <s v="99.14"/>
  </r>
  <r>
    <x v="25"/>
    <x v="39"/>
    <n v="551144"/>
    <n v="6797"/>
    <n v="390131"/>
    <s v="1.23"/>
    <s v="0.00"/>
    <s v="98.77"/>
  </r>
  <r>
    <x v="25"/>
    <x v="38"/>
    <n v="4981532"/>
    <n v="126865"/>
    <n v="598156"/>
    <s v="2.55"/>
    <s v="0.00"/>
    <s v="97.45"/>
  </r>
  <r>
    <x v="25"/>
    <x v="37"/>
    <n v="96550"/>
    <n v="4636"/>
    <n v="77838"/>
    <s v="4.80"/>
    <s v="0.00"/>
    <s v="95.20"/>
  </r>
  <r>
    <x v="25"/>
    <x v="36"/>
    <n v="98402"/>
    <n v="1550"/>
    <n v="81531"/>
    <s v="1.58"/>
    <s v="0.00"/>
    <s v="98.42"/>
  </r>
  <r>
    <x v="25"/>
    <x v="35"/>
    <n v="1670750"/>
    <n v="37609"/>
    <n v="1010211"/>
    <s v="2.25"/>
    <s v="0.00"/>
    <s v="97.75"/>
  </r>
  <r>
    <x v="25"/>
    <x v="34"/>
    <n v="61038"/>
    <n v="682"/>
    <n v="16096"/>
    <s v="1.12"/>
    <s v="0.00"/>
    <s v="98.88"/>
  </r>
  <r>
    <x v="25"/>
    <x v="33"/>
    <n v="854591"/>
    <n v="11156"/>
    <n v="257753"/>
    <s v="1.31"/>
    <s v="0.00"/>
    <s v="98.69"/>
  </r>
  <r>
    <x v="25"/>
    <x v="32"/>
    <n v="15514"/>
    <n v="222"/>
    <n v="12559"/>
    <s v="1.43"/>
    <s v="0.00"/>
    <s v="98.57"/>
  </r>
  <r>
    <x v="25"/>
    <x v="31"/>
    <n v="11469"/>
    <n v="100"/>
    <n v="7474"/>
    <s v="0.87"/>
    <s v="0.00"/>
    <s v="99.13"/>
  </r>
  <r>
    <x v="25"/>
    <x v="30"/>
    <n v="57269"/>
    <n v="1089"/>
    <n v="49651"/>
    <s v="1.90"/>
    <s v="0.00"/>
    <s v="98.10"/>
  </r>
  <r>
    <x v="25"/>
    <x v="29"/>
    <n v="1687883"/>
    <n v="28545"/>
    <n v="792509"/>
    <s v="1.69"/>
    <s v="0.00"/>
    <s v="98.31"/>
  </r>
  <r>
    <x v="25"/>
    <x v="28"/>
    <n v="23990"/>
    <n v="461"/>
    <n v="14124"/>
    <s v="1.92"/>
    <s v="0.00"/>
    <s v="98.08"/>
  </r>
  <r>
    <x v="25"/>
    <x v="27"/>
    <n v="571987"/>
    <n v="4402"/>
    <n v="372176"/>
    <s v="0.77"/>
    <s v="0.00"/>
    <s v="99.23"/>
  </r>
  <r>
    <x v="25"/>
    <x v="26"/>
    <n v="181856"/>
    <n v="2386"/>
    <n v="83931"/>
    <s v="1.31"/>
    <s v="0.00"/>
    <s v="98.69"/>
  </r>
  <r>
    <x v="25"/>
    <x v="25"/>
    <n v="2617"/>
    <n v="3"/>
    <n v="1984"/>
    <s v="0.11"/>
    <s v="0.00"/>
    <s v="99.89"/>
  </r>
  <r>
    <x v="25"/>
    <x v="24"/>
    <n v="21580"/>
    <n v="590"/>
    <n v="11516"/>
    <s v="2.73"/>
    <s v="0.00"/>
    <s v="97.27"/>
  </r>
  <r>
    <x v="25"/>
    <x v="23"/>
    <n v="21644464"/>
    <n v="603282"/>
    <n v="12198405"/>
    <s v="2.79"/>
    <s v="0.00"/>
    <s v="97.21"/>
  </r>
  <r>
    <x v="25"/>
    <x v="22"/>
    <n v="506654"/>
    <n v="18834"/>
    <n v="421170"/>
    <s v="3.72"/>
    <s v="0.00"/>
    <s v="96.28"/>
  </r>
  <r>
    <x v="25"/>
    <x v="21"/>
    <n v="10860"/>
    <n v="73"/>
    <n v="4358"/>
    <s v="0.67"/>
    <s v="0.00"/>
    <s v="99.33"/>
  </r>
  <r>
    <x v="25"/>
    <x v="20"/>
    <n v="1658"/>
    <n v="6"/>
    <n v="1121"/>
    <s v="0.36"/>
    <s v="0.00"/>
    <s v="99.64"/>
  </r>
  <r>
    <x v="25"/>
    <x v="19"/>
    <n v="24560"/>
    <n v="161"/>
    <n v="16277"/>
    <s v="0.66"/>
    <s v="0.00"/>
    <s v="99.34"/>
  </r>
  <r>
    <x v="25"/>
    <x v="18"/>
    <n v="19555"/>
    <n v="38"/>
    <n v="14715"/>
    <s v="0.19"/>
    <s v="0.00"/>
    <s v="99.81"/>
  </r>
  <r>
    <x v="25"/>
    <x v="17"/>
    <n v="276118"/>
    <n v="1391"/>
    <n v="1275"/>
    <s v="0.50"/>
    <s v="0.00"/>
    <s v="99.50"/>
  </r>
  <r>
    <x v="25"/>
    <x v="16"/>
    <n v="540619"/>
    <n v="22274"/>
    <n v="458462"/>
    <s v="4.12"/>
    <s v="0.00"/>
    <s v="95.88"/>
  </r>
  <r>
    <x v="25"/>
    <x v="15"/>
    <n v="14734"/>
    <n v="203"/>
    <n v="268"/>
    <s v="1.38"/>
    <s v="0.00"/>
    <s v="98.62"/>
  </r>
  <r>
    <x v="25"/>
    <x v="14"/>
    <n v="1279869"/>
    <n v="25747"/>
    <n v="22110"/>
    <s v="2.01"/>
    <s v="0.00"/>
    <s v="97.99"/>
  </r>
  <r>
    <x v="25"/>
    <x v="13"/>
    <n v="1565488"/>
    <n v="27768"/>
    <n v="174907"/>
    <s v="1.77"/>
    <s v="0.00"/>
    <s v="98.23"/>
  </r>
  <r>
    <x v="25"/>
    <x v="12"/>
    <n v="12968"/>
    <n v="119"/>
    <n v="2196"/>
    <s v="0.92"/>
    <s v="0.00"/>
    <s v="99.08"/>
  </r>
  <r>
    <x v="25"/>
    <x v="11"/>
    <n v="243914"/>
    <n v="11110"/>
    <n v="56778"/>
    <s v="4.55"/>
    <s v="0.00"/>
    <s v="95.45"/>
  </r>
  <r>
    <x v="25"/>
    <x v="10"/>
    <n v="502207"/>
    <n v="6765"/>
    <n v="246510"/>
    <s v="1.35"/>
    <s v="0.00"/>
    <s v="98.65"/>
  </r>
  <r>
    <x v="25"/>
    <x v="9"/>
    <n v="145263"/>
    <n v="1543"/>
    <n v="122389"/>
    <s v="1.06"/>
    <s v="0.00"/>
    <s v="98.94"/>
  </r>
  <r>
    <x v="25"/>
    <x v="8"/>
    <n v="775782"/>
    <n v="11167"/>
    <n v="68803"/>
    <s v="1.44"/>
    <s v="0.00"/>
    <s v="98.56"/>
  </r>
  <r>
    <x v="25"/>
    <x v="7"/>
    <n v="5272551"/>
    <n v="115666"/>
    <n v="4207778"/>
    <s v="2.19"/>
    <s v="0.00"/>
    <s v="97.81"/>
  </r>
  <r>
    <x v="25"/>
    <x v="6"/>
    <n v="62842"/>
    <n v="1664"/>
    <n v="16030"/>
    <s v="2.65"/>
    <s v="0.00"/>
    <s v="97.35"/>
  </r>
  <r>
    <x v="25"/>
    <x v="5"/>
    <n v="281991"/>
    <n v="5778"/>
    <n v="169728"/>
    <s v="2.05"/>
    <s v="0.00"/>
    <s v="97.95"/>
  </r>
  <r>
    <x v="25"/>
    <x v="4"/>
    <n v="177971"/>
    <n v="2820"/>
    <n v="126632"/>
    <s v="1.58"/>
    <s v="0.00"/>
    <s v="98.42"/>
  </r>
  <r>
    <x v="25"/>
    <x v="3"/>
    <n v="3888"/>
    <n v="95"/>
    <n v="1295"/>
    <s v="2.44"/>
    <s v="0.00"/>
    <s v="97.56"/>
  </r>
  <r>
    <x v="25"/>
    <x v="2"/>
    <n v="155764"/>
    <n v="7243"/>
    <n v="21799"/>
    <s v="4.65"/>
    <s v="0.00"/>
    <s v="95.35"/>
  </r>
  <r>
    <x v="25"/>
    <x v="1"/>
    <n v="738586"/>
    <n v="2120"/>
    <n v="397323"/>
    <s v="0.29"/>
    <s v="0.00"/>
    <s v="99.71"/>
  </r>
  <r>
    <x v="25"/>
    <x v="0"/>
    <n v="15338"/>
    <n v="130"/>
    <n v="12046"/>
    <s v="0.85"/>
    <s v="0.00"/>
    <s v="99.15"/>
  </r>
  <r>
    <x v="26"/>
    <x v="0"/>
    <n v="15338"/>
    <n v="130"/>
    <n v="12487"/>
    <s v="0.85"/>
    <s v="0.00"/>
    <s v="99.15"/>
  </r>
  <r>
    <x v="26"/>
    <x v="1"/>
    <n v="738487"/>
    <n v="2118"/>
    <n v="359494"/>
    <s v="0.29"/>
    <s v="0.00"/>
    <s v="99.71"/>
  </r>
  <r>
    <x v="26"/>
    <x v="2"/>
    <n v="155739"/>
    <n v="7238"/>
    <n v="136451"/>
    <s v="4.65"/>
    <s v="0.00"/>
    <s v="95.35"/>
  </r>
  <r>
    <x v="26"/>
    <x v="3"/>
    <n v="3888"/>
    <n v="95"/>
    <n v="749"/>
    <s v="2.44"/>
    <s v="0.00"/>
    <s v="97.56"/>
  </r>
  <r>
    <x v="26"/>
    <x v="4"/>
    <n v="177536"/>
    <n v="2810"/>
    <n v="78865"/>
    <s v="1.58"/>
    <s v="0.00"/>
    <s v="98.42"/>
  </r>
  <r>
    <x v="26"/>
    <x v="5"/>
    <n v="280294"/>
    <n v="5754"/>
    <n v="172268"/>
    <s v="2.05"/>
    <s v="0.00"/>
    <s v="97.95"/>
  </r>
  <r>
    <x v="26"/>
    <x v="6"/>
    <n v="62789"/>
    <n v="1662"/>
    <n v="17572"/>
    <s v="2.65"/>
    <s v="0.00"/>
    <s v="97.35"/>
  </r>
  <r>
    <x v="26"/>
    <x v="7"/>
    <n v="5272151"/>
    <n v="115663"/>
    <n v="3847557"/>
    <s v="2.19"/>
    <s v="0.00"/>
    <s v="97.81"/>
  </r>
  <r>
    <x v="26"/>
    <x v="8"/>
    <n v="773540"/>
    <n v="11161"/>
    <n v="79644"/>
    <s v="1.44"/>
    <s v="0.00"/>
    <s v="98.56"/>
  </r>
  <r>
    <x v="26"/>
    <x v="9"/>
    <n v="143204"/>
    <n v="1532"/>
    <n v="14733"/>
    <s v="1.07"/>
    <s v="0.00"/>
    <s v="98.93"/>
  </r>
  <r>
    <x v="26"/>
    <x v="10"/>
    <n v="498630"/>
    <n v="6734"/>
    <n v="349555"/>
    <s v="1.35"/>
    <s v="0.00"/>
    <s v="98.65"/>
  </r>
  <r>
    <x v="26"/>
    <x v="11"/>
    <n v="243914"/>
    <n v="11110"/>
    <n v="131702"/>
    <s v="4.55"/>
    <s v="0.00"/>
    <s v="95.45"/>
  </r>
  <r>
    <x v="26"/>
    <x v="12"/>
    <n v="12773"/>
    <n v="114"/>
    <n v="8785"/>
    <s v="0.89"/>
    <s v="0.00"/>
    <s v="99.11"/>
  </r>
  <r>
    <x v="26"/>
    <x v="13"/>
    <n v="1565174"/>
    <n v="27752"/>
    <n v="1301656"/>
    <s v="1.77"/>
    <s v="0.00"/>
    <s v="98.23"/>
  </r>
  <r>
    <x v="26"/>
    <x v="14"/>
    <n v="1279869"/>
    <n v="25747"/>
    <n v="368368"/>
    <s v="2.01"/>
    <s v="0.00"/>
    <s v="97.99"/>
  </r>
  <r>
    <x v="26"/>
    <x v="15"/>
    <n v="14686"/>
    <n v="203"/>
    <n v="9644"/>
    <s v="1.38"/>
    <s v="0.00"/>
    <s v="98.62"/>
  </r>
  <r>
    <x v="26"/>
    <x v="16"/>
    <n v="539619"/>
    <n v="22231"/>
    <n v="8196"/>
    <s v="4.12"/>
    <s v="0.00"/>
    <s v="95.88"/>
  </r>
  <r>
    <x v="26"/>
    <x v="17"/>
    <n v="276030"/>
    <n v="1391"/>
    <n v="65954"/>
    <s v="0.50"/>
    <s v="0.00"/>
    <s v="99.50"/>
  </r>
  <r>
    <x v="26"/>
    <x v="18"/>
    <n v="19555"/>
    <n v="38"/>
    <n v="4355"/>
    <s v="0.19"/>
    <s v="0.00"/>
    <s v="99.81"/>
  </r>
  <r>
    <x v="26"/>
    <x v="19"/>
    <n v="24560"/>
    <n v="161"/>
    <n v="7645"/>
    <s v="0.66"/>
    <s v="0.00"/>
    <s v="99.34"/>
  </r>
  <r>
    <x v="26"/>
    <x v="20"/>
    <n v="1658"/>
    <n v="6"/>
    <n v="965"/>
    <s v="0.36"/>
    <s v="0.00"/>
    <s v="99.64"/>
  </r>
  <r>
    <x v="26"/>
    <x v="21"/>
    <n v="10356"/>
    <n v="68"/>
    <n v="2413"/>
    <s v="0.66"/>
    <s v="0.00"/>
    <s v="99.34"/>
  </r>
  <r>
    <x v="26"/>
    <x v="22"/>
    <n v="506150"/>
    <n v="18824"/>
    <n v="158445"/>
    <s v="3.72"/>
    <s v="0.00"/>
    <s v="96.28"/>
  </r>
  <r>
    <x v="26"/>
    <x v="23"/>
    <n v="21638726"/>
    <n v="603152"/>
    <n v="7741463"/>
    <s v="2.79"/>
    <s v="0.00"/>
    <s v="97.21"/>
  </r>
  <r>
    <x v="26"/>
    <x v="24"/>
    <n v="21580"/>
    <n v="590"/>
    <n v="9507"/>
    <s v="2.73"/>
    <s v="0.00"/>
    <s v="97.27"/>
  </r>
  <r>
    <x v="26"/>
    <x v="25"/>
    <n v="2617"/>
    <n v="3"/>
    <n v="1428"/>
    <s v="0.11"/>
    <s v="0.00"/>
    <s v="99.89"/>
  </r>
  <r>
    <x v="26"/>
    <x v="26"/>
    <n v="181856"/>
    <n v="2386"/>
    <n v="23829"/>
    <s v="1.31"/>
    <s v="0.00"/>
    <s v="98.69"/>
  </r>
  <r>
    <x v="26"/>
    <x v="27"/>
    <n v="570006"/>
    <n v="4386"/>
    <n v="18016"/>
    <s v="0.77"/>
    <s v="0.00"/>
    <s v="99.23"/>
  </r>
  <r>
    <x v="26"/>
    <x v="28"/>
    <n v="23990"/>
    <n v="461"/>
    <n v="4374"/>
    <s v="1.92"/>
    <s v="0.00"/>
    <s v="98.08"/>
  </r>
  <r>
    <x v="26"/>
    <x v="29"/>
    <n v="1686625"/>
    <n v="28534"/>
    <n v="1332798"/>
    <s v="1.69"/>
    <s v="0.00"/>
    <s v="98.31"/>
  </r>
  <r>
    <x v="26"/>
    <x v="30"/>
    <n v="57269"/>
    <n v="1089"/>
    <n v="21351"/>
    <s v="1.90"/>
    <s v="0.00"/>
    <s v="98.10"/>
  </r>
  <r>
    <x v="26"/>
    <x v="31"/>
    <n v="11469"/>
    <n v="100"/>
    <n v="8532"/>
    <s v="0.87"/>
    <s v="0.00"/>
    <s v="99.13"/>
  </r>
  <r>
    <x v="26"/>
    <x v="32"/>
    <n v="15514"/>
    <n v="222"/>
    <n v="14730"/>
    <s v="1.43"/>
    <s v="0.00"/>
    <s v="98.57"/>
  </r>
  <r>
    <x v="26"/>
    <x v="33"/>
    <n v="854591"/>
    <n v="11157"/>
    <n v="715613"/>
    <s v="1.31"/>
    <s v="0.00"/>
    <s v="98.69"/>
  </r>
  <r>
    <x v="26"/>
    <x v="34"/>
    <n v="60982"/>
    <n v="674"/>
    <n v="34468"/>
    <s v="1.11"/>
    <s v="0.00"/>
    <s v="98.89"/>
  </r>
  <r>
    <x v="26"/>
    <x v="35"/>
    <n v="1669236"/>
    <n v="37597"/>
    <n v="1540896"/>
    <s v="2.25"/>
    <s v="0.00"/>
    <s v="97.75"/>
  </r>
  <r>
    <x v="26"/>
    <x v="36"/>
    <n v="98402"/>
    <n v="1550"/>
    <n v="86840"/>
    <s v="1.58"/>
    <s v="0.00"/>
    <s v="98.42"/>
  </r>
  <r>
    <x v="26"/>
    <x v="37"/>
    <n v="96523"/>
    <n v="4636"/>
    <n v="76490"/>
    <s v="4.80"/>
    <s v="0.00"/>
    <s v="95.20"/>
  </r>
  <r>
    <x v="26"/>
    <x v="38"/>
    <n v="4980233"/>
    <n v="126830"/>
    <n v="2727664"/>
    <s v="2.55"/>
    <s v="0.00"/>
    <s v="97.45"/>
  </r>
  <r>
    <x v="26"/>
    <x v="39"/>
    <n v="551144"/>
    <n v="6797"/>
    <n v="457367"/>
    <s v="1.23"/>
    <s v="0.00"/>
    <s v="98.77"/>
  </r>
  <r>
    <x v="26"/>
    <x v="40"/>
    <n v="932768"/>
    <n v="8037"/>
    <n v="601572"/>
    <s v="0.86"/>
    <s v="0.00"/>
    <s v="99.14"/>
  </r>
  <r>
    <x v="26"/>
    <x v="41"/>
    <n v="38035"/>
    <n v="347"/>
    <n v="11685"/>
    <s v="0.91"/>
    <s v="0.00"/>
    <s v="99.09"/>
  </r>
  <r>
    <x v="26"/>
    <x v="42"/>
    <n v="121995"/>
    <n v="562"/>
    <n v="101266"/>
    <s v="0.46"/>
    <s v="0.00"/>
    <s v="99.54"/>
  </r>
  <r>
    <x v="26"/>
    <x v="43"/>
    <n v="1707756"/>
    <n v="30539"/>
    <n v="392884"/>
    <s v="1.79"/>
    <s v="0.00"/>
    <s v="98.21"/>
  </r>
  <r>
    <x v="26"/>
    <x v="44"/>
    <n v="4375253"/>
    <n v="94622"/>
    <n v="2506788"/>
    <s v="2.16"/>
    <s v="0.00"/>
    <s v="97.84"/>
  </r>
  <r>
    <x v="26"/>
    <x v="45"/>
    <n v="13383"/>
    <n v="179"/>
    <n v="3331"/>
    <s v="1.34"/>
    <s v="0.00"/>
    <s v="98.66"/>
  </r>
  <r>
    <x v="26"/>
    <x v="46"/>
    <n v="368714"/>
    <n v="2680"/>
    <n v="134366"/>
    <s v="0.73"/>
    <s v="0.00"/>
    <s v="99.27"/>
  </r>
  <r>
    <x v="26"/>
    <x v="47"/>
    <n v="4153"/>
    <n v="28"/>
    <n v="963"/>
    <s v="0.67"/>
    <s v="0.00"/>
    <s v="99.33"/>
  </r>
  <r>
    <x v="26"/>
    <x v="48"/>
    <n v="369700"/>
    <n v="4084"/>
    <n v="229190"/>
    <s v="1.10"/>
    <s v="0.00"/>
    <s v="98.90"/>
  </r>
  <r>
    <x v="26"/>
    <x v="49"/>
    <n v="205199"/>
    <n v="5870"/>
    <n v="97147"/>
    <s v="2.86"/>
    <s v="0.00"/>
    <s v="97.14"/>
  </r>
  <r>
    <x v="26"/>
    <x v="50"/>
    <n v="513026"/>
    <n v="32899"/>
    <n v="303268"/>
    <s v="6.41"/>
    <s v="0.00"/>
    <s v="93.59"/>
  </r>
  <r>
    <x v="26"/>
    <x v="51"/>
    <n v="171395"/>
    <n v="1422"/>
    <n v="93512"/>
    <s v="0.83"/>
    <s v="0.00"/>
    <s v="99.17"/>
  </r>
  <r>
    <x v="26"/>
    <x v="52"/>
    <n v="317585"/>
    <n v="17926"/>
    <n v="287745"/>
    <s v="5.64"/>
    <s v="0.00"/>
    <s v="94.36"/>
  </r>
  <r>
    <x v="26"/>
    <x v="53"/>
    <n v="6773"/>
    <n v="44"/>
    <n v="238"/>
    <s v="0.65"/>
    <s v="0.00"/>
    <s v="99.35"/>
  </r>
  <r>
    <x v="26"/>
    <x v="54"/>
    <n v="4984386"/>
    <n v="86974"/>
    <n v="1399404"/>
    <s v="1.74"/>
    <s v="0.00"/>
    <s v="98.26"/>
  </r>
  <r>
    <x v="26"/>
    <x v="55"/>
    <n v="358739"/>
    <n v="6197"/>
    <n v="261026"/>
    <s v="1.73"/>
    <s v="0.00"/>
    <s v="98.27"/>
  </r>
  <r>
    <x v="26"/>
    <x v="56"/>
    <n v="149897"/>
    <n v="1116"/>
    <n v="119911"/>
    <s v="0.74"/>
    <s v="0.00"/>
    <s v="99.26"/>
  </r>
  <r>
    <x v="26"/>
    <x v="57"/>
    <n v="51701"/>
    <n v="663"/>
    <n v="11333"/>
    <s v="1.28"/>
    <s v="0.00"/>
    <s v="98.72"/>
  </r>
  <r>
    <x v="26"/>
    <x v="58"/>
    <n v="1332"/>
    <n v="2"/>
    <n v="917"/>
    <s v="0.15"/>
    <s v="0.00"/>
    <s v="99.85"/>
  </r>
  <r>
    <x v="26"/>
    <x v="59"/>
    <n v="6911013"/>
    <n v="114943"/>
    <n v="6284672"/>
    <s v="1.66"/>
    <s v="0.00"/>
    <s v="98.34"/>
  </r>
  <r>
    <x v="26"/>
    <x v="60"/>
    <n v="33442"/>
    <n v="213"/>
    <n v="25051"/>
    <s v="0.64"/>
    <s v="0.00"/>
    <s v="99.36"/>
  </r>
  <r>
    <x v="26"/>
    <x v="61"/>
    <n v="8438131"/>
    <n v="138842"/>
    <n v="2349338"/>
    <s v="1.65"/>
    <s v="0.00"/>
    <s v="98.35"/>
  </r>
  <r>
    <x v="26"/>
    <x v="63"/>
    <n v="657753"/>
    <n v="9440"/>
    <n v="231873"/>
    <s v="1.44"/>
    <s v="0.00"/>
    <s v="98.56"/>
  </r>
  <r>
    <x v="26"/>
    <x v="62"/>
    <n v="5734"/>
    <n v="192"/>
    <n v="1599"/>
    <s v="3.35"/>
    <s v="0.00"/>
    <s v="96.65"/>
  </r>
  <r>
    <x v="26"/>
    <x v="64"/>
    <n v="43255"/>
    <n v="293"/>
    <n v="13606"/>
    <s v="0.68"/>
    <s v="0.00"/>
    <s v="99.32"/>
  </r>
  <r>
    <x v="26"/>
    <x v="65"/>
    <n v="129258"/>
    <n v="1165"/>
    <n v="116087"/>
    <s v="0.90"/>
    <s v="0.00"/>
    <s v="99.10"/>
  </r>
  <r>
    <x v="26"/>
    <x v="66"/>
    <n v="5751"/>
    <n v="98"/>
    <n v="5020"/>
    <s v="1.70"/>
    <s v="0.00"/>
    <s v="98.30"/>
  </r>
  <r>
    <x v="26"/>
    <x v="68"/>
    <n v="30572"/>
    <n v="385"/>
    <n v="28264"/>
    <s v="1.26"/>
    <s v="0.00"/>
    <s v="98.74"/>
  </r>
  <r>
    <x v="26"/>
    <x v="67"/>
    <n v="9946"/>
    <n v="339"/>
    <n v="7245"/>
    <s v="3.41"/>
    <s v="0.00"/>
    <s v="96.59"/>
  </r>
  <r>
    <x v="26"/>
    <x v="69"/>
    <n v="53836"/>
    <n v="800"/>
    <n v="35542"/>
    <s v="1.49"/>
    <s v="0.00"/>
    <s v="98.51"/>
  </r>
  <r>
    <x v="26"/>
    <x v="70"/>
    <n v="12840"/>
    <n v="156"/>
    <n v="773"/>
    <s v="1.21"/>
    <s v="0.00"/>
    <s v="98.79"/>
  </r>
  <r>
    <x v="26"/>
    <x v="71"/>
    <n v="692197"/>
    <n v="15348"/>
    <n v="222717"/>
    <s v="2.22"/>
    <s v="0.00"/>
    <s v="97.78"/>
  </r>
  <r>
    <x v="26"/>
    <x v="72"/>
    <n v="587687"/>
    <n v="14266"/>
    <n v="244841"/>
    <s v="2.43"/>
    <s v="0.00"/>
    <s v="97.57"/>
  </r>
  <r>
    <x v="26"/>
    <x v="73"/>
    <n v="6129"/>
    <n v="141"/>
    <n v="3853"/>
    <s v="2.30"/>
    <s v="0.00"/>
    <s v="97.70"/>
  </r>
  <r>
    <x v="26"/>
    <x v="74"/>
    <n v="34362"/>
    <n v="866"/>
    <n v="16841"/>
    <s v="2.52"/>
    <s v="0.00"/>
    <s v="97.48"/>
  </r>
  <r>
    <x v="26"/>
    <x v="75"/>
    <n v="12291"/>
    <n v="213"/>
    <n v="9295"/>
    <s v="1.73"/>
    <s v="0.00"/>
    <s v="98.27"/>
  </r>
  <r>
    <x v="26"/>
    <x v="76"/>
    <n v="372179"/>
    <n v="10096"/>
    <n v="335185"/>
    <s v="2.71"/>
    <s v="0.00"/>
    <s v="97.29"/>
  </r>
  <r>
    <x v="26"/>
    <x v="77"/>
    <n v="426613"/>
    <n v="8877"/>
    <n v="7689"/>
    <s v="2.08"/>
    <s v="0.00"/>
    <s v="97.92"/>
  </r>
  <r>
    <x v="26"/>
    <x v="78"/>
    <n v="22933"/>
    <n v="657"/>
    <n v="11282"/>
    <s v="2.86"/>
    <s v="0.00"/>
    <s v="97.14"/>
  </r>
  <r>
    <x v="26"/>
    <x v="79"/>
    <n v="833115"/>
    <n v="30351"/>
    <n v="715282"/>
    <s v="3.64"/>
    <s v="0.00"/>
    <s v="96.36"/>
  </r>
  <r>
    <x v="26"/>
    <x v="80"/>
    <n v="4234011"/>
    <n v="142933"/>
    <n v="3312856"/>
    <s v="3.38"/>
    <s v="0.00"/>
    <s v="96.62"/>
  </r>
  <r>
    <x v="26"/>
    <x v="81"/>
    <n v="413734"/>
    <n v="5306"/>
    <n v="220579"/>
    <s v="1.28"/>
    <s v="0.00"/>
    <s v="98.72"/>
  </r>
  <r>
    <x v="26"/>
    <x v="82"/>
    <n v="1315317"/>
    <n v="7983"/>
    <n v="1166906"/>
    <s v="0.61"/>
    <s v="0.00"/>
    <s v="99.39"/>
  </r>
  <r>
    <x v="26"/>
    <x v="83"/>
    <n v="34067719"/>
    <n v="452124"/>
    <n v="19815051"/>
    <s v="1.33"/>
    <s v="0.00"/>
    <s v="98.67"/>
  </r>
  <r>
    <x v="26"/>
    <x v="84"/>
    <n v="2033737"/>
    <n v="22738"/>
    <n v="1031216"/>
    <s v="1.12"/>
    <s v="0.00"/>
    <s v="98.88"/>
  </r>
  <r>
    <x v="26"/>
    <x v="85"/>
    <n v="5773419"/>
    <n v="123876"/>
    <n v="590333"/>
    <s v="2.15"/>
    <s v="0.00"/>
    <s v="97.85"/>
  </r>
  <r>
    <x v="26"/>
    <x v="86"/>
    <n v="12455"/>
    <n v="33"/>
    <n v="10705"/>
    <s v="0.26"/>
    <s v="0.00"/>
    <s v="99.74"/>
  </r>
  <r>
    <x v="26"/>
    <x v="87"/>
    <n v="4715464"/>
    <n v="131517"/>
    <n v="3545029"/>
    <s v="2.79"/>
    <s v="0.00"/>
    <s v="97.21"/>
  </r>
  <r>
    <x v="26"/>
    <x v="88"/>
    <n v="87232"/>
    <n v="2103"/>
    <n v="21770"/>
    <s v="2.41"/>
    <s v="0.00"/>
    <s v="97.59"/>
  </r>
  <r>
    <x v="26"/>
    <x v="89"/>
    <n v="840117"/>
    <n v="10865"/>
    <n v="323024"/>
    <s v="1.29"/>
    <s v="0.00"/>
    <s v="98.71"/>
  </r>
  <r>
    <x v="26"/>
    <x v="91"/>
    <n v="251959"/>
    <n v="5215"/>
    <n v="65642"/>
    <s v="2.07"/>
    <s v="0.00"/>
    <s v="97.93"/>
  </r>
  <r>
    <x v="26"/>
    <x v="90"/>
    <n v="1715059"/>
    <n v="18099"/>
    <n v="218487"/>
    <s v="1.06"/>
    <s v="0.00"/>
    <s v="98.94"/>
  </r>
  <r>
    <x v="26"/>
    <x v="92"/>
    <n v="179775"/>
    <n v="2632"/>
    <n v="140806"/>
    <s v="1.46"/>
    <s v="0.00"/>
    <s v="98.54"/>
  </r>
  <r>
    <x v="26"/>
    <x v="94"/>
    <n v="2"/>
    <n v="0"/>
    <n v="2"/>
    <s v="0.00"/>
    <s v="0.00"/>
    <s v="100.00"/>
  </r>
  <r>
    <x v="26"/>
    <x v="93"/>
    <n v="116407"/>
    <n v="2634"/>
    <n v="15261"/>
    <s v="2.26"/>
    <s v="0.00"/>
    <s v="97.74"/>
  </r>
  <r>
    <x v="26"/>
    <x v="95"/>
    <n v="4184"/>
    <n v="147"/>
    <n v="63"/>
    <s v="3.51"/>
    <s v="0.00"/>
    <s v="96.49"/>
  </r>
  <r>
    <x v="26"/>
    <x v="96"/>
    <n v="2546"/>
    <n v="21"/>
    <n v="858"/>
    <s v="0.82"/>
    <s v="0.00"/>
    <s v="99.18"/>
  </r>
  <r>
    <x v="26"/>
    <x v="97"/>
    <n v="342396"/>
    <n v="2660"/>
    <n v="52344"/>
    <s v="0.78"/>
    <s v="0.00"/>
    <s v="99.22"/>
  </r>
  <r>
    <x v="26"/>
    <x v="98"/>
    <n v="412297"/>
    <n v="2456"/>
    <n v="271858"/>
    <s v="0.60"/>
    <s v="0.00"/>
    <s v="99.40"/>
  </r>
  <r>
    <x v="26"/>
    <x v="99"/>
    <n v="994464"/>
    <n v="16618"/>
    <n v="730324"/>
    <s v="1.67"/>
    <s v="0.00"/>
    <s v="98.33"/>
  </r>
  <r>
    <x v="26"/>
    <x v="100"/>
    <n v="31736"/>
    <n v="38"/>
    <n v="13471"/>
    <s v="0.12"/>
    <s v="0.00"/>
    <s v="99.88"/>
  </r>
  <r>
    <x v="26"/>
    <x v="101"/>
    <n v="633355"/>
    <n v="8419"/>
    <n v="469825"/>
    <s v="1.33"/>
    <s v="0.00"/>
    <s v="98.67"/>
  </r>
  <r>
    <x v="26"/>
    <x v="102"/>
    <n v="12206"/>
    <n v="236"/>
    <n v="4609"/>
    <s v="1.93"/>
    <s v="0.00"/>
    <s v="98.07"/>
  </r>
  <r>
    <x v="26"/>
    <x v="103"/>
    <n v="3584"/>
    <n v="60"/>
    <n v="2679"/>
    <s v="1.67"/>
    <s v="0.00"/>
    <s v="98.33"/>
  </r>
  <r>
    <x v="26"/>
    <x v="104"/>
    <n v="531070"/>
    <n v="13472"/>
    <n v="279010"/>
    <s v="2.54"/>
    <s v="0.00"/>
    <s v="97.46"/>
  </r>
  <r>
    <x v="26"/>
    <x v="105"/>
    <n v="5803"/>
    <n v="286"/>
    <n v="5457"/>
    <s v="4.93"/>
    <s v="0.00"/>
    <s v="95.07"/>
  </r>
  <r>
    <x v="26"/>
    <x v="106"/>
    <n v="21524"/>
    <n v="655"/>
    <n v="17861"/>
    <s v="3.04"/>
    <s v="0.00"/>
    <s v="96.96"/>
  </r>
  <r>
    <x v="26"/>
    <x v="107"/>
    <n v="366481"/>
    <n v="5406"/>
    <n v="203504"/>
    <s v="1.48"/>
    <s v="0.00"/>
    <s v="98.52"/>
  </r>
  <r>
    <x v="26"/>
    <x v="108"/>
    <n v="79720"/>
    <n v="839"/>
    <n v="34349"/>
    <s v="1.05"/>
    <s v="0.00"/>
    <s v="98.95"/>
  </r>
  <r>
    <x v="26"/>
    <x v="109"/>
    <n v="183239"/>
    <n v="2881"/>
    <n v="103379"/>
    <s v="1.57"/>
    <s v="0.00"/>
    <s v="98.43"/>
  </r>
  <r>
    <x v="26"/>
    <x v="110"/>
    <n v="349210"/>
    <n v="4860"/>
    <n v="298122"/>
    <s v="1.39"/>
    <s v="0.00"/>
    <s v="98.61"/>
  </r>
  <r>
    <x v="26"/>
    <x v="111"/>
    <n v="941863"/>
    <n v="14537"/>
    <n v="693049"/>
    <s v="1.54"/>
    <s v="0.00"/>
    <s v="98.46"/>
  </r>
  <r>
    <x v="26"/>
    <x v="112"/>
    <n v="3358"/>
    <n v="35"/>
    <n v="102"/>
    <s v="1.04"/>
    <s v="0.00"/>
    <s v="98.96"/>
  </r>
  <r>
    <x v="26"/>
    <x v="113"/>
    <n v="315414"/>
    <n v="7206"/>
    <n v="160398"/>
    <s v="2.28"/>
    <s v="0.00"/>
    <s v="97.72"/>
  </r>
  <r>
    <x v="26"/>
    <x v="114"/>
    <n v="137401"/>
    <n v="2020"/>
    <n v="74751"/>
    <s v="1.47"/>
    <s v="0.00"/>
    <s v="98.53"/>
  </r>
  <r>
    <x v="26"/>
    <x v="115"/>
    <n v="3878"/>
    <n v="55"/>
    <n v="2592"/>
    <s v="1.42"/>
    <s v="0.00"/>
    <s v="98.58"/>
  </r>
  <r>
    <x v="26"/>
    <x v="116"/>
    <n v="43616"/>
    <n v="960"/>
    <n v="8932"/>
    <s v="2.20"/>
    <s v="0.00"/>
    <s v="97.80"/>
  </r>
  <r>
    <x v="26"/>
    <x v="117"/>
    <n v="4"/>
    <n v="0"/>
    <n v="2"/>
    <s v="0.00"/>
    <s v="0.00"/>
    <s v="100.00"/>
  </r>
  <r>
    <x v="26"/>
    <x v="118"/>
    <n v="196762"/>
    <n v="6922"/>
    <n v="86457"/>
    <s v="3.52"/>
    <s v="0.00"/>
    <s v="96.48"/>
  </r>
  <r>
    <x v="26"/>
    <x v="119"/>
    <n v="15603"/>
    <n v="557"/>
    <n v="3263"/>
    <s v="3.57"/>
    <s v="0.00"/>
    <s v="96.43"/>
  </r>
  <r>
    <x v="26"/>
    <x v="120"/>
    <n v="486851"/>
    <n v="18329"/>
    <n v="39142"/>
    <s v="3.76"/>
    <s v="0.00"/>
    <s v="96.24"/>
  </r>
  <r>
    <x v="26"/>
    <x v="121"/>
    <n v="336508"/>
    <n v="1527"/>
    <n v="218732"/>
    <s v="0.45"/>
    <s v="0.00"/>
    <s v="99.55"/>
  </r>
  <r>
    <x v="26"/>
    <x v="122"/>
    <n v="77"/>
    <n v="0"/>
    <n v="7"/>
    <s v="0.00"/>
    <s v="0.00"/>
    <s v="100.00"/>
  </r>
  <r>
    <x v="26"/>
    <x v="123"/>
    <n v="42269"/>
    <n v="656"/>
    <n v="33326"/>
    <s v="1.55"/>
    <s v="0.00"/>
    <s v="98.45"/>
  </r>
  <r>
    <x v="26"/>
    <x v="124"/>
    <n v="36645"/>
    <n v="788"/>
    <n v="26011"/>
    <s v="2.15"/>
    <s v="0.00"/>
    <s v="97.85"/>
  </r>
  <r>
    <x v="26"/>
    <x v="125"/>
    <n v="37445"/>
    <n v="459"/>
    <n v="17714"/>
    <s v="1.23"/>
    <s v="0.00"/>
    <s v="98.77"/>
  </r>
  <r>
    <x v="26"/>
    <x v="126"/>
    <n v="16621"/>
    <n v="129"/>
    <n v="15680"/>
    <s v="0.78"/>
    <s v="0.00"/>
    <s v="99.22"/>
  </r>
  <r>
    <x v="26"/>
    <x v="127"/>
    <n v="86088"/>
    <n v="237"/>
    <n v="65330"/>
    <s v="0.28"/>
    <s v="0.00"/>
    <s v="99.72"/>
  </r>
  <r>
    <x v="26"/>
    <x v="128"/>
    <n v="61712"/>
    <n v="2292"/>
    <n v="36218"/>
    <s v="3.71"/>
    <s v="0.00"/>
    <s v="96.29"/>
  </r>
  <r>
    <x v="26"/>
    <x v="129"/>
    <n v="3755063"/>
    <n v="284321"/>
    <n v="2219699"/>
    <s v="7.57"/>
    <s v="0.00"/>
    <s v="92.43"/>
  </r>
  <r>
    <x v="26"/>
    <x v="130"/>
    <n v="2384542"/>
    <n v="27858"/>
    <n v="1979965"/>
    <s v="1.17"/>
    <s v="0.00"/>
    <s v="98.83"/>
  </r>
  <r>
    <x v="26"/>
    <x v="131"/>
    <n v="151097"/>
    <n v="1925"/>
    <n v="65909"/>
    <s v="1.27"/>
    <s v="0.00"/>
    <s v="98.73"/>
  </r>
  <r>
    <x v="26"/>
    <x v="132"/>
    <n v="128239"/>
    <n v="3538"/>
    <n v="47562"/>
    <s v="2.76"/>
    <s v="0.00"/>
    <s v="97.24"/>
  </r>
  <r>
    <x v="26"/>
    <x v="133"/>
    <n v="9933"/>
    <n v="236"/>
    <n v="4589"/>
    <s v="2.38"/>
    <s v="0.00"/>
    <s v="97.62"/>
  </r>
  <r>
    <x v="26"/>
    <x v="134"/>
    <n v="6160"/>
    <n v="204"/>
    <n v="1820"/>
    <s v="3.31"/>
    <s v="0.00"/>
    <s v="96.69"/>
  </r>
  <r>
    <x v="26"/>
    <x v="135"/>
    <n v="209173"/>
    <n v="2804"/>
    <n v="173628"/>
    <s v="1.34"/>
    <s v="0.00"/>
    <s v="98.66"/>
  </r>
  <r>
    <x v="26"/>
    <x v="136"/>
    <n v="15737"/>
    <n v="206"/>
    <n v="14150"/>
    <s v="1.31"/>
    <s v="0.00"/>
    <s v="98.69"/>
  </r>
  <r>
    <x v="26"/>
    <x v="137"/>
    <n v="2083444"/>
    <n v="18674"/>
    <n v="19504"/>
    <s v="0.90"/>
    <s v="0.00"/>
    <s v="99.10"/>
  </r>
  <r>
    <x v="26"/>
    <x v="138"/>
    <n v="196142"/>
    <n v="884"/>
    <n v="182936"/>
    <s v="0.45"/>
    <s v="0.00"/>
    <s v="99.55"/>
  </r>
  <r>
    <x v="26"/>
    <x v="139"/>
    <n v="804652"/>
    <n v="11278"/>
    <n v="300199"/>
    <s v="1.40"/>
    <s v="0.00"/>
    <s v="98.60"/>
  </r>
  <r>
    <x v="26"/>
    <x v="140"/>
    <n v="4992"/>
    <n v="28"/>
    <n v="2312"/>
    <s v="0.56"/>
    <s v="0.00"/>
    <s v="99.44"/>
  </r>
  <r>
    <x v="26"/>
    <x v="141"/>
    <n v="304025"/>
    <n v="4103"/>
    <n v="211513"/>
    <s v="1.35"/>
    <s v="0.00"/>
    <s v="98.65"/>
  </r>
  <r>
    <x v="26"/>
    <x v="142"/>
    <n v="469998"/>
    <n v="7288"/>
    <n v="460183"/>
    <s v="1.55"/>
    <s v="0.00"/>
    <s v="98.45"/>
  </r>
  <r>
    <x v="26"/>
    <x v="143"/>
    <n v="2189165"/>
    <n v="199816"/>
    <n v="497794"/>
    <s v="9.13"/>
    <s v="0.00"/>
    <s v="90.87"/>
  </r>
  <r>
    <x v="26"/>
    <x v="144"/>
    <n v="45439"/>
    <n v="633"/>
    <n v="17354"/>
    <s v="1.39"/>
    <s v="0.00"/>
    <s v="98.61"/>
  </r>
  <r>
    <x v="26"/>
    <x v="145"/>
    <n v="24041"/>
    <n v="266"/>
    <n v="12777"/>
    <s v="1.11"/>
    <s v="0.00"/>
    <s v="98.89"/>
  </r>
  <r>
    <x v="26"/>
    <x v="147"/>
    <n v="1264384"/>
    <n v="28269"/>
    <n v="1067741"/>
    <s v="2.24"/>
    <s v="0.00"/>
    <s v="97.76"/>
  </r>
  <r>
    <x v="26"/>
    <x v="146"/>
    <n v="2713509"/>
    <n v="40580"/>
    <n v="482670"/>
    <s v="1.50"/>
    <s v="0.00"/>
    <s v="98.50"/>
  </r>
  <r>
    <x v="26"/>
    <x v="148"/>
    <n v="2937069"/>
    <n v="76111"/>
    <n v="582062"/>
    <s v="2.59"/>
    <s v="0.00"/>
    <s v="97.41"/>
  </r>
  <r>
    <x v="26"/>
    <x v="149"/>
    <n v="447032"/>
    <n v="4556"/>
    <n v="344496"/>
    <s v="1.02"/>
    <s v="0.00"/>
    <s v="98.98"/>
  </r>
  <r>
    <x v="26"/>
    <x v="150"/>
    <n v="1079341"/>
    <n v="18088"/>
    <n v="183454"/>
    <s v="1.68"/>
    <s v="0.00"/>
    <s v="98.32"/>
  </r>
  <r>
    <x v="26"/>
    <x v="151"/>
    <n v="8"/>
    <n v="0"/>
    <n v="4"/>
    <s v="0.00"/>
    <s v="0.00"/>
    <s v="100.00"/>
  </r>
  <r>
    <x v="26"/>
    <x v="152"/>
    <n v="460322"/>
    <n v="16209"/>
    <n v="133938"/>
    <s v="3.52"/>
    <s v="0.00"/>
    <s v="96.48"/>
  </r>
  <r>
    <x v="26"/>
    <x v="153"/>
    <n v="237867"/>
    <n v="608"/>
    <n v="232331"/>
    <s v="0.26"/>
    <s v="0.00"/>
    <s v="99.74"/>
  </r>
  <r>
    <x v="26"/>
    <x v="154"/>
    <n v="54024"/>
    <n v="370"/>
    <n v="26462"/>
    <s v="0.68"/>
    <s v="0.00"/>
    <s v="99.32"/>
  </r>
  <r>
    <x v="26"/>
    <x v="155"/>
    <n v="1445714"/>
    <n v="41482"/>
    <n v="212663"/>
    <s v="2.87"/>
    <s v="0.00"/>
    <s v="97.13"/>
  </r>
  <r>
    <x v="26"/>
    <x v="156"/>
    <n v="1043758"/>
    <n v="9052"/>
    <n v="155183"/>
    <s v="0.87"/>
    <s v="0.00"/>
    <s v="99.13"/>
  </r>
  <r>
    <x v="26"/>
    <x v="157"/>
    <n v="7837101"/>
    <n v="218362"/>
    <n v="3556030"/>
    <s v="2.79"/>
    <s v="0.00"/>
    <s v="97.21"/>
  </r>
  <r>
    <x v="26"/>
    <x v="158"/>
    <n v="99128"/>
    <n v="1313"/>
    <n v="6413"/>
    <s v="1.32"/>
    <s v="0.00"/>
    <s v="98.68"/>
  </r>
  <r>
    <x v="26"/>
    <x v="159"/>
    <n v="547890"/>
    <n v="8760"/>
    <n v="184034"/>
    <s v="1.60"/>
    <s v="0.00"/>
    <s v="98.40"/>
  </r>
  <r>
    <x v="26"/>
    <x v="160"/>
    <n v="20"/>
    <n v="0"/>
    <n v="3"/>
    <s v="0.00"/>
    <s v="0.00"/>
    <s v="100.00"/>
  </r>
  <r>
    <x v="26"/>
    <x v="161"/>
    <n v="21854"/>
    <n v="119"/>
    <n v="10403"/>
    <s v="0.54"/>
    <s v="0.00"/>
    <s v="99.46"/>
  </r>
  <r>
    <x v="26"/>
    <x v="162"/>
    <n v="39550"/>
    <n v="3038"/>
    <n v="27400"/>
    <s v="7.68"/>
    <s v="0.00"/>
    <s v="92.32"/>
  </r>
  <r>
    <x v="26"/>
    <x v="163"/>
    <n v="1161933"/>
    <n v="14956"/>
    <n v="52235"/>
    <s v="1.29"/>
    <s v="0.00"/>
    <s v="98.71"/>
  </r>
  <r>
    <x v="26"/>
    <x v="164"/>
    <n v="145120"/>
    <n v="224"/>
    <n v="13076"/>
    <s v="0.15"/>
    <s v="0.00"/>
    <s v="99.85"/>
  </r>
  <r>
    <x v="26"/>
    <x v="165"/>
    <n v="307503"/>
    <n v="4635"/>
    <n v="20253"/>
    <s v="1.51"/>
    <s v="0.00"/>
    <s v="98.49"/>
  </r>
  <r>
    <x v="26"/>
    <x v="166"/>
    <n v="433709"/>
    <n v="12816"/>
    <n v="240010"/>
    <s v="2.95"/>
    <s v="0.00"/>
    <s v="97.05"/>
  </r>
  <r>
    <x v="26"/>
    <x v="167"/>
    <n v="6396"/>
    <n v="121"/>
    <n v="5922"/>
    <s v="1.89"/>
    <s v="0.00"/>
    <s v="98.11"/>
  </r>
  <r>
    <x v="26"/>
    <x v="168"/>
    <n v="5473"/>
    <n v="91"/>
    <n v="4018"/>
    <s v="1.66"/>
    <s v="0.00"/>
    <s v="98.34"/>
  </r>
  <r>
    <x v="26"/>
    <x v="169"/>
    <n v="73865"/>
    <n v="1871"/>
    <n v="27730"/>
    <s v="2.53"/>
    <s v="0.00"/>
    <s v="97.47"/>
  </r>
  <r>
    <x v="26"/>
    <x v="170"/>
    <n v="21269"/>
    <n v="1180"/>
    <n v="5250"/>
    <s v="5.55"/>
    <s v="0.00"/>
    <s v="94.45"/>
  </r>
  <r>
    <x v="26"/>
    <x v="171"/>
    <n v="46313"/>
    <n v="1014"/>
    <n v="17830"/>
    <s v="2.19"/>
    <s v="0.00"/>
    <s v="97.81"/>
  </r>
  <r>
    <x v="26"/>
    <x v="173"/>
    <n v="3675"/>
    <n v="56"/>
    <n v="1650"/>
    <s v="1.52"/>
    <s v="0.00"/>
    <s v="98.48"/>
  </r>
  <r>
    <x v="26"/>
    <x v="172"/>
    <n v="12184"/>
    <n v="130"/>
    <n v="1147"/>
    <s v="1.07"/>
    <s v="0.00"/>
    <s v="98.93"/>
  </r>
  <r>
    <x v="26"/>
    <x v="174"/>
    <n v="110188"/>
    <n v="3460"/>
    <n v="83634"/>
    <s v="3.14"/>
    <s v="0.00"/>
    <s v="96.86"/>
  </r>
  <r>
    <x v="26"/>
    <x v="175"/>
    <n v="38705"/>
    <n v="2391"/>
    <n v="7696"/>
    <s v="6.18"/>
    <s v="0.00"/>
    <s v="93.82"/>
  </r>
  <r>
    <x v="26"/>
    <x v="176"/>
    <n v="46361"/>
    <n v="1233"/>
    <n v="19722"/>
    <s v="2.66"/>
    <s v="0.00"/>
    <s v="97.34"/>
  </r>
  <r>
    <x v="26"/>
    <x v="177"/>
    <n v="5067"/>
    <n v="174"/>
    <n v="1869"/>
    <s v="3.43"/>
    <s v="0.00"/>
    <s v="96.57"/>
  </r>
  <r>
    <x v="26"/>
    <x v="178"/>
    <n v="25865"/>
    <n v="238"/>
    <n v="17787"/>
    <s v="0.92"/>
    <s v="0.00"/>
    <s v="99.08"/>
  </r>
  <r>
    <x v="26"/>
    <x v="179"/>
    <n v="1772838"/>
    <n v="18205"/>
    <n v="1688786"/>
    <s v="1.03"/>
    <s v="0.00"/>
    <s v="98.97"/>
  </r>
  <r>
    <x v="26"/>
    <x v="180"/>
    <n v="17484"/>
    <n v="125"/>
    <n v="1273"/>
    <s v="0.71"/>
    <s v="0.00"/>
    <s v="99.29"/>
  </r>
  <r>
    <x v="26"/>
    <x v="181"/>
    <n v="19707"/>
    <n v="119"/>
    <n v="13013"/>
    <s v="0.60"/>
    <s v="0.00"/>
    <s v="99.40"/>
  </r>
  <r>
    <x v="26"/>
    <x v="182"/>
    <n v="710773"/>
    <n v="25085"/>
    <n v="574591"/>
    <s v="3.53"/>
    <s v="0.00"/>
    <s v="96.47"/>
  </r>
  <r>
    <x v="26"/>
    <x v="184"/>
    <n v="7630133"/>
    <n v="67437"/>
    <n v="6127408"/>
    <s v="0.88"/>
    <s v="0.00"/>
    <s v="99.12"/>
  </r>
  <r>
    <x v="26"/>
    <x v="185"/>
    <n v="53887"/>
    <n v="1593"/>
    <n v="7557"/>
    <s v="2.96"/>
    <s v="0.00"/>
    <s v="97.04"/>
  </r>
  <r>
    <x v="26"/>
    <x v="186"/>
    <n v="16336"/>
    <n v="846"/>
    <n v="8607"/>
    <s v="5.18"/>
    <s v="0.00"/>
    <s v="94.82"/>
  </r>
  <r>
    <x v="26"/>
    <x v="187"/>
    <n v="26034"/>
    <n v="724"/>
    <n v="10875"/>
    <s v="2.78"/>
    <s v="0.00"/>
    <s v="97.22"/>
  </r>
  <r>
    <x v="26"/>
    <x v="188"/>
    <n v="2745165"/>
    <n v="64367"/>
    <n v="2130191"/>
    <s v="2.34"/>
    <s v="0.00"/>
    <s v="97.66"/>
  </r>
  <r>
    <x v="26"/>
    <x v="189"/>
    <n v="125094"/>
    <n v="3182"/>
    <n v="5834"/>
    <s v="2.54"/>
    <s v="0.00"/>
    <s v="97.46"/>
  </r>
  <r>
    <x v="26"/>
    <x v="190"/>
    <n v="44916737"/>
    <n v="723765"/>
    <n v="34999952"/>
    <s v="1.61"/>
    <s v="0.00"/>
    <s v="98.39"/>
  </r>
  <r>
    <x v="26"/>
    <x v="191"/>
    <n v="390915"/>
    <n v="6067"/>
    <n v="57647"/>
    <s v="1.55"/>
    <s v="0.00"/>
    <s v="98.45"/>
  </r>
  <r>
    <x v="26"/>
    <x v="192"/>
    <n v="180566"/>
    <n v="1285"/>
    <n v="38606"/>
    <s v="0.71"/>
    <s v="0.00"/>
    <s v="99.29"/>
  </r>
  <r>
    <x v="26"/>
    <x v="194"/>
    <n v="4418"/>
    <n v="47"/>
    <n v="4256"/>
    <s v="1.06"/>
    <s v="0.00"/>
    <s v="98.94"/>
  </r>
  <r>
    <x v="26"/>
    <x v="193"/>
    <n v="27"/>
    <n v="0"/>
    <n v="19"/>
    <s v="0.00"/>
    <s v="0.00"/>
    <s v="100.00"/>
  </r>
  <r>
    <x v="26"/>
    <x v="195"/>
    <n v="390045"/>
    <n v="4693"/>
    <n v="69485"/>
    <s v="1.20"/>
    <s v="0.00"/>
    <s v="98.80"/>
  </r>
  <r>
    <x v="26"/>
    <x v="196"/>
    <n v="860860"/>
    <n v="21131"/>
    <n v="134131"/>
    <s v="2.45"/>
    <s v="0.00"/>
    <s v="97.55"/>
  </r>
  <r>
    <x v="26"/>
    <x v="197"/>
    <n v="4"/>
    <n v="1"/>
    <n v="1"/>
    <s v="25.00"/>
    <s v="0.00"/>
    <s v="75.00"/>
  </r>
  <r>
    <x v="26"/>
    <x v="198"/>
    <n v="3"/>
    <n v="0"/>
    <n v="0"/>
    <s v="0.00"/>
    <s v="0.00"/>
    <s v="100.00"/>
  </r>
  <r>
    <x v="26"/>
    <x v="199"/>
    <n v="160530"/>
    <n v="2973"/>
    <n v="100930"/>
    <s v="1.85"/>
    <s v="0.00"/>
    <s v="98.15"/>
  </r>
  <r>
    <x v="26"/>
    <x v="200"/>
    <n v="9512"/>
    <n v="1802"/>
    <n v="5884"/>
    <s v="18.94"/>
    <s v="0.00"/>
    <s v="81.06"/>
  </r>
  <r>
    <x v="26"/>
    <x v="201"/>
    <n v="20439"/>
    <n v="181"/>
    <n v="13914"/>
    <s v="0.89"/>
    <s v="0.00"/>
    <s v="99.11"/>
  </r>
  <r>
    <x v="26"/>
    <x v="202"/>
    <n v="2916179"/>
    <n v="88587"/>
    <n v="879560"/>
    <s v="3.04"/>
    <s v="0.00"/>
    <s v="96.96"/>
  </r>
  <r>
    <x v="26"/>
    <x v="203"/>
    <n v="209505"/>
    <n v="3658"/>
    <n v="128251"/>
    <s v="1.75"/>
    <s v="0.00"/>
    <s v="98.25"/>
  </r>
  <r>
    <x v="26"/>
    <x v="204"/>
    <n v="132333"/>
    <n v="4657"/>
    <n v="22795"/>
    <s v="3.52"/>
    <s v="0.00"/>
    <s v="96.48"/>
  </r>
  <r>
    <x v="26"/>
    <x v="205"/>
    <n v="721"/>
    <n v="15"/>
    <n v="465"/>
    <s v="2.08"/>
    <s v="0.00"/>
    <s v="97.92"/>
  </r>
  <r>
    <x v="27"/>
    <x v="205"/>
    <n v="721"/>
    <n v="15"/>
    <n v="480"/>
    <s v="2.08"/>
    <s v="0.00"/>
    <s v="97.92"/>
  </r>
  <r>
    <x v="27"/>
    <x v="204"/>
    <n v="132285"/>
    <n v="4655"/>
    <n v="39211"/>
    <s v="3.52"/>
    <s v="0.00"/>
    <s v="96.48"/>
  </r>
  <r>
    <x v="27"/>
    <x v="203"/>
    <n v="209477"/>
    <n v="3657"/>
    <n v="5975"/>
    <s v="1.75"/>
    <s v="0.00"/>
    <s v="98.25"/>
  </r>
  <r>
    <x v="27"/>
    <x v="202"/>
    <n v="2915560"/>
    <n v="88562"/>
    <n v="1357234"/>
    <s v="3.04"/>
    <s v="0.00"/>
    <s v="96.96"/>
  </r>
  <r>
    <x v="27"/>
    <x v="201"/>
    <n v="20439"/>
    <n v="181"/>
    <n v="11003"/>
    <s v="0.89"/>
    <s v="0.00"/>
    <s v="99.11"/>
  </r>
  <r>
    <x v="27"/>
    <x v="200"/>
    <n v="9495"/>
    <n v="1798"/>
    <n v="4867"/>
    <s v="18.94"/>
    <s v="0.00"/>
    <s v="81.06"/>
  </r>
  <r>
    <x v="27"/>
    <x v="199"/>
    <n v="160515"/>
    <n v="2973"/>
    <n v="137230"/>
    <s v="1.85"/>
    <s v="0.00"/>
    <s v="98.15"/>
  </r>
  <r>
    <x v="27"/>
    <x v="198"/>
    <n v="3"/>
    <n v="0"/>
    <n v="1"/>
    <s v="0.00"/>
    <s v="0.00"/>
    <s v="100.00"/>
  </r>
  <r>
    <x v="27"/>
    <x v="197"/>
    <n v="4"/>
    <n v="1"/>
    <n v="0"/>
    <s v="25.00"/>
    <s v="0.00"/>
    <s v="75.00"/>
  </r>
  <r>
    <x v="27"/>
    <x v="196"/>
    <n v="857639"/>
    <n v="21043"/>
    <n v="204401"/>
    <s v="2.45"/>
    <s v="0.00"/>
    <s v="97.55"/>
  </r>
  <r>
    <x v="27"/>
    <x v="195"/>
    <n v="390045"/>
    <n v="4693"/>
    <n v="381590"/>
    <s v="1.20"/>
    <s v="0.00"/>
    <s v="98.80"/>
  </r>
  <r>
    <x v="27"/>
    <x v="193"/>
    <n v="27"/>
    <n v="0"/>
    <n v="3"/>
    <s v="0.00"/>
    <s v="0.00"/>
    <s v="100.00"/>
  </r>
  <r>
    <x v="27"/>
    <x v="194"/>
    <n v="4096"/>
    <n v="38"/>
    <n v="1607"/>
    <s v="0.93"/>
    <s v="0.00"/>
    <s v="99.07"/>
  </r>
  <r>
    <x v="27"/>
    <x v="192"/>
    <n v="180162"/>
    <n v="1283"/>
    <n v="1092"/>
    <s v="0.71"/>
    <s v="0.00"/>
    <s v="99.29"/>
  </r>
  <r>
    <x v="27"/>
    <x v="191"/>
    <n v="390762"/>
    <n v="6066"/>
    <n v="285446"/>
    <s v="1.55"/>
    <s v="0.00"/>
    <s v="98.45"/>
  </r>
  <r>
    <x v="27"/>
    <x v="190"/>
    <n v="44884598"/>
    <n v="723368"/>
    <n v="26206786"/>
    <s v="1.61"/>
    <s v="0.00"/>
    <s v="98.39"/>
  </r>
  <r>
    <x v="27"/>
    <x v="189"/>
    <n v="125049"/>
    <n v="3180"/>
    <n v="99744"/>
    <s v="2.54"/>
    <s v="0.00"/>
    <s v="97.46"/>
  </r>
  <r>
    <x v="27"/>
    <x v="188"/>
    <n v="2731325"/>
    <n v="64068"/>
    <n v="308137"/>
    <s v="2.35"/>
    <s v="0.00"/>
    <s v="97.65"/>
  </r>
  <r>
    <x v="27"/>
    <x v="187"/>
    <n v="26034"/>
    <n v="724"/>
    <n v="24188"/>
    <s v="2.78"/>
    <s v="0.00"/>
    <s v="97.22"/>
  </r>
  <r>
    <x v="27"/>
    <x v="186"/>
    <n v="16325"/>
    <n v="846"/>
    <n v="9731"/>
    <s v="5.18"/>
    <s v="0.00"/>
    <s v="94.82"/>
  </r>
  <r>
    <x v="27"/>
    <x v="185"/>
    <n v="53689"/>
    <n v="1584"/>
    <n v="12896"/>
    <s v="2.95"/>
    <s v="0.00"/>
    <s v="97.05"/>
  </r>
  <r>
    <x v="27"/>
    <x v="184"/>
    <n v="7601596"/>
    <n v="67225"/>
    <n v="2747794"/>
    <s v="0.88"/>
    <s v="0.00"/>
    <s v="99.12"/>
  </r>
  <r>
    <x v="27"/>
    <x v="182"/>
    <n v="710673"/>
    <n v="25082"/>
    <n v="276333"/>
    <s v="3.53"/>
    <s v="0.00"/>
    <s v="96.47"/>
  </r>
  <r>
    <x v="27"/>
    <x v="181"/>
    <n v="19703"/>
    <n v="119"/>
    <n v="15430"/>
    <s v="0.60"/>
    <s v="0.00"/>
    <s v="99.40"/>
  </r>
  <r>
    <x v="27"/>
    <x v="180"/>
    <n v="17484"/>
    <n v="125"/>
    <n v="14710"/>
    <s v="0.71"/>
    <s v="0.00"/>
    <s v="99.29"/>
  </r>
  <r>
    <x v="27"/>
    <x v="179"/>
    <n v="1762190"/>
    <n v="18123"/>
    <n v="784364"/>
    <s v="1.03"/>
    <s v="0.00"/>
    <s v="98.97"/>
  </r>
  <r>
    <x v="27"/>
    <x v="178"/>
    <n v="25865"/>
    <n v="238"/>
    <n v="19416"/>
    <s v="0.92"/>
    <s v="0.00"/>
    <s v="99.08"/>
  </r>
  <r>
    <x v="27"/>
    <x v="177"/>
    <n v="5067"/>
    <n v="174"/>
    <n v="1096"/>
    <s v="3.43"/>
    <s v="0.00"/>
    <s v="96.57"/>
  </r>
  <r>
    <x v="27"/>
    <x v="176"/>
    <n v="46359"/>
    <n v="1233"/>
    <n v="21140"/>
    <s v="2.66"/>
    <s v="0.00"/>
    <s v="97.34"/>
  </r>
  <r>
    <x v="27"/>
    <x v="175"/>
    <n v="38365"/>
    <n v="2382"/>
    <n v="12093"/>
    <s v="6.21"/>
    <s v="0.00"/>
    <s v="93.79"/>
  </r>
  <r>
    <x v="27"/>
    <x v="174"/>
    <n v="110188"/>
    <n v="3447"/>
    <n v="74778"/>
    <s v="3.13"/>
    <s v="0.00"/>
    <s v="96.87"/>
  </r>
  <r>
    <x v="27"/>
    <x v="172"/>
    <n v="12184"/>
    <n v="130"/>
    <n v="2283"/>
    <s v="1.07"/>
    <s v="0.00"/>
    <s v="98.93"/>
  </r>
  <r>
    <x v="27"/>
    <x v="173"/>
    <n v="3670"/>
    <n v="56"/>
    <n v="3107"/>
    <s v="1.53"/>
    <s v="0.00"/>
    <s v="98.47"/>
  </r>
  <r>
    <x v="27"/>
    <x v="171"/>
    <n v="46132"/>
    <n v="1007"/>
    <n v="29694"/>
    <s v="2.18"/>
    <s v="0.00"/>
    <s v="97.82"/>
  </r>
  <r>
    <x v="27"/>
    <x v="170"/>
    <n v="21269"/>
    <n v="1180"/>
    <n v="7949"/>
    <s v="5.55"/>
    <s v="0.00"/>
    <s v="94.45"/>
  </r>
  <r>
    <x v="27"/>
    <x v="169"/>
    <n v="73859"/>
    <n v="1871"/>
    <n v="60609"/>
    <s v="2.53"/>
    <s v="0.00"/>
    <s v="97.47"/>
  </r>
  <r>
    <x v="27"/>
    <x v="168"/>
    <n v="5473"/>
    <n v="91"/>
    <n v="1538"/>
    <s v="1.66"/>
    <s v="0.00"/>
    <s v="98.34"/>
  </r>
  <r>
    <x v="27"/>
    <x v="167"/>
    <n v="6396"/>
    <n v="121"/>
    <n v="654"/>
    <s v="1.89"/>
    <s v="0.00"/>
    <s v="98.11"/>
  </r>
  <r>
    <x v="27"/>
    <x v="166"/>
    <n v="433709"/>
    <n v="12816"/>
    <n v="343746"/>
    <s v="2.95"/>
    <s v="0.00"/>
    <s v="97.05"/>
  </r>
  <r>
    <x v="27"/>
    <x v="165"/>
    <n v="306064"/>
    <n v="4631"/>
    <n v="161826"/>
    <s v="1.51"/>
    <s v="0.00"/>
    <s v="98.49"/>
  </r>
  <r>
    <x v="27"/>
    <x v="164"/>
    <n v="141772"/>
    <n v="215"/>
    <n v="94427"/>
    <s v="0.15"/>
    <s v="0.00"/>
    <s v="99.85"/>
  </r>
  <r>
    <x v="27"/>
    <x v="163"/>
    <n v="1161933"/>
    <n v="14956"/>
    <n v="281554"/>
    <s v="1.29"/>
    <s v="0.00"/>
    <s v="98.71"/>
  </r>
  <r>
    <x v="27"/>
    <x v="162"/>
    <n v="39416"/>
    <n v="2976"/>
    <n v="9634"/>
    <s v="7.55"/>
    <s v="0.00"/>
    <s v="92.45"/>
  </r>
  <r>
    <x v="27"/>
    <x v="161"/>
    <n v="21854"/>
    <n v="119"/>
    <n v="4331"/>
    <s v="0.54"/>
    <s v="0.00"/>
    <s v="99.46"/>
  </r>
  <r>
    <x v="27"/>
    <x v="160"/>
    <n v="20"/>
    <n v="0"/>
    <n v="16"/>
    <s v="0.00"/>
    <s v="0.00"/>
    <s v="100.00"/>
  </r>
  <r>
    <x v="27"/>
    <x v="159"/>
    <n v="547845"/>
    <n v="8758"/>
    <n v="436242"/>
    <s v="1.60"/>
    <s v="0.00"/>
    <s v="98.40"/>
  </r>
  <r>
    <x v="27"/>
    <x v="158"/>
    <n v="99067"/>
    <n v="1313"/>
    <n v="22477"/>
    <s v="1.33"/>
    <s v="0.00"/>
    <s v="98.67"/>
  </r>
  <r>
    <x v="27"/>
    <x v="157"/>
    <n v="7804750"/>
    <n v="217382"/>
    <n v="4605916"/>
    <s v="2.79"/>
    <s v="0.00"/>
    <s v="97.21"/>
  </r>
  <r>
    <x v="27"/>
    <x v="156"/>
    <n v="1037707"/>
    <n v="8996"/>
    <n v="684426"/>
    <s v="0.87"/>
    <s v="0.00"/>
    <s v="99.13"/>
  </r>
  <r>
    <x v="27"/>
    <x v="155"/>
    <n v="1430475"/>
    <n v="41130"/>
    <n v="603922"/>
    <s v="2.88"/>
    <s v="0.00"/>
    <s v="97.12"/>
  </r>
  <r>
    <x v="27"/>
    <x v="154"/>
    <n v="54024"/>
    <n v="370"/>
    <n v="4615"/>
    <s v="0.68"/>
    <s v="0.00"/>
    <s v="99.32"/>
  </r>
  <r>
    <x v="27"/>
    <x v="153"/>
    <n v="237798"/>
    <n v="608"/>
    <n v="117737"/>
    <s v="0.26"/>
    <s v="0.00"/>
    <s v="99.74"/>
  </r>
  <r>
    <x v="27"/>
    <x v="152"/>
    <n v="460322"/>
    <n v="16209"/>
    <n v="90280"/>
    <s v="3.52"/>
    <s v="0.00"/>
    <s v="96.48"/>
  </r>
  <r>
    <x v="27"/>
    <x v="151"/>
    <n v="8"/>
    <n v="0"/>
    <n v="5"/>
    <s v="0.00"/>
    <s v="0.00"/>
    <s v="100.00"/>
  </r>
  <r>
    <x v="27"/>
    <x v="150"/>
    <n v="1078729"/>
    <n v="18078"/>
    <n v="898225"/>
    <s v="1.68"/>
    <s v="0.00"/>
    <s v="98.32"/>
  </r>
  <r>
    <x v="27"/>
    <x v="149"/>
    <n v="447032"/>
    <n v="4556"/>
    <n v="421218"/>
    <s v="1.02"/>
    <s v="0.00"/>
    <s v="98.98"/>
  </r>
  <r>
    <x v="27"/>
    <x v="148"/>
    <n v="2933834"/>
    <n v="76067"/>
    <n v="1376594"/>
    <s v="2.59"/>
    <s v="0.00"/>
    <s v="97.41"/>
  </r>
  <r>
    <x v="27"/>
    <x v="146"/>
    <n v="2705792"/>
    <n v="40424"/>
    <n v="1233062"/>
    <s v="1.49"/>
    <s v="0.00"/>
    <s v="98.51"/>
  </r>
  <r>
    <x v="27"/>
    <x v="147"/>
    <n v="1263664"/>
    <n v="28252"/>
    <n v="455892"/>
    <s v="2.24"/>
    <s v="0.00"/>
    <s v="97.76"/>
  </r>
  <r>
    <x v="27"/>
    <x v="145"/>
    <n v="24041"/>
    <n v="266"/>
    <n v="13219"/>
    <s v="1.11"/>
    <s v="0.00"/>
    <s v="98.89"/>
  </r>
  <r>
    <x v="27"/>
    <x v="144"/>
    <n v="45439"/>
    <n v="633"/>
    <n v="42092"/>
    <s v="1.39"/>
    <s v="0.00"/>
    <s v="98.61"/>
  </r>
  <r>
    <x v="27"/>
    <x v="143"/>
    <n v="2188351"/>
    <n v="199792"/>
    <n v="1660518"/>
    <s v="9.13"/>
    <s v="0.00"/>
    <s v="90.87"/>
  </r>
  <r>
    <x v="27"/>
    <x v="142"/>
    <n v="469998"/>
    <n v="7288"/>
    <n v="259636"/>
    <s v="1.55"/>
    <s v="0.00"/>
    <s v="98.45"/>
  </r>
  <r>
    <x v="27"/>
    <x v="141"/>
    <n v="304025"/>
    <n v="4103"/>
    <n v="104324"/>
    <s v="1.35"/>
    <s v="0.00"/>
    <s v="98.65"/>
  </r>
  <r>
    <x v="27"/>
    <x v="140"/>
    <n v="4940"/>
    <n v="28"/>
    <n v="3315"/>
    <s v="0.57"/>
    <s v="0.00"/>
    <s v="99.43"/>
  </r>
  <r>
    <x v="27"/>
    <x v="139"/>
    <n v="804516"/>
    <n v="11277"/>
    <n v="715235"/>
    <s v="1.40"/>
    <s v="0.00"/>
    <s v="98.60"/>
  </r>
  <r>
    <x v="27"/>
    <x v="138"/>
    <n v="195808"/>
    <n v="884"/>
    <n v="37707"/>
    <s v="0.45"/>
    <s v="0.00"/>
    <s v="99.55"/>
  </r>
  <r>
    <x v="27"/>
    <x v="137"/>
    <n v="2079689"/>
    <n v="18669"/>
    <n v="1287998"/>
    <s v="0.90"/>
    <s v="0.00"/>
    <s v="99.10"/>
  </r>
  <r>
    <x v="27"/>
    <x v="136"/>
    <n v="15737"/>
    <n v="206"/>
    <n v="655"/>
    <s v="1.31"/>
    <s v="0.00"/>
    <s v="98.69"/>
  </r>
  <r>
    <x v="27"/>
    <x v="135"/>
    <n v="208797"/>
    <n v="2769"/>
    <n v="77666"/>
    <s v="1.33"/>
    <s v="0.00"/>
    <s v="98.67"/>
  </r>
  <r>
    <x v="27"/>
    <x v="134"/>
    <n v="6143"/>
    <n v="204"/>
    <n v="5593"/>
    <s v="3.32"/>
    <s v="0.00"/>
    <s v="96.68"/>
  </r>
  <r>
    <x v="27"/>
    <x v="133"/>
    <n v="9861"/>
    <n v="231"/>
    <n v="5614"/>
    <s v="2.34"/>
    <s v="0.00"/>
    <s v="97.66"/>
  </r>
  <r>
    <x v="27"/>
    <x v="132"/>
    <n v="128239"/>
    <n v="3538"/>
    <n v="68628"/>
    <s v="2.76"/>
    <s v="0.00"/>
    <s v="97.24"/>
  </r>
  <r>
    <x v="27"/>
    <x v="131"/>
    <n v="151080"/>
    <n v="1925"/>
    <n v="40310"/>
    <s v="1.27"/>
    <s v="0.00"/>
    <s v="98.73"/>
  </r>
  <r>
    <x v="27"/>
    <x v="130"/>
    <n v="2377033"/>
    <n v="27770"/>
    <n v="1214930"/>
    <s v="1.17"/>
    <s v="0.00"/>
    <s v="98.83"/>
  </r>
  <r>
    <x v="27"/>
    <x v="129"/>
    <n v="3749860"/>
    <n v="284008"/>
    <n v="2209246"/>
    <s v="7.57"/>
    <s v="0.00"/>
    <s v="92.43"/>
  </r>
  <r>
    <x v="27"/>
    <x v="128"/>
    <n v="61709"/>
    <n v="2292"/>
    <n v="32937"/>
    <s v="3.71"/>
    <s v="0.00"/>
    <s v="96.29"/>
  </r>
  <r>
    <x v="27"/>
    <x v="127"/>
    <n v="85977"/>
    <n v="237"/>
    <n v="80850"/>
    <s v="0.28"/>
    <s v="0.00"/>
    <s v="99.72"/>
  </r>
  <r>
    <x v="27"/>
    <x v="126"/>
    <n v="16621"/>
    <n v="129"/>
    <n v="13384"/>
    <s v="0.78"/>
    <s v="0.00"/>
    <s v="99.22"/>
  </r>
  <r>
    <x v="27"/>
    <x v="125"/>
    <n v="37437"/>
    <n v="459"/>
    <n v="26772"/>
    <s v="1.23"/>
    <s v="0.00"/>
    <s v="98.77"/>
  </r>
  <r>
    <x v="27"/>
    <x v="124"/>
    <n v="36591"/>
    <n v="787"/>
    <n v="33144"/>
    <s v="2.15"/>
    <s v="0.00"/>
    <s v="97.85"/>
  </r>
  <r>
    <x v="27"/>
    <x v="123"/>
    <n v="42269"/>
    <n v="656"/>
    <n v="1919"/>
    <s v="1.55"/>
    <s v="0.00"/>
    <s v="98.45"/>
  </r>
  <r>
    <x v="27"/>
    <x v="122"/>
    <n v="77"/>
    <n v="0"/>
    <n v="72"/>
    <s v="0.00"/>
    <s v="0.00"/>
    <s v="100.00"/>
  </r>
  <r>
    <x v="27"/>
    <x v="121"/>
    <n v="336508"/>
    <n v="1527"/>
    <n v="3662"/>
    <s v="0.45"/>
    <s v="0.00"/>
    <s v="99.55"/>
  </r>
  <r>
    <x v="27"/>
    <x v="120"/>
    <n v="485646"/>
    <n v="18297"/>
    <n v="124328"/>
    <s v="3.77"/>
    <s v="0.00"/>
    <s v="96.23"/>
  </r>
  <r>
    <x v="27"/>
    <x v="119"/>
    <n v="15577"/>
    <n v="555"/>
    <n v="7888"/>
    <s v="3.56"/>
    <s v="0.00"/>
    <s v="96.44"/>
  </r>
  <r>
    <x v="27"/>
    <x v="118"/>
    <n v="196376"/>
    <n v="6901"/>
    <n v="25136"/>
    <s v="3.51"/>
    <s v="0.00"/>
    <s v="96.49"/>
  </r>
  <r>
    <x v="27"/>
    <x v="117"/>
    <n v="4"/>
    <n v="0"/>
    <n v="0"/>
    <s v="0.00"/>
    <s v="0.00"/>
    <s v="100.00"/>
  </r>
  <r>
    <x v="27"/>
    <x v="116"/>
    <n v="43616"/>
    <n v="960"/>
    <n v="3893"/>
    <s v="2.20"/>
    <s v="0.00"/>
    <s v="97.80"/>
  </r>
  <r>
    <x v="27"/>
    <x v="115"/>
    <n v="3878"/>
    <n v="55"/>
    <n v="442"/>
    <s v="1.42"/>
    <s v="0.00"/>
    <s v="98.58"/>
  </r>
  <r>
    <x v="27"/>
    <x v="114"/>
    <n v="137046"/>
    <n v="2018"/>
    <n v="87903"/>
    <s v="1.47"/>
    <s v="0.00"/>
    <s v="98.53"/>
  </r>
  <r>
    <x v="27"/>
    <x v="113"/>
    <n v="313849"/>
    <n v="7172"/>
    <n v="121555"/>
    <s v="2.29"/>
    <s v="0.00"/>
    <s v="97.71"/>
  </r>
  <r>
    <x v="27"/>
    <x v="112"/>
    <n v="3357"/>
    <n v="35"/>
    <n v="622"/>
    <s v="1.04"/>
    <s v="0.00"/>
    <s v="98.96"/>
  </r>
  <r>
    <x v="27"/>
    <x v="111"/>
    <n v="941446"/>
    <n v="14533"/>
    <n v="313971"/>
    <s v="1.54"/>
    <s v="0.00"/>
    <s v="98.46"/>
  </r>
  <r>
    <x v="27"/>
    <x v="110"/>
    <n v="349210"/>
    <n v="4860"/>
    <n v="197016"/>
    <s v="1.39"/>
    <s v="0.00"/>
    <s v="98.61"/>
  </r>
  <r>
    <x v="27"/>
    <x v="109"/>
    <n v="180440"/>
    <n v="2869"/>
    <n v="10980"/>
    <s v="1.59"/>
    <s v="0.00"/>
    <s v="98.41"/>
  </r>
  <r>
    <x v="27"/>
    <x v="108"/>
    <n v="79720"/>
    <n v="839"/>
    <n v="78122"/>
    <s v="1.05"/>
    <s v="0.00"/>
    <s v="98.95"/>
  </r>
  <r>
    <x v="27"/>
    <x v="107"/>
    <n v="363630"/>
    <n v="5376"/>
    <n v="26024"/>
    <s v="1.48"/>
    <s v="0.00"/>
    <s v="98.52"/>
  </r>
  <r>
    <x v="27"/>
    <x v="106"/>
    <n v="21524"/>
    <n v="655"/>
    <n v="12968"/>
    <s v="3.04"/>
    <s v="0.00"/>
    <s v="96.96"/>
  </r>
  <r>
    <x v="27"/>
    <x v="105"/>
    <n v="5803"/>
    <n v="286"/>
    <n v="5141"/>
    <s v="4.93"/>
    <s v="0.00"/>
    <s v="95.07"/>
  </r>
  <r>
    <x v="27"/>
    <x v="104"/>
    <n v="530421"/>
    <n v="13449"/>
    <n v="121458"/>
    <s v="2.54"/>
    <s v="0.00"/>
    <s v="97.46"/>
  </r>
  <r>
    <x v="27"/>
    <x v="103"/>
    <n v="3584"/>
    <n v="60"/>
    <n v="3116"/>
    <s v="1.67"/>
    <s v="0.00"/>
    <s v="98.33"/>
  </r>
  <r>
    <x v="27"/>
    <x v="102"/>
    <n v="12129"/>
    <n v="232"/>
    <n v="11364"/>
    <s v="1.91"/>
    <s v="0.00"/>
    <s v="98.09"/>
  </r>
  <r>
    <x v="27"/>
    <x v="101"/>
    <n v="632781"/>
    <n v="8413"/>
    <n v="124260"/>
    <s v="1.33"/>
    <s v="0.00"/>
    <s v="98.67"/>
  </r>
  <r>
    <x v="27"/>
    <x v="100"/>
    <n v="31188"/>
    <n v="36"/>
    <n v="6537"/>
    <s v="0.12"/>
    <s v="0.00"/>
    <s v="99.88"/>
  </r>
  <r>
    <x v="27"/>
    <x v="99"/>
    <n v="992488"/>
    <n v="16618"/>
    <n v="152772"/>
    <s v="1.67"/>
    <s v="0.00"/>
    <s v="98.33"/>
  </r>
  <r>
    <x v="27"/>
    <x v="98"/>
    <n v="412258"/>
    <n v="2455"/>
    <n v="91545"/>
    <s v="0.60"/>
    <s v="0.00"/>
    <s v="99.40"/>
  </r>
  <r>
    <x v="27"/>
    <x v="97"/>
    <n v="340978"/>
    <n v="2644"/>
    <n v="156231"/>
    <s v="0.78"/>
    <s v="0.00"/>
    <s v="99.22"/>
  </r>
  <r>
    <x v="27"/>
    <x v="96"/>
    <n v="2525"/>
    <n v="21"/>
    <n v="696"/>
    <s v="0.83"/>
    <s v="0.00"/>
    <s v="99.17"/>
  </r>
  <r>
    <x v="27"/>
    <x v="95"/>
    <n v="4184"/>
    <n v="147"/>
    <n v="3590"/>
    <s v="3.51"/>
    <s v="0.00"/>
    <s v="96.49"/>
  </r>
  <r>
    <x v="27"/>
    <x v="93"/>
    <n v="116140"/>
    <n v="2610"/>
    <n v="64261"/>
    <s v="2.25"/>
    <s v="0.00"/>
    <s v="97.75"/>
  </r>
  <r>
    <x v="27"/>
    <x v="94"/>
    <n v="2"/>
    <n v="0"/>
    <n v="0"/>
    <s v="0.00"/>
    <s v="0.00"/>
    <s v="100.00"/>
  </r>
  <r>
    <x v="27"/>
    <x v="92"/>
    <n v="179681"/>
    <n v="2629"/>
    <n v="93500"/>
    <s v="1.46"/>
    <s v="0.00"/>
    <s v="98.54"/>
  </r>
  <r>
    <x v="27"/>
    <x v="90"/>
    <n v="1714201"/>
    <n v="18084"/>
    <n v="1381060"/>
    <s v="1.05"/>
    <s v="0.00"/>
    <s v="98.95"/>
  </r>
  <r>
    <x v="27"/>
    <x v="91"/>
    <n v="251803"/>
    <n v="5210"/>
    <n v="28918"/>
    <s v="2.07"/>
    <s v="0.00"/>
    <s v="97.93"/>
  </r>
  <r>
    <x v="27"/>
    <x v="89"/>
    <n v="839544"/>
    <n v="10859"/>
    <n v="177431"/>
    <s v="1.29"/>
    <s v="0.00"/>
    <s v="98.71"/>
  </r>
  <r>
    <x v="27"/>
    <x v="88"/>
    <n v="86986"/>
    <n v="2072"/>
    <n v="76870"/>
    <s v="2.38"/>
    <s v="0.00"/>
    <s v="97.62"/>
  </r>
  <r>
    <x v="27"/>
    <x v="87"/>
    <n v="4712482"/>
    <n v="131503"/>
    <n v="2272654"/>
    <s v="2.79"/>
    <s v="0.00"/>
    <s v="97.21"/>
  </r>
  <r>
    <x v="27"/>
    <x v="86"/>
    <n v="12455"/>
    <n v="33"/>
    <n v="1199"/>
    <s v="0.26"/>
    <s v="0.00"/>
    <s v="99.74"/>
  </r>
  <r>
    <x v="27"/>
    <x v="85"/>
    <n v="5765904"/>
    <n v="123695"/>
    <n v="5150330"/>
    <s v="2.15"/>
    <s v="0.00"/>
    <s v="97.85"/>
  </r>
  <r>
    <x v="27"/>
    <x v="84"/>
    <n v="2032660"/>
    <n v="22713"/>
    <n v="35138"/>
    <s v="1.12"/>
    <s v="0.00"/>
    <s v="98.88"/>
  </r>
  <r>
    <x v="27"/>
    <x v="83"/>
    <n v="34053573"/>
    <n v="451980"/>
    <n v="28438146"/>
    <s v="1.33"/>
    <s v="0.00"/>
    <s v="98.67"/>
  </r>
  <r>
    <x v="27"/>
    <x v="82"/>
    <n v="1314213"/>
    <n v="7976"/>
    <n v="842606"/>
    <s v="0.61"/>
    <s v="0.00"/>
    <s v="99.39"/>
  </r>
  <r>
    <x v="27"/>
    <x v="81"/>
    <n v="411554"/>
    <n v="5306"/>
    <n v="382284"/>
    <s v="1.29"/>
    <s v="0.00"/>
    <s v="98.71"/>
  </r>
  <r>
    <x v="27"/>
    <x v="80"/>
    <n v="4233014"/>
    <n v="142889"/>
    <n v="3638792"/>
    <s v="3.38"/>
    <s v="0.00"/>
    <s v="96.62"/>
  </r>
  <r>
    <x v="27"/>
    <x v="79"/>
    <n v="833115"/>
    <n v="30351"/>
    <n v="694964"/>
    <s v="3.64"/>
    <s v="0.00"/>
    <s v="96.36"/>
  </r>
  <r>
    <x v="27"/>
    <x v="78"/>
    <n v="22827"/>
    <n v="649"/>
    <n v="15723"/>
    <s v="2.84"/>
    <s v="0.00"/>
    <s v="97.16"/>
  </r>
  <r>
    <x v="27"/>
    <x v="77"/>
    <n v="424666"/>
    <n v="8862"/>
    <n v="241400"/>
    <s v="2.09"/>
    <s v="0.00"/>
    <s v="97.91"/>
  </r>
  <r>
    <x v="27"/>
    <x v="76"/>
    <n v="371861"/>
    <n v="10083"/>
    <n v="325206"/>
    <s v="2.71"/>
    <s v="0.00"/>
    <s v="97.29"/>
  </r>
  <r>
    <x v="27"/>
    <x v="75"/>
    <n v="12285"/>
    <n v="213"/>
    <n v="7191"/>
    <s v="1.73"/>
    <s v="0.00"/>
    <s v="98.27"/>
  </r>
  <r>
    <x v="27"/>
    <x v="74"/>
    <n v="34240"/>
    <n v="862"/>
    <n v="27629"/>
    <s v="2.52"/>
    <s v="0.00"/>
    <s v="97.48"/>
  </r>
  <r>
    <x v="27"/>
    <x v="73"/>
    <n v="6129"/>
    <n v="141"/>
    <n v="926"/>
    <s v="2.30"/>
    <s v="0.00"/>
    <s v="97.70"/>
  </r>
  <r>
    <x v="27"/>
    <x v="72"/>
    <n v="586318"/>
    <n v="14236"/>
    <n v="17109"/>
    <s v="2.43"/>
    <s v="0.00"/>
    <s v="97.57"/>
  </r>
  <r>
    <x v="27"/>
    <x v="71"/>
    <n v="689896"/>
    <n v="15317"/>
    <n v="400743"/>
    <s v="2.22"/>
    <s v="0.00"/>
    <s v="97.78"/>
  </r>
  <r>
    <x v="27"/>
    <x v="70"/>
    <n v="12840"/>
    <n v="156"/>
    <n v="3715"/>
    <s v="1.21"/>
    <s v="0.00"/>
    <s v="98.79"/>
  </r>
  <r>
    <x v="27"/>
    <x v="69"/>
    <n v="53836"/>
    <n v="800"/>
    <n v="35380"/>
    <s v="1.49"/>
    <s v="0.00"/>
    <s v="98.51"/>
  </r>
  <r>
    <x v="27"/>
    <x v="67"/>
    <n v="9946"/>
    <n v="339"/>
    <n v="6351"/>
    <s v="3.41"/>
    <s v="0.00"/>
    <s v="96.59"/>
  </r>
  <r>
    <x v="27"/>
    <x v="68"/>
    <n v="30572"/>
    <n v="385"/>
    <n v="4302"/>
    <s v="1.26"/>
    <s v="0.00"/>
    <s v="98.74"/>
  </r>
  <r>
    <x v="27"/>
    <x v="66"/>
    <n v="5740"/>
    <n v="98"/>
    <n v="3795"/>
    <s v="1.71"/>
    <s v="0.00"/>
    <s v="98.29"/>
  </r>
  <r>
    <x v="27"/>
    <x v="65"/>
    <n v="128368"/>
    <n v="1158"/>
    <n v="38060"/>
    <s v="0.90"/>
    <s v="0.00"/>
    <s v="99.10"/>
  </r>
  <r>
    <x v="27"/>
    <x v="64"/>
    <n v="43255"/>
    <n v="293"/>
    <n v="9898"/>
    <s v="0.68"/>
    <s v="0.00"/>
    <s v="99.32"/>
  </r>
  <r>
    <x v="27"/>
    <x v="62"/>
    <n v="5721"/>
    <n v="192"/>
    <n v="4210"/>
    <s v="3.36"/>
    <s v="0.00"/>
    <s v="96.64"/>
  </r>
  <r>
    <x v="27"/>
    <x v="63"/>
    <n v="652677"/>
    <n v="9396"/>
    <n v="346783"/>
    <s v="1.44"/>
    <s v="0.00"/>
    <s v="98.56"/>
  </r>
  <r>
    <x v="27"/>
    <x v="61"/>
    <n v="8395243"/>
    <n v="138694"/>
    <n v="914339"/>
    <s v="1.65"/>
    <s v="0.00"/>
    <s v="98.35"/>
  </r>
  <r>
    <x v="27"/>
    <x v="60"/>
    <n v="33442"/>
    <n v="213"/>
    <n v="4832"/>
    <s v="0.64"/>
    <s v="0.00"/>
    <s v="99.36"/>
  </r>
  <r>
    <x v="27"/>
    <x v="59"/>
    <n v="6906114"/>
    <n v="114928"/>
    <n v="1365819"/>
    <s v="1.66"/>
    <s v="0.00"/>
    <s v="98.34"/>
  </r>
  <r>
    <x v="27"/>
    <x v="58"/>
    <n v="1332"/>
    <n v="2"/>
    <n v="893"/>
    <s v="0.15"/>
    <s v="0.00"/>
    <s v="99.85"/>
  </r>
  <r>
    <x v="27"/>
    <x v="57"/>
    <n v="51701"/>
    <n v="663"/>
    <n v="25215"/>
    <s v="1.28"/>
    <s v="0.00"/>
    <s v="98.72"/>
  </r>
  <r>
    <x v="27"/>
    <x v="56"/>
    <n v="149897"/>
    <n v="1116"/>
    <n v="25492"/>
    <s v="0.74"/>
    <s v="0.00"/>
    <s v="99.26"/>
  </r>
  <r>
    <x v="27"/>
    <x v="55"/>
    <n v="358345"/>
    <n v="6169"/>
    <n v="135386"/>
    <s v="1.72"/>
    <s v="0.00"/>
    <s v="98.28"/>
  </r>
  <r>
    <x v="27"/>
    <x v="54"/>
    <n v="4984386"/>
    <n v="86974"/>
    <n v="4691738"/>
    <s v="1.74"/>
    <s v="0.00"/>
    <s v="98.26"/>
  </r>
  <r>
    <x v="27"/>
    <x v="53"/>
    <n v="6767"/>
    <n v="44"/>
    <n v="3670"/>
    <s v="0.65"/>
    <s v="0.00"/>
    <s v="99.35"/>
  </r>
  <r>
    <x v="27"/>
    <x v="52"/>
    <n v="316711"/>
    <n v="17884"/>
    <n v="56184"/>
    <s v="5.65"/>
    <s v="0.00"/>
    <s v="94.35"/>
  </r>
  <r>
    <x v="27"/>
    <x v="51"/>
    <n v="170159"/>
    <n v="1415"/>
    <n v="26273"/>
    <s v="0.83"/>
    <s v="0.00"/>
    <s v="99.17"/>
  </r>
  <r>
    <x v="27"/>
    <x v="50"/>
    <n v="513026"/>
    <n v="32899"/>
    <n v="399206"/>
    <s v="6.41"/>
    <s v="0.00"/>
    <s v="93.59"/>
  </r>
  <r>
    <x v="27"/>
    <x v="49"/>
    <n v="205106"/>
    <n v="5867"/>
    <n v="195512"/>
    <s v="2.86"/>
    <s v="0.00"/>
    <s v="97.14"/>
  </r>
  <r>
    <x v="27"/>
    <x v="48"/>
    <n v="368830"/>
    <n v="4082"/>
    <n v="86870"/>
    <s v="1.11"/>
    <s v="0.00"/>
    <s v="98.89"/>
  </r>
  <r>
    <x v="27"/>
    <x v="47"/>
    <n v="4153"/>
    <n v="28"/>
    <n v="2127"/>
    <s v="0.67"/>
    <s v="0.00"/>
    <s v="99.33"/>
  </r>
  <r>
    <x v="27"/>
    <x v="46"/>
    <n v="367961"/>
    <n v="2679"/>
    <n v="79969"/>
    <s v="0.73"/>
    <s v="0.00"/>
    <s v="99.27"/>
  </r>
  <r>
    <x v="27"/>
    <x v="45"/>
    <n v="13377"/>
    <n v="179"/>
    <n v="7110"/>
    <s v="1.34"/>
    <s v="0.00"/>
    <s v="98.66"/>
  </r>
  <r>
    <x v="27"/>
    <x v="44"/>
    <n v="4366833"/>
    <n v="94605"/>
    <n v="221222"/>
    <s v="2.17"/>
    <s v="0.00"/>
    <s v="97.83"/>
  </r>
  <r>
    <x v="27"/>
    <x v="43"/>
    <n v="1705971"/>
    <n v="30528"/>
    <n v="80200"/>
    <s v="1.79"/>
    <s v="0.00"/>
    <s v="98.21"/>
  </r>
  <r>
    <x v="27"/>
    <x v="42"/>
    <n v="121995"/>
    <n v="560"/>
    <n v="28267"/>
    <s v="0.46"/>
    <s v="0.00"/>
    <s v="99.54"/>
  </r>
  <r>
    <x v="27"/>
    <x v="41"/>
    <n v="38006"/>
    <n v="347"/>
    <n v="29280"/>
    <s v="0.91"/>
    <s v="0.00"/>
    <s v="99.09"/>
  </r>
  <r>
    <x v="27"/>
    <x v="40"/>
    <n v="930822"/>
    <n v="8018"/>
    <n v="104315"/>
    <s v="0.86"/>
    <s v="0.00"/>
    <s v="99.14"/>
  </r>
  <r>
    <x v="27"/>
    <x v="39"/>
    <n v="551144"/>
    <n v="6797"/>
    <n v="482698"/>
    <s v="1.23"/>
    <s v="0.00"/>
    <s v="98.77"/>
  </r>
  <r>
    <x v="27"/>
    <x v="38"/>
    <n v="4978689"/>
    <n v="126796"/>
    <n v="3841497"/>
    <s v="2.55"/>
    <s v="0.00"/>
    <s v="97.45"/>
  </r>
  <r>
    <x v="27"/>
    <x v="37"/>
    <n v="96502"/>
    <n v="4636"/>
    <n v="74101"/>
    <s v="4.80"/>
    <s v="0.00"/>
    <s v="95.20"/>
  </r>
  <r>
    <x v="27"/>
    <x v="36"/>
    <n v="98402"/>
    <n v="1550"/>
    <n v="61501"/>
    <s v="1.58"/>
    <s v="0.00"/>
    <s v="98.42"/>
  </r>
  <r>
    <x v="27"/>
    <x v="35"/>
    <n v="1667547"/>
    <n v="37594"/>
    <n v="1063604"/>
    <s v="2.25"/>
    <s v="0.00"/>
    <s v="97.75"/>
  </r>
  <r>
    <x v="27"/>
    <x v="34"/>
    <n v="60982"/>
    <n v="674"/>
    <n v="50036"/>
    <s v="1.11"/>
    <s v="0.00"/>
    <s v="98.89"/>
  </r>
  <r>
    <x v="27"/>
    <x v="33"/>
    <n v="854591"/>
    <n v="11158"/>
    <n v="239918"/>
    <s v="1.31"/>
    <s v="0.00"/>
    <s v="98.69"/>
  </r>
  <r>
    <x v="27"/>
    <x v="32"/>
    <n v="15514"/>
    <n v="222"/>
    <n v="4157"/>
    <s v="1.43"/>
    <s v="0.00"/>
    <s v="98.57"/>
  </r>
  <r>
    <x v="27"/>
    <x v="31"/>
    <n v="11469"/>
    <n v="100"/>
    <n v="6862"/>
    <s v="0.87"/>
    <s v="0.00"/>
    <s v="99.13"/>
  </r>
  <r>
    <x v="27"/>
    <x v="30"/>
    <n v="57269"/>
    <n v="1089"/>
    <n v="201"/>
    <s v="1.90"/>
    <s v="0.00"/>
    <s v="98.10"/>
  </r>
  <r>
    <x v="27"/>
    <x v="29"/>
    <n v="1685112"/>
    <n v="28521"/>
    <n v="728660"/>
    <s v="1.69"/>
    <s v="0.00"/>
    <s v="98.31"/>
  </r>
  <r>
    <x v="27"/>
    <x v="28"/>
    <n v="23990"/>
    <n v="461"/>
    <n v="11920"/>
    <s v="1.92"/>
    <s v="0.00"/>
    <s v="98.08"/>
  </r>
  <r>
    <x v="27"/>
    <x v="27"/>
    <n v="567938"/>
    <n v="4369"/>
    <n v="70872"/>
    <s v="0.77"/>
    <s v="0.00"/>
    <s v="99.23"/>
  </r>
  <r>
    <x v="27"/>
    <x v="26"/>
    <n v="181856"/>
    <n v="2386"/>
    <n v="167895"/>
    <s v="1.31"/>
    <s v="0.00"/>
    <s v="98.69"/>
  </r>
  <r>
    <x v="27"/>
    <x v="25"/>
    <n v="2617"/>
    <n v="3"/>
    <n v="672"/>
    <s v="0.11"/>
    <s v="0.00"/>
    <s v="99.89"/>
  </r>
  <r>
    <x v="27"/>
    <x v="24"/>
    <n v="21580"/>
    <n v="590"/>
    <n v="2007"/>
    <s v="2.73"/>
    <s v="0.00"/>
    <s v="97.27"/>
  </r>
  <r>
    <x v="27"/>
    <x v="23"/>
    <n v="21627476"/>
    <n v="602669"/>
    <n v="6439566"/>
    <s v="2.79"/>
    <s v="0.00"/>
    <s v="97.21"/>
  </r>
  <r>
    <x v="27"/>
    <x v="22"/>
    <n v="506150"/>
    <n v="18824"/>
    <n v="381625"/>
    <s v="3.72"/>
    <s v="0.00"/>
    <s v="96.28"/>
  </r>
  <r>
    <x v="27"/>
    <x v="21"/>
    <n v="10251"/>
    <n v="68"/>
    <n v="8442"/>
    <s v="0.66"/>
    <s v="0.00"/>
    <s v="99.34"/>
  </r>
  <r>
    <x v="27"/>
    <x v="20"/>
    <n v="1658"/>
    <n v="6"/>
    <n v="138"/>
    <s v="0.36"/>
    <s v="0.00"/>
    <s v="99.64"/>
  </r>
  <r>
    <x v="27"/>
    <x v="19"/>
    <n v="24560"/>
    <n v="161"/>
    <n v="19776"/>
    <s v="0.66"/>
    <s v="0.00"/>
    <s v="99.34"/>
  </r>
  <r>
    <x v="27"/>
    <x v="18"/>
    <n v="19555"/>
    <n v="38"/>
    <n v="17348"/>
    <s v="0.19"/>
    <s v="0.00"/>
    <s v="99.81"/>
  </r>
  <r>
    <x v="27"/>
    <x v="17"/>
    <n v="275975"/>
    <n v="1391"/>
    <n v="150929"/>
    <s v="0.50"/>
    <s v="0.00"/>
    <s v="99.50"/>
  </r>
  <r>
    <x v="27"/>
    <x v="16"/>
    <n v="537752"/>
    <n v="22188"/>
    <n v="250964"/>
    <s v="4.13"/>
    <s v="0.00"/>
    <s v="95.87"/>
  </r>
  <r>
    <x v="27"/>
    <x v="15"/>
    <n v="14657"/>
    <n v="203"/>
    <n v="1718"/>
    <s v="1.39"/>
    <s v="0.00"/>
    <s v="98.61"/>
  </r>
  <r>
    <x v="27"/>
    <x v="14"/>
    <n v="1279869"/>
    <n v="25747"/>
    <n v="759099"/>
    <s v="2.01"/>
    <s v="0.00"/>
    <s v="97.99"/>
  </r>
  <r>
    <x v="27"/>
    <x v="13"/>
    <n v="1564881"/>
    <n v="27746"/>
    <n v="1347871"/>
    <s v="1.77"/>
    <s v="0.00"/>
    <s v="98.23"/>
  </r>
  <r>
    <x v="27"/>
    <x v="12"/>
    <n v="12427"/>
    <n v="109"/>
    <n v="10378"/>
    <s v="0.88"/>
    <s v="0.00"/>
    <s v="99.12"/>
  </r>
  <r>
    <x v="27"/>
    <x v="11"/>
    <n v="243914"/>
    <n v="11110"/>
    <n v="31503"/>
    <s v="4.55"/>
    <s v="0.00"/>
    <s v="95.45"/>
  </r>
  <r>
    <x v="27"/>
    <x v="10"/>
    <n v="498630"/>
    <n v="6734"/>
    <n v="7927"/>
    <s v="1.35"/>
    <s v="0.00"/>
    <s v="98.65"/>
  </r>
  <r>
    <x v="27"/>
    <x v="9"/>
    <n v="141031"/>
    <n v="1515"/>
    <n v="74014"/>
    <s v="1.07"/>
    <s v="0.00"/>
    <s v="98.93"/>
  </r>
  <r>
    <x v="27"/>
    <x v="8"/>
    <n v="771143"/>
    <n v="11151"/>
    <n v="632080"/>
    <s v="1.45"/>
    <s v="0.00"/>
    <s v="98.55"/>
  </r>
  <r>
    <x v="27"/>
    <x v="7"/>
    <n v="5271361"/>
    <n v="115660"/>
    <n v="3343974"/>
    <s v="2.19"/>
    <s v="0.00"/>
    <s v="97.81"/>
  </r>
  <r>
    <x v="27"/>
    <x v="6"/>
    <n v="62606"/>
    <n v="1660"/>
    <n v="82"/>
    <s v="2.65"/>
    <s v="0.00"/>
    <s v="97.35"/>
  </r>
  <r>
    <x v="27"/>
    <x v="5"/>
    <n v="278431"/>
    <n v="5713"/>
    <n v="137320"/>
    <s v="2.05"/>
    <s v="0.00"/>
    <s v="97.95"/>
  </r>
  <r>
    <x v="27"/>
    <x v="4"/>
    <n v="177108"/>
    <n v="2807"/>
    <n v="71047"/>
    <s v="1.58"/>
    <s v="0.00"/>
    <s v="98.42"/>
  </r>
  <r>
    <x v="27"/>
    <x v="3"/>
    <n v="3858"/>
    <n v="93"/>
    <n v="2539"/>
    <s v="2.41"/>
    <s v="0.00"/>
    <s v="97.59"/>
  </r>
  <r>
    <x v="27"/>
    <x v="2"/>
    <n v="155688"/>
    <n v="7238"/>
    <n v="13642"/>
    <s v="4.65"/>
    <s v="0.00"/>
    <s v="95.35"/>
  </r>
  <r>
    <x v="27"/>
    <x v="1"/>
    <n v="738372"/>
    <n v="2118"/>
    <n v="168146"/>
    <s v="0.29"/>
    <s v="0.00"/>
    <s v="99.71"/>
  </r>
  <r>
    <x v="27"/>
    <x v="0"/>
    <n v="15338"/>
    <n v="130"/>
    <n v="10193"/>
    <s v="0.85"/>
    <s v="0.00"/>
    <s v="99.15"/>
  </r>
  <r>
    <x v="28"/>
    <x v="0"/>
    <n v="15326"/>
    <n v="130"/>
    <n v="9270"/>
    <s v="0.85"/>
    <s v="0.00"/>
    <s v="99.15"/>
  </r>
  <r>
    <x v="28"/>
    <x v="1"/>
    <n v="738268"/>
    <n v="2117"/>
    <n v="584656"/>
    <s v="0.29"/>
    <s v="0.00"/>
    <s v="99.71"/>
  </r>
  <r>
    <x v="28"/>
    <x v="2"/>
    <n v="155682"/>
    <n v="7238"/>
    <n v="49619"/>
    <s v="4.65"/>
    <s v="0.00"/>
    <s v="95.35"/>
  </r>
  <r>
    <x v="28"/>
    <x v="3"/>
    <n v="3830"/>
    <n v="93"/>
    <n v="865"/>
    <s v="2.43"/>
    <s v="0.00"/>
    <s v="97.57"/>
  </r>
  <r>
    <x v="28"/>
    <x v="4"/>
    <n v="176667"/>
    <n v="2797"/>
    <n v="103587"/>
    <s v="1.58"/>
    <s v="0.00"/>
    <s v="98.42"/>
  </r>
  <r>
    <x v="28"/>
    <x v="5"/>
    <n v="276666"/>
    <n v="5675"/>
    <n v="235801"/>
    <s v="2.05"/>
    <s v="0.00"/>
    <s v="97.95"/>
  </r>
  <r>
    <x v="28"/>
    <x v="6"/>
    <n v="62385"/>
    <n v="1653"/>
    <n v="10222"/>
    <s v="2.65"/>
    <s v="0.00"/>
    <s v="97.35"/>
  </r>
  <r>
    <x v="28"/>
    <x v="7"/>
    <n v="5270003"/>
    <n v="115633"/>
    <n v="4287431"/>
    <s v="2.19"/>
    <s v="0.00"/>
    <s v="97.81"/>
  </r>
  <r>
    <x v="28"/>
    <x v="8"/>
    <n v="768711"/>
    <n v="11143"/>
    <n v="737696"/>
    <s v="1.45"/>
    <s v="0.00"/>
    <s v="98.55"/>
  </r>
  <r>
    <x v="28"/>
    <x v="9"/>
    <n v="138720"/>
    <n v="1507"/>
    <n v="84585"/>
    <s v="1.09"/>
    <s v="0.00"/>
    <s v="98.91"/>
  </r>
  <r>
    <x v="28"/>
    <x v="10"/>
    <n v="496780"/>
    <n v="6720"/>
    <n v="328611"/>
    <s v="1.35"/>
    <s v="0.00"/>
    <s v="98.65"/>
  </r>
  <r>
    <x v="28"/>
    <x v="11"/>
    <n v="243220"/>
    <n v="11078"/>
    <n v="209555"/>
    <s v="4.55"/>
    <s v="0.00"/>
    <s v="95.45"/>
  </r>
  <r>
    <x v="28"/>
    <x v="12"/>
    <n v="12105"/>
    <n v="108"/>
    <n v="4067"/>
    <s v="0.89"/>
    <s v="0.00"/>
    <s v="99.11"/>
  </r>
  <r>
    <x v="28"/>
    <x v="13"/>
    <n v="1564485"/>
    <n v="27737"/>
    <n v="486951"/>
    <s v="1.77"/>
    <s v="0.00"/>
    <s v="98.23"/>
  </r>
  <r>
    <x v="28"/>
    <x v="14"/>
    <n v="1276221"/>
    <n v="25732"/>
    <n v="478962"/>
    <s v="2.02"/>
    <s v="0.00"/>
    <s v="97.98"/>
  </r>
  <r>
    <x v="28"/>
    <x v="15"/>
    <n v="14640"/>
    <n v="203"/>
    <n v="5339"/>
    <s v="1.39"/>
    <s v="0.00"/>
    <s v="98.61"/>
  </r>
  <r>
    <x v="28"/>
    <x v="16"/>
    <n v="534312"/>
    <n v="22102"/>
    <n v="123056"/>
    <s v="4.14"/>
    <s v="0.00"/>
    <s v="95.86"/>
  </r>
  <r>
    <x v="28"/>
    <x v="17"/>
    <n v="275912"/>
    <n v="1391"/>
    <n v="26730"/>
    <s v="0.50"/>
    <s v="0.00"/>
    <s v="99.50"/>
  </r>
  <r>
    <x v="28"/>
    <x v="18"/>
    <n v="19513"/>
    <n v="38"/>
    <n v="9092"/>
    <s v="0.19"/>
    <s v="0.00"/>
    <s v="99.81"/>
  </r>
  <r>
    <x v="28"/>
    <x v="19"/>
    <n v="24560"/>
    <n v="161"/>
    <n v="18409"/>
    <s v="0.66"/>
    <s v="0.00"/>
    <s v="99.34"/>
  </r>
  <r>
    <x v="28"/>
    <x v="20"/>
    <n v="1658"/>
    <n v="6"/>
    <n v="1204"/>
    <s v="0.36"/>
    <s v="0.00"/>
    <s v="99.64"/>
  </r>
  <r>
    <x v="28"/>
    <x v="21"/>
    <n v="9828"/>
    <n v="67"/>
    <n v="2757"/>
    <s v="0.68"/>
    <s v="0.00"/>
    <s v="99.32"/>
  </r>
  <r>
    <x v="28"/>
    <x v="22"/>
    <n v="505157"/>
    <n v="18811"/>
    <n v="43656"/>
    <s v="3.72"/>
    <s v="0.00"/>
    <s v="96.28"/>
  </r>
  <r>
    <x v="28"/>
    <x v="23"/>
    <n v="21612237"/>
    <n v="602099"/>
    <n v="7847140"/>
    <s v="2.79"/>
    <s v="0.00"/>
    <s v="97.21"/>
  </r>
  <r>
    <x v="28"/>
    <x v="24"/>
    <n v="21580"/>
    <n v="590"/>
    <n v="12387"/>
    <s v="2.73"/>
    <s v="0.00"/>
    <s v="97.27"/>
  </r>
  <r>
    <x v="28"/>
    <x v="25"/>
    <n v="2616"/>
    <n v="3"/>
    <n v="645"/>
    <s v="0.11"/>
    <s v="0.00"/>
    <s v="99.89"/>
  </r>
  <r>
    <x v="28"/>
    <x v="26"/>
    <n v="181856"/>
    <n v="2386"/>
    <n v="162313"/>
    <s v="1.31"/>
    <s v="0.00"/>
    <s v="98.69"/>
  </r>
  <r>
    <x v="28"/>
    <x v="27"/>
    <n v="565865"/>
    <n v="4353"/>
    <n v="166803"/>
    <s v="0.77"/>
    <s v="0.00"/>
    <s v="99.23"/>
  </r>
  <r>
    <x v="28"/>
    <x v="28"/>
    <n v="23762"/>
    <n v="457"/>
    <n v="9399"/>
    <s v="1.92"/>
    <s v="0.00"/>
    <s v="98.08"/>
  </r>
  <r>
    <x v="28"/>
    <x v="29"/>
    <n v="1681669"/>
    <n v="28474"/>
    <n v="1610739"/>
    <s v="1.69"/>
    <s v="0.00"/>
    <s v="98.31"/>
  </r>
  <r>
    <x v="28"/>
    <x v="30"/>
    <n v="57269"/>
    <n v="1089"/>
    <n v="20539"/>
    <s v="1.90"/>
    <s v="0.00"/>
    <s v="98.10"/>
  </r>
  <r>
    <x v="28"/>
    <x v="31"/>
    <n v="11469"/>
    <n v="100"/>
    <n v="2191"/>
    <s v="0.87"/>
    <s v="0.00"/>
    <s v="99.13"/>
  </r>
  <r>
    <x v="28"/>
    <x v="32"/>
    <n v="15255"/>
    <n v="219"/>
    <n v="9458"/>
    <s v="1.44"/>
    <s v="0.00"/>
    <s v="98.56"/>
  </r>
  <r>
    <x v="28"/>
    <x v="33"/>
    <n v="853637"/>
    <n v="11152"/>
    <n v="131438"/>
    <s v="1.31"/>
    <s v="0.00"/>
    <s v="98.69"/>
  </r>
  <r>
    <x v="28"/>
    <x v="34"/>
    <n v="60942"/>
    <n v="673"/>
    <n v="48741"/>
    <s v="1.10"/>
    <s v="0.00"/>
    <s v="98.90"/>
  </r>
  <r>
    <x v="28"/>
    <x v="35"/>
    <n v="1665916"/>
    <n v="37583"/>
    <n v="1546102"/>
    <s v="2.26"/>
    <s v="0.00"/>
    <s v="97.74"/>
  </r>
  <r>
    <x v="28"/>
    <x v="36"/>
    <n v="98402"/>
    <n v="1550"/>
    <n v="30265"/>
    <s v="1.58"/>
    <s v="0.00"/>
    <s v="98.42"/>
  </r>
  <r>
    <x v="28"/>
    <x v="37"/>
    <n v="96488"/>
    <n v="4636"/>
    <n v="31343"/>
    <s v="4.80"/>
    <s v="0.00"/>
    <s v="95.20"/>
  </r>
  <r>
    <x v="28"/>
    <x v="38"/>
    <n v="4977043"/>
    <n v="126759"/>
    <n v="678017"/>
    <s v="2.55"/>
    <s v="0.00"/>
    <s v="97.45"/>
  </r>
  <r>
    <x v="28"/>
    <x v="39"/>
    <n v="550134"/>
    <n v="6771"/>
    <n v="288614"/>
    <s v="1.23"/>
    <s v="0.00"/>
    <s v="98.77"/>
  </r>
  <r>
    <x v="28"/>
    <x v="40"/>
    <n v="928684"/>
    <n v="7994"/>
    <n v="106107"/>
    <s v="0.86"/>
    <s v="0.00"/>
    <s v="99.14"/>
  </r>
  <r>
    <x v="28"/>
    <x v="41"/>
    <n v="37976"/>
    <n v="347"/>
    <n v="8059"/>
    <s v="0.91"/>
    <s v="0.00"/>
    <s v="99.09"/>
  </r>
  <r>
    <x v="28"/>
    <x v="42"/>
    <n v="121842"/>
    <n v="560"/>
    <n v="58635"/>
    <s v="0.46"/>
    <s v="0.00"/>
    <s v="99.54"/>
  </r>
  <r>
    <x v="28"/>
    <x v="43"/>
    <n v="1704436"/>
    <n v="30524"/>
    <n v="499250"/>
    <s v="1.79"/>
    <s v="0.00"/>
    <s v="98.21"/>
  </r>
  <r>
    <x v="28"/>
    <x v="44"/>
    <n v="4355169"/>
    <n v="94530"/>
    <n v="1869159"/>
    <s v="2.17"/>
    <s v="0.00"/>
    <s v="97.83"/>
  </r>
  <r>
    <x v="28"/>
    <x v="45"/>
    <n v="13369"/>
    <n v="179"/>
    <n v="1900"/>
    <s v="1.34"/>
    <s v="0.00"/>
    <s v="98.66"/>
  </r>
  <r>
    <x v="28"/>
    <x v="46"/>
    <n v="367252"/>
    <n v="2676"/>
    <n v="64558"/>
    <s v="0.73"/>
    <s v="0.00"/>
    <s v="99.27"/>
  </r>
  <r>
    <x v="28"/>
    <x v="47"/>
    <n v="4153"/>
    <n v="28"/>
    <n v="3314"/>
    <s v="0.67"/>
    <s v="0.00"/>
    <s v="99.33"/>
  </r>
  <r>
    <x v="28"/>
    <x v="48"/>
    <n v="368131"/>
    <n v="4082"/>
    <n v="176049"/>
    <s v="1.11"/>
    <s v="0.00"/>
    <s v="98.89"/>
  </r>
  <r>
    <x v="28"/>
    <x v="49"/>
    <n v="205005"/>
    <n v="5864"/>
    <n v="159106"/>
    <s v="2.86"/>
    <s v="0.00"/>
    <s v="97.14"/>
  </r>
  <r>
    <x v="28"/>
    <x v="50"/>
    <n v="513026"/>
    <n v="32899"/>
    <n v="81367"/>
    <s v="6.41"/>
    <s v="0.00"/>
    <s v="93.59"/>
  </r>
  <r>
    <x v="28"/>
    <x v="51"/>
    <n v="168884"/>
    <n v="1409"/>
    <n v="72302"/>
    <s v="0.83"/>
    <s v="0.00"/>
    <s v="99.17"/>
  </r>
  <r>
    <x v="28"/>
    <x v="52"/>
    <n v="315842"/>
    <n v="17846"/>
    <n v="49903"/>
    <s v="5.65"/>
    <s v="0.00"/>
    <s v="94.35"/>
  </r>
  <r>
    <x v="28"/>
    <x v="53"/>
    <n v="6764"/>
    <n v="44"/>
    <n v="4016"/>
    <s v="0.65"/>
    <s v="0.00"/>
    <s v="99.35"/>
  </r>
  <r>
    <x v="28"/>
    <x v="54"/>
    <n v="4982138"/>
    <n v="86917"/>
    <n v="4005014"/>
    <s v="1.74"/>
    <s v="0.00"/>
    <s v="98.26"/>
  </r>
  <r>
    <x v="28"/>
    <x v="55"/>
    <n v="357550"/>
    <n v="6141"/>
    <n v="234801"/>
    <s v="1.72"/>
    <s v="0.00"/>
    <s v="98.28"/>
  </r>
  <r>
    <x v="28"/>
    <x v="56"/>
    <n v="149174"/>
    <n v="1112"/>
    <n v="29528"/>
    <s v="0.75"/>
    <s v="0.00"/>
    <s v="99.25"/>
  </r>
  <r>
    <x v="28"/>
    <x v="57"/>
    <n v="51648"/>
    <n v="663"/>
    <n v="13816"/>
    <s v="1.28"/>
    <s v="0.00"/>
    <s v="98.72"/>
  </r>
  <r>
    <x v="28"/>
    <x v="58"/>
    <n v="1323"/>
    <n v="2"/>
    <n v="826"/>
    <s v="0.15"/>
    <s v="0.00"/>
    <s v="99.85"/>
  </r>
  <r>
    <x v="28"/>
    <x v="59"/>
    <n v="6900325"/>
    <n v="114894"/>
    <n v="542942"/>
    <s v="1.67"/>
    <s v="0.00"/>
    <s v="98.33"/>
  </r>
  <r>
    <x v="28"/>
    <x v="60"/>
    <n v="33115"/>
    <n v="209"/>
    <n v="20617"/>
    <s v="0.63"/>
    <s v="0.00"/>
    <s v="99.37"/>
  </r>
  <r>
    <x v="28"/>
    <x v="61"/>
    <n v="8350869"/>
    <n v="138550"/>
    <n v="7470372"/>
    <s v="1.66"/>
    <s v="0.00"/>
    <s v="98.34"/>
  </r>
  <r>
    <x v="28"/>
    <x v="63"/>
    <n v="649407"/>
    <n v="9370"/>
    <n v="52604"/>
    <s v="1.44"/>
    <s v="0.00"/>
    <s v="98.56"/>
  </r>
  <r>
    <x v="28"/>
    <x v="62"/>
    <n v="5704"/>
    <n v="191"/>
    <n v="4852"/>
    <s v="3.35"/>
    <s v="0.00"/>
    <s v="96.65"/>
  </r>
  <r>
    <x v="28"/>
    <x v="64"/>
    <n v="42962"/>
    <n v="291"/>
    <n v="28186"/>
    <s v="0.68"/>
    <s v="0.00"/>
    <s v="99.32"/>
  </r>
  <r>
    <x v="28"/>
    <x v="65"/>
    <n v="128368"/>
    <n v="1158"/>
    <n v="20503"/>
    <s v="0.90"/>
    <s v="0.00"/>
    <s v="99.10"/>
  </r>
  <r>
    <x v="28"/>
    <x v="66"/>
    <n v="5727"/>
    <n v="97"/>
    <n v="1085"/>
    <s v="1.69"/>
    <s v="0.00"/>
    <s v="98.31"/>
  </r>
  <r>
    <x v="28"/>
    <x v="68"/>
    <n v="30560"/>
    <n v="385"/>
    <n v="26874"/>
    <s v="1.26"/>
    <s v="0.00"/>
    <s v="98.74"/>
  </r>
  <r>
    <x v="28"/>
    <x v="67"/>
    <n v="9943"/>
    <n v="339"/>
    <n v="1830"/>
    <s v="3.41"/>
    <s v="0.00"/>
    <s v="96.59"/>
  </r>
  <r>
    <x v="28"/>
    <x v="69"/>
    <n v="53836"/>
    <n v="800"/>
    <n v="22483"/>
    <s v="1.49"/>
    <s v="0.00"/>
    <s v="98.51"/>
  </r>
  <r>
    <x v="28"/>
    <x v="70"/>
    <n v="12840"/>
    <n v="156"/>
    <n v="3405"/>
    <s v="1.21"/>
    <s v="0.00"/>
    <s v="98.79"/>
  </r>
  <r>
    <x v="28"/>
    <x v="71"/>
    <n v="687278"/>
    <n v="15289"/>
    <n v="512073"/>
    <s v="2.22"/>
    <s v="0.00"/>
    <s v="97.78"/>
  </r>
  <r>
    <x v="28"/>
    <x v="72"/>
    <n v="584613"/>
    <n v="14204"/>
    <n v="398380"/>
    <s v="2.43"/>
    <s v="0.00"/>
    <s v="97.57"/>
  </r>
  <r>
    <x v="28"/>
    <x v="73"/>
    <n v="6124"/>
    <n v="141"/>
    <n v="5975"/>
    <s v="2.30"/>
    <s v="0.00"/>
    <s v="97.70"/>
  </r>
  <r>
    <x v="28"/>
    <x v="74"/>
    <n v="34132"/>
    <n v="857"/>
    <n v="21080"/>
    <s v="2.51"/>
    <s v="0.00"/>
    <s v="97.49"/>
  </r>
  <r>
    <x v="28"/>
    <x v="75"/>
    <n v="12276"/>
    <n v="213"/>
    <n v="10587"/>
    <s v="1.74"/>
    <s v="0.00"/>
    <s v="98.26"/>
  </r>
  <r>
    <x v="28"/>
    <x v="76"/>
    <n v="371861"/>
    <n v="10083"/>
    <n v="248873"/>
    <s v="2.71"/>
    <s v="0.00"/>
    <s v="97.29"/>
  </r>
  <r>
    <x v="28"/>
    <x v="77"/>
    <n v="422908"/>
    <n v="8847"/>
    <n v="281407"/>
    <s v="2.09"/>
    <s v="0.00"/>
    <s v="97.91"/>
  </r>
  <r>
    <x v="28"/>
    <x v="78"/>
    <n v="22827"/>
    <n v="649"/>
    <n v="4163"/>
    <s v="2.84"/>
    <s v="0.00"/>
    <s v="97.16"/>
  </r>
  <r>
    <x v="28"/>
    <x v="79"/>
    <n v="831866"/>
    <n v="30341"/>
    <n v="690041"/>
    <s v="3.65"/>
    <s v="0.00"/>
    <s v="96.35"/>
  </r>
  <r>
    <x v="28"/>
    <x v="80"/>
    <n v="4232099"/>
    <n v="142848"/>
    <n v="900181"/>
    <s v="3.38"/>
    <s v="0.00"/>
    <s v="96.62"/>
  </r>
  <r>
    <x v="28"/>
    <x v="81"/>
    <n v="409647"/>
    <n v="5306"/>
    <n v="317173"/>
    <s v="1.30"/>
    <s v="0.00"/>
    <s v="98.70"/>
  </r>
  <r>
    <x v="28"/>
    <x v="82"/>
    <n v="1312908"/>
    <n v="7972"/>
    <n v="441244"/>
    <s v="0.61"/>
    <s v="0.00"/>
    <s v="99.39"/>
  </r>
  <r>
    <x v="28"/>
    <x v="83"/>
    <n v="34037592"/>
    <n v="451814"/>
    <n v="5567609"/>
    <s v="1.33"/>
    <s v="0.00"/>
    <s v="98.67"/>
  </r>
  <r>
    <x v="28"/>
    <x v="84"/>
    <n v="2030498"/>
    <n v="22681"/>
    <n v="165291"/>
    <s v="1.12"/>
    <s v="0.00"/>
    <s v="98.88"/>
  </r>
  <r>
    <x v="28"/>
    <x v="85"/>
    <n v="5754047"/>
    <n v="123498"/>
    <n v="3239638"/>
    <s v="2.15"/>
    <s v="0.00"/>
    <s v="97.85"/>
  </r>
  <r>
    <x v="28"/>
    <x v="86"/>
    <n v="12390"/>
    <n v="33"/>
    <n v="3113"/>
    <s v="0.27"/>
    <s v="0.00"/>
    <s v="99.73"/>
  </r>
  <r>
    <x v="28"/>
    <x v="87"/>
    <n v="4709753"/>
    <n v="131461"/>
    <n v="3299297"/>
    <s v="2.79"/>
    <s v="0.00"/>
    <s v="97.21"/>
  </r>
  <r>
    <x v="28"/>
    <x v="88"/>
    <n v="86722"/>
    <n v="2059"/>
    <n v="75839"/>
    <s v="2.37"/>
    <s v="0.00"/>
    <s v="97.63"/>
  </r>
  <r>
    <x v="28"/>
    <x v="89"/>
    <n v="838523"/>
    <n v="10847"/>
    <n v="336057"/>
    <s v="1.29"/>
    <s v="0.00"/>
    <s v="98.71"/>
  </r>
  <r>
    <x v="28"/>
    <x v="91"/>
    <n v="251669"/>
    <n v="5202"/>
    <n v="94313"/>
    <s v="2.07"/>
    <s v="0.00"/>
    <s v="97.93"/>
  </r>
  <r>
    <x v="28"/>
    <x v="90"/>
    <n v="1714060"/>
    <n v="18063"/>
    <n v="820185"/>
    <s v="1.05"/>
    <s v="0.00"/>
    <s v="98.95"/>
  </r>
  <r>
    <x v="28"/>
    <x v="92"/>
    <n v="179583"/>
    <n v="2627"/>
    <n v="76975"/>
    <s v="1.46"/>
    <s v="0.00"/>
    <s v="98.54"/>
  </r>
  <r>
    <x v="28"/>
    <x v="94"/>
    <n v="2"/>
    <n v="0"/>
    <n v="0"/>
    <s v="0.00"/>
    <s v="0.00"/>
    <s v="100.00"/>
  </r>
  <r>
    <x v="28"/>
    <x v="93"/>
    <n v="115875"/>
    <n v="2584"/>
    <n v="67119"/>
    <s v="2.23"/>
    <s v="0.00"/>
    <s v="97.77"/>
  </r>
  <r>
    <x v="28"/>
    <x v="95"/>
    <n v="4176"/>
    <n v="147"/>
    <n v="1930"/>
    <s v="3.52"/>
    <s v="0.00"/>
    <s v="96.48"/>
  </r>
  <r>
    <x v="28"/>
    <x v="96"/>
    <n v="2511"/>
    <n v="21"/>
    <n v="2328"/>
    <s v="0.84"/>
    <s v="0.00"/>
    <s v="99.16"/>
  </r>
  <r>
    <x v="28"/>
    <x v="97"/>
    <n v="339361"/>
    <n v="2626"/>
    <n v="245794"/>
    <s v="0.77"/>
    <s v="0.00"/>
    <s v="99.23"/>
  </r>
  <r>
    <x v="28"/>
    <x v="98"/>
    <n v="412228"/>
    <n v="2455"/>
    <n v="164626"/>
    <s v="0.60"/>
    <s v="0.00"/>
    <s v="99.40"/>
  </r>
  <r>
    <x v="28"/>
    <x v="99"/>
    <n v="990461"/>
    <n v="16583"/>
    <n v="136691"/>
    <s v="1.67"/>
    <s v="0.00"/>
    <s v="98.33"/>
  </r>
  <r>
    <x v="28"/>
    <x v="100"/>
    <n v="30615"/>
    <n v="36"/>
    <n v="12071"/>
    <s v="0.12"/>
    <s v="0.00"/>
    <s v="99.88"/>
  </r>
  <r>
    <x v="28"/>
    <x v="101"/>
    <n v="632271"/>
    <n v="8406"/>
    <n v="42968"/>
    <s v="1.33"/>
    <s v="0.00"/>
    <s v="98.67"/>
  </r>
  <r>
    <x v="28"/>
    <x v="102"/>
    <n v="12129"/>
    <n v="232"/>
    <n v="4701"/>
    <s v="1.91"/>
    <s v="0.00"/>
    <s v="98.09"/>
  </r>
  <r>
    <x v="28"/>
    <x v="103"/>
    <n v="3580"/>
    <n v="60"/>
    <n v="2480"/>
    <s v="1.68"/>
    <s v="0.00"/>
    <s v="98.32"/>
  </r>
  <r>
    <x v="28"/>
    <x v="104"/>
    <n v="529755"/>
    <n v="13429"/>
    <n v="44926"/>
    <s v="2.53"/>
    <s v="0.00"/>
    <s v="97.47"/>
  </r>
  <r>
    <x v="28"/>
    <x v="105"/>
    <n v="5803"/>
    <n v="286"/>
    <n v="3872"/>
    <s v="4.93"/>
    <s v="0.00"/>
    <s v="95.07"/>
  </r>
  <r>
    <x v="28"/>
    <x v="106"/>
    <n v="21490"/>
    <n v="655"/>
    <n v="2852"/>
    <s v="3.05"/>
    <s v="0.00"/>
    <s v="96.95"/>
  </r>
  <r>
    <x v="28"/>
    <x v="107"/>
    <n v="360763"/>
    <n v="5349"/>
    <n v="140128"/>
    <s v="1.48"/>
    <s v="0.00"/>
    <s v="98.52"/>
  </r>
  <r>
    <x v="28"/>
    <x v="108"/>
    <n v="79628"/>
    <n v="838"/>
    <n v="63440"/>
    <s v="1.05"/>
    <s v="0.00"/>
    <s v="98.95"/>
  </r>
  <r>
    <x v="28"/>
    <x v="109"/>
    <n v="178298"/>
    <n v="2857"/>
    <n v="28583"/>
    <s v="1.60"/>
    <s v="0.00"/>
    <s v="98.40"/>
  </r>
  <r>
    <x v="28"/>
    <x v="110"/>
    <n v="348647"/>
    <n v="4849"/>
    <n v="257826"/>
    <s v="1.39"/>
    <s v="0.00"/>
    <s v="98.61"/>
  </r>
  <r>
    <x v="28"/>
    <x v="111"/>
    <n v="941009"/>
    <n v="14520"/>
    <n v="756929"/>
    <s v="1.54"/>
    <s v="0.00"/>
    <s v="98.46"/>
  </r>
  <r>
    <x v="28"/>
    <x v="112"/>
    <n v="3354"/>
    <n v="35"/>
    <n v="1449"/>
    <s v="1.04"/>
    <s v="0.00"/>
    <s v="98.96"/>
  </r>
  <r>
    <x v="28"/>
    <x v="113"/>
    <n v="312442"/>
    <n v="7137"/>
    <n v="257012"/>
    <s v="2.28"/>
    <s v="0.00"/>
    <s v="97.72"/>
  </r>
  <r>
    <x v="28"/>
    <x v="114"/>
    <n v="136681"/>
    <n v="2010"/>
    <n v="60709"/>
    <s v="1.47"/>
    <s v="0.00"/>
    <s v="98.53"/>
  </r>
  <r>
    <x v="28"/>
    <x v="115"/>
    <n v="3878"/>
    <n v="55"/>
    <n v="3335"/>
    <s v="1.42"/>
    <s v="0.00"/>
    <s v="98.58"/>
  </r>
  <r>
    <x v="28"/>
    <x v="116"/>
    <n v="43616"/>
    <n v="960"/>
    <n v="30081"/>
    <s v="2.20"/>
    <s v="0.00"/>
    <s v="97.80"/>
  </r>
  <r>
    <x v="28"/>
    <x v="117"/>
    <n v="4"/>
    <n v="0"/>
    <n v="1"/>
    <s v="0.00"/>
    <s v="0.00"/>
    <s v="100.00"/>
  </r>
  <r>
    <x v="28"/>
    <x v="118"/>
    <n v="195963"/>
    <n v="6888"/>
    <n v="103202"/>
    <s v="3.51"/>
    <s v="0.00"/>
    <s v="96.49"/>
  </r>
  <r>
    <x v="28"/>
    <x v="119"/>
    <n v="15563"/>
    <n v="555"/>
    <n v="11964"/>
    <s v="3.57"/>
    <s v="0.00"/>
    <s v="96.43"/>
  </r>
  <r>
    <x v="28"/>
    <x v="120"/>
    <n v="484317"/>
    <n v="18255"/>
    <n v="324654"/>
    <s v="3.77"/>
    <s v="0.00"/>
    <s v="96.23"/>
  </r>
  <r>
    <x v="28"/>
    <x v="121"/>
    <n v="332789"/>
    <n v="1497"/>
    <n v="135887"/>
    <s v="0.45"/>
    <s v="0.00"/>
    <s v="99.55"/>
  </r>
  <r>
    <x v="28"/>
    <x v="122"/>
    <n v="77"/>
    <n v="0"/>
    <n v="5"/>
    <s v="0.00"/>
    <s v="0.00"/>
    <s v="100.00"/>
  </r>
  <r>
    <x v="28"/>
    <x v="123"/>
    <n v="42269"/>
    <n v="656"/>
    <n v="11850"/>
    <s v="1.55"/>
    <s v="0.00"/>
    <s v="98.45"/>
  </r>
  <r>
    <x v="28"/>
    <x v="124"/>
    <n v="36550"/>
    <n v="786"/>
    <n v="24479"/>
    <s v="2.15"/>
    <s v="0.00"/>
    <s v="97.85"/>
  </r>
  <r>
    <x v="28"/>
    <x v="125"/>
    <n v="37412"/>
    <n v="459"/>
    <n v="27235"/>
    <s v="1.23"/>
    <s v="0.00"/>
    <s v="98.77"/>
  </r>
  <r>
    <x v="28"/>
    <x v="126"/>
    <n v="16472"/>
    <n v="123"/>
    <n v="3045"/>
    <s v="0.75"/>
    <s v="0.00"/>
    <s v="99.25"/>
  </r>
  <r>
    <x v="28"/>
    <x v="127"/>
    <n v="85932"/>
    <n v="237"/>
    <n v="56934"/>
    <s v="0.28"/>
    <s v="0.00"/>
    <s v="99.72"/>
  </r>
  <r>
    <x v="28"/>
    <x v="128"/>
    <n v="61702"/>
    <n v="2292"/>
    <n v="19981"/>
    <s v="3.71"/>
    <s v="0.00"/>
    <s v="96.29"/>
  </r>
  <r>
    <x v="28"/>
    <x v="129"/>
    <n v="3744574"/>
    <n v="283574"/>
    <n v="2051666"/>
    <s v="7.57"/>
    <s v="0.00"/>
    <s v="92.43"/>
  </r>
  <r>
    <x v="28"/>
    <x v="130"/>
    <n v="2369613"/>
    <n v="27681"/>
    <n v="2236772"/>
    <s v="1.17"/>
    <s v="0.00"/>
    <s v="98.83"/>
  </r>
  <r>
    <x v="28"/>
    <x v="131"/>
    <n v="151061"/>
    <n v="1924"/>
    <n v="29683"/>
    <s v="1.27"/>
    <s v="0.00"/>
    <s v="98.73"/>
  </r>
  <r>
    <x v="28"/>
    <x v="132"/>
    <n v="128187"/>
    <n v="3529"/>
    <n v="40909"/>
    <s v="2.75"/>
    <s v="0.00"/>
    <s v="97.25"/>
  </r>
  <r>
    <x v="28"/>
    <x v="133"/>
    <n v="9767"/>
    <n v="226"/>
    <n v="320"/>
    <s v="2.31"/>
    <s v="0.00"/>
    <s v="97.69"/>
  </r>
  <r>
    <x v="28"/>
    <x v="134"/>
    <n v="6139"/>
    <n v="204"/>
    <n v="1179"/>
    <s v="3.32"/>
    <s v="0.00"/>
    <s v="96.68"/>
  </r>
  <r>
    <x v="28"/>
    <x v="135"/>
    <n v="208404"/>
    <n v="2761"/>
    <n v="124081"/>
    <s v="1.32"/>
    <s v="0.00"/>
    <s v="98.68"/>
  </r>
  <r>
    <x v="28"/>
    <x v="136"/>
    <n v="15737"/>
    <n v="206"/>
    <n v="5514"/>
    <s v="1.31"/>
    <s v="0.00"/>
    <s v="98.69"/>
  </r>
  <r>
    <x v="28"/>
    <x v="137"/>
    <n v="2075949"/>
    <n v="18660"/>
    <n v="547399"/>
    <s v="0.90"/>
    <s v="0.00"/>
    <s v="99.10"/>
  </r>
  <r>
    <x v="28"/>
    <x v="138"/>
    <n v="195385"/>
    <n v="884"/>
    <n v="77495"/>
    <s v="0.45"/>
    <s v="0.00"/>
    <s v="99.55"/>
  </r>
  <r>
    <x v="28"/>
    <x v="139"/>
    <n v="804276"/>
    <n v="11269"/>
    <n v="296553"/>
    <s v="1.40"/>
    <s v="0.00"/>
    <s v="98.60"/>
  </r>
  <r>
    <x v="28"/>
    <x v="140"/>
    <n v="4898"/>
    <n v="28"/>
    <n v="2568"/>
    <s v="0.57"/>
    <s v="0.00"/>
    <s v="99.43"/>
  </r>
  <r>
    <x v="28"/>
    <x v="141"/>
    <n v="304025"/>
    <n v="4103"/>
    <n v="4605"/>
    <s v="1.35"/>
    <s v="0.00"/>
    <s v="98.65"/>
  </r>
  <r>
    <x v="28"/>
    <x v="142"/>
    <n v="469569"/>
    <n v="7275"/>
    <n v="438515"/>
    <s v="1.55"/>
    <s v="0.00"/>
    <s v="98.45"/>
  </r>
  <r>
    <x v="28"/>
    <x v="143"/>
    <n v="2187368"/>
    <n v="199775"/>
    <n v="1771974"/>
    <s v="9.13"/>
    <s v="0.00"/>
    <s v="90.87"/>
  </r>
  <r>
    <x v="28"/>
    <x v="144"/>
    <n v="45439"/>
    <n v="632"/>
    <n v="33264"/>
    <s v="1.39"/>
    <s v="0.00"/>
    <s v="98.61"/>
  </r>
  <r>
    <x v="28"/>
    <x v="145"/>
    <n v="24041"/>
    <n v="266"/>
    <n v="11021"/>
    <s v="1.11"/>
    <s v="0.00"/>
    <s v="98.89"/>
  </r>
  <r>
    <x v="28"/>
    <x v="147"/>
    <n v="1262771"/>
    <n v="28228"/>
    <n v="268054"/>
    <s v="2.24"/>
    <s v="0.00"/>
    <s v="97.76"/>
  </r>
  <r>
    <x v="28"/>
    <x v="146"/>
    <n v="2698232"/>
    <n v="40221"/>
    <n v="2228608"/>
    <s v="1.49"/>
    <s v="0.00"/>
    <s v="98.51"/>
  </r>
  <r>
    <x v="28"/>
    <x v="148"/>
    <n v="2931064"/>
    <n v="76018"/>
    <n v="1573359"/>
    <s v="2.59"/>
    <s v="0.00"/>
    <s v="97.41"/>
  </r>
  <r>
    <x v="28"/>
    <x v="149"/>
    <n v="446294"/>
    <n v="4547"/>
    <n v="69572"/>
    <s v="1.02"/>
    <s v="0.00"/>
    <s v="98.98"/>
  </r>
  <r>
    <x v="28"/>
    <x v="150"/>
    <n v="1077963"/>
    <n v="18071"/>
    <n v="310943"/>
    <s v="1.68"/>
    <s v="0.00"/>
    <s v="98.32"/>
  </r>
  <r>
    <x v="28"/>
    <x v="151"/>
    <n v="8"/>
    <n v="0"/>
    <n v="8"/>
    <s v="0.00"/>
    <s v="0.00"/>
    <s v="100.00"/>
  </r>
  <r>
    <x v="28"/>
    <x v="152"/>
    <n v="460301"/>
    <n v="16208"/>
    <n v="429933"/>
    <s v="3.52"/>
    <s v="0.00"/>
    <s v="96.48"/>
  </r>
  <r>
    <x v="28"/>
    <x v="153"/>
    <n v="237741"/>
    <n v="607"/>
    <n v="194609"/>
    <s v="0.26"/>
    <s v="0.00"/>
    <s v="99.74"/>
  </r>
  <r>
    <x v="28"/>
    <x v="154"/>
    <n v="54024"/>
    <n v="370"/>
    <n v="46359"/>
    <s v="0.68"/>
    <s v="0.00"/>
    <s v="99.32"/>
  </r>
  <r>
    <x v="28"/>
    <x v="155"/>
    <n v="1414647"/>
    <n v="40765"/>
    <n v="929088"/>
    <s v="2.88"/>
    <s v="0.00"/>
    <s v="97.12"/>
  </r>
  <r>
    <x v="28"/>
    <x v="156"/>
    <n v="1031283"/>
    <n v="8946"/>
    <n v="821087"/>
    <s v="0.87"/>
    <s v="0.00"/>
    <s v="99.13"/>
  </r>
  <r>
    <x v="28"/>
    <x v="157"/>
    <n v="7773388"/>
    <n v="216403"/>
    <n v="6831045"/>
    <s v="2.78"/>
    <s v="0.00"/>
    <s v="97.22"/>
  </r>
  <r>
    <x v="28"/>
    <x v="158"/>
    <n v="98987"/>
    <n v="1313"/>
    <n v="36415"/>
    <s v="1.33"/>
    <s v="0.00"/>
    <s v="98.67"/>
  </r>
  <r>
    <x v="28"/>
    <x v="159"/>
    <n v="547797"/>
    <n v="8755"/>
    <n v="42569"/>
    <s v="1.60"/>
    <s v="0.00"/>
    <s v="98.40"/>
  </r>
  <r>
    <x v="28"/>
    <x v="160"/>
    <n v="20"/>
    <n v="0"/>
    <n v="4"/>
    <s v="0.00"/>
    <s v="0.00"/>
    <s v="100.00"/>
  </r>
  <r>
    <x v="28"/>
    <x v="161"/>
    <n v="21854"/>
    <n v="118"/>
    <n v="16571"/>
    <s v="0.54"/>
    <s v="0.00"/>
    <s v="99.46"/>
  </r>
  <r>
    <x v="28"/>
    <x v="162"/>
    <n v="39416"/>
    <n v="2976"/>
    <n v="11950"/>
    <s v="7.55"/>
    <s v="0.00"/>
    <s v="92.45"/>
  </r>
  <r>
    <x v="28"/>
    <x v="163"/>
    <n v="1161264"/>
    <n v="14926"/>
    <n v="265037"/>
    <s v="1.29"/>
    <s v="0.00"/>
    <s v="98.71"/>
  </r>
  <r>
    <x v="28"/>
    <x v="164"/>
    <n v="138327"/>
    <n v="207"/>
    <n v="36156"/>
    <s v="0.15"/>
    <s v="0.00"/>
    <s v="99.85"/>
  </r>
  <r>
    <x v="28"/>
    <x v="165"/>
    <n v="304963"/>
    <n v="4627"/>
    <n v="169915"/>
    <s v="1.52"/>
    <s v="0.00"/>
    <s v="98.48"/>
  </r>
  <r>
    <x v="28"/>
    <x v="166"/>
    <n v="431757"/>
    <n v="12791"/>
    <n v="236561"/>
    <s v="2.96"/>
    <s v="0.00"/>
    <s v="97.04"/>
  </r>
  <r>
    <x v="28"/>
    <x v="167"/>
    <n v="6396"/>
    <n v="121"/>
    <n v="433"/>
    <s v="1.89"/>
    <s v="0.00"/>
    <s v="98.11"/>
  </r>
  <r>
    <x v="28"/>
    <x v="168"/>
    <n v="5470"/>
    <n v="91"/>
    <n v="296"/>
    <s v="1.66"/>
    <s v="0.00"/>
    <s v="98.34"/>
  </r>
  <r>
    <x v="28"/>
    <x v="169"/>
    <n v="73853"/>
    <n v="1869"/>
    <n v="29657"/>
    <s v="2.53"/>
    <s v="0.00"/>
    <s v="97.47"/>
  </r>
  <r>
    <x v="28"/>
    <x v="170"/>
    <n v="21269"/>
    <n v="1180"/>
    <n v="16336"/>
    <s v="5.55"/>
    <s v="0.00"/>
    <s v="94.45"/>
  </r>
  <r>
    <x v="28"/>
    <x v="171"/>
    <n v="45861"/>
    <n v="1000"/>
    <n v="14947"/>
    <s v="2.18"/>
    <s v="0.00"/>
    <s v="97.82"/>
  </r>
  <r>
    <x v="28"/>
    <x v="173"/>
    <n v="3659"/>
    <n v="56"/>
    <n v="2029"/>
    <s v="1.53"/>
    <s v="0.00"/>
    <s v="98.47"/>
  </r>
  <r>
    <x v="28"/>
    <x v="172"/>
    <n v="12184"/>
    <n v="130"/>
    <n v="11470"/>
    <s v="1.07"/>
    <s v="0.00"/>
    <s v="98.93"/>
  </r>
  <r>
    <x v="28"/>
    <x v="174"/>
    <n v="109881"/>
    <n v="3435"/>
    <n v="87716"/>
    <s v="3.13"/>
    <s v="0.00"/>
    <s v="96.87"/>
  </r>
  <r>
    <x v="28"/>
    <x v="175"/>
    <n v="38067"/>
    <n v="2375"/>
    <n v="8103"/>
    <s v="6.24"/>
    <s v="0.00"/>
    <s v="93.76"/>
  </r>
  <r>
    <x v="28"/>
    <x v="176"/>
    <n v="46344"/>
    <n v="1232"/>
    <n v="6941"/>
    <s v="2.66"/>
    <s v="0.00"/>
    <s v="97.34"/>
  </r>
  <r>
    <x v="28"/>
    <x v="177"/>
    <n v="5065"/>
    <n v="174"/>
    <n v="4373"/>
    <s v="3.44"/>
    <s v="0.00"/>
    <s v="96.56"/>
  </r>
  <r>
    <x v="28"/>
    <x v="178"/>
    <n v="25836"/>
    <n v="237"/>
    <n v="4835"/>
    <s v="0.92"/>
    <s v="0.00"/>
    <s v="99.08"/>
  </r>
  <r>
    <x v="28"/>
    <x v="179"/>
    <n v="1751704"/>
    <n v="18029"/>
    <n v="1585243"/>
    <s v="1.03"/>
    <s v="0.00"/>
    <s v="98.97"/>
  </r>
  <r>
    <x v="28"/>
    <x v="180"/>
    <n v="17484"/>
    <n v="125"/>
    <n v="7956"/>
    <s v="0.71"/>
    <s v="0.00"/>
    <s v="99.29"/>
  </r>
  <r>
    <x v="28"/>
    <x v="181"/>
    <n v="19696"/>
    <n v="119"/>
    <n v="12859"/>
    <s v="0.60"/>
    <s v="0.00"/>
    <s v="99.40"/>
  </r>
  <r>
    <x v="28"/>
    <x v="182"/>
    <n v="710322"/>
    <n v="25053"/>
    <n v="569341"/>
    <s v="3.53"/>
    <s v="0.00"/>
    <s v="96.47"/>
  </r>
  <r>
    <x v="28"/>
    <x v="184"/>
    <n v="7570902"/>
    <n v="67044"/>
    <n v="2193388"/>
    <s v="0.89"/>
    <s v="0.00"/>
    <s v="99.11"/>
  </r>
  <r>
    <x v="28"/>
    <x v="185"/>
    <n v="53392"/>
    <n v="1573"/>
    <n v="43431"/>
    <s v="2.95"/>
    <s v="0.00"/>
    <s v="97.05"/>
  </r>
  <r>
    <x v="28"/>
    <x v="186"/>
    <n v="16321"/>
    <n v="846"/>
    <n v="2606"/>
    <s v="5.18"/>
    <s v="0.00"/>
    <s v="94.82"/>
  </r>
  <r>
    <x v="28"/>
    <x v="187"/>
    <n v="26034"/>
    <n v="724"/>
    <n v="4320"/>
    <s v="2.78"/>
    <s v="0.00"/>
    <s v="97.22"/>
  </r>
  <r>
    <x v="28"/>
    <x v="188"/>
    <n v="2716867"/>
    <n v="63847"/>
    <n v="2608984"/>
    <s v="2.35"/>
    <s v="0.00"/>
    <s v="97.65"/>
  </r>
  <r>
    <x v="28"/>
    <x v="189"/>
    <n v="124924"/>
    <n v="3179"/>
    <n v="18224"/>
    <s v="2.54"/>
    <s v="0.00"/>
    <s v="97.46"/>
  </r>
  <r>
    <x v="28"/>
    <x v="190"/>
    <n v="44770279"/>
    <n v="721642"/>
    <n v="39133620"/>
    <s v="1.61"/>
    <s v="0.00"/>
    <s v="98.39"/>
  </r>
  <r>
    <x v="28"/>
    <x v="191"/>
    <n v="390575"/>
    <n v="6065"/>
    <n v="125346"/>
    <s v="1.55"/>
    <s v="0.00"/>
    <s v="98.45"/>
  </r>
  <r>
    <x v="28"/>
    <x v="192"/>
    <n v="179711"/>
    <n v="1280"/>
    <n v="26453"/>
    <s v="0.71"/>
    <s v="0.00"/>
    <s v="99.29"/>
  </r>
  <r>
    <x v="28"/>
    <x v="194"/>
    <n v="4096"/>
    <n v="38"/>
    <n v="3036"/>
    <s v="0.93"/>
    <s v="0.00"/>
    <s v="99.07"/>
  </r>
  <r>
    <x v="28"/>
    <x v="193"/>
    <n v="27"/>
    <n v="0"/>
    <n v="5"/>
    <s v="0.00"/>
    <s v="0.00"/>
    <s v="100.00"/>
  </r>
  <r>
    <x v="28"/>
    <x v="195"/>
    <n v="388743"/>
    <n v="4681"/>
    <n v="75846"/>
    <s v="1.20"/>
    <s v="0.00"/>
    <s v="98.80"/>
  </r>
  <r>
    <x v="28"/>
    <x v="196"/>
    <n v="853842"/>
    <n v="20950"/>
    <n v="440309"/>
    <s v="2.45"/>
    <s v="0.00"/>
    <s v="97.55"/>
  </r>
  <r>
    <x v="28"/>
    <x v="197"/>
    <n v="4"/>
    <n v="1"/>
    <n v="3"/>
    <s v="25.00"/>
    <s v="0.00"/>
    <s v="75.00"/>
  </r>
  <r>
    <x v="28"/>
    <x v="198"/>
    <n v="3"/>
    <n v="0"/>
    <n v="2"/>
    <s v="0.00"/>
    <s v="0.00"/>
    <s v="100.00"/>
  </r>
  <r>
    <x v="28"/>
    <x v="199"/>
    <n v="160495"/>
    <n v="2973"/>
    <n v="79052"/>
    <s v="1.85"/>
    <s v="0.00"/>
    <s v="98.15"/>
  </r>
  <r>
    <x v="28"/>
    <x v="200"/>
    <n v="9467"/>
    <n v="1793"/>
    <n v="394"/>
    <s v="18.94"/>
    <s v="0.00"/>
    <s v="81.06"/>
  </r>
  <r>
    <x v="28"/>
    <x v="201"/>
    <n v="20422"/>
    <n v="181"/>
    <n v="17014"/>
    <s v="0.89"/>
    <s v="0.00"/>
    <s v="99.11"/>
  </r>
  <r>
    <x v="28"/>
    <x v="202"/>
    <n v="2914827"/>
    <n v="88506"/>
    <n v="2479709"/>
    <s v="3.04"/>
    <s v="0.00"/>
    <s v="96.96"/>
  </r>
  <r>
    <x v="28"/>
    <x v="203"/>
    <n v="209431"/>
    <n v="3657"/>
    <n v="78750"/>
    <s v="1.75"/>
    <s v="0.00"/>
    <s v="98.25"/>
  </r>
  <r>
    <x v="28"/>
    <x v="204"/>
    <n v="132251"/>
    <n v="4655"/>
    <n v="37155"/>
    <s v="3.52"/>
    <s v="0.00"/>
    <s v="96.48"/>
  </r>
  <r>
    <x v="28"/>
    <x v="205"/>
    <n v="721"/>
    <n v="15"/>
    <n v="369"/>
    <s v="2.08"/>
    <s v="0.00"/>
    <s v="97.92"/>
  </r>
  <r>
    <x v="29"/>
    <x v="205"/>
    <n v="721"/>
    <n v="15"/>
    <n v="566"/>
    <s v="2.08"/>
    <s v="0.00"/>
    <s v="97.92"/>
  </r>
  <r>
    <x v="29"/>
    <x v="204"/>
    <n v="132108"/>
    <n v="4648"/>
    <n v="9572"/>
    <s v="3.52"/>
    <s v="0.00"/>
    <s v="96.48"/>
  </r>
  <r>
    <x v="29"/>
    <x v="203"/>
    <n v="209411"/>
    <n v="3657"/>
    <n v="26643"/>
    <s v="1.75"/>
    <s v="0.00"/>
    <s v="98.25"/>
  </r>
  <r>
    <x v="29"/>
    <x v="202"/>
    <n v="2913880"/>
    <n v="88466"/>
    <n v="120346"/>
    <s v="3.04"/>
    <s v="0.00"/>
    <s v="96.96"/>
  </r>
  <r>
    <x v="29"/>
    <x v="201"/>
    <n v="20422"/>
    <n v="181"/>
    <n v="15254"/>
    <s v="0.89"/>
    <s v="0.00"/>
    <s v="99.11"/>
  </r>
  <r>
    <x v="29"/>
    <x v="200"/>
    <n v="9439"/>
    <n v="1789"/>
    <n v="5190"/>
    <s v="18.95"/>
    <s v="0.00"/>
    <s v="81.05"/>
  </r>
  <r>
    <x v="29"/>
    <x v="199"/>
    <n v="160464"/>
    <n v="2973"/>
    <n v="84832"/>
    <s v="1.85"/>
    <s v="0.00"/>
    <s v="98.15"/>
  </r>
  <r>
    <x v="29"/>
    <x v="198"/>
    <n v="3"/>
    <n v="0"/>
    <n v="2"/>
    <s v="0.00"/>
    <s v="0.00"/>
    <s v="100.00"/>
  </r>
  <r>
    <x v="29"/>
    <x v="197"/>
    <n v="4"/>
    <n v="1"/>
    <n v="2"/>
    <s v="25.00"/>
    <s v="0.00"/>
    <s v="75.00"/>
  </r>
  <r>
    <x v="29"/>
    <x v="196"/>
    <n v="849691"/>
    <n v="20869"/>
    <n v="255892"/>
    <s v="2.46"/>
    <s v="0.00"/>
    <s v="97.54"/>
  </r>
  <r>
    <x v="29"/>
    <x v="195"/>
    <n v="385952"/>
    <n v="4652"/>
    <n v="302623"/>
    <s v="1.21"/>
    <s v="0.00"/>
    <s v="98.79"/>
  </r>
  <r>
    <x v="29"/>
    <x v="193"/>
    <n v="27"/>
    <n v="0"/>
    <n v="15"/>
    <s v="0.00"/>
    <s v="0.00"/>
    <s v="100.00"/>
  </r>
  <r>
    <x v="29"/>
    <x v="194"/>
    <n v="4096"/>
    <n v="38"/>
    <n v="3401"/>
    <s v="0.93"/>
    <s v="0.00"/>
    <s v="99.07"/>
  </r>
  <r>
    <x v="29"/>
    <x v="192"/>
    <n v="179371"/>
    <n v="1276"/>
    <n v="127712"/>
    <s v="0.71"/>
    <s v="0.00"/>
    <s v="99.29"/>
  </r>
  <r>
    <x v="29"/>
    <x v="191"/>
    <n v="390394"/>
    <n v="6065"/>
    <n v="188704"/>
    <s v="1.55"/>
    <s v="0.00"/>
    <s v="98.45"/>
  </r>
  <r>
    <x v="29"/>
    <x v="190"/>
    <n v="44684150"/>
    <n v="719601"/>
    <n v="3008975"/>
    <s v="1.61"/>
    <s v="0.00"/>
    <s v="98.39"/>
  </r>
  <r>
    <x v="29"/>
    <x v="189"/>
    <n v="124864"/>
    <n v="3179"/>
    <n v="120547"/>
    <s v="2.55"/>
    <s v="0.00"/>
    <s v="97.45"/>
  </r>
  <r>
    <x v="29"/>
    <x v="188"/>
    <n v="2697176"/>
    <n v="63414"/>
    <n v="538649"/>
    <s v="2.35"/>
    <s v="0.00"/>
    <s v="97.65"/>
  </r>
  <r>
    <x v="29"/>
    <x v="187"/>
    <n v="26034"/>
    <n v="724"/>
    <n v="14349"/>
    <s v="2.78"/>
    <s v="0.00"/>
    <s v="97.22"/>
  </r>
  <r>
    <x v="29"/>
    <x v="186"/>
    <n v="16313"/>
    <n v="846"/>
    <n v="5646"/>
    <s v="5.19"/>
    <s v="0.00"/>
    <s v="94.81"/>
  </r>
  <r>
    <x v="29"/>
    <x v="185"/>
    <n v="53216"/>
    <n v="1572"/>
    <n v="19002"/>
    <s v="2.95"/>
    <s v="0.00"/>
    <s v="97.05"/>
  </r>
  <r>
    <x v="29"/>
    <x v="184"/>
    <n v="7540193"/>
    <n v="66841"/>
    <n v="2610446"/>
    <s v="0.89"/>
    <s v="0.00"/>
    <s v="99.11"/>
  </r>
  <r>
    <x v="29"/>
    <x v="182"/>
    <n v="710322"/>
    <n v="25053"/>
    <n v="325686"/>
    <s v="3.53"/>
    <s v="0.00"/>
    <s v="96.47"/>
  </r>
  <r>
    <x v="29"/>
    <x v="181"/>
    <n v="19690"/>
    <n v="119"/>
    <n v="14412"/>
    <s v="0.60"/>
    <s v="0.00"/>
    <s v="99.40"/>
  </r>
  <r>
    <x v="29"/>
    <x v="180"/>
    <n v="17484"/>
    <n v="125"/>
    <n v="1450"/>
    <s v="0.71"/>
    <s v="0.00"/>
    <s v="99.29"/>
  </r>
  <r>
    <x v="29"/>
    <x v="179"/>
    <n v="1740428"/>
    <n v="17917"/>
    <n v="524904"/>
    <s v="1.03"/>
    <s v="0.00"/>
    <s v="98.97"/>
  </r>
  <r>
    <x v="29"/>
    <x v="178"/>
    <n v="25826"/>
    <n v="237"/>
    <n v="9773"/>
    <s v="0.92"/>
    <s v="0.00"/>
    <s v="99.08"/>
  </r>
  <r>
    <x v="29"/>
    <x v="177"/>
    <n v="5063"/>
    <n v="174"/>
    <n v="849"/>
    <s v="3.44"/>
    <s v="0.00"/>
    <s v="96.56"/>
  </r>
  <r>
    <x v="29"/>
    <x v="176"/>
    <n v="46330"/>
    <n v="1231"/>
    <n v="206"/>
    <s v="2.66"/>
    <s v="0.00"/>
    <s v="97.34"/>
  </r>
  <r>
    <x v="29"/>
    <x v="175"/>
    <n v="37794"/>
    <n v="2366"/>
    <n v="17239"/>
    <s v="6.26"/>
    <s v="0.00"/>
    <s v="93.74"/>
  </r>
  <r>
    <x v="29"/>
    <x v="174"/>
    <n v="107664"/>
    <n v="3420"/>
    <n v="97254"/>
    <s v="3.18"/>
    <s v="0.00"/>
    <s v="96.82"/>
  </r>
  <r>
    <x v="29"/>
    <x v="172"/>
    <n v="12168"/>
    <n v="130"/>
    <n v="7172"/>
    <s v="1.07"/>
    <s v="0.00"/>
    <s v="98.93"/>
  </r>
  <r>
    <x v="29"/>
    <x v="173"/>
    <n v="3649"/>
    <n v="56"/>
    <n v="2410"/>
    <s v="1.53"/>
    <s v="0.00"/>
    <s v="98.47"/>
  </r>
  <r>
    <x v="29"/>
    <x v="171"/>
    <n v="45592"/>
    <n v="994"/>
    <n v="15159"/>
    <s v="2.18"/>
    <s v="0.00"/>
    <s v="97.82"/>
  </r>
  <r>
    <x v="29"/>
    <x v="170"/>
    <n v="21269"/>
    <n v="1180"/>
    <n v="19715"/>
    <s v="5.55"/>
    <s v="0.00"/>
    <s v="94.45"/>
  </r>
  <r>
    <x v="29"/>
    <x v="169"/>
    <n v="73848"/>
    <n v="1869"/>
    <n v="33604"/>
    <s v="2.53"/>
    <s v="0.00"/>
    <s v="97.47"/>
  </r>
  <r>
    <x v="29"/>
    <x v="168"/>
    <n v="5470"/>
    <n v="91"/>
    <n v="268"/>
    <s v="1.66"/>
    <s v="0.00"/>
    <s v="98.34"/>
  </r>
  <r>
    <x v="29"/>
    <x v="167"/>
    <n v="6396"/>
    <n v="121"/>
    <n v="3362"/>
    <s v="1.89"/>
    <s v="0.00"/>
    <s v="98.11"/>
  </r>
  <r>
    <x v="29"/>
    <x v="166"/>
    <n v="429886"/>
    <n v="12772"/>
    <n v="205039"/>
    <s v="2.97"/>
    <s v="0.00"/>
    <s v="97.03"/>
  </r>
  <r>
    <x v="29"/>
    <x v="165"/>
    <n v="303882"/>
    <n v="4623"/>
    <n v="167749"/>
    <s v="1.52"/>
    <s v="0.00"/>
    <s v="98.48"/>
  </r>
  <r>
    <x v="29"/>
    <x v="164"/>
    <n v="135395"/>
    <n v="192"/>
    <n v="110554"/>
    <s v="0.14"/>
    <s v="0.00"/>
    <s v="99.86"/>
  </r>
  <r>
    <x v="29"/>
    <x v="163"/>
    <n v="1160465"/>
    <n v="14922"/>
    <n v="42519"/>
    <s v="1.29"/>
    <s v="0.00"/>
    <s v="98.71"/>
  </r>
  <r>
    <x v="29"/>
    <x v="162"/>
    <n v="39119"/>
    <n v="2976"/>
    <n v="3777"/>
    <s v="7.61"/>
    <s v="0.00"/>
    <s v="92.39"/>
  </r>
  <r>
    <x v="29"/>
    <x v="161"/>
    <n v="21826"/>
    <n v="118"/>
    <n v="21628"/>
    <s v="0.54"/>
    <s v="0.00"/>
    <s v="99.46"/>
  </r>
  <r>
    <x v="29"/>
    <x v="160"/>
    <n v="20"/>
    <n v="0"/>
    <n v="14"/>
    <s v="0.00"/>
    <s v="0.00"/>
    <s v="100.00"/>
  </r>
  <r>
    <x v="29"/>
    <x v="159"/>
    <n v="547761"/>
    <n v="8753"/>
    <n v="112436"/>
    <s v="1.60"/>
    <s v="0.00"/>
    <s v="98.40"/>
  </r>
  <r>
    <x v="29"/>
    <x v="158"/>
    <n v="98926"/>
    <n v="1312"/>
    <n v="18802"/>
    <s v="1.33"/>
    <s v="0.00"/>
    <s v="98.67"/>
  </r>
  <r>
    <x v="29"/>
    <x v="157"/>
    <n v="7742899"/>
    <n v="215438"/>
    <n v="5364218"/>
    <s v="2.78"/>
    <s v="0.00"/>
    <s v="97.22"/>
  </r>
  <r>
    <x v="29"/>
    <x v="156"/>
    <n v="1024497"/>
    <n v="8892"/>
    <n v="291398"/>
    <s v="0.87"/>
    <s v="0.00"/>
    <s v="99.13"/>
  </r>
  <r>
    <x v="29"/>
    <x v="155"/>
    <n v="1398264"/>
    <n v="40461"/>
    <n v="1176413"/>
    <s v="2.89"/>
    <s v="0.00"/>
    <s v="97.11"/>
  </r>
  <r>
    <x v="29"/>
    <x v="154"/>
    <n v="54024"/>
    <n v="370"/>
    <n v="19046"/>
    <s v="0.68"/>
    <s v="0.00"/>
    <s v="99.32"/>
  </r>
  <r>
    <x v="29"/>
    <x v="153"/>
    <n v="237662"/>
    <n v="607"/>
    <n v="231906"/>
    <s v="0.26"/>
    <s v="0.00"/>
    <s v="99.74"/>
  </r>
  <r>
    <x v="29"/>
    <x v="152"/>
    <n v="460277"/>
    <n v="16207"/>
    <n v="347746"/>
    <s v="3.52"/>
    <s v="0.00"/>
    <s v="96.48"/>
  </r>
  <r>
    <x v="29"/>
    <x v="151"/>
    <n v="5"/>
    <n v="0"/>
    <n v="3"/>
    <s v="0.00"/>
    <s v="0.00"/>
    <s v="100.00"/>
  </r>
  <r>
    <x v="29"/>
    <x v="150"/>
    <n v="1077186"/>
    <n v="18065"/>
    <n v="620929"/>
    <s v="1.68"/>
    <s v="0.00"/>
    <s v="98.32"/>
  </r>
  <r>
    <x v="29"/>
    <x v="149"/>
    <n v="445538"/>
    <n v="4532"/>
    <n v="177225"/>
    <s v="1.02"/>
    <s v="0.00"/>
    <s v="98.98"/>
  </r>
  <r>
    <x v="29"/>
    <x v="148"/>
    <n v="2928065"/>
    <n v="75958"/>
    <n v="2605494"/>
    <s v="2.59"/>
    <s v="0.00"/>
    <s v="97.41"/>
  </r>
  <r>
    <x v="29"/>
    <x v="146"/>
    <n v="2690455"/>
    <n v="40069"/>
    <n v="2423294"/>
    <s v="1.49"/>
    <s v="0.00"/>
    <s v="98.51"/>
  </r>
  <r>
    <x v="29"/>
    <x v="147"/>
    <n v="1261685"/>
    <n v="28201"/>
    <n v="101685"/>
    <s v="2.24"/>
    <s v="0.00"/>
    <s v="97.76"/>
  </r>
  <r>
    <x v="29"/>
    <x v="145"/>
    <n v="23629"/>
    <n v="262"/>
    <n v="19071"/>
    <s v="1.11"/>
    <s v="0.00"/>
    <s v="98.89"/>
  </r>
  <r>
    <x v="29"/>
    <x v="144"/>
    <n v="45359"/>
    <n v="631"/>
    <n v="41392"/>
    <s v="1.39"/>
    <s v="0.00"/>
    <s v="98.61"/>
  </r>
  <r>
    <x v="29"/>
    <x v="143"/>
    <n v="2186246"/>
    <n v="199746"/>
    <n v="375612"/>
    <s v="9.14"/>
    <s v="0.00"/>
    <s v="90.86"/>
  </r>
  <r>
    <x v="29"/>
    <x v="142"/>
    <n v="469569"/>
    <n v="7275"/>
    <n v="223554"/>
    <s v="1.55"/>
    <s v="0.00"/>
    <s v="98.45"/>
  </r>
  <r>
    <x v="29"/>
    <x v="141"/>
    <n v="304013"/>
    <n v="4103"/>
    <n v="77415"/>
    <s v="1.35"/>
    <s v="0.00"/>
    <s v="98.65"/>
  </r>
  <r>
    <x v="29"/>
    <x v="140"/>
    <n v="4832"/>
    <n v="28"/>
    <n v="3513"/>
    <s v="0.58"/>
    <s v="0.00"/>
    <s v="99.42"/>
  </r>
  <r>
    <x v="29"/>
    <x v="139"/>
    <n v="803878"/>
    <n v="11261"/>
    <n v="181707"/>
    <s v="1.40"/>
    <s v="0.00"/>
    <s v="98.60"/>
  </r>
  <r>
    <x v="29"/>
    <x v="138"/>
    <n v="195029"/>
    <n v="884"/>
    <n v="96980"/>
    <s v="0.45"/>
    <s v="0.00"/>
    <s v="99.55"/>
  </r>
  <r>
    <x v="29"/>
    <x v="137"/>
    <n v="2072255"/>
    <n v="18656"/>
    <n v="1171883"/>
    <s v="0.90"/>
    <s v="0.00"/>
    <s v="99.10"/>
  </r>
  <r>
    <x v="29"/>
    <x v="136"/>
    <n v="15737"/>
    <n v="206"/>
    <n v="9726"/>
    <s v="1.31"/>
    <s v="0.00"/>
    <s v="98.69"/>
  </r>
  <r>
    <x v="29"/>
    <x v="135"/>
    <n v="208404"/>
    <n v="2761"/>
    <n v="155251"/>
    <s v="1.32"/>
    <s v="0.00"/>
    <s v="98.68"/>
  </r>
  <r>
    <x v="29"/>
    <x v="134"/>
    <n v="6139"/>
    <n v="204"/>
    <n v="4405"/>
    <s v="3.32"/>
    <s v="0.00"/>
    <s v="96.68"/>
  </r>
  <r>
    <x v="29"/>
    <x v="133"/>
    <n v="9665"/>
    <n v="225"/>
    <n v="8148"/>
    <s v="2.33"/>
    <s v="0.00"/>
    <s v="97.67"/>
  </r>
  <r>
    <x v="29"/>
    <x v="132"/>
    <n v="128187"/>
    <n v="3529"/>
    <n v="58426"/>
    <s v="2.75"/>
    <s v="0.00"/>
    <s v="97.25"/>
  </r>
  <r>
    <x v="29"/>
    <x v="131"/>
    <n v="151046"/>
    <n v="1924"/>
    <n v="78117"/>
    <s v="1.27"/>
    <s v="0.00"/>
    <s v="98.73"/>
  </r>
  <r>
    <x v="29"/>
    <x v="130"/>
    <n v="2361529"/>
    <n v="27593"/>
    <n v="1566471"/>
    <s v="1.17"/>
    <s v="0.00"/>
    <s v="98.83"/>
  </r>
  <r>
    <x v="29"/>
    <x v="129"/>
    <n v="3738749"/>
    <n v="283193"/>
    <n v="1740126"/>
    <s v="7.57"/>
    <s v="0.00"/>
    <s v="92.43"/>
  </r>
  <r>
    <x v="29"/>
    <x v="128"/>
    <n v="61699"/>
    <n v="2292"/>
    <n v="36626"/>
    <s v="3.71"/>
    <s v="0.00"/>
    <s v="96.29"/>
  </r>
  <r>
    <x v="29"/>
    <x v="127"/>
    <n v="85838"/>
    <n v="237"/>
    <n v="44764"/>
    <s v="0.28"/>
    <s v="0.00"/>
    <s v="99.72"/>
  </r>
  <r>
    <x v="29"/>
    <x v="126"/>
    <n v="16472"/>
    <n v="123"/>
    <n v="6082"/>
    <s v="0.75"/>
    <s v="0.00"/>
    <s v="99.25"/>
  </r>
  <r>
    <x v="29"/>
    <x v="125"/>
    <n v="37393"/>
    <n v="459"/>
    <n v="5157"/>
    <s v="1.23"/>
    <s v="0.00"/>
    <s v="98.77"/>
  </r>
  <r>
    <x v="29"/>
    <x v="124"/>
    <n v="36509"/>
    <n v="785"/>
    <n v="14673"/>
    <s v="2.15"/>
    <s v="0.00"/>
    <s v="97.85"/>
  </r>
  <r>
    <x v="29"/>
    <x v="123"/>
    <n v="42183"/>
    <n v="656"/>
    <n v="34797"/>
    <s v="1.56"/>
    <s v="0.00"/>
    <s v="98.44"/>
  </r>
  <r>
    <x v="29"/>
    <x v="122"/>
    <n v="77"/>
    <n v="0"/>
    <n v="1"/>
    <s v="0.00"/>
    <s v="0.00"/>
    <s v="100.00"/>
  </r>
  <r>
    <x v="29"/>
    <x v="121"/>
    <n v="332789"/>
    <n v="1497"/>
    <n v="195546"/>
    <s v="0.45"/>
    <s v="0.00"/>
    <s v="99.55"/>
  </r>
  <r>
    <x v="29"/>
    <x v="120"/>
    <n v="482803"/>
    <n v="18222"/>
    <n v="400413"/>
    <s v="3.77"/>
    <s v="0.00"/>
    <s v="96.23"/>
  </r>
  <r>
    <x v="29"/>
    <x v="119"/>
    <n v="15536"/>
    <n v="555"/>
    <n v="774"/>
    <s v="3.57"/>
    <s v="0.00"/>
    <s v="96.43"/>
  </r>
  <r>
    <x v="29"/>
    <x v="118"/>
    <n v="195542"/>
    <n v="6875"/>
    <n v="177483"/>
    <s v="3.52"/>
    <s v="0.00"/>
    <s v="96.48"/>
  </r>
  <r>
    <x v="29"/>
    <x v="117"/>
    <n v="4"/>
    <n v="0"/>
    <n v="3"/>
    <s v="0.00"/>
    <s v="0.00"/>
    <s v="100.00"/>
  </r>
  <r>
    <x v="29"/>
    <x v="116"/>
    <n v="43610"/>
    <n v="960"/>
    <n v="38586"/>
    <s v="2.20"/>
    <s v="0.00"/>
    <s v="97.80"/>
  </r>
  <r>
    <x v="29"/>
    <x v="115"/>
    <n v="3878"/>
    <n v="55"/>
    <n v="1883"/>
    <s v="1.42"/>
    <s v="0.00"/>
    <s v="98.58"/>
  </r>
  <r>
    <x v="29"/>
    <x v="114"/>
    <n v="136322"/>
    <n v="2005"/>
    <n v="26624"/>
    <s v="1.47"/>
    <s v="0.00"/>
    <s v="98.53"/>
  </r>
  <r>
    <x v="29"/>
    <x v="113"/>
    <n v="310776"/>
    <n v="7105"/>
    <n v="283355"/>
    <s v="2.29"/>
    <s v="0.00"/>
    <s v="97.71"/>
  </r>
  <r>
    <x v="29"/>
    <x v="112"/>
    <n v="3337"/>
    <n v="35"/>
    <n v="437"/>
    <s v="1.05"/>
    <s v="0.00"/>
    <s v="98.95"/>
  </r>
  <r>
    <x v="29"/>
    <x v="111"/>
    <n v="940503"/>
    <n v="14500"/>
    <n v="575052"/>
    <s v="1.54"/>
    <s v="0.00"/>
    <s v="98.46"/>
  </r>
  <r>
    <x v="29"/>
    <x v="110"/>
    <n v="348088"/>
    <n v="4832"/>
    <n v="284922"/>
    <s v="1.39"/>
    <s v="0.00"/>
    <s v="98.61"/>
  </r>
  <r>
    <x v="29"/>
    <x v="109"/>
    <n v="175890"/>
    <n v="2836"/>
    <n v="85250"/>
    <s v="1.61"/>
    <s v="0.00"/>
    <s v="98.39"/>
  </r>
  <r>
    <x v="29"/>
    <x v="108"/>
    <n v="79463"/>
    <n v="838"/>
    <n v="3048"/>
    <s v="1.05"/>
    <s v="0.00"/>
    <s v="98.95"/>
  </r>
  <r>
    <x v="29"/>
    <x v="107"/>
    <n v="357801"/>
    <n v="5308"/>
    <n v="314553"/>
    <s v="1.48"/>
    <s v="0.00"/>
    <s v="98.52"/>
  </r>
  <r>
    <x v="29"/>
    <x v="106"/>
    <n v="21481"/>
    <n v="653"/>
    <n v="3268"/>
    <s v="3.04"/>
    <s v="0.00"/>
    <s v="96.96"/>
  </r>
  <r>
    <x v="29"/>
    <x v="105"/>
    <n v="5802"/>
    <n v="286"/>
    <n v="486"/>
    <s v="4.93"/>
    <s v="0.00"/>
    <s v="95.07"/>
  </r>
  <r>
    <x v="29"/>
    <x v="104"/>
    <n v="528415"/>
    <n v="13408"/>
    <n v="226800"/>
    <s v="2.54"/>
    <s v="0.00"/>
    <s v="97.46"/>
  </r>
  <r>
    <x v="29"/>
    <x v="103"/>
    <n v="3576"/>
    <n v="60"/>
    <n v="1069"/>
    <s v="1.68"/>
    <s v="0.00"/>
    <s v="98.32"/>
  </r>
  <r>
    <x v="29"/>
    <x v="102"/>
    <n v="12095"/>
    <n v="232"/>
    <n v="10369"/>
    <s v="1.92"/>
    <s v="0.00"/>
    <s v="98.08"/>
  </r>
  <r>
    <x v="29"/>
    <x v="101"/>
    <n v="631642"/>
    <n v="8400"/>
    <n v="280416"/>
    <s v="1.33"/>
    <s v="0.00"/>
    <s v="98.67"/>
  </r>
  <r>
    <x v="29"/>
    <x v="100"/>
    <n v="29964"/>
    <n v="35"/>
    <n v="620"/>
    <s v="0.12"/>
    <s v="0.00"/>
    <s v="99.88"/>
  </r>
  <r>
    <x v="29"/>
    <x v="99"/>
    <n v="988365"/>
    <n v="16544"/>
    <n v="709600"/>
    <s v="1.67"/>
    <s v="0.00"/>
    <s v="98.33"/>
  </r>
  <r>
    <x v="29"/>
    <x v="98"/>
    <n v="412196"/>
    <n v="2455"/>
    <n v="49183"/>
    <s v="0.60"/>
    <s v="0.00"/>
    <s v="99.40"/>
  </r>
  <r>
    <x v="29"/>
    <x v="97"/>
    <n v="337679"/>
    <n v="2618"/>
    <n v="314255"/>
    <s v="0.78"/>
    <s v="0.00"/>
    <s v="99.22"/>
  </r>
  <r>
    <x v="29"/>
    <x v="96"/>
    <n v="2466"/>
    <n v="21"/>
    <n v="172"/>
    <s v="0.85"/>
    <s v="0.00"/>
    <s v="99.15"/>
  </r>
  <r>
    <x v="29"/>
    <x v="95"/>
    <n v="4173"/>
    <n v="147"/>
    <n v="644"/>
    <s v="3.52"/>
    <s v="0.00"/>
    <s v="96.48"/>
  </r>
  <r>
    <x v="29"/>
    <x v="93"/>
    <n v="115607"/>
    <n v="2559"/>
    <n v="62200"/>
    <s v="2.21"/>
    <s v="0.00"/>
    <s v="97.79"/>
  </r>
  <r>
    <x v="29"/>
    <x v="94"/>
    <n v="2"/>
    <n v="0"/>
    <n v="1"/>
    <s v="0.00"/>
    <s v="0.00"/>
    <s v="100.00"/>
  </r>
  <r>
    <x v="29"/>
    <x v="92"/>
    <n v="179492"/>
    <n v="2624"/>
    <n v="110614"/>
    <s v="1.46"/>
    <s v="0.00"/>
    <s v="98.54"/>
  </r>
  <r>
    <x v="29"/>
    <x v="90"/>
    <n v="1713471"/>
    <n v="18032"/>
    <n v="1682229"/>
    <s v="1.05"/>
    <s v="0.00"/>
    <s v="98.95"/>
  </r>
  <r>
    <x v="29"/>
    <x v="91"/>
    <n v="251483"/>
    <n v="5198"/>
    <n v="212033"/>
    <s v="2.07"/>
    <s v="0.00"/>
    <s v="97.93"/>
  </r>
  <r>
    <x v="29"/>
    <x v="89"/>
    <n v="837255"/>
    <n v="10841"/>
    <n v="256922"/>
    <s v="1.29"/>
    <s v="0.00"/>
    <s v="98.71"/>
  </r>
  <r>
    <x v="29"/>
    <x v="88"/>
    <n v="86507"/>
    <n v="2053"/>
    <n v="74256"/>
    <s v="2.37"/>
    <s v="0.00"/>
    <s v="97.63"/>
  </r>
  <r>
    <x v="29"/>
    <x v="87"/>
    <n v="4707087"/>
    <n v="131421"/>
    <n v="3502227"/>
    <s v="2.79"/>
    <s v="0.00"/>
    <s v="97.21"/>
  </r>
  <r>
    <x v="29"/>
    <x v="86"/>
    <n v="12342"/>
    <n v="33"/>
    <n v="1768"/>
    <s v="0.27"/>
    <s v="0.00"/>
    <s v="99.73"/>
  </r>
  <r>
    <x v="29"/>
    <x v="85"/>
    <n v="5742083"/>
    <n v="123275"/>
    <n v="5271839"/>
    <s v="2.15"/>
    <s v="0.00"/>
    <s v="97.85"/>
  </r>
  <r>
    <x v="29"/>
    <x v="84"/>
    <n v="2028115"/>
    <n v="22655"/>
    <n v="1134975"/>
    <s v="1.12"/>
    <s v="0.00"/>
    <s v="98.88"/>
  </r>
  <r>
    <x v="29"/>
    <x v="83"/>
    <n v="34020730"/>
    <n v="451435"/>
    <n v="15493047"/>
    <s v="1.33"/>
    <s v="0.00"/>
    <s v="98.67"/>
  </r>
  <r>
    <x v="29"/>
    <x v="82"/>
    <n v="1311295"/>
    <n v="7959"/>
    <n v="99535"/>
    <s v="0.61"/>
    <s v="0.00"/>
    <s v="99.39"/>
  </r>
  <r>
    <x v="29"/>
    <x v="81"/>
    <n v="408021"/>
    <n v="5306"/>
    <n v="3681"/>
    <s v="1.30"/>
    <s v="0.00"/>
    <s v="98.70"/>
  </r>
  <r>
    <x v="29"/>
    <x v="80"/>
    <n v="4231046"/>
    <n v="142811"/>
    <n v="1516228"/>
    <s v="3.38"/>
    <s v="0.00"/>
    <s v="96.62"/>
  </r>
  <r>
    <x v="29"/>
    <x v="79"/>
    <n v="830725"/>
    <n v="30330"/>
    <n v="358554"/>
    <s v="3.65"/>
    <s v="0.00"/>
    <s v="96.35"/>
  </r>
  <r>
    <x v="29"/>
    <x v="78"/>
    <n v="22731"/>
    <n v="649"/>
    <n v="20235"/>
    <s v="2.86"/>
    <s v="0.00"/>
    <s v="97.14"/>
  </r>
  <r>
    <x v="29"/>
    <x v="77"/>
    <n v="421057"/>
    <n v="8829"/>
    <n v="274024"/>
    <s v="2.10"/>
    <s v="0.00"/>
    <s v="97.90"/>
  </r>
  <r>
    <x v="29"/>
    <x v="76"/>
    <n v="371431"/>
    <n v="10064"/>
    <n v="346431"/>
    <s v="2.71"/>
    <s v="0.00"/>
    <s v="97.29"/>
  </r>
  <r>
    <x v="29"/>
    <x v="75"/>
    <n v="12275"/>
    <n v="213"/>
    <n v="2380"/>
    <s v="1.74"/>
    <s v="0.00"/>
    <s v="98.26"/>
  </r>
  <r>
    <x v="29"/>
    <x v="74"/>
    <n v="33973"/>
    <n v="851"/>
    <n v="30174"/>
    <s v="2.50"/>
    <s v="0.00"/>
    <s v="97.50"/>
  </r>
  <r>
    <x v="29"/>
    <x v="73"/>
    <n v="6123"/>
    <n v="141"/>
    <n v="871"/>
    <s v="2.30"/>
    <s v="0.00"/>
    <s v="97.70"/>
  </r>
  <r>
    <x v="29"/>
    <x v="72"/>
    <n v="583201"/>
    <n v="14177"/>
    <n v="194604"/>
    <s v="2.43"/>
    <s v="0.00"/>
    <s v="97.57"/>
  </r>
  <r>
    <x v="29"/>
    <x v="71"/>
    <n v="684706"/>
    <n v="15241"/>
    <n v="651280"/>
    <s v="2.23"/>
    <s v="0.00"/>
    <s v="97.77"/>
  </r>
  <r>
    <x v="29"/>
    <x v="70"/>
    <n v="12840"/>
    <n v="156"/>
    <n v="2214"/>
    <s v="1.21"/>
    <s v="0.00"/>
    <s v="98.79"/>
  </r>
  <r>
    <x v="29"/>
    <x v="69"/>
    <n v="53836"/>
    <n v="800"/>
    <n v="36344"/>
    <s v="1.49"/>
    <s v="0.00"/>
    <s v="98.51"/>
  </r>
  <r>
    <x v="29"/>
    <x v="67"/>
    <n v="9943"/>
    <n v="339"/>
    <n v="577"/>
    <s v="3.41"/>
    <s v="0.00"/>
    <s v="96.59"/>
  </r>
  <r>
    <x v="29"/>
    <x v="68"/>
    <n v="30535"/>
    <n v="385"/>
    <n v="6278"/>
    <s v="1.26"/>
    <s v="0.00"/>
    <s v="98.74"/>
  </r>
  <r>
    <x v="29"/>
    <x v="66"/>
    <n v="5707"/>
    <n v="97"/>
    <n v="780"/>
    <s v="1.70"/>
    <s v="0.00"/>
    <s v="98.30"/>
  </r>
  <r>
    <x v="29"/>
    <x v="65"/>
    <n v="128368"/>
    <n v="1158"/>
    <n v="90075"/>
    <s v="0.90"/>
    <s v="0.00"/>
    <s v="99.10"/>
  </r>
  <r>
    <x v="29"/>
    <x v="64"/>
    <n v="42794"/>
    <n v="289"/>
    <n v="26821"/>
    <s v="0.68"/>
    <s v="0.00"/>
    <s v="99.32"/>
  </r>
  <r>
    <x v="29"/>
    <x v="62"/>
    <n v="5670"/>
    <n v="184"/>
    <n v="3783"/>
    <s v="3.25"/>
    <s v="0.00"/>
    <s v="96.75"/>
  </r>
  <r>
    <x v="29"/>
    <x v="63"/>
    <n v="645195"/>
    <n v="9332"/>
    <n v="304302"/>
    <s v="1.45"/>
    <s v="0.00"/>
    <s v="98.55"/>
  </r>
  <r>
    <x v="29"/>
    <x v="61"/>
    <n v="8306144"/>
    <n v="138390"/>
    <n v="3005026"/>
    <s v="1.67"/>
    <s v="0.00"/>
    <s v="98.33"/>
  </r>
  <r>
    <x v="29"/>
    <x v="60"/>
    <n v="32576"/>
    <n v="205"/>
    <n v="11052"/>
    <s v="0.63"/>
    <s v="0.00"/>
    <s v="99.37"/>
  </r>
  <r>
    <x v="29"/>
    <x v="59"/>
    <n v="6891105"/>
    <n v="114867"/>
    <n v="3423165"/>
    <s v="1.67"/>
    <s v="0.00"/>
    <s v="98.33"/>
  </r>
  <r>
    <x v="29"/>
    <x v="58"/>
    <n v="1319"/>
    <n v="2"/>
    <n v="1133"/>
    <s v="0.15"/>
    <s v="0.00"/>
    <s v="99.85"/>
  </r>
  <r>
    <x v="29"/>
    <x v="57"/>
    <n v="51648"/>
    <n v="663"/>
    <n v="24600"/>
    <s v="1.28"/>
    <s v="0.00"/>
    <s v="98.72"/>
  </r>
  <r>
    <x v="29"/>
    <x v="56"/>
    <n v="148672"/>
    <n v="1111"/>
    <n v="19870"/>
    <s v="0.75"/>
    <s v="0.00"/>
    <s v="99.25"/>
  </r>
  <r>
    <x v="29"/>
    <x v="55"/>
    <n v="356772"/>
    <n v="6103"/>
    <n v="106610"/>
    <s v="1.71"/>
    <s v="0.00"/>
    <s v="98.29"/>
  </r>
  <r>
    <x v="29"/>
    <x v="54"/>
    <n v="4980206"/>
    <n v="86869"/>
    <n v="4169383"/>
    <s v="1.74"/>
    <s v="0.00"/>
    <s v="98.26"/>
  </r>
  <r>
    <x v="29"/>
    <x v="53"/>
    <n v="6764"/>
    <n v="43"/>
    <n v="3061"/>
    <s v="0.64"/>
    <s v="0.00"/>
    <s v="99.36"/>
  </r>
  <r>
    <x v="29"/>
    <x v="52"/>
    <n v="314977"/>
    <n v="17806"/>
    <n v="205681"/>
    <s v="5.65"/>
    <s v="0.00"/>
    <s v="94.35"/>
  </r>
  <r>
    <x v="29"/>
    <x v="51"/>
    <n v="167828"/>
    <n v="1404"/>
    <n v="93993"/>
    <s v="0.84"/>
    <s v="0.00"/>
    <s v="99.16"/>
  </r>
  <r>
    <x v="29"/>
    <x v="50"/>
    <n v="512071"/>
    <n v="32848"/>
    <n v="411274"/>
    <s v="6.41"/>
    <s v="0.00"/>
    <s v="93.59"/>
  </r>
  <r>
    <x v="29"/>
    <x v="49"/>
    <n v="204900"/>
    <n v="5862"/>
    <n v="165666"/>
    <s v="2.86"/>
    <s v="0.00"/>
    <s v="97.14"/>
  </r>
  <r>
    <x v="29"/>
    <x v="48"/>
    <n v="367379"/>
    <n v="4077"/>
    <n v="197798"/>
    <s v="1.11"/>
    <s v="0.00"/>
    <s v="98.89"/>
  </r>
  <r>
    <x v="29"/>
    <x v="47"/>
    <n v="4113"/>
    <n v="28"/>
    <n v="2700"/>
    <s v="0.68"/>
    <s v="0.00"/>
    <s v="99.32"/>
  </r>
  <r>
    <x v="29"/>
    <x v="46"/>
    <n v="366478"/>
    <n v="2674"/>
    <n v="322663"/>
    <s v="0.73"/>
    <s v="0.00"/>
    <s v="99.27"/>
  </r>
  <r>
    <x v="29"/>
    <x v="45"/>
    <n v="13347"/>
    <n v="179"/>
    <n v="2172"/>
    <s v="1.34"/>
    <s v="0.00"/>
    <s v="98.66"/>
  </r>
  <r>
    <x v="29"/>
    <x v="44"/>
    <n v="4343591"/>
    <n v="94407"/>
    <n v="2162781"/>
    <s v="2.17"/>
    <s v="0.00"/>
    <s v="97.83"/>
  </r>
  <r>
    <x v="29"/>
    <x v="43"/>
    <n v="1705532"/>
    <n v="30518"/>
    <n v="929171"/>
    <s v="1.79"/>
    <s v="0.00"/>
    <s v="98.21"/>
  </r>
  <r>
    <x v="29"/>
    <x v="42"/>
    <n v="121700"/>
    <n v="560"/>
    <n v="48942"/>
    <s v="0.46"/>
    <s v="0.00"/>
    <s v="99.54"/>
  </r>
  <r>
    <x v="29"/>
    <x v="41"/>
    <n v="37951"/>
    <n v="347"/>
    <n v="33074"/>
    <s v="0.91"/>
    <s v="0.00"/>
    <s v="99.09"/>
  </r>
  <r>
    <x v="29"/>
    <x v="40"/>
    <n v="926320"/>
    <n v="7956"/>
    <n v="737379"/>
    <s v="0.86"/>
    <s v="0.00"/>
    <s v="99.14"/>
  </r>
  <r>
    <x v="29"/>
    <x v="39"/>
    <n v="549084"/>
    <n v="6744"/>
    <n v="218426"/>
    <s v="1.23"/>
    <s v="0.00"/>
    <s v="98.77"/>
  </r>
  <r>
    <x v="29"/>
    <x v="38"/>
    <n v="4975656"/>
    <n v="126726"/>
    <n v="2398744"/>
    <s v="2.55"/>
    <s v="0.00"/>
    <s v="97.45"/>
  </r>
  <r>
    <x v="29"/>
    <x v="37"/>
    <n v="96483"/>
    <n v="4636"/>
    <n v="41781"/>
    <s v="4.80"/>
    <s v="0.00"/>
    <s v="95.20"/>
  </r>
  <r>
    <x v="29"/>
    <x v="36"/>
    <n v="98402"/>
    <n v="1550"/>
    <n v="7960"/>
    <s v="1.58"/>
    <s v="0.00"/>
    <s v="98.42"/>
  </r>
  <r>
    <x v="29"/>
    <x v="35"/>
    <n v="1664725"/>
    <n v="37578"/>
    <n v="56955"/>
    <s v="2.26"/>
    <s v="0.00"/>
    <s v="97.74"/>
  </r>
  <r>
    <x v="29"/>
    <x v="34"/>
    <n v="60878"/>
    <n v="672"/>
    <n v="38119"/>
    <s v="1.10"/>
    <s v="0.00"/>
    <s v="98.90"/>
  </r>
  <r>
    <x v="29"/>
    <x v="33"/>
    <n v="852658"/>
    <n v="11146"/>
    <n v="740943"/>
    <s v="1.31"/>
    <s v="0.00"/>
    <s v="98.69"/>
  </r>
  <r>
    <x v="29"/>
    <x v="32"/>
    <n v="15255"/>
    <n v="219"/>
    <n v="3504"/>
    <s v="1.44"/>
    <s v="0.00"/>
    <s v="98.56"/>
  </r>
  <r>
    <x v="29"/>
    <x v="31"/>
    <n v="11469"/>
    <n v="100"/>
    <n v="10942"/>
    <s v="0.87"/>
    <s v="0.00"/>
    <s v="99.13"/>
  </r>
  <r>
    <x v="29"/>
    <x v="30"/>
    <n v="57269"/>
    <n v="1089"/>
    <n v="21563"/>
    <s v="1.90"/>
    <s v="0.00"/>
    <s v="98.10"/>
  </r>
  <r>
    <x v="29"/>
    <x v="29"/>
    <n v="1678511"/>
    <n v="28422"/>
    <n v="830742"/>
    <s v="1.69"/>
    <s v="0.00"/>
    <s v="98.31"/>
  </r>
  <r>
    <x v="29"/>
    <x v="28"/>
    <n v="22947"/>
    <n v="442"/>
    <n v="6238"/>
    <s v="1.93"/>
    <s v="0.00"/>
    <s v="98.07"/>
  </r>
  <r>
    <x v="29"/>
    <x v="27"/>
    <n v="563813"/>
    <n v="4336"/>
    <n v="524432"/>
    <s v="0.77"/>
    <s v="0.00"/>
    <s v="99.23"/>
  </r>
  <r>
    <x v="29"/>
    <x v="26"/>
    <n v="181251"/>
    <n v="2381"/>
    <n v="100121"/>
    <s v="1.31"/>
    <s v="0.00"/>
    <s v="98.69"/>
  </r>
  <r>
    <x v="29"/>
    <x v="25"/>
    <n v="2615"/>
    <n v="3"/>
    <n v="2586"/>
    <s v="0.11"/>
    <s v="0.00"/>
    <s v="99.89"/>
  </r>
  <r>
    <x v="29"/>
    <x v="24"/>
    <n v="21580"/>
    <n v="590"/>
    <n v="2378"/>
    <s v="2.73"/>
    <s v="0.00"/>
    <s v="97.27"/>
  </r>
  <r>
    <x v="29"/>
    <x v="23"/>
    <n v="21597949"/>
    <n v="601574"/>
    <n v="18195248"/>
    <s v="2.79"/>
    <s v="0.00"/>
    <s v="97.21"/>
  </r>
  <r>
    <x v="29"/>
    <x v="22"/>
    <n v="505157"/>
    <n v="18811"/>
    <n v="274733"/>
    <s v="3.72"/>
    <s v="0.00"/>
    <s v="96.28"/>
  </r>
  <r>
    <x v="29"/>
    <x v="21"/>
    <n v="9665"/>
    <n v="67"/>
    <n v="3754"/>
    <s v="0.69"/>
    <s v="0.00"/>
    <s v="99.31"/>
  </r>
  <r>
    <x v="29"/>
    <x v="20"/>
    <n v="1658"/>
    <n v="6"/>
    <n v="498"/>
    <s v="0.36"/>
    <s v="0.00"/>
    <s v="99.64"/>
  </r>
  <r>
    <x v="29"/>
    <x v="19"/>
    <n v="24560"/>
    <n v="161"/>
    <n v="23624"/>
    <s v="0.66"/>
    <s v="0.00"/>
    <s v="99.34"/>
  </r>
  <r>
    <x v="29"/>
    <x v="18"/>
    <n v="19441"/>
    <n v="38"/>
    <n v="1281"/>
    <s v="0.20"/>
    <s v="0.00"/>
    <s v="99.80"/>
  </r>
  <r>
    <x v="29"/>
    <x v="17"/>
    <n v="275862"/>
    <n v="1390"/>
    <n v="78571"/>
    <s v="0.50"/>
    <s v="0.00"/>
    <s v="99.50"/>
  </r>
  <r>
    <x v="29"/>
    <x v="16"/>
    <n v="531129"/>
    <n v="22004"/>
    <n v="71401"/>
    <s v="4.14"/>
    <s v="0.00"/>
    <s v="95.86"/>
  </r>
  <r>
    <x v="29"/>
    <x v="15"/>
    <n v="14586"/>
    <n v="203"/>
    <n v="10028"/>
    <s v="1.39"/>
    <s v="0.00"/>
    <s v="98.61"/>
  </r>
  <r>
    <x v="29"/>
    <x v="14"/>
    <n v="1272669"/>
    <n v="25726"/>
    <n v="431681"/>
    <s v="2.02"/>
    <s v="0.00"/>
    <s v="97.98"/>
  </r>
  <r>
    <x v="29"/>
    <x v="13"/>
    <n v="1564019"/>
    <n v="27730"/>
    <n v="7255"/>
    <s v="1.77"/>
    <s v="0.00"/>
    <s v="98.23"/>
  </r>
  <r>
    <x v="29"/>
    <x v="12"/>
    <n v="11785"/>
    <n v="103"/>
    <n v="2610"/>
    <s v="0.87"/>
    <s v="0.00"/>
    <s v="99.13"/>
  </r>
  <r>
    <x v="29"/>
    <x v="11"/>
    <n v="242469"/>
    <n v="11046"/>
    <n v="197515"/>
    <s v="4.56"/>
    <s v="0.00"/>
    <s v="95.44"/>
  </r>
  <r>
    <x v="29"/>
    <x v="10"/>
    <n v="495332"/>
    <n v="6709"/>
    <n v="296723"/>
    <s v="1.35"/>
    <s v="0.00"/>
    <s v="98.65"/>
  </r>
  <r>
    <x v="29"/>
    <x v="9"/>
    <n v="136188"/>
    <n v="1496"/>
    <n v="107954"/>
    <s v="1.10"/>
    <s v="0.00"/>
    <s v="98.90"/>
  </r>
  <r>
    <x v="29"/>
    <x v="8"/>
    <n v="766542"/>
    <n v="11135"/>
    <n v="681846"/>
    <s v="1.45"/>
    <s v="0.00"/>
    <s v="98.55"/>
  </r>
  <r>
    <x v="29"/>
    <x v="7"/>
    <n v="5268653"/>
    <n v="115582"/>
    <n v="415860"/>
    <s v="2.19"/>
    <s v="0.00"/>
    <s v="97.81"/>
  </r>
  <r>
    <x v="29"/>
    <x v="6"/>
    <n v="62143"/>
    <n v="1650"/>
    <n v="12252"/>
    <s v="2.66"/>
    <s v="0.00"/>
    <s v="97.34"/>
  </r>
  <r>
    <x v="29"/>
    <x v="5"/>
    <n v="275077"/>
    <n v="5646"/>
    <n v="69387"/>
    <s v="2.05"/>
    <s v="0.00"/>
    <s v="97.95"/>
  </r>
  <r>
    <x v="29"/>
    <x v="4"/>
    <n v="176172"/>
    <n v="2788"/>
    <n v="116522"/>
    <s v="1.58"/>
    <s v="0.00"/>
    <s v="98.42"/>
  </r>
  <r>
    <x v="29"/>
    <x v="3"/>
    <n v="3817"/>
    <n v="93"/>
    <n v="1987"/>
    <s v="2.44"/>
    <s v="0.00"/>
    <s v="97.56"/>
  </r>
  <r>
    <x v="29"/>
    <x v="2"/>
    <n v="155627"/>
    <n v="7234"/>
    <n v="51848"/>
    <s v="4.65"/>
    <s v="0.00"/>
    <s v="95.35"/>
  </r>
  <r>
    <x v="29"/>
    <x v="1"/>
    <n v="738152"/>
    <n v="2116"/>
    <n v="628578"/>
    <s v="0.29"/>
    <s v="0.00"/>
    <s v="99.71"/>
  </r>
  <r>
    <x v="29"/>
    <x v="0"/>
    <n v="15314"/>
    <n v="130"/>
    <n v="15174"/>
    <s v="0.85"/>
    <s v="0.00"/>
    <s v="99.15"/>
  </r>
  <r>
    <x v="30"/>
    <x v="0"/>
    <n v="15307"/>
    <n v="130"/>
    <n v="10831"/>
    <s v="0.85"/>
    <s v="0.00"/>
    <s v="99.15"/>
  </r>
  <r>
    <x v="30"/>
    <x v="1"/>
    <n v="738026"/>
    <n v="2115"/>
    <n v="347197"/>
    <s v="0.29"/>
    <s v="0.00"/>
    <s v="99.71"/>
  </r>
  <r>
    <x v="30"/>
    <x v="2"/>
    <n v="155599"/>
    <n v="7230"/>
    <n v="97518"/>
    <s v="4.65"/>
    <s v="0.00"/>
    <s v="95.35"/>
  </r>
  <r>
    <x v="30"/>
    <x v="3"/>
    <n v="3772"/>
    <n v="93"/>
    <n v="2185"/>
    <s v="2.47"/>
    <s v="0.00"/>
    <s v="97.53"/>
  </r>
  <r>
    <x v="30"/>
    <x v="4"/>
    <n v="175664"/>
    <n v="2783"/>
    <n v="100180"/>
    <s v="1.58"/>
    <s v="0.00"/>
    <s v="98.42"/>
  </r>
  <r>
    <x v="30"/>
    <x v="5"/>
    <n v="273860"/>
    <n v="5618"/>
    <n v="139529"/>
    <s v="2.05"/>
    <s v="0.00"/>
    <s v="97.95"/>
  </r>
  <r>
    <x v="30"/>
    <x v="6"/>
    <n v="61794"/>
    <n v="1642"/>
    <n v="43848"/>
    <s v="2.66"/>
    <s v="0.00"/>
    <s v="97.34"/>
  </r>
  <r>
    <x v="30"/>
    <x v="7"/>
    <n v="5267339"/>
    <n v="115547"/>
    <n v="2355761"/>
    <s v="2.19"/>
    <s v="0.00"/>
    <s v="97.81"/>
  </r>
  <r>
    <x v="30"/>
    <x v="8"/>
    <n v="763928"/>
    <n v="11120"/>
    <n v="238781"/>
    <s v="1.46"/>
    <s v="0.00"/>
    <s v="98.54"/>
  </r>
  <r>
    <x v="30"/>
    <x v="9"/>
    <n v="133444"/>
    <n v="1478"/>
    <n v="119889"/>
    <s v="1.11"/>
    <s v="0.00"/>
    <s v="98.89"/>
  </r>
  <r>
    <x v="30"/>
    <x v="10"/>
    <n v="494067"/>
    <n v="6692"/>
    <n v="385651"/>
    <s v="1.35"/>
    <s v="0.00"/>
    <s v="98.65"/>
  </r>
  <r>
    <x v="30"/>
    <x v="11"/>
    <n v="241946"/>
    <n v="11009"/>
    <n v="148508"/>
    <s v="4.55"/>
    <s v="0.00"/>
    <s v="95.45"/>
  </r>
  <r>
    <x v="30"/>
    <x v="12"/>
    <n v="11474"/>
    <n v="101"/>
    <n v="865"/>
    <s v="0.88"/>
    <s v="0.00"/>
    <s v="99.12"/>
  </r>
  <r>
    <x v="30"/>
    <x v="13"/>
    <n v="1563501"/>
    <n v="27713"/>
    <n v="728352"/>
    <s v="1.77"/>
    <s v="0.00"/>
    <s v="98.23"/>
  </r>
  <r>
    <x v="30"/>
    <x v="14"/>
    <n v="1269002"/>
    <n v="25713"/>
    <n v="958352"/>
    <s v="2.03"/>
    <s v="0.00"/>
    <s v="97.97"/>
  </r>
  <r>
    <x v="30"/>
    <x v="15"/>
    <n v="14546"/>
    <n v="200"/>
    <n v="11829"/>
    <s v="1.37"/>
    <s v="0.00"/>
    <s v="98.63"/>
  </r>
  <r>
    <x v="30"/>
    <x v="16"/>
    <n v="527802"/>
    <n v="21906"/>
    <n v="262311"/>
    <s v="4.15"/>
    <s v="0.00"/>
    <s v="95.85"/>
  </r>
  <r>
    <x v="30"/>
    <x v="17"/>
    <n v="275803"/>
    <n v="1390"/>
    <n v="230424"/>
    <s v="0.50"/>
    <s v="0.00"/>
    <s v="99.50"/>
  </r>
  <r>
    <x v="30"/>
    <x v="18"/>
    <n v="19334"/>
    <n v="38"/>
    <n v="6517"/>
    <s v="0.20"/>
    <s v="0.00"/>
    <s v="99.80"/>
  </r>
  <r>
    <x v="30"/>
    <x v="19"/>
    <n v="24335"/>
    <n v="159"/>
    <n v="13287"/>
    <s v="0.65"/>
    <s v="0.00"/>
    <s v="99.35"/>
  </r>
  <r>
    <x v="30"/>
    <x v="20"/>
    <n v="1649"/>
    <n v="6"/>
    <n v="898"/>
    <s v="0.36"/>
    <s v="0.00"/>
    <s v="99.64"/>
  </r>
  <r>
    <x v="30"/>
    <x v="21"/>
    <n v="9472"/>
    <n v="64"/>
    <n v="2991"/>
    <s v="0.68"/>
    <s v="0.00"/>
    <s v="99.32"/>
  </r>
  <r>
    <x v="30"/>
    <x v="22"/>
    <n v="504601"/>
    <n v="18806"/>
    <n v="178360"/>
    <s v="3.73"/>
    <s v="0.00"/>
    <s v="96.27"/>
  </r>
  <r>
    <x v="30"/>
    <x v="23"/>
    <n v="21590097"/>
    <n v="601398"/>
    <n v="11659892"/>
    <s v="2.79"/>
    <s v="0.00"/>
    <s v="97.21"/>
  </r>
  <r>
    <x v="30"/>
    <x v="24"/>
    <n v="21580"/>
    <n v="590"/>
    <n v="20195"/>
    <s v="2.73"/>
    <s v="0.00"/>
    <s v="97.27"/>
  </r>
  <r>
    <x v="30"/>
    <x v="25"/>
    <n v="2613"/>
    <n v="3"/>
    <n v="877"/>
    <s v="0.11"/>
    <s v="0.00"/>
    <s v="99.89"/>
  </r>
  <r>
    <x v="30"/>
    <x v="26"/>
    <n v="181251"/>
    <n v="2381"/>
    <n v="126893"/>
    <s v="1.31"/>
    <s v="0.00"/>
    <s v="98.69"/>
  </r>
  <r>
    <x v="30"/>
    <x v="27"/>
    <n v="561753"/>
    <n v="4319"/>
    <n v="85685"/>
    <s v="0.77"/>
    <s v="0.00"/>
    <s v="99.23"/>
  </r>
  <r>
    <x v="30"/>
    <x v="28"/>
    <n v="22187"/>
    <n v="427"/>
    <n v="19061"/>
    <s v="1.92"/>
    <s v="0.00"/>
    <s v="98.08"/>
  </r>
  <r>
    <x v="30"/>
    <x v="29"/>
    <n v="1675805"/>
    <n v="28343"/>
    <n v="538609"/>
    <s v="1.69"/>
    <s v="0.00"/>
    <s v="98.31"/>
  </r>
  <r>
    <x v="30"/>
    <x v="30"/>
    <n v="57247"/>
    <n v="1087"/>
    <n v="32390"/>
    <s v="1.90"/>
    <s v="0.00"/>
    <s v="98.10"/>
  </r>
  <r>
    <x v="30"/>
    <x v="31"/>
    <n v="11401"/>
    <n v="100"/>
    <n v="757"/>
    <s v="0.88"/>
    <s v="0.00"/>
    <s v="99.12"/>
  </r>
  <r>
    <x v="30"/>
    <x v="32"/>
    <n v="15255"/>
    <n v="219"/>
    <n v="7698"/>
    <s v="1.44"/>
    <s v="0.00"/>
    <s v="98.56"/>
  </r>
  <r>
    <x v="30"/>
    <x v="33"/>
    <n v="851610"/>
    <n v="11140"/>
    <n v="14928"/>
    <s v="1.31"/>
    <s v="0.00"/>
    <s v="98.69"/>
  </r>
  <r>
    <x v="30"/>
    <x v="34"/>
    <n v="60878"/>
    <n v="672"/>
    <n v="23118"/>
    <s v="1.10"/>
    <s v="0.00"/>
    <s v="98.90"/>
  </r>
  <r>
    <x v="30"/>
    <x v="35"/>
    <n v="1663992"/>
    <n v="37574"/>
    <n v="529282"/>
    <s v="2.26"/>
    <s v="0.00"/>
    <s v="97.74"/>
  </r>
  <r>
    <x v="30"/>
    <x v="36"/>
    <n v="95399"/>
    <n v="1517"/>
    <n v="43346"/>
    <s v="1.59"/>
    <s v="0.00"/>
    <s v="98.41"/>
  </r>
  <r>
    <x v="30"/>
    <x v="37"/>
    <n v="96457"/>
    <n v="4636"/>
    <n v="40598"/>
    <s v="4.81"/>
    <s v="0.00"/>
    <s v="95.19"/>
  </r>
  <r>
    <x v="30"/>
    <x v="38"/>
    <n v="4974400"/>
    <n v="126692"/>
    <n v="4209791"/>
    <s v="2.55"/>
    <s v="0.00"/>
    <s v="97.45"/>
  </r>
  <r>
    <x v="30"/>
    <x v="39"/>
    <n v="547914"/>
    <n v="6718"/>
    <n v="127109"/>
    <s v="1.23"/>
    <s v="0.00"/>
    <s v="98.77"/>
  </r>
  <r>
    <x v="30"/>
    <x v="40"/>
    <n v="923966"/>
    <n v="7928"/>
    <n v="606846"/>
    <s v="0.86"/>
    <s v="0.00"/>
    <s v="99.14"/>
  </r>
  <r>
    <x v="30"/>
    <x v="41"/>
    <n v="37920"/>
    <n v="347"/>
    <n v="10476"/>
    <s v="0.92"/>
    <s v="0.00"/>
    <s v="99.08"/>
  </r>
  <r>
    <x v="30"/>
    <x v="42"/>
    <n v="121534"/>
    <n v="560"/>
    <n v="41969"/>
    <s v="0.46"/>
    <s v="0.00"/>
    <s v="99.54"/>
  </r>
  <r>
    <x v="30"/>
    <x v="43"/>
    <n v="1704003"/>
    <n v="30512"/>
    <n v="282920"/>
    <s v="1.79"/>
    <s v="0.00"/>
    <s v="98.21"/>
  </r>
  <r>
    <x v="30"/>
    <x v="44"/>
    <n v="4331274"/>
    <n v="94393"/>
    <n v="3787987"/>
    <s v="2.18"/>
    <s v="0.00"/>
    <s v="97.82"/>
  </r>
  <r>
    <x v="30"/>
    <x v="45"/>
    <n v="13320"/>
    <n v="178"/>
    <n v="8159"/>
    <s v="1.34"/>
    <s v="0.00"/>
    <s v="98.66"/>
  </r>
  <r>
    <x v="30"/>
    <x v="46"/>
    <n v="365681"/>
    <n v="2674"/>
    <n v="209817"/>
    <s v="0.73"/>
    <s v="0.00"/>
    <s v="99.27"/>
  </r>
  <r>
    <x v="30"/>
    <x v="47"/>
    <n v="4086"/>
    <n v="27"/>
    <n v="3004"/>
    <s v="0.66"/>
    <s v="0.00"/>
    <s v="99.34"/>
  </r>
  <r>
    <x v="30"/>
    <x v="48"/>
    <n v="366711"/>
    <n v="4072"/>
    <n v="301223"/>
    <s v="1.11"/>
    <s v="0.00"/>
    <s v="98.89"/>
  </r>
  <r>
    <x v="30"/>
    <x v="49"/>
    <n v="204790"/>
    <n v="5859"/>
    <n v="137768"/>
    <s v="2.86"/>
    <s v="0.00"/>
    <s v="97.14"/>
  </r>
  <r>
    <x v="30"/>
    <x v="50"/>
    <n v="512071"/>
    <n v="32848"/>
    <n v="193461"/>
    <s v="6.41"/>
    <s v="0.00"/>
    <s v="93.59"/>
  </r>
  <r>
    <x v="30"/>
    <x v="51"/>
    <n v="166601"/>
    <n v="1402"/>
    <n v="110013"/>
    <s v="0.84"/>
    <s v="0.00"/>
    <s v="99.16"/>
  </r>
  <r>
    <x v="30"/>
    <x v="52"/>
    <n v="314116"/>
    <n v="17765"/>
    <n v="83939"/>
    <s v="5.66"/>
    <s v="0.00"/>
    <s v="94.34"/>
  </r>
  <r>
    <x v="30"/>
    <x v="53"/>
    <n v="6758"/>
    <n v="43"/>
    <n v="230"/>
    <s v="0.64"/>
    <s v="0.00"/>
    <s v="99.36"/>
  </r>
  <r>
    <x v="30"/>
    <x v="54"/>
    <n v="4977448"/>
    <n v="86827"/>
    <n v="3971749"/>
    <s v="1.74"/>
    <s v="0.00"/>
    <s v="98.26"/>
  </r>
  <r>
    <x v="30"/>
    <x v="55"/>
    <n v="355843"/>
    <n v="6066"/>
    <n v="105003"/>
    <s v="1.70"/>
    <s v="0.00"/>
    <s v="98.30"/>
  </r>
  <r>
    <x v="30"/>
    <x v="56"/>
    <n v="147919"/>
    <n v="1109"/>
    <n v="77098"/>
    <s v="0.75"/>
    <s v="0.00"/>
    <s v="99.25"/>
  </r>
  <r>
    <x v="30"/>
    <x v="57"/>
    <n v="51535"/>
    <n v="653"/>
    <n v="4296"/>
    <s v="1.27"/>
    <s v="0.00"/>
    <s v="98.73"/>
  </r>
  <r>
    <x v="30"/>
    <x v="58"/>
    <n v="1311"/>
    <n v="2"/>
    <n v="339"/>
    <s v="0.15"/>
    <s v="0.00"/>
    <s v="99.85"/>
  </r>
  <r>
    <x v="30"/>
    <x v="59"/>
    <n v="6891105"/>
    <n v="114867"/>
    <n v="1540160"/>
    <s v="1.67"/>
    <s v="0.00"/>
    <s v="98.33"/>
  </r>
  <r>
    <x v="30"/>
    <x v="60"/>
    <n v="32576"/>
    <n v="205"/>
    <n v="19347"/>
    <s v="0.63"/>
    <s v="0.00"/>
    <s v="99.37"/>
  </r>
  <r>
    <x v="30"/>
    <x v="61"/>
    <n v="8264500"/>
    <n v="138254"/>
    <n v="8051674"/>
    <s v="1.67"/>
    <s v="0.00"/>
    <s v="98.33"/>
  </r>
  <r>
    <x v="30"/>
    <x v="63"/>
    <n v="640358"/>
    <n v="9306"/>
    <n v="3770"/>
    <s v="1.45"/>
    <s v="0.00"/>
    <s v="98.55"/>
  </r>
  <r>
    <x v="30"/>
    <x v="62"/>
    <n v="5653"/>
    <n v="183"/>
    <n v="4214"/>
    <s v="3.24"/>
    <s v="0.00"/>
    <s v="96.76"/>
  </r>
  <r>
    <x v="30"/>
    <x v="64"/>
    <n v="42157"/>
    <n v="281"/>
    <n v="25663"/>
    <s v="0.67"/>
    <s v="0.00"/>
    <s v="99.33"/>
  </r>
  <r>
    <x v="30"/>
    <x v="65"/>
    <n v="128368"/>
    <n v="1158"/>
    <n v="96115"/>
    <s v="0.90"/>
    <s v="0.00"/>
    <s v="99.10"/>
  </r>
  <r>
    <x v="30"/>
    <x v="66"/>
    <n v="5682"/>
    <n v="97"/>
    <n v="1756"/>
    <s v="1.71"/>
    <s v="0.00"/>
    <s v="98.29"/>
  </r>
  <r>
    <x v="30"/>
    <x v="68"/>
    <n v="30526"/>
    <n v="383"/>
    <n v="4734"/>
    <s v="1.25"/>
    <s v="0.00"/>
    <s v="98.75"/>
  </r>
  <r>
    <x v="30"/>
    <x v="67"/>
    <n v="9943"/>
    <n v="339"/>
    <n v="3742"/>
    <s v="3.41"/>
    <s v="0.00"/>
    <s v="96.59"/>
  </r>
  <r>
    <x v="30"/>
    <x v="69"/>
    <n v="53544"/>
    <n v="785"/>
    <n v="25328"/>
    <s v="1.47"/>
    <s v="0.00"/>
    <s v="98.53"/>
  </r>
  <r>
    <x v="30"/>
    <x v="70"/>
    <n v="12786"/>
    <n v="155"/>
    <n v="2843"/>
    <s v="1.21"/>
    <s v="0.00"/>
    <s v="98.79"/>
  </r>
  <r>
    <x v="30"/>
    <x v="71"/>
    <n v="682394"/>
    <n v="15210"/>
    <n v="424375"/>
    <s v="2.23"/>
    <s v="0.00"/>
    <s v="97.77"/>
  </r>
  <r>
    <x v="30"/>
    <x v="72"/>
    <n v="581498"/>
    <n v="14118"/>
    <n v="459184"/>
    <s v="2.43"/>
    <s v="0.00"/>
    <s v="97.57"/>
  </r>
  <r>
    <x v="30"/>
    <x v="73"/>
    <n v="6121"/>
    <n v="141"/>
    <n v="2796"/>
    <s v="2.30"/>
    <s v="0.00"/>
    <s v="97.70"/>
  </r>
  <r>
    <x v="30"/>
    <x v="74"/>
    <n v="33823"/>
    <n v="848"/>
    <n v="1912"/>
    <s v="2.51"/>
    <s v="0.00"/>
    <s v="97.49"/>
  </r>
  <r>
    <x v="30"/>
    <x v="75"/>
    <n v="12272"/>
    <n v="213"/>
    <n v="3793"/>
    <s v="1.74"/>
    <s v="0.00"/>
    <s v="98.26"/>
  </r>
  <r>
    <x v="30"/>
    <x v="76"/>
    <n v="370968"/>
    <n v="10044"/>
    <n v="183754"/>
    <s v="2.71"/>
    <s v="0.00"/>
    <s v="97.29"/>
  </r>
  <r>
    <x v="30"/>
    <x v="77"/>
    <n v="419035"/>
    <n v="8802"/>
    <n v="344954"/>
    <s v="2.10"/>
    <s v="0.00"/>
    <s v="97.90"/>
  </r>
  <r>
    <x v="30"/>
    <x v="78"/>
    <n v="22675"/>
    <n v="647"/>
    <n v="4181"/>
    <s v="2.85"/>
    <s v="0.00"/>
    <s v="97.15"/>
  </r>
  <r>
    <x v="30"/>
    <x v="79"/>
    <n v="829911"/>
    <n v="30320"/>
    <n v="751584"/>
    <s v="3.65"/>
    <s v="0.00"/>
    <s v="96.35"/>
  </r>
  <r>
    <x v="30"/>
    <x v="80"/>
    <n v="4229813"/>
    <n v="142763"/>
    <n v="810090"/>
    <s v="3.38"/>
    <s v="0.00"/>
    <s v="96.62"/>
  </r>
  <r>
    <x v="30"/>
    <x v="81"/>
    <n v="405970"/>
    <n v="5280"/>
    <n v="271849"/>
    <s v="1.30"/>
    <s v="0.00"/>
    <s v="98.70"/>
  </r>
  <r>
    <x v="30"/>
    <x v="82"/>
    <n v="1309738"/>
    <n v="7952"/>
    <n v="268798"/>
    <s v="0.61"/>
    <s v="0.00"/>
    <s v="99.39"/>
  </r>
  <r>
    <x v="30"/>
    <x v="83"/>
    <n v="34001743"/>
    <n v="451189"/>
    <n v="851785"/>
    <s v="1.33"/>
    <s v="0.00"/>
    <s v="98.67"/>
  </r>
  <r>
    <x v="30"/>
    <x v="84"/>
    <n v="2026349"/>
    <n v="22620"/>
    <n v="166483"/>
    <s v="1.12"/>
    <s v="0.00"/>
    <s v="98.88"/>
  </r>
  <r>
    <x v="30"/>
    <x v="85"/>
    <n v="5729785"/>
    <n v="123081"/>
    <n v="4619363"/>
    <s v="2.15"/>
    <s v="0.00"/>
    <s v="97.85"/>
  </r>
  <r>
    <x v="30"/>
    <x v="86"/>
    <n v="12287"/>
    <n v="33"/>
    <n v="5815"/>
    <s v="0.27"/>
    <s v="0.00"/>
    <s v="99.73"/>
  </r>
  <r>
    <x v="30"/>
    <x v="87"/>
    <n v="4704318"/>
    <n v="131384"/>
    <n v="2350184"/>
    <s v="2.79"/>
    <s v="0.00"/>
    <s v="97.21"/>
  </r>
  <r>
    <x v="30"/>
    <x v="88"/>
    <n v="86456"/>
    <n v="2034"/>
    <n v="32205"/>
    <s v="2.35"/>
    <s v="0.00"/>
    <s v="97.65"/>
  </r>
  <r>
    <x v="30"/>
    <x v="89"/>
    <n v="835969"/>
    <n v="10827"/>
    <n v="393929"/>
    <s v="1.30"/>
    <s v="0.00"/>
    <s v="98.70"/>
  </r>
  <r>
    <x v="30"/>
    <x v="91"/>
    <n v="251313"/>
    <n v="5195"/>
    <n v="2695"/>
    <s v="2.07"/>
    <s v="0.00"/>
    <s v="97.93"/>
  </r>
  <r>
    <x v="30"/>
    <x v="90"/>
    <n v="1712740"/>
    <n v="17999"/>
    <n v="324318"/>
    <s v="1.05"/>
    <s v="0.00"/>
    <s v="98.95"/>
  </r>
  <r>
    <x v="30"/>
    <x v="92"/>
    <n v="179429"/>
    <n v="2622"/>
    <n v="34756"/>
    <s v="1.46"/>
    <s v="0.00"/>
    <s v="98.54"/>
  </r>
  <r>
    <x v="30"/>
    <x v="94"/>
    <n v="2"/>
    <n v="0"/>
    <n v="2"/>
    <s v="0.00"/>
    <s v="0.00"/>
    <s v="100.00"/>
  </r>
  <r>
    <x v="30"/>
    <x v="93"/>
    <n v="115335"/>
    <n v="2544"/>
    <n v="83260"/>
    <s v="2.21"/>
    <s v="0.00"/>
    <s v="97.79"/>
  </r>
  <r>
    <x v="30"/>
    <x v="95"/>
    <n v="4169"/>
    <n v="147"/>
    <n v="2603"/>
    <s v="3.53"/>
    <s v="0.00"/>
    <s v="96.47"/>
  </r>
  <r>
    <x v="30"/>
    <x v="96"/>
    <n v="2435"/>
    <n v="20"/>
    <n v="752"/>
    <s v="0.82"/>
    <s v="0.00"/>
    <s v="99.18"/>
  </r>
  <r>
    <x v="30"/>
    <x v="97"/>
    <n v="335742"/>
    <n v="2605"/>
    <n v="98263"/>
    <s v="0.78"/>
    <s v="0.00"/>
    <s v="99.22"/>
  </r>
  <r>
    <x v="30"/>
    <x v="98"/>
    <n v="412158"/>
    <n v="2455"/>
    <n v="103724"/>
    <s v="0.60"/>
    <s v="0.00"/>
    <s v="99.40"/>
  </r>
  <r>
    <x v="30"/>
    <x v="99"/>
    <n v="986281"/>
    <n v="16509"/>
    <n v="70627"/>
    <s v="1.67"/>
    <s v="0.00"/>
    <s v="98.33"/>
  </r>
  <r>
    <x v="30"/>
    <x v="100"/>
    <n v="29398"/>
    <n v="33"/>
    <n v="19206"/>
    <s v="0.11"/>
    <s v="0.00"/>
    <s v="99.89"/>
  </r>
  <r>
    <x v="30"/>
    <x v="101"/>
    <n v="630950"/>
    <n v="8394"/>
    <n v="405888"/>
    <s v="1.33"/>
    <s v="0.00"/>
    <s v="98.67"/>
  </r>
  <r>
    <x v="30"/>
    <x v="102"/>
    <n v="12054"/>
    <n v="231"/>
    <n v="5881"/>
    <s v="1.92"/>
    <s v="0.00"/>
    <s v="98.08"/>
  </r>
  <r>
    <x v="30"/>
    <x v="103"/>
    <n v="3572"/>
    <n v="60"/>
    <n v="2315"/>
    <s v="1.68"/>
    <s v="0.00"/>
    <s v="98.32"/>
  </r>
  <r>
    <x v="30"/>
    <x v="104"/>
    <n v="527735"/>
    <n v="13377"/>
    <n v="375074"/>
    <s v="2.53"/>
    <s v="0.00"/>
    <s v="97.47"/>
  </r>
  <r>
    <x v="30"/>
    <x v="105"/>
    <n v="5802"/>
    <n v="286"/>
    <n v="602"/>
    <s v="4.93"/>
    <s v="0.00"/>
    <s v="95.07"/>
  </r>
  <r>
    <x v="30"/>
    <x v="106"/>
    <n v="21481"/>
    <n v="653"/>
    <n v="6147"/>
    <s v="3.04"/>
    <s v="0.00"/>
    <s v="96.96"/>
  </r>
  <r>
    <x v="30"/>
    <x v="107"/>
    <n v="355061"/>
    <n v="5282"/>
    <n v="112041"/>
    <s v="1.49"/>
    <s v="0.00"/>
    <s v="98.51"/>
  </r>
  <r>
    <x v="30"/>
    <x v="108"/>
    <n v="79300"/>
    <n v="837"/>
    <n v="28231"/>
    <s v="1.06"/>
    <s v="0.00"/>
    <s v="98.94"/>
  </r>
  <r>
    <x v="30"/>
    <x v="109"/>
    <n v="173654"/>
    <n v="2819"/>
    <n v="153432"/>
    <s v="1.62"/>
    <s v="0.00"/>
    <s v="98.38"/>
  </r>
  <r>
    <x v="30"/>
    <x v="110"/>
    <n v="347364"/>
    <n v="4808"/>
    <n v="140534"/>
    <s v="1.38"/>
    <s v="0.00"/>
    <s v="98.62"/>
  </r>
  <r>
    <x v="30"/>
    <x v="111"/>
    <n v="939922"/>
    <n v="14485"/>
    <n v="212417"/>
    <s v="1.54"/>
    <s v="0.00"/>
    <s v="98.46"/>
  </r>
  <r>
    <x v="30"/>
    <x v="112"/>
    <n v="3337"/>
    <n v="35"/>
    <n v="394"/>
    <s v="1.05"/>
    <s v="0.00"/>
    <s v="98.95"/>
  </r>
  <r>
    <x v="30"/>
    <x v="113"/>
    <n v="308724"/>
    <n v="7076"/>
    <n v="232191"/>
    <s v="2.29"/>
    <s v="0.00"/>
    <s v="97.71"/>
  </r>
  <r>
    <x v="30"/>
    <x v="114"/>
    <n v="135981"/>
    <n v="2000"/>
    <n v="96416"/>
    <s v="1.47"/>
    <s v="0.00"/>
    <s v="98.53"/>
  </r>
  <r>
    <x v="30"/>
    <x v="115"/>
    <n v="3819"/>
    <n v="55"/>
    <n v="983"/>
    <s v="1.44"/>
    <s v="0.00"/>
    <s v="98.56"/>
  </r>
  <r>
    <x v="30"/>
    <x v="116"/>
    <n v="43610"/>
    <n v="960"/>
    <n v="19984"/>
    <s v="2.20"/>
    <s v="0.00"/>
    <s v="97.80"/>
  </r>
  <r>
    <x v="30"/>
    <x v="117"/>
    <n v="4"/>
    <n v="0"/>
    <n v="2"/>
    <s v="0.00"/>
    <s v="0.00"/>
    <s v="100.00"/>
  </r>
  <r>
    <x v="30"/>
    <x v="118"/>
    <n v="195132"/>
    <n v="6855"/>
    <n v="100357"/>
    <s v="3.51"/>
    <s v="0.00"/>
    <s v="96.49"/>
  </r>
  <r>
    <x v="30"/>
    <x v="119"/>
    <n v="15511"/>
    <n v="554"/>
    <n v="4368"/>
    <s v="3.57"/>
    <s v="0.00"/>
    <s v="96.43"/>
  </r>
  <r>
    <x v="30"/>
    <x v="120"/>
    <n v="481230"/>
    <n v="18188"/>
    <n v="160548"/>
    <s v="3.78"/>
    <s v="0.00"/>
    <s v="96.22"/>
  </r>
  <r>
    <x v="30"/>
    <x v="121"/>
    <n v="330869"/>
    <n v="1482"/>
    <n v="328876"/>
    <s v="0.45"/>
    <s v="0.00"/>
    <s v="99.55"/>
  </r>
  <r>
    <x v="30"/>
    <x v="122"/>
    <n v="77"/>
    <n v="0"/>
    <n v="53"/>
    <s v="0.00"/>
    <s v="0.00"/>
    <s v="100.00"/>
  </r>
  <r>
    <x v="30"/>
    <x v="123"/>
    <n v="41846"/>
    <n v="645"/>
    <n v="5864"/>
    <s v="1.54"/>
    <s v="0.00"/>
    <s v="98.46"/>
  </r>
  <r>
    <x v="30"/>
    <x v="124"/>
    <n v="36465"/>
    <n v="785"/>
    <n v="7675"/>
    <s v="2.15"/>
    <s v="0.00"/>
    <s v="97.85"/>
  </r>
  <r>
    <x v="30"/>
    <x v="125"/>
    <n v="37375"/>
    <n v="459"/>
    <n v="14100"/>
    <s v="1.23"/>
    <s v="0.00"/>
    <s v="98.77"/>
  </r>
  <r>
    <x v="30"/>
    <x v="126"/>
    <n v="16437"/>
    <n v="115"/>
    <n v="3980"/>
    <s v="0.70"/>
    <s v="0.00"/>
    <s v="99.30"/>
  </r>
  <r>
    <x v="30"/>
    <x v="127"/>
    <n v="85732"/>
    <n v="235"/>
    <n v="10819"/>
    <s v="0.27"/>
    <s v="0.00"/>
    <s v="99.73"/>
  </r>
  <r>
    <x v="30"/>
    <x v="128"/>
    <n v="61694"/>
    <n v="2292"/>
    <n v="36736"/>
    <s v="3.72"/>
    <s v="0.00"/>
    <s v="96.28"/>
  </r>
  <r>
    <x v="30"/>
    <x v="129"/>
    <n v="3732429"/>
    <n v="282773"/>
    <n v="1073705"/>
    <s v="7.58"/>
    <s v="0.00"/>
    <s v="92.42"/>
  </r>
  <r>
    <x v="30"/>
    <x v="130"/>
    <n v="2353579"/>
    <n v="27525"/>
    <n v="126902"/>
    <s v="1.17"/>
    <s v="0.00"/>
    <s v="98.83"/>
  </r>
  <r>
    <x v="30"/>
    <x v="131"/>
    <n v="151018"/>
    <n v="1924"/>
    <n v="134262"/>
    <s v="1.27"/>
    <s v="0.00"/>
    <s v="98.73"/>
  </r>
  <r>
    <x v="30"/>
    <x v="132"/>
    <n v="128167"/>
    <n v="3527"/>
    <n v="24550"/>
    <s v="2.75"/>
    <s v="0.00"/>
    <s v="97.25"/>
  </r>
  <r>
    <x v="30"/>
    <x v="133"/>
    <n v="9417"/>
    <n v="209"/>
    <n v="5633"/>
    <s v="2.22"/>
    <s v="0.00"/>
    <s v="97.78"/>
  </r>
  <r>
    <x v="30"/>
    <x v="134"/>
    <n v="6122"/>
    <n v="204"/>
    <n v="4892"/>
    <s v="3.33"/>
    <s v="0.00"/>
    <s v="96.67"/>
  </r>
  <r>
    <x v="30"/>
    <x v="135"/>
    <n v="207979"/>
    <n v="2756"/>
    <n v="147360"/>
    <s v="1.33"/>
    <s v="0.00"/>
    <s v="98.67"/>
  </r>
  <r>
    <x v="30"/>
    <x v="136"/>
    <n v="15737"/>
    <n v="206"/>
    <n v="11468"/>
    <s v="1.31"/>
    <s v="0.00"/>
    <s v="98.69"/>
  </r>
  <r>
    <x v="30"/>
    <x v="137"/>
    <n v="2068483"/>
    <n v="18643"/>
    <n v="1149106"/>
    <s v="0.90"/>
    <s v="0.00"/>
    <s v="99.10"/>
  </r>
  <r>
    <x v="30"/>
    <x v="138"/>
    <n v="194630"/>
    <n v="871"/>
    <n v="129378"/>
    <s v="0.45"/>
    <s v="0.00"/>
    <s v="99.55"/>
  </r>
  <r>
    <x v="30"/>
    <x v="139"/>
    <n v="803552"/>
    <n v="11257"/>
    <n v="652167"/>
    <s v="1.40"/>
    <s v="0.00"/>
    <s v="98.60"/>
  </r>
  <r>
    <x v="30"/>
    <x v="140"/>
    <n v="4760"/>
    <n v="28"/>
    <n v="3706"/>
    <s v="0.59"/>
    <s v="0.00"/>
    <s v="99.41"/>
  </r>
  <r>
    <x v="30"/>
    <x v="141"/>
    <n v="303999"/>
    <n v="4103"/>
    <n v="179727"/>
    <s v="1.35"/>
    <s v="0.00"/>
    <s v="98.65"/>
  </r>
  <r>
    <x v="30"/>
    <x v="142"/>
    <n v="469440"/>
    <n v="7275"/>
    <n v="399529"/>
    <s v="1.55"/>
    <s v="0.00"/>
    <s v="98.45"/>
  </r>
  <r>
    <x v="30"/>
    <x v="143"/>
    <n v="2185355"/>
    <n v="199727"/>
    <n v="739764"/>
    <s v="9.14"/>
    <s v="0.00"/>
    <s v="90.86"/>
  </r>
  <r>
    <x v="30"/>
    <x v="144"/>
    <n v="45359"/>
    <n v="629"/>
    <n v="21016"/>
    <s v="1.39"/>
    <s v="0.00"/>
    <s v="98.61"/>
  </r>
  <r>
    <x v="30"/>
    <x v="145"/>
    <n v="23365"/>
    <n v="252"/>
    <n v="3279"/>
    <s v="1.08"/>
    <s v="0.00"/>
    <s v="98.92"/>
  </r>
  <r>
    <x v="30"/>
    <x v="147"/>
    <n v="1260669"/>
    <n v="28173"/>
    <n v="939313"/>
    <s v="2.23"/>
    <s v="0.00"/>
    <s v="97.77"/>
  </r>
  <r>
    <x v="30"/>
    <x v="146"/>
    <n v="2683372"/>
    <n v="39896"/>
    <n v="1518825"/>
    <s v="1.49"/>
    <s v="0.00"/>
    <s v="98.51"/>
  </r>
  <r>
    <x v="30"/>
    <x v="148"/>
    <n v="2925425"/>
    <n v="75918"/>
    <n v="127444"/>
    <s v="2.60"/>
    <s v="0.00"/>
    <s v="97.40"/>
  </r>
  <r>
    <x v="30"/>
    <x v="149"/>
    <n v="444729"/>
    <n v="4521"/>
    <n v="248866"/>
    <s v="1.02"/>
    <s v="0.00"/>
    <s v="98.98"/>
  </r>
  <r>
    <x v="30"/>
    <x v="150"/>
    <n v="1076358"/>
    <n v="18056"/>
    <n v="628079"/>
    <s v="1.68"/>
    <s v="0.00"/>
    <s v="98.32"/>
  </r>
  <r>
    <x v="30"/>
    <x v="151"/>
    <n v="5"/>
    <n v="0"/>
    <n v="0"/>
    <s v="0.00"/>
    <s v="0.00"/>
    <s v="100.00"/>
  </r>
  <r>
    <x v="30"/>
    <x v="152"/>
    <n v="460244"/>
    <n v="16207"/>
    <n v="308346"/>
    <s v="3.52"/>
    <s v="0.00"/>
    <s v="96.48"/>
  </r>
  <r>
    <x v="30"/>
    <x v="153"/>
    <n v="237579"/>
    <n v="607"/>
    <n v="39361"/>
    <s v="0.26"/>
    <s v="0.00"/>
    <s v="99.74"/>
  </r>
  <r>
    <x v="30"/>
    <x v="154"/>
    <n v="54024"/>
    <n v="370"/>
    <n v="50655"/>
    <s v="0.68"/>
    <s v="0.00"/>
    <s v="99.32"/>
  </r>
  <r>
    <x v="30"/>
    <x v="155"/>
    <n v="1382531"/>
    <n v="40071"/>
    <n v="686315"/>
    <s v="2.90"/>
    <s v="0.00"/>
    <s v="97.10"/>
  </r>
  <r>
    <x v="30"/>
    <x v="156"/>
    <n v="1017798"/>
    <n v="8841"/>
    <n v="427184"/>
    <s v="0.87"/>
    <s v="0.00"/>
    <s v="99.13"/>
  </r>
  <r>
    <x v="30"/>
    <x v="157"/>
    <n v="7714973"/>
    <n v="214476"/>
    <n v="5256040"/>
    <s v="2.78"/>
    <s v="0.00"/>
    <s v="97.22"/>
  </r>
  <r>
    <x v="30"/>
    <x v="158"/>
    <n v="98840"/>
    <n v="1311"/>
    <n v="51670"/>
    <s v="1.33"/>
    <s v="0.00"/>
    <s v="98.67"/>
  </r>
  <r>
    <x v="30"/>
    <x v="159"/>
    <n v="547704"/>
    <n v="8751"/>
    <n v="194584"/>
    <s v="1.60"/>
    <s v="0.00"/>
    <s v="98.40"/>
  </r>
  <r>
    <x v="30"/>
    <x v="160"/>
    <n v="20"/>
    <n v="0"/>
    <n v="13"/>
    <s v="0.00"/>
    <s v="0.00"/>
    <s v="100.00"/>
  </r>
  <r>
    <x v="30"/>
    <x v="161"/>
    <n v="21799"/>
    <n v="118"/>
    <n v="18197"/>
    <s v="0.54"/>
    <s v="0.00"/>
    <s v="99.46"/>
  </r>
  <r>
    <x v="30"/>
    <x v="162"/>
    <n v="38884"/>
    <n v="2955"/>
    <n v="32904"/>
    <s v="7.60"/>
    <s v="0.00"/>
    <s v="92.40"/>
  </r>
  <r>
    <x v="30"/>
    <x v="163"/>
    <n v="1159560"/>
    <n v="14920"/>
    <n v="772396"/>
    <s v="1.29"/>
    <s v="0.00"/>
    <s v="98.71"/>
  </r>
  <r>
    <x v="30"/>
    <x v="164"/>
    <n v="132205"/>
    <n v="183"/>
    <n v="87507"/>
    <s v="0.14"/>
    <s v="0.00"/>
    <s v="99.86"/>
  </r>
  <r>
    <x v="30"/>
    <x v="165"/>
    <n v="302654"/>
    <n v="4618"/>
    <n v="166376"/>
    <s v="1.53"/>
    <s v="0.00"/>
    <s v="98.47"/>
  </r>
  <r>
    <x v="30"/>
    <x v="166"/>
    <n v="427480"/>
    <n v="12752"/>
    <n v="31947"/>
    <s v="2.98"/>
    <s v="0.00"/>
    <s v="97.02"/>
  </r>
  <r>
    <x v="30"/>
    <x v="167"/>
    <n v="6396"/>
    <n v="121"/>
    <n v="491"/>
    <s v="1.89"/>
    <s v="0.00"/>
    <s v="98.11"/>
  </r>
  <r>
    <x v="30"/>
    <x v="168"/>
    <n v="5470"/>
    <n v="91"/>
    <n v="3853"/>
    <s v="1.66"/>
    <s v="0.00"/>
    <s v="98.34"/>
  </r>
  <r>
    <x v="30"/>
    <x v="169"/>
    <n v="73842"/>
    <n v="1868"/>
    <n v="47716"/>
    <s v="2.53"/>
    <s v="0.00"/>
    <s v="97.47"/>
  </r>
  <r>
    <x v="30"/>
    <x v="170"/>
    <n v="21269"/>
    <n v="1180"/>
    <n v="2638"/>
    <s v="5.55"/>
    <s v="0.00"/>
    <s v="94.45"/>
  </r>
  <r>
    <x v="30"/>
    <x v="171"/>
    <n v="44873"/>
    <n v="974"/>
    <n v="29907"/>
    <s v="2.17"/>
    <s v="0.00"/>
    <s v="97.83"/>
  </r>
  <r>
    <x v="30"/>
    <x v="173"/>
    <n v="3639"/>
    <n v="56"/>
    <n v="471"/>
    <s v="1.54"/>
    <s v="0.00"/>
    <s v="98.46"/>
  </r>
  <r>
    <x v="30"/>
    <x v="172"/>
    <n v="12134"/>
    <n v="130"/>
    <n v="5327"/>
    <s v="1.07"/>
    <s v="0.00"/>
    <s v="98.93"/>
  </r>
  <r>
    <x v="30"/>
    <x v="174"/>
    <n v="107664"/>
    <n v="3405"/>
    <n v="24822"/>
    <s v="3.16"/>
    <s v="0.00"/>
    <s v="96.84"/>
  </r>
  <r>
    <x v="30"/>
    <x v="175"/>
    <n v="37509"/>
    <n v="2358"/>
    <n v="21030"/>
    <s v="6.29"/>
    <s v="0.00"/>
    <s v="93.71"/>
  </r>
  <r>
    <x v="30"/>
    <x v="176"/>
    <n v="46313"/>
    <n v="1230"/>
    <n v="16875"/>
    <s v="2.66"/>
    <s v="0.00"/>
    <s v="97.34"/>
  </r>
  <r>
    <x v="30"/>
    <x v="177"/>
    <n v="5061"/>
    <n v="174"/>
    <n v="1135"/>
    <s v="3.44"/>
    <s v="0.00"/>
    <s v="96.56"/>
  </r>
  <r>
    <x v="30"/>
    <x v="178"/>
    <n v="25807"/>
    <n v="237"/>
    <n v="7292"/>
    <s v="0.92"/>
    <s v="0.00"/>
    <s v="99.08"/>
  </r>
  <r>
    <x v="30"/>
    <x v="179"/>
    <n v="1730364"/>
    <n v="17835"/>
    <n v="1492155"/>
    <s v="1.03"/>
    <s v="0.00"/>
    <s v="98.97"/>
  </r>
  <r>
    <x v="30"/>
    <x v="180"/>
    <n v="17484"/>
    <n v="125"/>
    <n v="14536"/>
    <s v="0.71"/>
    <s v="0.00"/>
    <s v="99.29"/>
  </r>
  <r>
    <x v="30"/>
    <x v="181"/>
    <n v="19681"/>
    <n v="119"/>
    <n v="10013"/>
    <s v="0.60"/>
    <s v="0.00"/>
    <s v="99.40"/>
  </r>
  <r>
    <x v="30"/>
    <x v="182"/>
    <n v="710096"/>
    <n v="25046"/>
    <n v="5920"/>
    <s v="3.53"/>
    <s v="0.00"/>
    <s v="96.47"/>
  </r>
  <r>
    <x v="30"/>
    <x v="184"/>
    <n v="7508945"/>
    <n v="66605"/>
    <n v="3697071"/>
    <s v="0.89"/>
    <s v="0.00"/>
    <s v="99.11"/>
  </r>
  <r>
    <x v="30"/>
    <x v="185"/>
    <n v="52999"/>
    <n v="1566"/>
    <n v="37279"/>
    <s v="2.95"/>
    <s v="0.00"/>
    <s v="97.05"/>
  </r>
  <r>
    <x v="30"/>
    <x v="186"/>
    <n v="16309"/>
    <n v="846"/>
    <n v="12302"/>
    <s v="5.19"/>
    <s v="0.00"/>
    <s v="94.81"/>
  </r>
  <r>
    <x v="30"/>
    <x v="187"/>
    <n v="26034"/>
    <n v="724"/>
    <n v="4700"/>
    <s v="2.78"/>
    <s v="0.00"/>
    <s v="97.22"/>
  </r>
  <r>
    <x v="30"/>
    <x v="188"/>
    <n v="2680076"/>
    <n v="62921"/>
    <n v="276389"/>
    <s v="2.35"/>
    <s v="0.00"/>
    <s v="97.65"/>
  </r>
  <r>
    <x v="30"/>
    <x v="189"/>
    <n v="124808"/>
    <n v="3179"/>
    <n v="81411"/>
    <s v="2.55"/>
    <s v="0.00"/>
    <s v="97.45"/>
  </r>
  <r>
    <x v="30"/>
    <x v="190"/>
    <n v="44562693"/>
    <n v="716777"/>
    <n v="6091113"/>
    <s v="1.61"/>
    <s v="0.00"/>
    <s v="98.39"/>
  </r>
  <r>
    <x v="30"/>
    <x v="191"/>
    <n v="390234"/>
    <n v="6064"/>
    <n v="21669"/>
    <s v="1.55"/>
    <s v="0.00"/>
    <s v="98.45"/>
  </r>
  <r>
    <x v="30"/>
    <x v="192"/>
    <n v="178986"/>
    <n v="1273"/>
    <n v="33807"/>
    <s v="0.71"/>
    <s v="0.00"/>
    <s v="99.29"/>
  </r>
  <r>
    <x v="30"/>
    <x v="194"/>
    <n v="4096"/>
    <n v="38"/>
    <n v="1746"/>
    <s v="0.93"/>
    <s v="0.00"/>
    <s v="99.07"/>
  </r>
  <r>
    <x v="30"/>
    <x v="193"/>
    <n v="27"/>
    <n v="0"/>
    <n v="13"/>
    <s v="0.00"/>
    <s v="0.00"/>
    <s v="100.00"/>
  </r>
  <r>
    <x v="30"/>
    <x v="195"/>
    <n v="384668"/>
    <n v="4634"/>
    <n v="72094"/>
    <s v="1.20"/>
    <s v="0.00"/>
    <s v="98.80"/>
  </r>
  <r>
    <x v="30"/>
    <x v="196"/>
    <n v="846230"/>
    <n v="20763"/>
    <n v="814720"/>
    <s v="2.45"/>
    <s v="0.00"/>
    <s v="97.55"/>
  </r>
  <r>
    <x v="30"/>
    <x v="197"/>
    <n v="4"/>
    <n v="1"/>
    <n v="2"/>
    <s v="25.00"/>
    <s v="0.00"/>
    <s v="75.00"/>
  </r>
  <r>
    <x v="30"/>
    <x v="198"/>
    <n v="3"/>
    <n v="0"/>
    <n v="2"/>
    <s v="0.00"/>
    <s v="0.00"/>
    <s v="100.00"/>
  </r>
  <r>
    <x v="30"/>
    <x v="199"/>
    <n v="160435"/>
    <n v="2972"/>
    <n v="93598"/>
    <s v="1.85"/>
    <s v="0.00"/>
    <s v="98.15"/>
  </r>
  <r>
    <x v="30"/>
    <x v="200"/>
    <n v="9412"/>
    <n v="1787"/>
    <n v="5930"/>
    <s v="18.99"/>
    <s v="0.00"/>
    <s v="81.01"/>
  </r>
  <r>
    <x v="30"/>
    <x v="201"/>
    <n v="20397"/>
    <n v="180"/>
    <n v="19999"/>
    <s v="0.88"/>
    <s v="0.00"/>
    <s v="99.12"/>
  </r>
  <r>
    <x v="30"/>
    <x v="202"/>
    <n v="2912938"/>
    <n v="88429"/>
    <n v="2509913"/>
    <s v="3.04"/>
    <s v="0.00"/>
    <s v="96.96"/>
  </r>
  <r>
    <x v="30"/>
    <x v="203"/>
    <n v="209396"/>
    <n v="3654"/>
    <n v="159609"/>
    <s v="1.75"/>
    <s v="0.00"/>
    <s v="98.25"/>
  </r>
  <r>
    <x v="30"/>
    <x v="204"/>
    <n v="132016"/>
    <n v="4645"/>
    <n v="7748"/>
    <s v="3.52"/>
    <s v="0.00"/>
    <s v="96.48"/>
  </r>
  <r>
    <x v="30"/>
    <x v="205"/>
    <n v="721"/>
    <n v="15"/>
    <n v="463"/>
    <s v="2.08"/>
    <s v="0.00"/>
    <s v="97.9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372">
  <r>
    <x v="0"/>
    <x v="0"/>
    <n v="15744"/>
    <n v="130"/>
    <n v="11614"/>
    <s v="0.83"/>
    <s v="0.00"/>
    <s v="99.17"/>
  </r>
  <r>
    <x v="0"/>
    <x v="1"/>
    <n v="740647"/>
    <n v="2142"/>
    <n v="425987"/>
    <s v="0.29"/>
    <s v="0.00"/>
    <s v="99.71"/>
  </r>
  <r>
    <x v="0"/>
    <x v="2"/>
    <n v="156414"/>
    <n v="7291"/>
    <n v="68377"/>
    <s v="4.66"/>
    <s v="0.00"/>
    <s v="95.34"/>
  </r>
  <r>
    <x v="0"/>
    <x v="3"/>
    <n v="4102"/>
    <n v="105"/>
    <n v="152"/>
    <s v="2.56"/>
    <s v="0.00"/>
    <s v="97.44"/>
  </r>
  <r>
    <x v="0"/>
    <x v="4"/>
    <n v="190815"/>
    <n v="2975"/>
    <n v="56272"/>
    <s v="1.56"/>
    <s v="0.00"/>
    <s v="98.44"/>
  </r>
  <r>
    <x v="0"/>
    <x v="5"/>
    <n v="324039"/>
    <n v="6831"/>
    <n v="202801"/>
    <s v="2.11"/>
    <s v="0.00"/>
    <s v="97.89"/>
  </r>
  <r>
    <x v="0"/>
    <x v="6"/>
    <n v="64815"/>
    <n v="1723"/>
    <n v="58927"/>
    <s v="2.66"/>
    <s v="0.00"/>
    <s v="97.34"/>
  </r>
  <r>
    <x v="0"/>
    <x v="7"/>
    <n v="5300985"/>
    <n v="116184"/>
    <n v="3376917"/>
    <s v="2.19"/>
    <s v="0.00"/>
    <s v="97.81"/>
  </r>
  <r>
    <x v="0"/>
    <x v="8"/>
    <n v="911175"/>
    <n v="11577"/>
    <n v="517627"/>
    <s v="1.27"/>
    <s v="0.00"/>
    <s v="98.73"/>
  </r>
  <r>
    <x v="0"/>
    <x v="9"/>
    <n v="185627"/>
    <n v="1862"/>
    <n v="9339"/>
    <s v="1.00"/>
    <s v="0.00"/>
    <s v="99.00"/>
  </r>
  <r>
    <x v="0"/>
    <x v="10"/>
    <n v="552322"/>
    <n v="7342"/>
    <n v="16354"/>
    <s v="1.33"/>
    <s v="0.00"/>
    <s v="98.67"/>
  </r>
  <r>
    <x v="0"/>
    <x v="11"/>
    <n v="261799"/>
    <n v="11891"/>
    <n v="41041"/>
    <s v="4.54"/>
    <s v="0.00"/>
    <s v="95.46"/>
  </r>
  <r>
    <x v="0"/>
    <x v="12"/>
    <n v="21011"/>
    <n v="187"/>
    <n v="16800"/>
    <s v="0.89"/>
    <s v="0.00"/>
    <s v="99.11"/>
  </r>
  <r>
    <x v="0"/>
    <x v="13"/>
    <n v="1571669"/>
    <n v="27906"/>
    <n v="39407"/>
    <s v="1.78"/>
    <s v="0.00"/>
    <s v="98.22"/>
  </r>
  <r>
    <x v="0"/>
    <x v="14"/>
    <n v="1463548"/>
    <n v="26261"/>
    <n v="812843"/>
    <s v="1.79"/>
    <s v="0.00"/>
    <s v="98.21"/>
  </r>
  <r>
    <x v="0"/>
    <x v="15"/>
    <n v="15281"/>
    <n v="234"/>
    <n v="7930"/>
    <s v="1.53"/>
    <s v="0.00"/>
    <s v="98.47"/>
  </r>
  <r>
    <x v="0"/>
    <x v="16"/>
    <n v="646856"/>
    <n v="25754"/>
    <n v="451358"/>
    <s v="3.98"/>
    <s v="0.00"/>
    <s v="96.02"/>
  </r>
  <r>
    <x v="0"/>
    <x v="17"/>
    <n v="277138"/>
    <n v="1393"/>
    <n v="67115"/>
    <s v="0.50"/>
    <s v="0.00"/>
    <s v="99.50"/>
  </r>
  <r>
    <x v="0"/>
    <x v="18"/>
    <n v="20200"/>
    <n v="38"/>
    <n v="5792"/>
    <s v="0.19"/>
    <s v="0.00"/>
    <s v="99.81"/>
  </r>
  <r>
    <x v="0"/>
    <x v="19"/>
    <n v="24833"/>
    <n v="161"/>
    <n v="23695"/>
    <s v="0.65"/>
    <s v="0.00"/>
    <s v="99.35"/>
  </r>
  <r>
    <x v="0"/>
    <x v="20"/>
    <n v="1661"/>
    <n v="6"/>
    <n v="1107"/>
    <s v="0.36"/>
    <s v="0.00"/>
    <s v="99.64"/>
  </r>
  <r>
    <x v="0"/>
    <x v="21"/>
    <n v="13962"/>
    <n v="93"/>
    <n v="11689"/>
    <s v="0.67"/>
    <s v="0.00"/>
    <s v="99.33"/>
  </r>
  <r>
    <x v="0"/>
    <x v="22"/>
    <n v="520553"/>
    <n v="18985"/>
    <n v="178630"/>
    <s v="3.65"/>
    <s v="0.00"/>
    <s v="96.35"/>
  </r>
  <r>
    <x v="0"/>
    <x v="23"/>
    <n v="21909298"/>
    <n v="610036"/>
    <n v="21875"/>
    <s v="2.78"/>
    <s v="0.00"/>
    <s v="97.22"/>
  </r>
  <r>
    <x v="0"/>
    <x v="24"/>
    <n v="22544"/>
    <n v="661"/>
    <n v="20864"/>
    <s v="2.93"/>
    <s v="0.00"/>
    <s v="97.07"/>
  </r>
  <r>
    <x v="0"/>
    <x v="25"/>
    <n v="2623"/>
    <n v="3"/>
    <n v="376"/>
    <s v="0.11"/>
    <s v="0.00"/>
    <s v="99.89"/>
  </r>
  <r>
    <x v="0"/>
    <x v="26"/>
    <n v="193449"/>
    <n v="2409"/>
    <n v="158724"/>
    <s v="1.25"/>
    <s v="0.00"/>
    <s v="98.75"/>
  </r>
  <r>
    <x v="0"/>
    <x v="27"/>
    <n v="619708"/>
    <n v="4789"/>
    <n v="233206"/>
    <s v="0.77"/>
    <s v="0.00"/>
    <s v="99.23"/>
  </r>
  <r>
    <x v="0"/>
    <x v="28"/>
    <n v="28568"/>
    <n v="530"/>
    <n v="4200"/>
    <s v="1.86"/>
    <s v="0.00"/>
    <s v="98.14"/>
  </r>
  <r>
    <x v="0"/>
    <x v="29"/>
    <n v="1748359"/>
    <n v="29303"/>
    <n v="1459174"/>
    <s v="1.68"/>
    <s v="0.00"/>
    <s v="98.32"/>
  </r>
  <r>
    <x v="0"/>
    <x v="30"/>
    <n v="57662"/>
    <n v="1099"/>
    <n v="11678"/>
    <s v="1.91"/>
    <s v="0.00"/>
    <s v="98.09"/>
  </r>
  <r>
    <x v="0"/>
    <x v="31"/>
    <n v="11579"/>
    <n v="100"/>
    <n v="6983"/>
    <s v="0.86"/>
    <s v="0.00"/>
    <s v="99.14"/>
  </r>
  <r>
    <x v="0"/>
    <x v="32"/>
    <n v="18153"/>
    <n v="309"/>
    <n v="6683"/>
    <s v="1.70"/>
    <s v="0.00"/>
    <s v="98.30"/>
  </r>
  <r>
    <x v="0"/>
    <x v="33"/>
    <n v="901228"/>
    <n v="11306"/>
    <n v="452184"/>
    <s v="1.25"/>
    <s v="0.00"/>
    <s v="98.75"/>
  </r>
  <r>
    <x v="0"/>
    <x v="34"/>
    <n v="61458"/>
    <n v="700"/>
    <n v="46167"/>
    <s v="1.14"/>
    <s v="0.00"/>
    <s v="98.86"/>
  </r>
  <r>
    <x v="0"/>
    <x v="35"/>
    <n v="1715352"/>
    <n v="37895"/>
    <n v="540941"/>
    <s v="2.21"/>
    <s v="0.00"/>
    <s v="97.79"/>
  </r>
  <r>
    <x v="0"/>
    <x v="36"/>
    <n v="105719"/>
    <n v="1758"/>
    <n v="66137"/>
    <s v="1.66"/>
    <s v="0.00"/>
    <s v="98.34"/>
  </r>
  <r>
    <x v="0"/>
    <x v="37"/>
    <n v="98003"/>
    <n v="4636"/>
    <n v="18501"/>
    <s v="4.73"/>
    <s v="0.00"/>
    <s v="95.27"/>
  </r>
  <r>
    <x v="0"/>
    <x v="38"/>
    <n v="5021619"/>
    <n v="127640"/>
    <n v="2026888"/>
    <s v="2.54"/>
    <s v="0.00"/>
    <s v="97.46"/>
  </r>
  <r>
    <x v="0"/>
    <x v="39"/>
    <n v="563290"/>
    <n v="7176"/>
    <n v="174601"/>
    <s v="1.27"/>
    <s v="0.00"/>
    <s v="98.73"/>
  </r>
  <r>
    <x v="0"/>
    <x v="40"/>
    <n v="957332"/>
    <n v="8274"/>
    <n v="255644"/>
    <s v="0.86"/>
    <s v="0.00"/>
    <s v="99.14"/>
  </r>
  <r>
    <x v="0"/>
    <x v="41"/>
    <n v="38278"/>
    <n v="350"/>
    <n v="9187"/>
    <s v="0.91"/>
    <s v="0.00"/>
    <s v="99.09"/>
  </r>
  <r>
    <x v="0"/>
    <x v="42"/>
    <n v="126497"/>
    <n v="577"/>
    <n v="111828"/>
    <s v="0.46"/>
    <s v="0.00"/>
    <s v="99.54"/>
  </r>
  <r>
    <x v="0"/>
    <x v="43"/>
    <n v="1843019"/>
    <n v="31229"/>
    <n v="1140092"/>
    <s v="1.69"/>
    <s v="0.00"/>
    <s v="98.31"/>
  </r>
  <r>
    <x v="0"/>
    <x v="44"/>
    <n v="4908540"/>
    <n v="97203"/>
    <n v="2086522"/>
    <s v="1.98"/>
    <s v="0.00"/>
    <s v="98.02"/>
  </r>
  <r>
    <x v="0"/>
    <x v="45"/>
    <n v="13493"/>
    <n v="186"/>
    <n v="8451"/>
    <s v="1.38"/>
    <s v="0.00"/>
    <s v="98.62"/>
  </r>
  <r>
    <x v="0"/>
    <x v="46"/>
    <n v="411397"/>
    <n v="2745"/>
    <n v="37754"/>
    <s v="0.67"/>
    <s v="0.00"/>
    <s v="99.33"/>
  </r>
  <r>
    <x v="0"/>
    <x v="47"/>
    <n v="5176"/>
    <n v="34"/>
    <n v="3842"/>
    <s v="0.66"/>
    <s v="0.00"/>
    <s v="99.34"/>
  </r>
  <r>
    <x v="0"/>
    <x v="48"/>
    <n v="391104"/>
    <n v="4157"/>
    <n v="224891"/>
    <s v="1.06"/>
    <s v="0.00"/>
    <s v="98.94"/>
  </r>
  <r>
    <x v="0"/>
    <x v="49"/>
    <n v="207509"/>
    <n v="5960"/>
    <n v="159193"/>
    <s v="2.87"/>
    <s v="0.00"/>
    <s v="97.13"/>
  </r>
  <r>
    <x v="0"/>
    <x v="50"/>
    <n v="519560"/>
    <n v="32989"/>
    <n v="416508"/>
    <s v="6.35"/>
    <s v="0.00"/>
    <s v="93.65"/>
  </r>
  <r>
    <x v="0"/>
    <x v="51"/>
    <n v="208326"/>
    <n v="1637"/>
    <n v="68513"/>
    <s v="0.79"/>
    <s v="0.00"/>
    <s v="99.21"/>
  </r>
  <r>
    <x v="0"/>
    <x v="52"/>
    <n v="340269"/>
    <n v="19249"/>
    <n v="117020"/>
    <s v="5.66"/>
    <s v="0.00"/>
    <s v="94.34"/>
  </r>
  <r>
    <x v="0"/>
    <x v="53"/>
    <n v="7003"/>
    <n v="48"/>
    <n v="1114"/>
    <s v="0.69"/>
    <s v="0.00"/>
    <s v="99.31"/>
  </r>
  <r>
    <x v="0"/>
    <x v="54"/>
    <n v="5038517"/>
    <n v="87617"/>
    <n v="3493815"/>
    <s v="1.74"/>
    <s v="0.00"/>
    <s v="98.26"/>
  </r>
  <r>
    <x v="0"/>
    <x v="55"/>
    <n v="367857"/>
    <n v="6572"/>
    <n v="123432"/>
    <s v="1.79"/>
    <s v="0.00"/>
    <s v="98.21"/>
  </r>
  <r>
    <x v="0"/>
    <x v="56"/>
    <n v="166256"/>
    <n v="1212"/>
    <n v="96100"/>
    <s v="0.73"/>
    <s v="0.00"/>
    <s v="99.27"/>
  </r>
  <r>
    <x v="0"/>
    <x v="57"/>
    <n v="52356"/>
    <n v="679"/>
    <n v="9596"/>
    <s v="1.30"/>
    <s v="0.00"/>
    <s v="98.70"/>
  </r>
  <r>
    <x v="0"/>
    <x v="58"/>
    <n v="2778"/>
    <n v="6"/>
    <n v="1616"/>
    <s v="0.22"/>
    <s v="0.00"/>
    <s v="99.78"/>
  </r>
  <r>
    <x v="0"/>
    <x v="59"/>
    <n v="7063280"/>
    <n v="115637"/>
    <n v="2907275"/>
    <s v="1.64"/>
    <s v="0.00"/>
    <s v="98.36"/>
  </r>
  <r>
    <x v="0"/>
    <x v="60"/>
    <n v="36587"/>
    <n v="262"/>
    <n v="28943"/>
    <s v="0.72"/>
    <s v="0.00"/>
    <s v="99.28"/>
  </r>
  <r>
    <x v="0"/>
    <x v="61"/>
    <n v="9445628"/>
    <n v="142674"/>
    <n v="5134546"/>
    <s v="1.51"/>
    <s v="0.00"/>
    <s v="98.49"/>
  </r>
  <r>
    <x v="0"/>
    <x v="62"/>
    <n v="5863"/>
    <n v="200"/>
    <n v="2813"/>
    <s v="3.41"/>
    <s v="0.00"/>
    <s v="96.59"/>
  </r>
  <r>
    <x v="0"/>
    <x v="63"/>
    <n v="771381"/>
    <n v="10739"/>
    <n v="363366"/>
    <s v="1.39"/>
    <s v="0.00"/>
    <s v="98.61"/>
  </r>
  <r>
    <x v="0"/>
    <x v="64"/>
    <n v="45245"/>
    <n v="316"/>
    <n v="7580"/>
    <s v="0.70"/>
    <s v="0.00"/>
    <s v="99.30"/>
  </r>
  <r>
    <x v="0"/>
    <x v="65"/>
    <n v="130608"/>
    <n v="1203"/>
    <n v="34488"/>
    <s v="0.92"/>
    <s v="0.00"/>
    <s v="99.08"/>
  </r>
  <r>
    <x v="0"/>
    <x v="66"/>
    <n v="6256"/>
    <n v="98"/>
    <n v="444"/>
    <s v="1.57"/>
    <s v="0.00"/>
    <s v="98.43"/>
  </r>
  <r>
    <x v="0"/>
    <x v="67"/>
    <n v="9980"/>
    <n v="341"/>
    <n v="7661"/>
    <s v="3.42"/>
    <s v="0.00"/>
    <s v="96.58"/>
  </r>
  <r>
    <x v="0"/>
    <x v="68"/>
    <n v="30709"/>
    <n v="387"/>
    <n v="17331"/>
    <s v="1.26"/>
    <s v="0.00"/>
    <s v="98.74"/>
  </r>
  <r>
    <x v="0"/>
    <x v="69"/>
    <n v="54672"/>
    <n v="822"/>
    <n v="45662"/>
    <s v="1.50"/>
    <s v="0.00"/>
    <s v="98.50"/>
  </r>
  <r>
    <x v="0"/>
    <x v="70"/>
    <n v="13459"/>
    <n v="168"/>
    <n v="7984"/>
    <s v="1.25"/>
    <s v="0.00"/>
    <s v="98.75"/>
  </r>
  <r>
    <x v="0"/>
    <x v="71"/>
    <n v="808297"/>
    <n v="16493"/>
    <n v="280674"/>
    <s v="2.04"/>
    <s v="0.00"/>
    <s v="97.96"/>
  </r>
  <r>
    <x v="0"/>
    <x v="72"/>
    <n v="607497"/>
    <n v="15578"/>
    <n v="5151"/>
    <s v="2.56"/>
    <s v="0.00"/>
    <s v="97.44"/>
  </r>
  <r>
    <x v="0"/>
    <x v="73"/>
    <n v="6203"/>
    <n v="143"/>
    <n v="742"/>
    <s v="2.31"/>
    <s v="0.00"/>
    <s v="97.69"/>
  </r>
  <r>
    <x v="0"/>
    <x v="74"/>
    <n v="36439"/>
    <n v="952"/>
    <n v="34487"/>
    <s v="2.61"/>
    <s v="0.00"/>
    <s v="97.39"/>
  </r>
  <r>
    <x v="0"/>
    <x v="75"/>
    <n v="12374"/>
    <n v="213"/>
    <n v="6621"/>
    <s v="1.72"/>
    <s v="0.00"/>
    <s v="98.28"/>
  </r>
  <r>
    <x v="0"/>
    <x v="76"/>
    <n v="376676"/>
    <n v="10335"/>
    <n v="212824"/>
    <s v="2.74"/>
    <s v="0.00"/>
    <s v="97.26"/>
  </r>
  <r>
    <x v="0"/>
    <x v="77"/>
    <n v="514850"/>
    <n v="9655"/>
    <n v="303289"/>
    <s v="1.88"/>
    <s v="0.00"/>
    <s v="98.12"/>
  </r>
  <r>
    <x v="0"/>
    <x v="78"/>
    <n v="24233"/>
    <n v="702"/>
    <n v="10205"/>
    <s v="2.90"/>
    <s v="0.00"/>
    <s v="97.10"/>
  </r>
  <r>
    <x v="0"/>
    <x v="79"/>
    <n v="923020"/>
    <n v="31619"/>
    <n v="829737"/>
    <s v="3.43"/>
    <s v="0.00"/>
    <s v="96.57"/>
  </r>
  <r>
    <x v="0"/>
    <x v="80"/>
    <n v="4249323"/>
    <n v="143592"/>
    <n v="3665502"/>
    <s v="3.38"/>
    <s v="0.00"/>
    <s v="96.62"/>
  </r>
  <r>
    <x v="0"/>
    <x v="81"/>
    <n v="480846"/>
    <n v="5566"/>
    <n v="449048"/>
    <s v="1.16"/>
    <s v="0.00"/>
    <s v="98.84"/>
  </r>
  <r>
    <x v="0"/>
    <x v="82"/>
    <n v="1335654"/>
    <n v="8133"/>
    <n v="1061326"/>
    <s v="0.61"/>
    <s v="0.00"/>
    <s v="99.39"/>
  </r>
  <r>
    <x v="0"/>
    <x v="83"/>
    <n v="34401670"/>
    <n v="462189"/>
    <n v="2246149"/>
    <s v="1.34"/>
    <s v="0.00"/>
    <s v="98.66"/>
  </r>
  <r>
    <x v="0"/>
    <x v="84"/>
    <n v="2066042"/>
    <n v="23415"/>
    <n v="1167409"/>
    <s v="1.13"/>
    <s v="0.00"/>
    <s v="98.87"/>
  </r>
  <r>
    <x v="0"/>
    <x v="85"/>
    <n v="6012408"/>
    <n v="127686"/>
    <n v="1500473"/>
    <s v="2.12"/>
    <s v="0.00"/>
    <s v="97.88"/>
  </r>
  <r>
    <x v="0"/>
    <x v="86"/>
    <n v="14935"/>
    <n v="34"/>
    <n v="12954"/>
    <s v="0.23"/>
    <s v="0.00"/>
    <s v="99.77"/>
  </r>
  <r>
    <x v="0"/>
    <x v="87"/>
    <n v="4826738"/>
    <n v="132551"/>
    <n v="1808175"/>
    <s v="2.75"/>
    <s v="0.00"/>
    <s v="97.25"/>
  </r>
  <r>
    <x v="0"/>
    <x v="88"/>
    <n v="89818"/>
    <n v="2298"/>
    <n v="70898"/>
    <s v="2.56"/>
    <s v="0.00"/>
    <s v="97.44"/>
  </r>
  <r>
    <x v="0"/>
    <x v="89"/>
    <n v="883446"/>
    <n v="11167"/>
    <n v="201913"/>
    <s v="1.26"/>
    <s v="0.00"/>
    <s v="98.74"/>
  </r>
  <r>
    <x v="0"/>
    <x v="90"/>
    <n v="1724172"/>
    <n v="18315"/>
    <n v="505266"/>
    <s v="1.06"/>
    <s v="0.00"/>
    <s v="98.94"/>
  </r>
  <r>
    <x v="0"/>
    <x v="91"/>
    <n v="254057"/>
    <n v="5314"/>
    <n v="31608"/>
    <s v="2.09"/>
    <s v="0.00"/>
    <s v="97.91"/>
  </r>
  <r>
    <x v="0"/>
    <x v="92"/>
    <n v="182090"/>
    <n v="2697"/>
    <n v="93596"/>
    <s v="1.48"/>
    <s v="0.00"/>
    <s v="98.52"/>
  </r>
  <r>
    <x v="0"/>
    <x v="93"/>
    <n v="119358"/>
    <n v="2850"/>
    <n v="83914"/>
    <s v="2.39"/>
    <s v="0.00"/>
    <s v="97.61"/>
  </r>
  <r>
    <x v="0"/>
    <x v="94"/>
    <n v="2"/>
    <n v="0"/>
    <n v="1"/>
    <s v="0.00"/>
    <s v="0.00"/>
    <s v="100.00"/>
  </r>
  <r>
    <x v="0"/>
    <x v="95"/>
    <n v="4349"/>
    <n v="147"/>
    <n v="483"/>
    <s v="3.38"/>
    <s v="0.00"/>
    <s v="96.62"/>
  </r>
  <r>
    <x v="0"/>
    <x v="96"/>
    <n v="2730"/>
    <n v="27"/>
    <n v="1984"/>
    <s v="0.99"/>
    <s v="0.00"/>
    <s v="99.01"/>
  </r>
  <r>
    <x v="0"/>
    <x v="97"/>
    <n v="388351"/>
    <n v="3033"/>
    <n v="158268"/>
    <s v="0.78"/>
    <s v="0.00"/>
    <s v="99.22"/>
  </r>
  <r>
    <x v="0"/>
    <x v="98"/>
    <n v="412916"/>
    <n v="2462"/>
    <n v="91815"/>
    <s v="0.60"/>
    <s v="0.00"/>
    <s v="99.40"/>
  </r>
  <r>
    <x v="0"/>
    <x v="99"/>
    <n v="1033639"/>
    <n v="17396"/>
    <n v="85858"/>
    <s v="1.68"/>
    <s v="0.00"/>
    <s v="98.32"/>
  </r>
  <r>
    <x v="0"/>
    <x v="100"/>
    <n v="50031"/>
    <n v="91"/>
    <n v="12437"/>
    <s v="0.18"/>
    <s v="0.00"/>
    <s v="99.82"/>
  </r>
  <r>
    <x v="0"/>
    <x v="101"/>
    <n v="648782"/>
    <n v="8561"/>
    <n v="156992"/>
    <s v="1.32"/>
    <s v="0.00"/>
    <s v="98.68"/>
  </r>
  <r>
    <x v="0"/>
    <x v="102"/>
    <n v="12757"/>
    <n v="264"/>
    <n v="12219"/>
    <s v="2.07"/>
    <s v="0.00"/>
    <s v="97.93"/>
  </r>
  <r>
    <x v="0"/>
    <x v="103"/>
    <n v="3814"/>
    <n v="61"/>
    <n v="114"/>
    <s v="1.60"/>
    <s v="0.00"/>
    <s v="98.40"/>
  </r>
  <r>
    <x v="0"/>
    <x v="104"/>
    <n v="547346"/>
    <n v="13908"/>
    <n v="266619"/>
    <s v="2.54"/>
    <s v="0.00"/>
    <s v="97.46"/>
  </r>
  <r>
    <x v="0"/>
    <x v="105"/>
    <n v="5818"/>
    <n v="287"/>
    <n v="2471"/>
    <s v="4.93"/>
    <s v="0.00"/>
    <s v="95.07"/>
  </r>
  <r>
    <x v="0"/>
    <x v="106"/>
    <n v="21687"/>
    <n v="660"/>
    <n v="4190"/>
    <s v="3.04"/>
    <s v="0.00"/>
    <s v="96.96"/>
  </r>
  <r>
    <x v="0"/>
    <x v="107"/>
    <n v="434033"/>
    <n v="6214"/>
    <n v="165776"/>
    <s v="1.43"/>
    <s v="0.00"/>
    <s v="98.57"/>
  </r>
  <r>
    <x v="0"/>
    <x v="108"/>
    <n v="83826"/>
    <n v="852"/>
    <n v="50369"/>
    <s v="1.02"/>
    <s v="0.00"/>
    <s v="98.98"/>
  </r>
  <r>
    <x v="0"/>
    <x v="109"/>
    <n v="235387"/>
    <n v="3598"/>
    <n v="105808"/>
    <s v="1.53"/>
    <s v="0.00"/>
    <s v="98.47"/>
  </r>
  <r>
    <x v="0"/>
    <x v="110"/>
    <n v="362915"/>
    <n v="5241"/>
    <n v="259001"/>
    <s v="1.44"/>
    <s v="0.00"/>
    <s v="98.56"/>
  </r>
  <r>
    <x v="0"/>
    <x v="111"/>
    <n v="947761"/>
    <n v="14729"/>
    <n v="581539"/>
    <s v="1.55"/>
    <s v="0.00"/>
    <s v="98.45"/>
  </r>
  <r>
    <x v="0"/>
    <x v="112"/>
    <n v="3451"/>
    <n v="36"/>
    <n v="1929"/>
    <s v="1.04"/>
    <s v="0.00"/>
    <s v="98.96"/>
  </r>
  <r>
    <x v="0"/>
    <x v="113"/>
    <n v="349568"/>
    <n v="8253"/>
    <n v="143214"/>
    <s v="2.36"/>
    <s v="0.00"/>
    <s v="97.64"/>
  </r>
  <r>
    <x v="0"/>
    <x v="114"/>
    <n v="150313"/>
    <n v="2181"/>
    <n v="140771"/>
    <s v="1.45"/>
    <s v="0.00"/>
    <s v="98.55"/>
  </r>
  <r>
    <x v="0"/>
    <x v="115"/>
    <n v="3975"/>
    <n v="56"/>
    <n v="2500"/>
    <s v="1.41"/>
    <s v="0.00"/>
    <s v="98.59"/>
  </r>
  <r>
    <x v="0"/>
    <x v="116"/>
    <n v="43672"/>
    <n v="964"/>
    <n v="42622"/>
    <s v="2.21"/>
    <s v="0.00"/>
    <s v="97.79"/>
  </r>
  <r>
    <x v="0"/>
    <x v="117"/>
    <n v="4"/>
    <n v="0"/>
    <n v="2"/>
    <s v="0.00"/>
    <s v="0.00"/>
    <s v="100.00"/>
  </r>
  <r>
    <x v="0"/>
    <x v="118"/>
    <n v="207566"/>
    <n v="7276"/>
    <n v="7041"/>
    <s v="3.51"/>
    <s v="0.00"/>
    <s v="96.49"/>
  </r>
  <r>
    <x v="0"/>
    <x v="119"/>
    <n v="16526"/>
    <n v="581"/>
    <n v="8234"/>
    <s v="3.52"/>
    <s v="0.00"/>
    <s v="96.48"/>
  </r>
  <r>
    <x v="0"/>
    <x v="120"/>
    <n v="509771"/>
    <n v="18869"/>
    <n v="102501"/>
    <s v="3.70"/>
    <s v="0.00"/>
    <s v="96.30"/>
  </r>
  <r>
    <x v="0"/>
    <x v="121"/>
    <n v="370324"/>
    <n v="1850"/>
    <n v="174538"/>
    <s v="0.50"/>
    <s v="0.00"/>
    <s v="99.50"/>
  </r>
  <r>
    <x v="0"/>
    <x v="122"/>
    <n v="77"/>
    <n v="0"/>
    <n v="33"/>
    <s v="0.00"/>
    <s v="0.00"/>
    <s v="100.00"/>
  </r>
  <r>
    <x v="0"/>
    <x v="123"/>
    <n v="43789"/>
    <n v="698"/>
    <n v="17739"/>
    <s v="1.59"/>
    <s v="0.00"/>
    <s v="98.41"/>
  </r>
  <r>
    <x v="0"/>
    <x v="124"/>
    <n v="37884"/>
    <n v="805"/>
    <n v="34712"/>
    <s v="2.12"/>
    <s v="0.00"/>
    <s v="97.88"/>
  </r>
  <r>
    <x v="0"/>
    <x v="125"/>
    <n v="38004"/>
    <n v="462"/>
    <n v="10068"/>
    <s v="1.22"/>
    <s v="0.00"/>
    <s v="98.78"/>
  </r>
  <r>
    <x v="0"/>
    <x v="126"/>
    <n v="18979"/>
    <n v="240"/>
    <n v="17609"/>
    <s v="1.26"/>
    <s v="0.00"/>
    <s v="98.74"/>
  </r>
  <r>
    <x v="0"/>
    <x v="127"/>
    <n v="89255"/>
    <n v="246"/>
    <n v="20036"/>
    <s v="0.28"/>
    <s v="0.00"/>
    <s v="99.72"/>
  </r>
  <r>
    <x v="0"/>
    <x v="128"/>
    <n v="61832"/>
    <n v="2302"/>
    <n v="39711"/>
    <s v="3.72"/>
    <s v="0.00"/>
    <s v="96.28"/>
  </r>
  <r>
    <x v="0"/>
    <x v="129"/>
    <n v="3831259"/>
    <n v="290110"/>
    <n v="494656"/>
    <s v="7.57"/>
    <s v="0.00"/>
    <s v="92.43"/>
  </r>
  <r>
    <x v="0"/>
    <x v="130"/>
    <n v="2522498"/>
    <n v="29486"/>
    <n v="794920"/>
    <s v="1.17"/>
    <s v="0.00"/>
    <s v="98.83"/>
  </r>
  <r>
    <x v="0"/>
    <x v="131"/>
    <n v="151390"/>
    <n v="1934"/>
    <n v="84999"/>
    <s v="1.28"/>
    <s v="0.00"/>
    <s v="98.72"/>
  </r>
  <r>
    <x v="0"/>
    <x v="132"/>
    <n v="129027"/>
    <n v="3565"/>
    <n v="95248"/>
    <s v="2.76"/>
    <s v="0.00"/>
    <s v="97.24"/>
  </r>
  <r>
    <x v="0"/>
    <x v="133"/>
    <n v="11466"/>
    <n v="271"/>
    <n v="9529"/>
    <s v="2.36"/>
    <s v="0.00"/>
    <s v="97.64"/>
  </r>
  <r>
    <x v="0"/>
    <x v="134"/>
    <n v="6589"/>
    <n v="227"/>
    <n v="4209"/>
    <s v="3.45"/>
    <s v="0.00"/>
    <s v="96.55"/>
  </r>
  <r>
    <x v="0"/>
    <x v="135"/>
    <n v="212894"/>
    <n v="2922"/>
    <n v="77948"/>
    <s v="1.37"/>
    <s v="0.00"/>
    <s v="98.63"/>
  </r>
  <r>
    <x v="0"/>
    <x v="136"/>
    <n v="16877"/>
    <n v="210"/>
    <n v="11518"/>
    <s v="1.24"/>
    <s v="0.00"/>
    <s v="98.76"/>
  </r>
  <r>
    <x v="0"/>
    <x v="137"/>
    <n v="2277057"/>
    <n v="19079"/>
    <n v="1743256"/>
    <s v="0.84"/>
    <s v="0.00"/>
    <s v="99.16"/>
  </r>
  <r>
    <x v="0"/>
    <x v="138"/>
    <n v="222296"/>
    <n v="947"/>
    <n v="105191"/>
    <s v="0.43"/>
    <s v="0.00"/>
    <s v="99.57"/>
  </r>
  <r>
    <x v="0"/>
    <x v="139"/>
    <n v="815759"/>
    <n v="11460"/>
    <n v="657524"/>
    <s v="1.40"/>
    <s v="0.00"/>
    <s v="98.60"/>
  </r>
  <r>
    <x v="0"/>
    <x v="140"/>
    <n v="8108"/>
    <n v="33"/>
    <n v="1349"/>
    <s v="0.41"/>
    <s v="0.00"/>
    <s v="99.59"/>
  </r>
  <r>
    <x v="0"/>
    <x v="141"/>
    <n v="304403"/>
    <n v="4113"/>
    <n v="38807"/>
    <s v="1.35"/>
    <s v="0.00"/>
    <s v="98.65"/>
  </r>
  <r>
    <x v="0"/>
    <x v="142"/>
    <n v="473903"/>
    <n v="7338"/>
    <n v="206184"/>
    <s v="1.55"/>
    <s v="0.00"/>
    <s v="98.45"/>
  </r>
  <r>
    <x v="0"/>
    <x v="143"/>
    <n v="2210129"/>
    <n v="200532"/>
    <n v="510809"/>
    <s v="9.07"/>
    <s v="0.00"/>
    <s v="90.93"/>
  </r>
  <r>
    <x v="0"/>
    <x v="144"/>
    <n v="45573"/>
    <n v="636"/>
    <n v="24768"/>
    <s v="1.40"/>
    <s v="0.00"/>
    <s v="98.60"/>
  </r>
  <r>
    <x v="0"/>
    <x v="145"/>
    <n v="32279"/>
    <n v="415"/>
    <n v="730"/>
    <s v="1.29"/>
    <s v="0.00"/>
    <s v="98.71"/>
  </r>
  <r>
    <x v="0"/>
    <x v="146"/>
    <n v="2806694"/>
    <n v="44567"/>
    <n v="2397744"/>
    <s v="1.59"/>
    <s v="0.00"/>
    <s v="98.41"/>
  </r>
  <r>
    <x v="0"/>
    <x v="147"/>
    <n v="1278751"/>
    <n v="28575"/>
    <n v="341702"/>
    <s v="2.23"/>
    <s v="0.00"/>
    <s v="97.77"/>
  </r>
  <r>
    <x v="0"/>
    <x v="148"/>
    <n v="3143725"/>
    <n v="78250"/>
    <n v="2879312"/>
    <s v="2.49"/>
    <s v="0.00"/>
    <s v="97.51"/>
  </r>
  <r>
    <x v="0"/>
    <x v="149"/>
    <n v="456186"/>
    <n v="4733"/>
    <n v="374127"/>
    <s v="1.04"/>
    <s v="0.00"/>
    <s v="98.96"/>
  </r>
  <r>
    <x v="0"/>
    <x v="150"/>
    <n v="1100961"/>
    <n v="18222"/>
    <n v="955353"/>
    <s v="1.66"/>
    <s v="0.00"/>
    <s v="98.34"/>
  </r>
  <r>
    <x v="0"/>
    <x v="151"/>
    <n v="8"/>
    <n v="0"/>
    <n v="6"/>
    <s v="0.00"/>
    <s v="0.00"/>
    <s v="100.00"/>
  </r>
  <r>
    <x v="0"/>
    <x v="152"/>
    <n v="461466"/>
    <n v="16272"/>
    <n v="322526"/>
    <s v="3.53"/>
    <s v="0.00"/>
    <s v="96.47"/>
  </r>
  <r>
    <x v="0"/>
    <x v="153"/>
    <n v="240557"/>
    <n v="611"/>
    <n v="98251"/>
    <s v="0.25"/>
    <s v="0.00"/>
    <s v="99.75"/>
  </r>
  <r>
    <x v="0"/>
    <x v="154"/>
    <n v="55865"/>
    <n v="376"/>
    <n v="46997"/>
    <s v="0.67"/>
    <s v="0.00"/>
    <s v="99.33"/>
  </r>
  <r>
    <x v="0"/>
    <x v="155"/>
    <n v="1725017"/>
    <n v="51888"/>
    <n v="650782"/>
    <s v="3.01"/>
    <s v="0.00"/>
    <s v="96.99"/>
  </r>
  <r>
    <x v="0"/>
    <x v="156"/>
    <n v="1197082"/>
    <n v="10595"/>
    <n v="43896"/>
    <s v="0.89"/>
    <s v="0.00"/>
    <s v="99.11"/>
  </r>
  <r>
    <x v="0"/>
    <x v="157"/>
    <n v="8764713"/>
    <n v="245794"/>
    <n v="1443976"/>
    <s v="2.80"/>
    <s v="0.00"/>
    <s v="97.20"/>
  </r>
  <r>
    <x v="0"/>
    <x v="158"/>
    <n v="100019"/>
    <n v="1335"/>
    <n v="71812"/>
    <s v="1.33"/>
    <s v="0.00"/>
    <s v="98.67"/>
  </r>
  <r>
    <x v="0"/>
    <x v="159"/>
    <n v="549060"/>
    <n v="8807"/>
    <n v="139380"/>
    <s v="1.60"/>
    <s v="0.00"/>
    <s v="98.40"/>
  </r>
  <r>
    <x v="0"/>
    <x v="160"/>
    <n v="20"/>
    <n v="0"/>
    <n v="2"/>
    <s v="0.00"/>
    <s v="0.00"/>
    <s v="100.00"/>
  </r>
  <r>
    <x v="0"/>
    <x v="161"/>
    <n v="22526"/>
    <n v="119"/>
    <n v="5812"/>
    <s v="0.53"/>
    <s v="0.00"/>
    <s v="99.47"/>
  </r>
  <r>
    <x v="0"/>
    <x v="162"/>
    <n v="41019"/>
    <n v="3099"/>
    <n v="19939"/>
    <s v="7.56"/>
    <s v="0.00"/>
    <s v="92.44"/>
  </r>
  <r>
    <x v="0"/>
    <x v="163"/>
    <n v="1180518"/>
    <n v="15076"/>
    <n v="315327"/>
    <s v="1.28"/>
    <s v="0.00"/>
    <s v="98.72"/>
  </r>
  <r>
    <x v="0"/>
    <x v="164"/>
    <n v="227681"/>
    <n v="540"/>
    <n v="217245"/>
    <s v="0.24"/>
    <s v="0.00"/>
    <s v="99.76"/>
  </r>
  <r>
    <x v="0"/>
    <x v="165"/>
    <n v="365095"/>
    <n v="4875"/>
    <n v="259272"/>
    <s v="1.34"/>
    <s v="0.00"/>
    <s v="98.66"/>
  </r>
  <r>
    <x v="0"/>
    <x v="166"/>
    <n v="533663"/>
    <n v="13367"/>
    <n v="511678"/>
    <s v="2.50"/>
    <s v="0.00"/>
    <s v="97.50"/>
  </r>
  <r>
    <x v="0"/>
    <x v="167"/>
    <n v="6398"/>
    <n v="121"/>
    <n v="3951"/>
    <s v="1.89"/>
    <s v="0.00"/>
    <s v="98.11"/>
  </r>
  <r>
    <x v="0"/>
    <x v="168"/>
    <n v="5610"/>
    <n v="92"/>
    <n v="981"/>
    <s v="1.64"/>
    <s v="0.00"/>
    <s v="98.36"/>
  </r>
  <r>
    <x v="0"/>
    <x v="169"/>
    <n v="73945"/>
    <n v="1881"/>
    <n v="6663"/>
    <s v="2.54"/>
    <s v="0.00"/>
    <s v="97.46"/>
  </r>
  <r>
    <x v="0"/>
    <x v="170"/>
    <n v="22693"/>
    <n v="1294"/>
    <n v="865"/>
    <s v="5.70"/>
    <s v="0.00"/>
    <s v="94.30"/>
  </r>
  <r>
    <x v="0"/>
    <x v="171"/>
    <n v="49902"/>
    <n v="1126"/>
    <n v="1441"/>
    <s v="2.26"/>
    <s v="0.00"/>
    <s v="97.74"/>
  </r>
  <r>
    <x v="0"/>
    <x v="172"/>
    <n v="12546"/>
    <n v="133"/>
    <n v="10853"/>
    <s v="1.06"/>
    <s v="0.00"/>
    <s v="98.94"/>
  </r>
  <r>
    <x v="0"/>
    <x v="173"/>
    <n v="3730"/>
    <n v="56"/>
    <n v="1212"/>
    <s v="1.50"/>
    <s v="0.00"/>
    <s v="98.50"/>
  </r>
  <r>
    <x v="0"/>
    <x v="174"/>
    <n v="117350"/>
    <n v="3704"/>
    <n v="14017"/>
    <s v="3.16"/>
    <s v="0.00"/>
    <s v="96.84"/>
  </r>
  <r>
    <x v="0"/>
    <x v="175"/>
    <n v="45468"/>
    <n v="2637"/>
    <n v="23017"/>
    <s v="5.80"/>
    <s v="0.00"/>
    <s v="94.20"/>
  </r>
  <r>
    <x v="0"/>
    <x v="176"/>
    <n v="46464"/>
    <n v="1245"/>
    <n v="18209"/>
    <s v="2.68"/>
    <s v="0.00"/>
    <s v="97.32"/>
  </r>
  <r>
    <x v="0"/>
    <x v="177"/>
    <n v="5107"/>
    <n v="175"/>
    <n v="291"/>
    <s v="3.43"/>
    <s v="0.00"/>
    <s v="96.57"/>
  </r>
  <r>
    <x v="0"/>
    <x v="178"/>
    <n v="26133"/>
    <n v="243"/>
    <n v="16937"/>
    <s v="0.93"/>
    <s v="0.00"/>
    <s v="99.07"/>
  </r>
  <r>
    <x v="0"/>
    <x v="179"/>
    <n v="1996969"/>
    <n v="19883"/>
    <n v="1539543"/>
    <s v="1.00"/>
    <s v="0.00"/>
    <s v="99.00"/>
  </r>
  <r>
    <x v="0"/>
    <x v="180"/>
    <n v="17488"/>
    <n v="125"/>
    <n v="15662"/>
    <s v="0.71"/>
    <s v="0.00"/>
    <s v="99.29"/>
  </r>
  <r>
    <x v="0"/>
    <x v="181"/>
    <n v="19807"/>
    <n v="122"/>
    <n v="4014"/>
    <s v="0.62"/>
    <s v="0.00"/>
    <s v="99.38"/>
  </r>
  <r>
    <x v="0"/>
    <x v="182"/>
    <n v="715396"/>
    <n v="25294"/>
    <n v="351487"/>
    <s v="3.54"/>
    <s v="0.00"/>
    <s v="96.46"/>
  </r>
  <r>
    <x v="0"/>
    <x v="183"/>
    <n v="1"/>
    <n v="0"/>
    <n v="0"/>
    <s v="0.00"/>
    <s v="0.00"/>
    <s v="100.00"/>
  </r>
  <r>
    <x v="0"/>
    <x v="184"/>
    <n v="8317394"/>
    <n v="72713"/>
    <n v="5352737"/>
    <s v="0.87"/>
    <s v="0.00"/>
    <s v="99.13"/>
  </r>
  <r>
    <x v="0"/>
    <x v="185"/>
    <n v="60475"/>
    <n v="1806"/>
    <n v="16967"/>
    <s v="2.99"/>
    <s v="0.00"/>
    <s v="97.01"/>
  </r>
  <r>
    <x v="0"/>
    <x v="186"/>
    <n v="16456"/>
    <n v="848"/>
    <n v="2088"/>
    <s v="5.15"/>
    <s v="0.00"/>
    <s v="94.85"/>
  </r>
  <r>
    <x v="0"/>
    <x v="187"/>
    <n v="26196"/>
    <n v="725"/>
    <n v="10281"/>
    <s v="2.77"/>
    <s v="0.00"/>
    <s v="97.23"/>
  </r>
  <r>
    <x v="0"/>
    <x v="188"/>
    <n v="3302519"/>
    <n v="79517"/>
    <n v="1860271"/>
    <s v="2.41"/>
    <s v="0.00"/>
    <s v="97.59"/>
  </r>
  <r>
    <x v="0"/>
    <x v="189"/>
    <n v="126714"/>
    <n v="3231"/>
    <n v="61769"/>
    <s v="2.55"/>
    <s v="0.00"/>
    <s v="97.45"/>
  </r>
  <r>
    <x v="0"/>
    <x v="190"/>
    <n v="46792081"/>
    <n v="759060"/>
    <n v="30017110"/>
    <s v="1.62"/>
    <s v="0.00"/>
    <s v="98.38"/>
  </r>
  <r>
    <x v="0"/>
    <x v="191"/>
    <n v="395805"/>
    <n v="6093"/>
    <n v="286353"/>
    <s v="1.54"/>
    <s v="0.00"/>
    <s v="98.46"/>
  </r>
  <r>
    <x v="0"/>
    <x v="192"/>
    <n v="188892"/>
    <n v="1349"/>
    <n v="166776"/>
    <s v="0.71"/>
    <s v="0.00"/>
    <s v="99.29"/>
  </r>
  <r>
    <x v="0"/>
    <x v="193"/>
    <n v="27"/>
    <n v="0"/>
    <n v="10"/>
    <s v="0.00"/>
    <s v="0.00"/>
    <s v="100.00"/>
  </r>
  <r>
    <x v="0"/>
    <x v="194"/>
    <n v="5167"/>
    <n v="69"/>
    <n v="1098"/>
    <s v="1.34"/>
    <s v="0.00"/>
    <s v="98.66"/>
  </r>
  <r>
    <x v="0"/>
    <x v="195"/>
    <n v="416190"/>
    <n v="4996"/>
    <n v="355833"/>
    <s v="1.20"/>
    <s v="0.00"/>
    <s v="98.80"/>
  </r>
  <r>
    <x v="0"/>
    <x v="196"/>
    <n v="992735"/>
    <n v="22765"/>
    <n v="765273"/>
    <s v="2.29"/>
    <s v="0.00"/>
    <s v="97.71"/>
  </r>
  <r>
    <x v="0"/>
    <x v="197"/>
    <n v="6"/>
    <n v="1"/>
    <n v="4"/>
    <s v="16.67"/>
    <s v="0.00"/>
    <s v="83.33"/>
  </r>
  <r>
    <x v="0"/>
    <x v="198"/>
    <n v="3"/>
    <n v="0"/>
    <n v="3"/>
    <s v="0.00"/>
    <s v="0.00"/>
    <s v="100.00"/>
  </r>
  <r>
    <x v="0"/>
    <x v="199"/>
    <n v="160905"/>
    <n v="2978"/>
    <n v="76775"/>
    <s v="1.85"/>
    <s v="0.00"/>
    <s v="98.15"/>
  </r>
  <r>
    <x v="0"/>
    <x v="200"/>
    <n v="9902"/>
    <n v="1918"/>
    <n v="3762"/>
    <s v="19.37"/>
    <s v="0.00"/>
    <s v="80.63"/>
  </r>
  <r>
    <x v="0"/>
    <x v="201"/>
    <n v="20751"/>
    <n v="185"/>
    <n v="13818"/>
    <s v="0.89"/>
    <s v="0.00"/>
    <s v="99.11"/>
  </r>
  <r>
    <x v="0"/>
    <x v="202"/>
    <n v="2924622"/>
    <n v="89435"/>
    <n v="2247679"/>
    <s v="3.06"/>
    <s v="0.00"/>
    <s v="96.94"/>
  </r>
  <r>
    <x v="0"/>
    <x v="203"/>
    <n v="209939"/>
    <n v="3664"/>
    <n v="54054"/>
    <s v="1.75"/>
    <s v="0.00"/>
    <s v="98.25"/>
  </r>
  <r>
    <x v="0"/>
    <x v="204"/>
    <n v="133302"/>
    <n v="4694"/>
    <n v="62040"/>
    <s v="3.52"/>
    <s v="0.00"/>
    <s v="96.48"/>
  </r>
  <r>
    <x v="0"/>
    <x v="205"/>
    <n v="721"/>
    <n v="15"/>
    <n v="632"/>
    <s v="2.08"/>
    <s v="0.00"/>
    <s v="97.92"/>
  </r>
  <r>
    <x v="1"/>
    <x v="205"/>
    <n v="721"/>
    <n v="15"/>
    <n v="274"/>
    <s v="2.08"/>
    <s v="0.00"/>
    <s v="97.92"/>
  </r>
  <r>
    <x v="1"/>
    <x v="204"/>
    <n v="133302"/>
    <n v="4694"/>
    <n v="70681"/>
    <s v="3.52"/>
    <s v="0.00"/>
    <s v="96.48"/>
  </r>
  <r>
    <x v="1"/>
    <x v="203"/>
    <n v="209939"/>
    <n v="3664"/>
    <n v="64401"/>
    <s v="1.75"/>
    <s v="0.00"/>
    <s v="98.25"/>
  </r>
  <r>
    <x v="1"/>
    <x v="202"/>
    <n v="2924622"/>
    <n v="89435"/>
    <n v="878640"/>
    <s v="3.06"/>
    <s v="0.00"/>
    <s v="96.94"/>
  </r>
  <r>
    <x v="1"/>
    <x v="201"/>
    <n v="20751"/>
    <n v="185"/>
    <n v="1013"/>
    <s v="0.89"/>
    <s v="0.00"/>
    <s v="99.11"/>
  </r>
  <r>
    <x v="1"/>
    <x v="200"/>
    <n v="9902"/>
    <n v="1918"/>
    <n v="7802"/>
    <s v="19.37"/>
    <s v="0.00"/>
    <s v="80.63"/>
  </r>
  <r>
    <x v="1"/>
    <x v="199"/>
    <n v="160905"/>
    <n v="2978"/>
    <n v="137785"/>
    <s v="1.85"/>
    <s v="0.00"/>
    <s v="98.15"/>
  </r>
  <r>
    <x v="1"/>
    <x v="198"/>
    <n v="3"/>
    <n v="0"/>
    <n v="0"/>
    <s v="0.00"/>
    <s v="0.00"/>
    <s v="100.00"/>
  </r>
  <r>
    <x v="1"/>
    <x v="197"/>
    <n v="6"/>
    <n v="1"/>
    <n v="4"/>
    <s v="16.67"/>
    <s v="0.00"/>
    <s v="83.33"/>
  </r>
  <r>
    <x v="1"/>
    <x v="196"/>
    <n v="992735"/>
    <n v="22765"/>
    <n v="524329"/>
    <s v="2.29"/>
    <s v="0.00"/>
    <s v="97.71"/>
  </r>
  <r>
    <x v="1"/>
    <x v="195"/>
    <n v="416190"/>
    <n v="4996"/>
    <n v="33576"/>
    <s v="1.20"/>
    <s v="0.00"/>
    <s v="98.80"/>
  </r>
  <r>
    <x v="1"/>
    <x v="194"/>
    <n v="5167"/>
    <n v="69"/>
    <n v="1618"/>
    <s v="1.34"/>
    <s v="0.00"/>
    <s v="98.66"/>
  </r>
  <r>
    <x v="1"/>
    <x v="193"/>
    <n v="27"/>
    <n v="0"/>
    <n v="14"/>
    <s v="0.00"/>
    <s v="0.00"/>
    <s v="100.00"/>
  </r>
  <r>
    <x v="1"/>
    <x v="192"/>
    <n v="188619"/>
    <n v="1346"/>
    <n v="85815"/>
    <s v="0.71"/>
    <s v="0.00"/>
    <s v="99.29"/>
  </r>
  <r>
    <x v="1"/>
    <x v="191"/>
    <n v="395805"/>
    <n v="6093"/>
    <n v="208021"/>
    <s v="1.54"/>
    <s v="0.00"/>
    <s v="98.46"/>
  </r>
  <r>
    <x v="1"/>
    <x v="190"/>
    <n v="46789031"/>
    <n v="758916"/>
    <n v="17990014"/>
    <s v="1.62"/>
    <s v="0.00"/>
    <s v="98.38"/>
  </r>
  <r>
    <x v="1"/>
    <x v="189"/>
    <n v="126714"/>
    <n v="3231"/>
    <n v="81214"/>
    <s v="2.55"/>
    <s v="0.00"/>
    <s v="97.45"/>
  </r>
  <r>
    <x v="1"/>
    <x v="188"/>
    <n v="3277772"/>
    <n v="78865"/>
    <n v="480239"/>
    <s v="2.41"/>
    <s v="0.00"/>
    <s v="97.59"/>
  </r>
  <r>
    <x v="1"/>
    <x v="187"/>
    <n v="26196"/>
    <n v="725"/>
    <n v="17150"/>
    <s v="2.77"/>
    <s v="0.00"/>
    <s v="97.23"/>
  </r>
  <r>
    <x v="1"/>
    <x v="186"/>
    <n v="16456"/>
    <n v="848"/>
    <n v="3861"/>
    <s v="5.15"/>
    <s v="0.00"/>
    <s v="94.85"/>
  </r>
  <r>
    <x v="1"/>
    <x v="185"/>
    <n v="60475"/>
    <n v="1806"/>
    <n v="41854"/>
    <s v="2.99"/>
    <s v="0.00"/>
    <s v="97.01"/>
  </r>
  <r>
    <x v="1"/>
    <x v="184"/>
    <n v="8317394"/>
    <n v="72713"/>
    <n v="5998860"/>
    <s v="0.87"/>
    <s v="0.00"/>
    <s v="99.13"/>
  </r>
  <r>
    <x v="1"/>
    <x v="183"/>
    <n v="1"/>
    <n v="0"/>
    <n v="0"/>
    <s v="0.00"/>
    <s v="0.00"/>
    <s v="100.00"/>
  </r>
  <r>
    <x v="1"/>
    <x v="182"/>
    <n v="715276"/>
    <n v="25287"/>
    <n v="338191"/>
    <s v="3.54"/>
    <s v="0.00"/>
    <s v="96.46"/>
  </r>
  <r>
    <x v="1"/>
    <x v="181"/>
    <n v="19807"/>
    <n v="122"/>
    <n v="2263"/>
    <s v="0.62"/>
    <s v="0.00"/>
    <s v="99.38"/>
  </r>
  <r>
    <x v="1"/>
    <x v="180"/>
    <n v="17488"/>
    <n v="125"/>
    <n v="11647"/>
    <s v="0.71"/>
    <s v="0.00"/>
    <s v="99.29"/>
  </r>
  <r>
    <x v="1"/>
    <x v="179"/>
    <n v="1989473"/>
    <n v="19826"/>
    <n v="442074"/>
    <s v="1.00"/>
    <s v="0.00"/>
    <s v="99.00"/>
  </r>
  <r>
    <x v="1"/>
    <x v="178"/>
    <n v="26133"/>
    <n v="243"/>
    <n v="18911"/>
    <s v="0.93"/>
    <s v="0.00"/>
    <s v="99.07"/>
  </r>
  <r>
    <x v="1"/>
    <x v="177"/>
    <n v="5107"/>
    <n v="175"/>
    <n v="4299"/>
    <s v="3.43"/>
    <s v="0.00"/>
    <s v="96.57"/>
  </r>
  <r>
    <x v="1"/>
    <x v="176"/>
    <n v="46464"/>
    <n v="1245"/>
    <n v="43137"/>
    <s v="2.68"/>
    <s v="0.00"/>
    <s v="97.32"/>
  </r>
  <r>
    <x v="1"/>
    <x v="175"/>
    <n v="45468"/>
    <n v="2637"/>
    <n v="17977"/>
    <s v="5.80"/>
    <s v="0.00"/>
    <s v="94.20"/>
  </r>
  <r>
    <x v="1"/>
    <x v="174"/>
    <n v="117350"/>
    <n v="3704"/>
    <n v="10894"/>
    <s v="3.16"/>
    <s v="0.00"/>
    <s v="96.84"/>
  </r>
  <r>
    <x v="1"/>
    <x v="173"/>
    <n v="3730"/>
    <n v="56"/>
    <n v="65"/>
    <s v="1.50"/>
    <s v="0.00"/>
    <s v="98.50"/>
  </r>
  <r>
    <x v="1"/>
    <x v="172"/>
    <n v="12546"/>
    <n v="133"/>
    <n v="168"/>
    <s v="1.06"/>
    <s v="0.00"/>
    <s v="98.94"/>
  </r>
  <r>
    <x v="1"/>
    <x v="171"/>
    <n v="49902"/>
    <n v="1126"/>
    <n v="11409"/>
    <s v="2.26"/>
    <s v="0.00"/>
    <s v="97.74"/>
  </r>
  <r>
    <x v="1"/>
    <x v="170"/>
    <n v="22693"/>
    <n v="1294"/>
    <n v="17690"/>
    <s v="5.70"/>
    <s v="0.00"/>
    <s v="94.30"/>
  </r>
  <r>
    <x v="1"/>
    <x v="169"/>
    <n v="73945"/>
    <n v="1881"/>
    <n v="59848"/>
    <s v="2.54"/>
    <s v="0.00"/>
    <s v="97.46"/>
  </r>
  <r>
    <x v="1"/>
    <x v="168"/>
    <n v="5610"/>
    <n v="92"/>
    <n v="4711"/>
    <s v="1.64"/>
    <s v="0.00"/>
    <s v="98.36"/>
  </r>
  <r>
    <x v="1"/>
    <x v="167"/>
    <n v="6398"/>
    <n v="121"/>
    <n v="1875"/>
    <s v="1.89"/>
    <s v="0.00"/>
    <s v="98.11"/>
  </r>
  <r>
    <x v="1"/>
    <x v="166"/>
    <n v="533663"/>
    <n v="13367"/>
    <n v="56659"/>
    <s v="2.50"/>
    <s v="0.00"/>
    <s v="97.50"/>
  </r>
  <r>
    <x v="1"/>
    <x v="165"/>
    <n v="365095"/>
    <n v="4875"/>
    <n v="50403"/>
    <s v="1.34"/>
    <s v="0.00"/>
    <s v="98.66"/>
  </r>
  <r>
    <x v="1"/>
    <x v="164"/>
    <n v="227681"/>
    <n v="540"/>
    <n v="38840"/>
    <s v="0.24"/>
    <s v="0.00"/>
    <s v="99.76"/>
  </r>
  <r>
    <x v="1"/>
    <x v="163"/>
    <n v="1180518"/>
    <n v="15076"/>
    <n v="505511"/>
    <s v="1.28"/>
    <s v="0.00"/>
    <s v="98.72"/>
  </r>
  <r>
    <x v="1"/>
    <x v="162"/>
    <n v="41019"/>
    <n v="3099"/>
    <n v="22972"/>
    <s v="7.56"/>
    <s v="0.00"/>
    <s v="92.44"/>
  </r>
  <r>
    <x v="1"/>
    <x v="161"/>
    <n v="22526"/>
    <n v="119"/>
    <n v="4016"/>
    <s v="0.53"/>
    <s v="0.00"/>
    <s v="99.47"/>
  </r>
  <r>
    <x v="1"/>
    <x v="160"/>
    <n v="20"/>
    <n v="0"/>
    <n v="4"/>
    <s v="0.00"/>
    <s v="0.00"/>
    <s v="100.00"/>
  </r>
  <r>
    <x v="1"/>
    <x v="159"/>
    <n v="549060"/>
    <n v="8807"/>
    <n v="172195"/>
    <s v="1.60"/>
    <s v="0.00"/>
    <s v="98.40"/>
  </r>
  <r>
    <x v="1"/>
    <x v="158"/>
    <n v="100019"/>
    <n v="1335"/>
    <n v="64513"/>
    <s v="1.33"/>
    <s v="0.00"/>
    <s v="98.67"/>
  </r>
  <r>
    <x v="1"/>
    <x v="157"/>
    <n v="8764713"/>
    <n v="245794"/>
    <n v="2709674"/>
    <s v="2.80"/>
    <s v="0.00"/>
    <s v="97.20"/>
  </r>
  <r>
    <x v="1"/>
    <x v="156"/>
    <n v="1197082"/>
    <n v="10595"/>
    <n v="57857"/>
    <s v="0.89"/>
    <s v="0.00"/>
    <s v="99.11"/>
  </r>
  <r>
    <x v="1"/>
    <x v="155"/>
    <n v="1725017"/>
    <n v="51888"/>
    <n v="124226"/>
    <s v="3.01"/>
    <s v="0.00"/>
    <s v="96.99"/>
  </r>
  <r>
    <x v="1"/>
    <x v="154"/>
    <n v="55865"/>
    <n v="376"/>
    <n v="37997"/>
    <s v="0.67"/>
    <s v="0.00"/>
    <s v="99.33"/>
  </r>
  <r>
    <x v="1"/>
    <x v="153"/>
    <n v="240557"/>
    <n v="611"/>
    <n v="233457"/>
    <s v="0.25"/>
    <s v="0.00"/>
    <s v="99.75"/>
  </r>
  <r>
    <x v="1"/>
    <x v="152"/>
    <n v="461466"/>
    <n v="16272"/>
    <n v="62782"/>
    <s v="3.53"/>
    <s v="0.00"/>
    <s v="96.47"/>
  </r>
  <r>
    <x v="1"/>
    <x v="151"/>
    <n v="8"/>
    <n v="0"/>
    <n v="6"/>
    <s v="0.00"/>
    <s v="0.00"/>
    <s v="100.00"/>
  </r>
  <r>
    <x v="1"/>
    <x v="150"/>
    <n v="1100961"/>
    <n v="18222"/>
    <n v="979766"/>
    <s v="1.66"/>
    <s v="0.00"/>
    <s v="98.34"/>
  </r>
  <r>
    <x v="1"/>
    <x v="149"/>
    <n v="456186"/>
    <n v="4733"/>
    <n v="337980"/>
    <s v="1.04"/>
    <s v="0.00"/>
    <s v="98.96"/>
  </r>
  <r>
    <x v="1"/>
    <x v="148"/>
    <n v="3143725"/>
    <n v="78250"/>
    <n v="1943944"/>
    <s v="2.49"/>
    <s v="0.00"/>
    <s v="97.51"/>
  </r>
  <r>
    <x v="1"/>
    <x v="147"/>
    <n v="1278751"/>
    <n v="28575"/>
    <n v="775400"/>
    <s v="2.23"/>
    <s v="0.00"/>
    <s v="97.77"/>
  </r>
  <r>
    <x v="1"/>
    <x v="146"/>
    <n v="2806694"/>
    <n v="44567"/>
    <n v="312379"/>
    <s v="1.59"/>
    <s v="0.00"/>
    <s v="98.41"/>
  </r>
  <r>
    <x v="1"/>
    <x v="145"/>
    <n v="32279"/>
    <n v="415"/>
    <n v="15634"/>
    <s v="1.29"/>
    <s v="0.00"/>
    <s v="98.71"/>
  </r>
  <r>
    <x v="1"/>
    <x v="144"/>
    <n v="45573"/>
    <n v="636"/>
    <n v="4082"/>
    <s v="1.40"/>
    <s v="0.00"/>
    <s v="98.60"/>
  </r>
  <r>
    <x v="1"/>
    <x v="143"/>
    <n v="2210129"/>
    <n v="200532"/>
    <n v="1935754"/>
    <s v="9.07"/>
    <s v="0.00"/>
    <s v="90.93"/>
  </r>
  <r>
    <x v="1"/>
    <x v="142"/>
    <n v="473903"/>
    <n v="7338"/>
    <n v="421976"/>
    <s v="1.55"/>
    <s v="0.00"/>
    <s v="98.45"/>
  </r>
  <r>
    <x v="1"/>
    <x v="141"/>
    <n v="304403"/>
    <n v="4113"/>
    <n v="224497"/>
    <s v="1.35"/>
    <s v="0.00"/>
    <s v="98.65"/>
  </r>
  <r>
    <x v="1"/>
    <x v="140"/>
    <n v="8108"/>
    <n v="33"/>
    <n v="84"/>
    <s v="0.41"/>
    <s v="0.00"/>
    <s v="99.59"/>
  </r>
  <r>
    <x v="1"/>
    <x v="139"/>
    <n v="815759"/>
    <n v="11460"/>
    <n v="720642"/>
    <s v="1.40"/>
    <s v="0.00"/>
    <s v="98.60"/>
  </r>
  <r>
    <x v="1"/>
    <x v="138"/>
    <n v="222296"/>
    <n v="947"/>
    <n v="146538"/>
    <s v="0.43"/>
    <s v="0.00"/>
    <s v="99.57"/>
  </r>
  <r>
    <x v="1"/>
    <x v="137"/>
    <n v="2277031"/>
    <n v="19079"/>
    <n v="1910719"/>
    <s v="0.84"/>
    <s v="0.00"/>
    <s v="99.16"/>
  </r>
  <r>
    <x v="1"/>
    <x v="136"/>
    <n v="16877"/>
    <n v="210"/>
    <n v="9223"/>
    <s v="1.24"/>
    <s v="0.00"/>
    <s v="98.76"/>
  </r>
  <r>
    <x v="1"/>
    <x v="135"/>
    <n v="212894"/>
    <n v="2922"/>
    <n v="21534"/>
    <s v="1.37"/>
    <s v="0.00"/>
    <s v="98.63"/>
  </r>
  <r>
    <x v="1"/>
    <x v="134"/>
    <n v="6589"/>
    <n v="227"/>
    <n v="205"/>
    <s v="3.45"/>
    <s v="0.00"/>
    <s v="96.55"/>
  </r>
  <r>
    <x v="1"/>
    <x v="133"/>
    <n v="11466"/>
    <n v="271"/>
    <n v="4786"/>
    <s v="2.36"/>
    <s v="0.00"/>
    <s v="97.64"/>
  </r>
  <r>
    <x v="1"/>
    <x v="132"/>
    <n v="129027"/>
    <n v="3565"/>
    <n v="30442"/>
    <s v="2.76"/>
    <s v="0.00"/>
    <s v="97.24"/>
  </r>
  <r>
    <x v="1"/>
    <x v="131"/>
    <n v="151390"/>
    <n v="1934"/>
    <n v="59176"/>
    <s v="1.28"/>
    <s v="0.00"/>
    <s v="98.72"/>
  </r>
  <r>
    <x v="1"/>
    <x v="130"/>
    <n v="2522498"/>
    <n v="29486"/>
    <n v="1995133"/>
    <s v="1.17"/>
    <s v="0.00"/>
    <s v="98.83"/>
  </r>
  <r>
    <x v="1"/>
    <x v="129"/>
    <n v="3831259"/>
    <n v="290110"/>
    <n v="1479618"/>
    <s v="7.57"/>
    <s v="0.00"/>
    <s v="92.43"/>
  </r>
  <r>
    <x v="1"/>
    <x v="128"/>
    <n v="61832"/>
    <n v="2302"/>
    <n v="43065"/>
    <s v="3.72"/>
    <s v="0.00"/>
    <s v="96.28"/>
  </r>
  <r>
    <x v="1"/>
    <x v="127"/>
    <n v="89255"/>
    <n v="246"/>
    <n v="16792"/>
    <s v="0.28"/>
    <s v="0.00"/>
    <s v="99.72"/>
  </r>
  <r>
    <x v="1"/>
    <x v="126"/>
    <n v="18979"/>
    <n v="240"/>
    <n v="10627"/>
    <s v="1.26"/>
    <s v="0.00"/>
    <s v="98.74"/>
  </r>
  <r>
    <x v="1"/>
    <x v="125"/>
    <n v="38004"/>
    <n v="462"/>
    <n v="34560"/>
    <s v="1.22"/>
    <s v="0.00"/>
    <s v="98.78"/>
  </r>
  <r>
    <x v="1"/>
    <x v="124"/>
    <n v="37884"/>
    <n v="805"/>
    <n v="21450"/>
    <s v="2.12"/>
    <s v="0.00"/>
    <s v="97.88"/>
  </r>
  <r>
    <x v="1"/>
    <x v="123"/>
    <n v="43789"/>
    <n v="698"/>
    <n v="2364"/>
    <s v="1.59"/>
    <s v="0.00"/>
    <s v="98.41"/>
  </r>
  <r>
    <x v="1"/>
    <x v="122"/>
    <n v="77"/>
    <n v="0"/>
    <n v="69"/>
    <s v="0.00"/>
    <s v="0.00"/>
    <s v="100.00"/>
  </r>
  <r>
    <x v="1"/>
    <x v="121"/>
    <n v="369303"/>
    <n v="1840"/>
    <n v="339834"/>
    <s v="0.50"/>
    <s v="0.00"/>
    <s v="99.50"/>
  </r>
  <r>
    <x v="1"/>
    <x v="120"/>
    <n v="509771"/>
    <n v="18869"/>
    <n v="305062"/>
    <s v="3.70"/>
    <s v="0.00"/>
    <s v="96.30"/>
  </r>
  <r>
    <x v="1"/>
    <x v="119"/>
    <n v="16526"/>
    <n v="581"/>
    <n v="3337"/>
    <s v="3.52"/>
    <s v="0.00"/>
    <s v="96.48"/>
  </r>
  <r>
    <x v="1"/>
    <x v="118"/>
    <n v="207566"/>
    <n v="7276"/>
    <n v="153055"/>
    <s v="3.51"/>
    <s v="0.00"/>
    <s v="96.49"/>
  </r>
  <r>
    <x v="1"/>
    <x v="117"/>
    <n v="4"/>
    <n v="0"/>
    <n v="3"/>
    <s v="0.00"/>
    <s v="0.00"/>
    <s v="100.00"/>
  </r>
  <r>
    <x v="1"/>
    <x v="116"/>
    <n v="43672"/>
    <n v="964"/>
    <n v="25904"/>
    <s v="2.21"/>
    <s v="0.00"/>
    <s v="97.79"/>
  </r>
  <r>
    <x v="1"/>
    <x v="115"/>
    <n v="3975"/>
    <n v="56"/>
    <n v="1042"/>
    <s v="1.41"/>
    <s v="0.00"/>
    <s v="98.59"/>
  </r>
  <r>
    <x v="1"/>
    <x v="114"/>
    <n v="150313"/>
    <n v="2181"/>
    <n v="61400"/>
    <s v="1.45"/>
    <s v="0.00"/>
    <s v="98.55"/>
  </r>
  <r>
    <x v="1"/>
    <x v="113"/>
    <n v="349568"/>
    <n v="8253"/>
    <n v="69741"/>
    <s v="2.36"/>
    <s v="0.00"/>
    <s v="97.64"/>
  </r>
  <r>
    <x v="1"/>
    <x v="112"/>
    <n v="3451"/>
    <n v="36"/>
    <n v="2139"/>
    <s v="1.04"/>
    <s v="0.00"/>
    <s v="98.96"/>
  </r>
  <r>
    <x v="1"/>
    <x v="111"/>
    <n v="947761"/>
    <n v="14729"/>
    <n v="271906"/>
    <s v="1.55"/>
    <s v="0.00"/>
    <s v="98.45"/>
  </r>
  <r>
    <x v="1"/>
    <x v="110"/>
    <n v="362915"/>
    <n v="5241"/>
    <n v="149254"/>
    <s v="1.44"/>
    <s v="0.00"/>
    <s v="98.56"/>
  </r>
  <r>
    <x v="1"/>
    <x v="109"/>
    <n v="235387"/>
    <n v="3598"/>
    <n v="144475"/>
    <s v="1.53"/>
    <s v="0.00"/>
    <s v="98.47"/>
  </r>
  <r>
    <x v="1"/>
    <x v="108"/>
    <n v="83826"/>
    <n v="852"/>
    <n v="64298"/>
    <s v="1.02"/>
    <s v="0.00"/>
    <s v="98.98"/>
  </r>
  <r>
    <x v="1"/>
    <x v="107"/>
    <n v="434033"/>
    <n v="6214"/>
    <n v="131352"/>
    <s v="1.43"/>
    <s v="0.00"/>
    <s v="98.57"/>
  </r>
  <r>
    <x v="1"/>
    <x v="106"/>
    <n v="21687"/>
    <n v="660"/>
    <n v="18397"/>
    <s v="3.04"/>
    <s v="0.00"/>
    <s v="96.96"/>
  </r>
  <r>
    <x v="1"/>
    <x v="105"/>
    <n v="5818"/>
    <n v="287"/>
    <n v="2770"/>
    <s v="4.93"/>
    <s v="0.00"/>
    <s v="95.07"/>
  </r>
  <r>
    <x v="1"/>
    <x v="104"/>
    <n v="547346"/>
    <n v="13908"/>
    <n v="323748"/>
    <s v="2.54"/>
    <s v="0.00"/>
    <s v="97.46"/>
  </r>
  <r>
    <x v="1"/>
    <x v="103"/>
    <n v="3814"/>
    <n v="61"/>
    <n v="226"/>
    <s v="1.60"/>
    <s v="0.00"/>
    <s v="98.40"/>
  </r>
  <r>
    <x v="1"/>
    <x v="102"/>
    <n v="12757"/>
    <n v="264"/>
    <n v="4702"/>
    <s v="2.07"/>
    <s v="0.00"/>
    <s v="97.93"/>
  </r>
  <r>
    <x v="1"/>
    <x v="101"/>
    <n v="648782"/>
    <n v="8561"/>
    <n v="56246"/>
    <s v="1.32"/>
    <s v="0.00"/>
    <s v="98.68"/>
  </r>
  <r>
    <x v="1"/>
    <x v="100"/>
    <n v="50031"/>
    <n v="91"/>
    <n v="49767"/>
    <s v="0.18"/>
    <s v="0.00"/>
    <s v="99.82"/>
  </r>
  <r>
    <x v="1"/>
    <x v="99"/>
    <n v="1033639"/>
    <n v="17396"/>
    <n v="900573"/>
    <s v="1.68"/>
    <s v="0.00"/>
    <s v="98.32"/>
  </r>
  <r>
    <x v="1"/>
    <x v="98"/>
    <n v="412916"/>
    <n v="2462"/>
    <n v="407128"/>
    <s v="0.60"/>
    <s v="0.00"/>
    <s v="99.40"/>
  </r>
  <r>
    <x v="1"/>
    <x v="97"/>
    <n v="388351"/>
    <n v="3033"/>
    <n v="245677"/>
    <s v="0.78"/>
    <s v="0.00"/>
    <s v="99.22"/>
  </r>
  <r>
    <x v="1"/>
    <x v="96"/>
    <n v="2730"/>
    <n v="27"/>
    <n v="2397"/>
    <s v="0.99"/>
    <s v="0.00"/>
    <s v="99.01"/>
  </r>
  <r>
    <x v="1"/>
    <x v="95"/>
    <n v="4349"/>
    <n v="147"/>
    <n v="3481"/>
    <s v="3.38"/>
    <s v="0.00"/>
    <s v="96.62"/>
  </r>
  <r>
    <x v="1"/>
    <x v="94"/>
    <n v="2"/>
    <n v="0"/>
    <n v="0"/>
    <s v="0.00"/>
    <s v="0.00"/>
    <s v="100.00"/>
  </r>
  <r>
    <x v="1"/>
    <x v="93"/>
    <n v="119292"/>
    <n v="2845"/>
    <n v="67832"/>
    <s v="2.38"/>
    <s v="0.00"/>
    <s v="97.62"/>
  </r>
  <r>
    <x v="1"/>
    <x v="92"/>
    <n v="181982"/>
    <n v="2694"/>
    <n v="32970"/>
    <s v="1.48"/>
    <s v="0.00"/>
    <s v="98.52"/>
  </r>
  <r>
    <x v="1"/>
    <x v="91"/>
    <n v="254057"/>
    <n v="5314"/>
    <n v="87972"/>
    <s v="2.09"/>
    <s v="0.00"/>
    <s v="97.91"/>
  </r>
  <r>
    <x v="1"/>
    <x v="90"/>
    <n v="1724172"/>
    <n v="18315"/>
    <n v="1145631"/>
    <s v="1.06"/>
    <s v="0.00"/>
    <s v="98.94"/>
  </r>
  <r>
    <x v="1"/>
    <x v="89"/>
    <n v="883446"/>
    <n v="11167"/>
    <n v="787678"/>
    <s v="1.26"/>
    <s v="0.00"/>
    <s v="98.74"/>
  </r>
  <r>
    <x v="1"/>
    <x v="88"/>
    <n v="89818"/>
    <n v="2298"/>
    <n v="35008"/>
    <s v="2.56"/>
    <s v="0.00"/>
    <s v="97.44"/>
  </r>
  <r>
    <x v="1"/>
    <x v="87"/>
    <n v="4826738"/>
    <n v="132551"/>
    <n v="3990418"/>
    <s v="2.75"/>
    <s v="0.00"/>
    <s v="97.25"/>
  </r>
  <r>
    <x v="1"/>
    <x v="86"/>
    <n v="14935"/>
    <n v="34"/>
    <n v="2570"/>
    <s v="0.23"/>
    <s v="0.00"/>
    <s v="99.77"/>
  </r>
  <r>
    <x v="1"/>
    <x v="85"/>
    <n v="6012408"/>
    <n v="127686"/>
    <n v="2452050"/>
    <s v="2.12"/>
    <s v="0.00"/>
    <s v="97.88"/>
  </r>
  <r>
    <x v="1"/>
    <x v="84"/>
    <n v="2066042"/>
    <n v="23415"/>
    <n v="1097892"/>
    <s v="1.13"/>
    <s v="0.00"/>
    <s v="98.87"/>
  </r>
  <r>
    <x v="1"/>
    <x v="83"/>
    <n v="34388579"/>
    <n v="461849"/>
    <n v="31762156"/>
    <s v="1.34"/>
    <s v="0.00"/>
    <s v="98.66"/>
  </r>
  <r>
    <x v="1"/>
    <x v="82"/>
    <n v="1335654"/>
    <n v="8133"/>
    <n v="1070353"/>
    <s v="0.61"/>
    <s v="0.00"/>
    <s v="99.39"/>
  </r>
  <r>
    <x v="1"/>
    <x v="81"/>
    <n v="480846"/>
    <n v="5566"/>
    <n v="271369"/>
    <s v="1.16"/>
    <s v="0.00"/>
    <s v="98.84"/>
  </r>
  <r>
    <x v="1"/>
    <x v="80"/>
    <n v="4249323"/>
    <n v="143592"/>
    <n v="3400907"/>
    <s v="3.38"/>
    <s v="0.00"/>
    <s v="96.62"/>
  </r>
  <r>
    <x v="1"/>
    <x v="79"/>
    <n v="923020"/>
    <n v="31619"/>
    <n v="415989"/>
    <s v="3.43"/>
    <s v="0.00"/>
    <s v="96.57"/>
  </r>
  <r>
    <x v="1"/>
    <x v="78"/>
    <n v="24233"/>
    <n v="702"/>
    <n v="13221"/>
    <s v="2.90"/>
    <s v="0.00"/>
    <s v="97.10"/>
  </r>
  <r>
    <x v="1"/>
    <x v="77"/>
    <n v="514850"/>
    <n v="9655"/>
    <n v="72797"/>
    <s v="1.88"/>
    <s v="0.00"/>
    <s v="98.12"/>
  </r>
  <r>
    <x v="1"/>
    <x v="76"/>
    <n v="376676"/>
    <n v="10335"/>
    <n v="71376"/>
    <s v="2.74"/>
    <s v="0.00"/>
    <s v="97.26"/>
  </r>
  <r>
    <x v="1"/>
    <x v="75"/>
    <n v="12374"/>
    <n v="213"/>
    <n v="2266"/>
    <s v="1.72"/>
    <s v="0.00"/>
    <s v="98.28"/>
  </r>
  <r>
    <x v="1"/>
    <x v="74"/>
    <n v="36439"/>
    <n v="952"/>
    <n v="32215"/>
    <s v="2.61"/>
    <s v="0.00"/>
    <s v="97.39"/>
  </r>
  <r>
    <x v="1"/>
    <x v="73"/>
    <n v="6203"/>
    <n v="143"/>
    <n v="1348"/>
    <s v="2.31"/>
    <s v="0.00"/>
    <s v="97.69"/>
  </r>
  <r>
    <x v="1"/>
    <x v="72"/>
    <n v="607497"/>
    <n v="15578"/>
    <n v="43524"/>
    <s v="2.56"/>
    <s v="0.00"/>
    <s v="97.44"/>
  </r>
  <r>
    <x v="1"/>
    <x v="71"/>
    <n v="808297"/>
    <n v="16493"/>
    <n v="638684"/>
    <s v="2.04"/>
    <s v="0.00"/>
    <s v="97.96"/>
  </r>
  <r>
    <x v="1"/>
    <x v="70"/>
    <n v="13459"/>
    <n v="168"/>
    <n v="79"/>
    <s v="1.25"/>
    <s v="0.00"/>
    <s v="98.75"/>
  </r>
  <r>
    <x v="1"/>
    <x v="69"/>
    <n v="54672"/>
    <n v="822"/>
    <n v="8542"/>
    <s v="1.50"/>
    <s v="0.00"/>
    <s v="98.50"/>
  </r>
  <r>
    <x v="1"/>
    <x v="68"/>
    <n v="30709"/>
    <n v="387"/>
    <n v="20604"/>
    <s v="1.26"/>
    <s v="0.00"/>
    <s v="98.74"/>
  </r>
  <r>
    <x v="1"/>
    <x v="67"/>
    <n v="9980"/>
    <n v="341"/>
    <n v="4948"/>
    <s v="3.42"/>
    <s v="0.00"/>
    <s v="96.58"/>
  </r>
  <r>
    <x v="1"/>
    <x v="66"/>
    <n v="6256"/>
    <n v="98"/>
    <n v="1412"/>
    <s v="1.57"/>
    <s v="0.00"/>
    <s v="98.43"/>
  </r>
  <r>
    <x v="1"/>
    <x v="65"/>
    <n v="130608"/>
    <n v="1203"/>
    <n v="37073"/>
    <s v="0.92"/>
    <s v="0.00"/>
    <s v="99.08"/>
  </r>
  <r>
    <x v="1"/>
    <x v="64"/>
    <n v="45245"/>
    <n v="316"/>
    <n v="44106"/>
    <s v="0.70"/>
    <s v="0.00"/>
    <s v="99.30"/>
  </r>
  <r>
    <x v="1"/>
    <x v="63"/>
    <n v="766818"/>
    <n v="10662"/>
    <n v="129694"/>
    <s v="1.39"/>
    <s v="0.00"/>
    <s v="98.61"/>
  </r>
  <r>
    <x v="1"/>
    <x v="62"/>
    <n v="5863"/>
    <n v="200"/>
    <n v="1069"/>
    <s v="3.41"/>
    <s v="0.00"/>
    <s v="96.59"/>
  </r>
  <r>
    <x v="1"/>
    <x v="61"/>
    <n v="9445628"/>
    <n v="142674"/>
    <n v="4892287"/>
    <s v="1.51"/>
    <s v="0.00"/>
    <s v="98.49"/>
  </r>
  <r>
    <x v="1"/>
    <x v="60"/>
    <n v="36587"/>
    <n v="262"/>
    <n v="18294"/>
    <s v="0.72"/>
    <s v="0.00"/>
    <s v="99.28"/>
  </r>
  <r>
    <x v="1"/>
    <x v="59"/>
    <n v="7063280"/>
    <n v="115637"/>
    <n v="3331780"/>
    <s v="1.64"/>
    <s v="0.00"/>
    <s v="98.36"/>
  </r>
  <r>
    <x v="1"/>
    <x v="58"/>
    <n v="2778"/>
    <n v="6"/>
    <n v="816"/>
    <s v="0.22"/>
    <s v="0.00"/>
    <s v="99.78"/>
  </r>
  <r>
    <x v="1"/>
    <x v="57"/>
    <n v="52356"/>
    <n v="679"/>
    <n v="41713"/>
    <s v="1.30"/>
    <s v="0.00"/>
    <s v="98.70"/>
  </r>
  <r>
    <x v="1"/>
    <x v="56"/>
    <n v="166256"/>
    <n v="1212"/>
    <n v="33238"/>
    <s v="0.73"/>
    <s v="0.00"/>
    <s v="99.27"/>
  </r>
  <r>
    <x v="1"/>
    <x v="55"/>
    <n v="367857"/>
    <n v="6572"/>
    <n v="338172"/>
    <s v="1.79"/>
    <s v="0.00"/>
    <s v="98.21"/>
  </r>
  <r>
    <x v="1"/>
    <x v="54"/>
    <n v="5038517"/>
    <n v="87617"/>
    <n v="3831512"/>
    <s v="1.74"/>
    <s v="0.00"/>
    <s v="98.26"/>
  </r>
  <r>
    <x v="1"/>
    <x v="53"/>
    <n v="7003"/>
    <n v="48"/>
    <n v="5216"/>
    <s v="0.69"/>
    <s v="0.00"/>
    <s v="99.31"/>
  </r>
  <r>
    <x v="1"/>
    <x v="52"/>
    <n v="340269"/>
    <n v="19249"/>
    <n v="273615"/>
    <s v="5.66"/>
    <s v="0.00"/>
    <s v="94.34"/>
  </r>
  <r>
    <x v="1"/>
    <x v="51"/>
    <n v="208326"/>
    <n v="1637"/>
    <n v="69352"/>
    <s v="0.79"/>
    <s v="0.00"/>
    <s v="99.21"/>
  </r>
  <r>
    <x v="1"/>
    <x v="50"/>
    <n v="519560"/>
    <n v="32989"/>
    <n v="364272"/>
    <s v="6.35"/>
    <s v="0.00"/>
    <s v="93.65"/>
  </r>
  <r>
    <x v="1"/>
    <x v="49"/>
    <n v="207509"/>
    <n v="5960"/>
    <n v="80631"/>
    <s v="2.87"/>
    <s v="0.00"/>
    <s v="97.13"/>
  </r>
  <r>
    <x v="1"/>
    <x v="48"/>
    <n v="391104"/>
    <n v="4157"/>
    <n v="106932"/>
    <s v="1.06"/>
    <s v="0.00"/>
    <s v="98.94"/>
  </r>
  <r>
    <x v="1"/>
    <x v="47"/>
    <n v="5176"/>
    <n v="34"/>
    <n v="4989"/>
    <s v="0.66"/>
    <s v="0.00"/>
    <s v="99.34"/>
  </r>
  <r>
    <x v="1"/>
    <x v="46"/>
    <n v="411397"/>
    <n v="2745"/>
    <n v="73936"/>
    <s v="0.67"/>
    <s v="0.00"/>
    <s v="99.33"/>
  </r>
  <r>
    <x v="1"/>
    <x v="45"/>
    <n v="13493"/>
    <n v="186"/>
    <n v="3954"/>
    <s v="1.38"/>
    <s v="0.00"/>
    <s v="98.62"/>
  </r>
  <r>
    <x v="1"/>
    <x v="44"/>
    <n v="4908540"/>
    <n v="97203"/>
    <n v="1717847"/>
    <s v="1.98"/>
    <s v="0.00"/>
    <s v="98.02"/>
  </r>
  <r>
    <x v="1"/>
    <x v="43"/>
    <n v="1843019"/>
    <n v="31229"/>
    <n v="1771770"/>
    <s v="1.69"/>
    <s v="0.00"/>
    <s v="98.31"/>
  </r>
  <r>
    <x v="1"/>
    <x v="42"/>
    <n v="126497"/>
    <n v="577"/>
    <n v="1510"/>
    <s v="0.46"/>
    <s v="0.00"/>
    <s v="99.54"/>
  </r>
  <r>
    <x v="1"/>
    <x v="41"/>
    <n v="38278"/>
    <n v="350"/>
    <n v="28588"/>
    <s v="0.91"/>
    <s v="0.00"/>
    <s v="99.09"/>
  </r>
  <r>
    <x v="1"/>
    <x v="40"/>
    <n v="957332"/>
    <n v="8274"/>
    <n v="919778"/>
    <s v="0.86"/>
    <s v="0.00"/>
    <s v="99.14"/>
  </r>
  <r>
    <x v="1"/>
    <x v="39"/>
    <n v="563290"/>
    <n v="7176"/>
    <n v="119933"/>
    <s v="1.27"/>
    <s v="0.00"/>
    <s v="98.73"/>
  </r>
  <r>
    <x v="1"/>
    <x v="38"/>
    <n v="5021619"/>
    <n v="127640"/>
    <n v="3125586"/>
    <s v="2.54"/>
    <s v="0.00"/>
    <s v="97.46"/>
  </r>
  <r>
    <x v="1"/>
    <x v="37"/>
    <n v="98003"/>
    <n v="4636"/>
    <n v="33446"/>
    <s v="4.73"/>
    <s v="0.00"/>
    <s v="95.27"/>
  </r>
  <r>
    <x v="1"/>
    <x v="36"/>
    <n v="105719"/>
    <n v="1758"/>
    <n v="79652"/>
    <s v="1.66"/>
    <s v="0.00"/>
    <s v="98.34"/>
  </r>
  <r>
    <x v="1"/>
    <x v="35"/>
    <n v="1715352"/>
    <n v="37895"/>
    <n v="501100"/>
    <s v="2.21"/>
    <s v="0.00"/>
    <s v="97.79"/>
  </r>
  <r>
    <x v="1"/>
    <x v="34"/>
    <n v="61458"/>
    <n v="700"/>
    <n v="55953"/>
    <s v="1.14"/>
    <s v="0.00"/>
    <s v="98.86"/>
  </r>
  <r>
    <x v="1"/>
    <x v="33"/>
    <n v="901228"/>
    <n v="11306"/>
    <n v="394239"/>
    <s v="1.25"/>
    <s v="0.00"/>
    <s v="98.75"/>
  </r>
  <r>
    <x v="1"/>
    <x v="32"/>
    <n v="18153"/>
    <n v="309"/>
    <n v="10687"/>
    <s v="1.70"/>
    <s v="0.00"/>
    <s v="98.30"/>
  </r>
  <r>
    <x v="1"/>
    <x v="31"/>
    <n v="11579"/>
    <n v="100"/>
    <n v="2006"/>
    <s v="0.86"/>
    <s v="0.00"/>
    <s v="99.14"/>
  </r>
  <r>
    <x v="1"/>
    <x v="30"/>
    <n v="57662"/>
    <n v="1099"/>
    <n v="1632"/>
    <s v="1.91"/>
    <s v="0.00"/>
    <s v="98.09"/>
  </r>
  <r>
    <x v="1"/>
    <x v="29"/>
    <n v="1748359"/>
    <n v="29303"/>
    <n v="1120972"/>
    <s v="1.68"/>
    <s v="0.00"/>
    <s v="98.32"/>
  </r>
  <r>
    <x v="1"/>
    <x v="28"/>
    <n v="28568"/>
    <n v="530"/>
    <n v="939"/>
    <s v="1.86"/>
    <s v="0.00"/>
    <s v="98.14"/>
  </r>
  <r>
    <x v="1"/>
    <x v="27"/>
    <n v="619708"/>
    <n v="4789"/>
    <n v="269477"/>
    <s v="0.77"/>
    <s v="0.00"/>
    <s v="99.23"/>
  </r>
  <r>
    <x v="1"/>
    <x v="26"/>
    <n v="193449"/>
    <n v="2409"/>
    <n v="46707"/>
    <s v="1.25"/>
    <s v="0.00"/>
    <s v="98.75"/>
  </r>
  <r>
    <x v="1"/>
    <x v="25"/>
    <n v="2623"/>
    <n v="3"/>
    <n v="61"/>
    <s v="0.11"/>
    <s v="0.00"/>
    <s v="99.89"/>
  </r>
  <r>
    <x v="1"/>
    <x v="24"/>
    <n v="22544"/>
    <n v="661"/>
    <n v="12929"/>
    <s v="2.93"/>
    <s v="0.00"/>
    <s v="97.07"/>
  </r>
  <r>
    <x v="1"/>
    <x v="23"/>
    <n v="21909298"/>
    <n v="610036"/>
    <n v="6927187"/>
    <s v="2.78"/>
    <s v="0.00"/>
    <s v="97.22"/>
  </r>
  <r>
    <x v="1"/>
    <x v="22"/>
    <n v="519669"/>
    <n v="18976"/>
    <n v="305676"/>
    <s v="3.65"/>
    <s v="0.00"/>
    <s v="96.35"/>
  </r>
  <r>
    <x v="1"/>
    <x v="21"/>
    <n v="13962"/>
    <n v="93"/>
    <n v="12021"/>
    <s v="0.67"/>
    <s v="0.00"/>
    <s v="99.33"/>
  </r>
  <r>
    <x v="1"/>
    <x v="20"/>
    <n v="1661"/>
    <n v="6"/>
    <n v="613"/>
    <s v="0.36"/>
    <s v="0.00"/>
    <s v="99.64"/>
  </r>
  <r>
    <x v="1"/>
    <x v="19"/>
    <n v="24833"/>
    <n v="161"/>
    <n v="15411"/>
    <s v="0.65"/>
    <s v="0.00"/>
    <s v="99.35"/>
  </r>
  <r>
    <x v="1"/>
    <x v="18"/>
    <n v="20200"/>
    <n v="38"/>
    <n v="10386"/>
    <s v="0.19"/>
    <s v="0.00"/>
    <s v="99.81"/>
  </r>
  <r>
    <x v="1"/>
    <x v="17"/>
    <n v="277138"/>
    <n v="1393"/>
    <n v="231848"/>
    <s v="0.50"/>
    <s v="0.00"/>
    <s v="99.50"/>
  </r>
  <r>
    <x v="1"/>
    <x v="16"/>
    <n v="646856"/>
    <n v="25754"/>
    <n v="236838"/>
    <s v="3.98"/>
    <s v="0.00"/>
    <s v="96.02"/>
  </r>
  <r>
    <x v="1"/>
    <x v="15"/>
    <n v="15281"/>
    <n v="234"/>
    <n v="9306"/>
    <s v="1.53"/>
    <s v="0.00"/>
    <s v="98.47"/>
  </r>
  <r>
    <x v="1"/>
    <x v="14"/>
    <n v="1463548"/>
    <n v="26261"/>
    <n v="254571"/>
    <s v="1.79"/>
    <s v="0.00"/>
    <s v="98.21"/>
  </r>
  <r>
    <x v="1"/>
    <x v="13"/>
    <n v="1571669"/>
    <n v="27906"/>
    <n v="1017196"/>
    <s v="1.78"/>
    <s v="0.00"/>
    <s v="98.22"/>
  </r>
  <r>
    <x v="1"/>
    <x v="12"/>
    <n v="21011"/>
    <n v="187"/>
    <n v="2758"/>
    <s v="0.89"/>
    <s v="0.00"/>
    <s v="99.11"/>
  </r>
  <r>
    <x v="1"/>
    <x v="11"/>
    <n v="261799"/>
    <n v="11891"/>
    <n v="206519"/>
    <s v="4.54"/>
    <s v="0.00"/>
    <s v="95.46"/>
  </r>
  <r>
    <x v="1"/>
    <x v="10"/>
    <n v="552322"/>
    <n v="7342"/>
    <n v="389889"/>
    <s v="1.33"/>
    <s v="0.00"/>
    <s v="98.67"/>
  </r>
  <r>
    <x v="1"/>
    <x v="9"/>
    <n v="185627"/>
    <n v="1862"/>
    <n v="105099"/>
    <s v="1.00"/>
    <s v="0.00"/>
    <s v="99.00"/>
  </r>
  <r>
    <x v="1"/>
    <x v="8"/>
    <n v="911175"/>
    <n v="11577"/>
    <n v="84399"/>
    <s v="1.27"/>
    <s v="0.00"/>
    <s v="98.73"/>
  </r>
  <r>
    <x v="1"/>
    <x v="7"/>
    <n v="5300985"/>
    <n v="116184"/>
    <n v="4686915"/>
    <s v="2.19"/>
    <s v="0.00"/>
    <s v="97.81"/>
  </r>
  <r>
    <x v="1"/>
    <x v="6"/>
    <n v="64815"/>
    <n v="1723"/>
    <n v="36723"/>
    <s v="2.66"/>
    <s v="0.00"/>
    <s v="97.34"/>
  </r>
  <r>
    <x v="1"/>
    <x v="5"/>
    <n v="324039"/>
    <n v="6831"/>
    <n v="23204"/>
    <s v="2.11"/>
    <s v="0.00"/>
    <s v="97.89"/>
  </r>
  <r>
    <x v="1"/>
    <x v="4"/>
    <n v="190815"/>
    <n v="2975"/>
    <n v="107164"/>
    <s v="1.56"/>
    <s v="0.00"/>
    <s v="98.44"/>
  </r>
  <r>
    <x v="1"/>
    <x v="3"/>
    <n v="4102"/>
    <n v="105"/>
    <n v="1296"/>
    <s v="2.56"/>
    <s v="0.00"/>
    <s v="97.44"/>
  </r>
  <r>
    <x v="1"/>
    <x v="2"/>
    <n v="156414"/>
    <n v="7291"/>
    <n v="92386"/>
    <s v="4.66"/>
    <s v="0.00"/>
    <s v="95.34"/>
  </r>
  <r>
    <x v="1"/>
    <x v="1"/>
    <n v="740647"/>
    <n v="2142"/>
    <n v="77403"/>
    <s v="0.29"/>
    <s v="0.00"/>
    <s v="99.71"/>
  </r>
  <r>
    <x v="1"/>
    <x v="0"/>
    <n v="15744"/>
    <n v="130"/>
    <n v="12839"/>
    <s v="0.83"/>
    <s v="0.00"/>
    <s v="99.17"/>
  </r>
  <r>
    <x v="2"/>
    <x v="0"/>
    <n v="15717"/>
    <n v="130"/>
    <n v="185"/>
    <s v="0.83"/>
    <s v="0.00"/>
    <s v="99.17"/>
  </r>
  <r>
    <x v="2"/>
    <x v="1"/>
    <n v="740572"/>
    <n v="2142"/>
    <n v="293006"/>
    <s v="0.29"/>
    <s v="0.00"/>
    <s v="99.71"/>
  </r>
  <r>
    <x v="2"/>
    <x v="2"/>
    <n v="156397"/>
    <n v="7290"/>
    <n v="6026"/>
    <s v="4.66"/>
    <s v="0.00"/>
    <s v="95.34"/>
  </r>
  <r>
    <x v="2"/>
    <x v="3"/>
    <n v="4091"/>
    <n v="105"/>
    <n v="3080"/>
    <s v="2.57"/>
    <s v="0.00"/>
    <s v="97.43"/>
  </r>
  <r>
    <x v="2"/>
    <x v="4"/>
    <n v="190125"/>
    <n v="2970"/>
    <n v="1305"/>
    <s v="1.56"/>
    <s v="0.00"/>
    <s v="98.44"/>
  </r>
  <r>
    <x v="2"/>
    <x v="5"/>
    <n v="322364"/>
    <n v="6762"/>
    <n v="220746"/>
    <s v="2.10"/>
    <s v="0.00"/>
    <s v="97.90"/>
  </r>
  <r>
    <x v="2"/>
    <x v="6"/>
    <n v="64762"/>
    <n v="1723"/>
    <n v="45735"/>
    <s v="2.66"/>
    <s v="0.00"/>
    <s v="97.34"/>
  </r>
  <r>
    <x v="2"/>
    <x v="7"/>
    <n v="5299418"/>
    <n v="116165"/>
    <n v="2208608"/>
    <s v="2.19"/>
    <s v="0.00"/>
    <s v="97.81"/>
  </r>
  <r>
    <x v="2"/>
    <x v="8"/>
    <n v="899777"/>
    <n v="11554"/>
    <n v="122387"/>
    <s v="1.28"/>
    <s v="0.00"/>
    <s v="98.72"/>
  </r>
  <r>
    <x v="2"/>
    <x v="9"/>
    <n v="184071"/>
    <n v="1858"/>
    <n v="50959"/>
    <s v="1.01"/>
    <s v="0.00"/>
    <s v="98.99"/>
  </r>
  <r>
    <x v="2"/>
    <x v="10"/>
    <n v="550446"/>
    <n v="7320"/>
    <n v="181239"/>
    <s v="1.33"/>
    <s v="0.00"/>
    <s v="98.67"/>
  </r>
  <r>
    <x v="2"/>
    <x v="11"/>
    <n v="260837"/>
    <n v="11869"/>
    <n v="78610"/>
    <s v="4.55"/>
    <s v="0.00"/>
    <s v="95.45"/>
  </r>
  <r>
    <x v="2"/>
    <x v="12"/>
    <n v="20676"/>
    <n v="183"/>
    <n v="19265"/>
    <s v="0.89"/>
    <s v="0.00"/>
    <s v="99.11"/>
  </r>
  <r>
    <x v="2"/>
    <x v="13"/>
    <n v="1571434"/>
    <n v="27904"/>
    <n v="390951"/>
    <s v="1.78"/>
    <s v="0.00"/>
    <s v="98.22"/>
  </r>
  <r>
    <x v="2"/>
    <x v="14"/>
    <n v="1438830"/>
    <n v="26200"/>
    <n v="577246"/>
    <s v="1.82"/>
    <s v="0.00"/>
    <s v="98.18"/>
  </r>
  <r>
    <x v="2"/>
    <x v="15"/>
    <n v="15103"/>
    <n v="221"/>
    <n v="11657"/>
    <s v="1.46"/>
    <s v="0.00"/>
    <s v="98.54"/>
  </r>
  <r>
    <x v="2"/>
    <x v="16"/>
    <n v="643003"/>
    <n v="25555"/>
    <n v="51700"/>
    <s v="3.97"/>
    <s v="0.00"/>
    <s v="96.03"/>
  </r>
  <r>
    <x v="2"/>
    <x v="17"/>
    <n v="277113"/>
    <n v="1393"/>
    <n v="55986"/>
    <s v="0.50"/>
    <s v="0.00"/>
    <s v="99.50"/>
  </r>
  <r>
    <x v="2"/>
    <x v="18"/>
    <n v="20170"/>
    <n v="38"/>
    <n v="3545"/>
    <s v="0.19"/>
    <s v="0.00"/>
    <s v="99.81"/>
  </r>
  <r>
    <x v="2"/>
    <x v="19"/>
    <n v="24804"/>
    <n v="161"/>
    <n v="5462"/>
    <s v="0.65"/>
    <s v="0.00"/>
    <s v="99.35"/>
  </r>
  <r>
    <x v="2"/>
    <x v="20"/>
    <n v="1661"/>
    <n v="6"/>
    <n v="1446"/>
    <s v="0.36"/>
    <s v="0.00"/>
    <s v="99.64"/>
  </r>
  <r>
    <x v="2"/>
    <x v="21"/>
    <n v="13864"/>
    <n v="93"/>
    <n v="5813"/>
    <s v="0.67"/>
    <s v="0.00"/>
    <s v="99.33"/>
  </r>
  <r>
    <x v="2"/>
    <x v="22"/>
    <n v="518870"/>
    <n v="18970"/>
    <n v="277626"/>
    <s v="3.66"/>
    <s v="0.00"/>
    <s v="96.34"/>
  </r>
  <r>
    <x v="2"/>
    <x v="23"/>
    <n v="21897025"/>
    <n v="609756"/>
    <n v="2085320"/>
    <s v="2.78"/>
    <s v="0.00"/>
    <s v="97.22"/>
  </r>
  <r>
    <x v="2"/>
    <x v="24"/>
    <n v="22592"/>
    <n v="661"/>
    <n v="790"/>
    <s v="2.93"/>
    <s v="0.00"/>
    <s v="97.07"/>
  </r>
  <r>
    <x v="2"/>
    <x v="25"/>
    <n v="2623"/>
    <n v="3"/>
    <n v="2174"/>
    <s v="0.11"/>
    <s v="0.00"/>
    <s v="99.89"/>
  </r>
  <r>
    <x v="2"/>
    <x v="26"/>
    <n v="193449"/>
    <n v="2409"/>
    <n v="171381"/>
    <s v="1.25"/>
    <s v="0.00"/>
    <s v="98.75"/>
  </r>
  <r>
    <x v="2"/>
    <x v="27"/>
    <n v="617719"/>
    <n v="4773"/>
    <n v="301437"/>
    <s v="0.77"/>
    <s v="0.00"/>
    <s v="99.23"/>
  </r>
  <r>
    <x v="2"/>
    <x v="28"/>
    <n v="28162"/>
    <n v="509"/>
    <n v="16984"/>
    <s v="1.81"/>
    <s v="0.00"/>
    <s v="98.19"/>
  </r>
  <r>
    <x v="2"/>
    <x v="29"/>
    <n v="1745702"/>
    <n v="29273"/>
    <n v="212398"/>
    <s v="1.68"/>
    <s v="0.00"/>
    <s v="98.32"/>
  </r>
  <r>
    <x v="2"/>
    <x v="30"/>
    <n v="57638"/>
    <n v="1099"/>
    <n v="14206"/>
    <s v="1.91"/>
    <s v="0.00"/>
    <s v="98.09"/>
  </r>
  <r>
    <x v="2"/>
    <x v="31"/>
    <n v="11579"/>
    <n v="100"/>
    <n v="10442"/>
    <s v="0.86"/>
    <s v="0.00"/>
    <s v="99.14"/>
  </r>
  <r>
    <x v="2"/>
    <x v="32"/>
    <n v="18153"/>
    <n v="309"/>
    <n v="8666"/>
    <s v="1.70"/>
    <s v="0.00"/>
    <s v="98.30"/>
  </r>
  <r>
    <x v="2"/>
    <x v="33"/>
    <n v="897078"/>
    <n v="11295"/>
    <n v="122910"/>
    <s v="1.26"/>
    <s v="0.00"/>
    <s v="98.74"/>
  </r>
  <r>
    <x v="2"/>
    <x v="34"/>
    <n v="61442"/>
    <n v="700"/>
    <n v="40501"/>
    <s v="1.14"/>
    <s v="0.00"/>
    <s v="98.86"/>
  </r>
  <r>
    <x v="2"/>
    <x v="35"/>
    <n v="1713188"/>
    <n v="37883"/>
    <n v="14027"/>
    <s v="2.21"/>
    <s v="0.00"/>
    <s v="97.79"/>
  </r>
  <r>
    <x v="2"/>
    <x v="36"/>
    <n v="104348"/>
    <n v="1731"/>
    <n v="15588"/>
    <s v="1.66"/>
    <s v="0.00"/>
    <s v="98.34"/>
  </r>
  <r>
    <x v="2"/>
    <x v="37"/>
    <n v="97939"/>
    <n v="4636"/>
    <n v="16480"/>
    <s v="4.73"/>
    <s v="0.00"/>
    <s v="95.27"/>
  </r>
  <r>
    <x v="2"/>
    <x v="38"/>
    <n v="5019158"/>
    <n v="127610"/>
    <n v="2204218"/>
    <s v="2.54"/>
    <s v="0.00"/>
    <s v="97.46"/>
  </r>
  <r>
    <x v="2"/>
    <x v="39"/>
    <n v="563290"/>
    <n v="7176"/>
    <n v="68614"/>
    <s v="1.27"/>
    <s v="0.00"/>
    <s v="98.73"/>
  </r>
  <r>
    <x v="2"/>
    <x v="40"/>
    <n v="956919"/>
    <n v="8270"/>
    <n v="223865"/>
    <s v="0.86"/>
    <s v="0.00"/>
    <s v="99.14"/>
  </r>
  <r>
    <x v="2"/>
    <x v="41"/>
    <n v="38264"/>
    <n v="350"/>
    <n v="19352"/>
    <s v="0.91"/>
    <s v="0.00"/>
    <s v="99.09"/>
  </r>
  <r>
    <x v="2"/>
    <x v="42"/>
    <n v="126231"/>
    <n v="577"/>
    <n v="77529"/>
    <s v="0.46"/>
    <s v="0.00"/>
    <s v="99.54"/>
  </r>
  <r>
    <x v="2"/>
    <x v="43"/>
    <n v="1828440"/>
    <n v="31173"/>
    <n v="1353147"/>
    <s v="1.70"/>
    <s v="0.00"/>
    <s v="98.30"/>
  </r>
  <r>
    <x v="2"/>
    <x v="44"/>
    <n v="4857463"/>
    <n v="96968"/>
    <n v="4498035"/>
    <s v="2.00"/>
    <s v="0.00"/>
    <s v="98.00"/>
  </r>
  <r>
    <x v="2"/>
    <x v="45"/>
    <n v="13493"/>
    <n v="186"/>
    <n v="11942"/>
    <s v="1.38"/>
    <s v="0.00"/>
    <s v="98.62"/>
  </r>
  <r>
    <x v="2"/>
    <x v="46"/>
    <n v="408339"/>
    <n v="2742"/>
    <n v="301480"/>
    <s v="0.67"/>
    <s v="0.00"/>
    <s v="99.33"/>
  </r>
  <r>
    <x v="2"/>
    <x v="47"/>
    <n v="5070"/>
    <n v="33"/>
    <n v="4354"/>
    <s v="0.65"/>
    <s v="0.00"/>
    <s v="99.35"/>
  </r>
  <r>
    <x v="2"/>
    <x v="48"/>
    <n v="390058"/>
    <n v="4154"/>
    <n v="65087"/>
    <s v="1.06"/>
    <s v="0.00"/>
    <s v="98.94"/>
  </r>
  <r>
    <x v="2"/>
    <x v="49"/>
    <n v="207385"/>
    <n v="5954"/>
    <n v="69072"/>
    <s v="2.87"/>
    <s v="0.00"/>
    <s v="97.13"/>
  </r>
  <r>
    <x v="2"/>
    <x v="50"/>
    <n v="519560"/>
    <n v="32989"/>
    <n v="67052"/>
    <s v="6.35"/>
    <s v="0.00"/>
    <s v="93.65"/>
  </r>
  <r>
    <x v="2"/>
    <x v="51"/>
    <n v="206972"/>
    <n v="1623"/>
    <n v="196753"/>
    <s v="0.78"/>
    <s v="0.00"/>
    <s v="99.22"/>
  </r>
  <r>
    <x v="2"/>
    <x v="52"/>
    <n v="339335"/>
    <n v="19186"/>
    <n v="101218"/>
    <s v="5.65"/>
    <s v="0.00"/>
    <s v="94.35"/>
  </r>
  <r>
    <x v="2"/>
    <x v="53"/>
    <n v="6979"/>
    <n v="47"/>
    <n v="3763"/>
    <s v="0.67"/>
    <s v="0.00"/>
    <s v="99.33"/>
  </r>
  <r>
    <x v="2"/>
    <x v="54"/>
    <n v="5032056"/>
    <n v="87558"/>
    <n v="1727887"/>
    <s v="1.74"/>
    <s v="0.00"/>
    <s v="98.26"/>
  </r>
  <r>
    <x v="2"/>
    <x v="55"/>
    <n v="367647"/>
    <n v="6561"/>
    <n v="181601"/>
    <s v="1.78"/>
    <s v="0.00"/>
    <s v="98.22"/>
  </r>
  <r>
    <x v="2"/>
    <x v="56"/>
    <n v="165302"/>
    <n v="1209"/>
    <n v="7211"/>
    <s v="0.73"/>
    <s v="0.00"/>
    <s v="99.27"/>
  </r>
  <r>
    <x v="2"/>
    <x v="57"/>
    <n v="52298"/>
    <n v="675"/>
    <n v="18748"/>
    <s v="1.29"/>
    <s v="0.00"/>
    <s v="98.71"/>
  </r>
  <r>
    <x v="2"/>
    <x v="58"/>
    <n v="2731"/>
    <n v="6"/>
    <n v="1856"/>
    <s v="0.22"/>
    <s v="0.00"/>
    <s v="99.78"/>
  </r>
  <r>
    <x v="2"/>
    <x v="59"/>
    <n v="7052281"/>
    <n v="115604"/>
    <n v="5263011"/>
    <s v="1.64"/>
    <s v="0.00"/>
    <s v="98.36"/>
  </r>
  <r>
    <x v="2"/>
    <x v="60"/>
    <n v="36330"/>
    <n v="259"/>
    <n v="29986"/>
    <s v="0.71"/>
    <s v="0.00"/>
    <s v="99.29"/>
  </r>
  <r>
    <x v="2"/>
    <x v="61"/>
    <n v="9405979"/>
    <n v="142458"/>
    <n v="2992312"/>
    <s v="1.51"/>
    <s v="0.00"/>
    <s v="98.49"/>
  </r>
  <r>
    <x v="2"/>
    <x v="62"/>
    <n v="5863"/>
    <n v="200"/>
    <n v="2200"/>
    <s v="3.41"/>
    <s v="0.00"/>
    <s v="96.59"/>
  </r>
  <r>
    <x v="2"/>
    <x v="63"/>
    <n v="761067"/>
    <n v="10584"/>
    <n v="628549"/>
    <s v="1.39"/>
    <s v="0.00"/>
    <s v="98.61"/>
  </r>
  <r>
    <x v="2"/>
    <x v="64"/>
    <n v="45143"/>
    <n v="316"/>
    <n v="37062"/>
    <s v="0.70"/>
    <s v="0.00"/>
    <s v="99.30"/>
  </r>
  <r>
    <x v="2"/>
    <x v="65"/>
    <n v="130608"/>
    <n v="1203"/>
    <n v="87286"/>
    <s v="0.92"/>
    <s v="0.00"/>
    <s v="99.08"/>
  </r>
  <r>
    <x v="2"/>
    <x v="66"/>
    <n v="6206"/>
    <n v="98"/>
    <n v="473"/>
    <s v="1.58"/>
    <s v="0.00"/>
    <s v="98.42"/>
  </r>
  <r>
    <x v="2"/>
    <x v="67"/>
    <n v="9979"/>
    <n v="341"/>
    <n v="3980"/>
    <s v="3.42"/>
    <s v="0.00"/>
    <s v="96.58"/>
  </r>
  <r>
    <x v="2"/>
    <x v="68"/>
    <n v="30709"/>
    <n v="387"/>
    <n v="26797"/>
    <s v="1.26"/>
    <s v="0.00"/>
    <s v="98.74"/>
  </r>
  <r>
    <x v="2"/>
    <x v="69"/>
    <n v="54672"/>
    <n v="822"/>
    <n v="29628"/>
    <s v="1.50"/>
    <s v="0.00"/>
    <s v="98.50"/>
  </r>
  <r>
    <x v="2"/>
    <x v="70"/>
    <n v="13459"/>
    <n v="168"/>
    <n v="11185"/>
    <s v="1.25"/>
    <s v="0.00"/>
    <s v="98.75"/>
  </r>
  <r>
    <x v="2"/>
    <x v="71"/>
    <n v="801208"/>
    <n v="16414"/>
    <n v="178433"/>
    <s v="2.05"/>
    <s v="0.00"/>
    <s v="97.95"/>
  </r>
  <r>
    <x v="2"/>
    <x v="72"/>
    <n v="606743"/>
    <n v="15520"/>
    <n v="549246"/>
    <s v="2.56"/>
    <s v="0.00"/>
    <s v="97.44"/>
  </r>
  <r>
    <x v="2"/>
    <x v="73"/>
    <n v="6150"/>
    <n v="143"/>
    <n v="5266"/>
    <s v="2.33"/>
    <s v="0.00"/>
    <s v="97.67"/>
  </r>
  <r>
    <x v="2"/>
    <x v="74"/>
    <n v="36257"/>
    <n v="945"/>
    <n v="3357"/>
    <s v="2.61"/>
    <s v="0.00"/>
    <s v="97.39"/>
  </r>
  <r>
    <x v="2"/>
    <x v="75"/>
    <n v="12369"/>
    <n v="213"/>
    <n v="1224"/>
    <s v="1.72"/>
    <s v="0.00"/>
    <s v="98.28"/>
  </r>
  <r>
    <x v="2"/>
    <x v="76"/>
    <n v="376676"/>
    <n v="10335"/>
    <n v="361933"/>
    <s v="2.74"/>
    <s v="0.00"/>
    <s v="97.26"/>
  </r>
  <r>
    <x v="2"/>
    <x v="77"/>
    <n v="507535"/>
    <n v="9605"/>
    <n v="251145"/>
    <s v="1.89"/>
    <s v="0.00"/>
    <s v="98.11"/>
  </r>
  <r>
    <x v="2"/>
    <x v="78"/>
    <n v="24233"/>
    <n v="702"/>
    <n v="6246"/>
    <s v="2.90"/>
    <s v="0.00"/>
    <s v="97.10"/>
  </r>
  <r>
    <x v="2"/>
    <x v="79"/>
    <n v="914586"/>
    <n v="31521"/>
    <n v="305070"/>
    <s v="3.45"/>
    <s v="0.00"/>
    <s v="96.55"/>
  </r>
  <r>
    <x v="2"/>
    <x v="80"/>
    <n v="4248843"/>
    <n v="143578"/>
    <n v="435240"/>
    <s v="3.38"/>
    <s v="0.00"/>
    <s v="96.62"/>
  </r>
  <r>
    <x v="2"/>
    <x v="81"/>
    <n v="477878"/>
    <n v="5492"/>
    <n v="135116"/>
    <s v="1.15"/>
    <s v="0.00"/>
    <s v="98.85"/>
  </r>
  <r>
    <x v="2"/>
    <x v="82"/>
    <n v="1335184"/>
    <n v="8130"/>
    <n v="161836"/>
    <s v="0.61"/>
    <s v="0.00"/>
    <s v="99.39"/>
  </r>
  <r>
    <x v="2"/>
    <x v="83"/>
    <n v="34388579"/>
    <n v="461849"/>
    <n v="10343956"/>
    <s v="1.34"/>
    <s v="0.00"/>
    <s v="98.66"/>
  </r>
  <r>
    <x v="2"/>
    <x v="84"/>
    <n v="2065127"/>
    <n v="23399"/>
    <n v="825195"/>
    <s v="1.13"/>
    <s v="0.00"/>
    <s v="98.87"/>
  </r>
  <r>
    <x v="2"/>
    <x v="85"/>
    <n v="6004460"/>
    <n v="127551"/>
    <n v="4913689"/>
    <s v="2.12"/>
    <s v="0.00"/>
    <s v="97.88"/>
  </r>
  <r>
    <x v="2"/>
    <x v="86"/>
    <n v="14757"/>
    <n v="34"/>
    <n v="10957"/>
    <s v="0.23"/>
    <s v="0.00"/>
    <s v="99.77"/>
  </r>
  <r>
    <x v="2"/>
    <x v="87"/>
    <n v="4818705"/>
    <n v="132491"/>
    <n v="1315784"/>
    <s v="2.75"/>
    <s v="0.00"/>
    <s v="97.25"/>
  </r>
  <r>
    <x v="2"/>
    <x v="88"/>
    <n v="89788"/>
    <n v="2293"/>
    <n v="26132"/>
    <s v="2.55"/>
    <s v="0.00"/>
    <s v="97.45"/>
  </r>
  <r>
    <x v="2"/>
    <x v="89"/>
    <n v="880943"/>
    <n v="11156"/>
    <n v="500078"/>
    <s v="1.27"/>
    <s v="0.00"/>
    <s v="98.73"/>
  </r>
  <r>
    <x v="2"/>
    <x v="90"/>
    <n v="1723976"/>
    <n v="18312"/>
    <n v="839460"/>
    <s v="1.06"/>
    <s v="0.00"/>
    <s v="98.94"/>
  </r>
  <r>
    <x v="2"/>
    <x v="91"/>
    <n v="253879"/>
    <n v="5314"/>
    <n v="195190"/>
    <s v="2.09"/>
    <s v="0.00"/>
    <s v="97.91"/>
  </r>
  <r>
    <x v="2"/>
    <x v="92"/>
    <n v="181936"/>
    <n v="2691"/>
    <n v="52755"/>
    <s v="1.48"/>
    <s v="0.00"/>
    <s v="98.52"/>
  </r>
  <r>
    <x v="2"/>
    <x v="94"/>
    <n v="2"/>
    <n v="0"/>
    <n v="1"/>
    <s v="0.00"/>
    <s v="0.00"/>
    <s v="100.00"/>
  </r>
  <r>
    <x v="2"/>
    <x v="93"/>
    <n v="119227"/>
    <n v="2840"/>
    <n v="107258"/>
    <s v="2.38"/>
    <s v="0.00"/>
    <s v="97.62"/>
  </r>
  <r>
    <x v="2"/>
    <x v="95"/>
    <n v="4332"/>
    <n v="147"/>
    <n v="953"/>
    <s v="3.39"/>
    <s v="0.00"/>
    <s v="96.61"/>
  </r>
  <r>
    <x v="2"/>
    <x v="96"/>
    <n v="2717"/>
    <n v="25"/>
    <n v="464"/>
    <s v="0.92"/>
    <s v="0.00"/>
    <s v="99.08"/>
  </r>
  <r>
    <x v="2"/>
    <x v="97"/>
    <n v="385831"/>
    <n v="3012"/>
    <n v="82969"/>
    <s v="0.78"/>
    <s v="0.00"/>
    <s v="99.22"/>
  </r>
  <r>
    <x v="2"/>
    <x v="98"/>
    <n v="412893"/>
    <n v="2462"/>
    <n v="125397"/>
    <s v="0.60"/>
    <s v="0.00"/>
    <s v="99.40"/>
  </r>
  <r>
    <x v="2"/>
    <x v="99"/>
    <n v="1032244"/>
    <n v="17364"/>
    <n v="862997"/>
    <s v="1.68"/>
    <s v="0.00"/>
    <s v="98.32"/>
  </r>
  <r>
    <x v="2"/>
    <x v="100"/>
    <n v="48892"/>
    <n v="89"/>
    <n v="4887"/>
    <s v="0.18"/>
    <s v="0.00"/>
    <s v="99.82"/>
  </r>
  <r>
    <x v="2"/>
    <x v="101"/>
    <n v="647778"/>
    <n v="8556"/>
    <n v="17339"/>
    <s v="1.32"/>
    <s v="0.00"/>
    <s v="98.68"/>
  </r>
  <r>
    <x v="2"/>
    <x v="102"/>
    <n v="12748"/>
    <n v="264"/>
    <n v="2735"/>
    <s v="2.07"/>
    <s v="0.00"/>
    <s v="97.93"/>
  </r>
  <r>
    <x v="2"/>
    <x v="103"/>
    <n v="3781"/>
    <n v="61"/>
    <n v="1103"/>
    <s v="1.61"/>
    <s v="0.00"/>
    <s v="98.39"/>
  </r>
  <r>
    <x v="2"/>
    <x v="104"/>
    <n v="546653"/>
    <n v="13892"/>
    <n v="273672"/>
    <s v="2.54"/>
    <s v="0.00"/>
    <s v="97.46"/>
  </r>
  <r>
    <x v="2"/>
    <x v="105"/>
    <n v="5817"/>
    <n v="287"/>
    <n v="689"/>
    <s v="4.93"/>
    <s v="0.00"/>
    <s v="95.07"/>
  </r>
  <r>
    <x v="2"/>
    <x v="106"/>
    <n v="21685"/>
    <n v="659"/>
    <n v="13734"/>
    <s v="3.04"/>
    <s v="0.00"/>
    <s v="96.96"/>
  </r>
  <r>
    <x v="2"/>
    <x v="107"/>
    <n v="430855"/>
    <n v="6175"/>
    <n v="10134"/>
    <s v="1.43"/>
    <s v="0.00"/>
    <s v="98.57"/>
  </r>
  <r>
    <x v="2"/>
    <x v="108"/>
    <n v="83479"/>
    <n v="852"/>
    <n v="69400"/>
    <s v="1.02"/>
    <s v="0.00"/>
    <s v="98.98"/>
  </r>
  <r>
    <x v="2"/>
    <x v="109"/>
    <n v="233698"/>
    <n v="3561"/>
    <n v="150437"/>
    <s v="1.52"/>
    <s v="0.00"/>
    <s v="98.48"/>
  </r>
  <r>
    <x v="2"/>
    <x v="110"/>
    <n v="362318"/>
    <n v="5226"/>
    <n v="247146"/>
    <s v="1.44"/>
    <s v="0.00"/>
    <s v="98.56"/>
  </r>
  <r>
    <x v="2"/>
    <x v="111"/>
    <n v="947610"/>
    <n v="14726"/>
    <n v="70429"/>
    <s v="1.55"/>
    <s v="0.00"/>
    <s v="98.45"/>
  </r>
  <r>
    <x v="2"/>
    <x v="112"/>
    <n v="3451"/>
    <n v="36"/>
    <n v="225"/>
    <s v="1.04"/>
    <s v="0.00"/>
    <s v="98.96"/>
  </r>
  <r>
    <x v="2"/>
    <x v="113"/>
    <n v="348588"/>
    <n v="8193"/>
    <n v="269584"/>
    <s v="2.35"/>
    <s v="0.00"/>
    <s v="97.65"/>
  </r>
  <r>
    <x v="2"/>
    <x v="114"/>
    <n v="149729"/>
    <n v="2169"/>
    <n v="120665"/>
    <s v="1.45"/>
    <s v="0.00"/>
    <s v="98.55"/>
  </r>
  <r>
    <x v="2"/>
    <x v="115"/>
    <n v="3975"/>
    <n v="56"/>
    <n v="3156"/>
    <s v="1.41"/>
    <s v="0.00"/>
    <s v="98.59"/>
  </r>
  <r>
    <x v="2"/>
    <x v="116"/>
    <n v="43632"/>
    <n v="964"/>
    <n v="18957"/>
    <s v="2.21"/>
    <s v="0.00"/>
    <s v="97.79"/>
  </r>
  <r>
    <x v="2"/>
    <x v="117"/>
    <n v="4"/>
    <n v="0"/>
    <n v="3"/>
    <s v="0.00"/>
    <s v="0.00"/>
    <s v="100.00"/>
  </r>
  <r>
    <x v="2"/>
    <x v="118"/>
    <n v="206910"/>
    <n v="7255"/>
    <n v="89134"/>
    <s v="3.51"/>
    <s v="0.00"/>
    <s v="96.49"/>
  </r>
  <r>
    <x v="2"/>
    <x v="119"/>
    <n v="16468"/>
    <n v="579"/>
    <n v="12784"/>
    <s v="3.52"/>
    <s v="0.00"/>
    <s v="96.48"/>
  </r>
  <r>
    <x v="2"/>
    <x v="120"/>
    <n v="508591"/>
    <n v="18855"/>
    <n v="322049"/>
    <s v="3.71"/>
    <s v="0.00"/>
    <s v="96.29"/>
  </r>
  <r>
    <x v="2"/>
    <x v="121"/>
    <n v="368353"/>
    <n v="1829"/>
    <n v="287065"/>
    <s v="0.50"/>
    <s v="0.00"/>
    <s v="99.50"/>
  </r>
  <r>
    <x v="2"/>
    <x v="122"/>
    <n v="77"/>
    <n v="0"/>
    <n v="6"/>
    <s v="0.00"/>
    <s v="0.00"/>
    <s v="100.00"/>
  </r>
  <r>
    <x v="2"/>
    <x v="123"/>
    <n v="43789"/>
    <n v="698"/>
    <n v="22153"/>
    <s v="1.59"/>
    <s v="0.00"/>
    <s v="98.41"/>
  </r>
  <r>
    <x v="2"/>
    <x v="124"/>
    <n v="37755"/>
    <n v="802"/>
    <n v="34448"/>
    <s v="2.12"/>
    <s v="0.00"/>
    <s v="97.88"/>
  </r>
  <r>
    <x v="2"/>
    <x v="125"/>
    <n v="37966"/>
    <n v="462"/>
    <n v="3430"/>
    <s v="1.22"/>
    <s v="0.00"/>
    <s v="98.78"/>
  </r>
  <r>
    <x v="2"/>
    <x v="126"/>
    <n v="18979"/>
    <n v="240"/>
    <n v="2148"/>
    <s v="1.26"/>
    <s v="0.00"/>
    <s v="98.74"/>
  </r>
  <r>
    <x v="2"/>
    <x v="127"/>
    <n v="89126"/>
    <n v="246"/>
    <n v="65403"/>
    <s v="0.28"/>
    <s v="0.00"/>
    <s v="99.72"/>
  </r>
  <r>
    <x v="2"/>
    <x v="128"/>
    <n v="61821"/>
    <n v="2302"/>
    <n v="55721"/>
    <s v="3.72"/>
    <s v="0.00"/>
    <s v="96.28"/>
  </r>
  <r>
    <x v="2"/>
    <x v="129"/>
    <n v="3831259"/>
    <n v="290110"/>
    <n v="364183"/>
    <s v="7.57"/>
    <s v="0.00"/>
    <s v="92.43"/>
  </r>
  <r>
    <x v="2"/>
    <x v="130"/>
    <n v="2517173"/>
    <n v="29427"/>
    <n v="1030651"/>
    <s v="1.17"/>
    <s v="0.00"/>
    <s v="98.83"/>
  </r>
  <r>
    <x v="2"/>
    <x v="131"/>
    <n v="151382"/>
    <n v="1934"/>
    <n v="56489"/>
    <s v="1.28"/>
    <s v="0.00"/>
    <s v="98.72"/>
  </r>
  <r>
    <x v="2"/>
    <x v="132"/>
    <n v="129023"/>
    <n v="3564"/>
    <n v="23485"/>
    <s v="2.76"/>
    <s v="0.00"/>
    <s v="97.24"/>
  </r>
  <r>
    <x v="2"/>
    <x v="133"/>
    <n v="11404"/>
    <n v="271"/>
    <n v="6672"/>
    <s v="2.38"/>
    <s v="0.00"/>
    <s v="97.62"/>
  </r>
  <r>
    <x v="2"/>
    <x v="134"/>
    <n v="6569"/>
    <n v="227"/>
    <n v="4263"/>
    <s v="3.46"/>
    <s v="0.00"/>
    <s v="96.54"/>
  </r>
  <r>
    <x v="2"/>
    <x v="135"/>
    <n v="212829"/>
    <n v="2914"/>
    <n v="160149"/>
    <s v="1.37"/>
    <s v="0.00"/>
    <s v="98.63"/>
  </r>
  <r>
    <x v="2"/>
    <x v="136"/>
    <n v="16699"/>
    <n v="209"/>
    <n v="838"/>
    <s v="1.25"/>
    <s v="0.00"/>
    <s v="98.75"/>
  </r>
  <r>
    <x v="2"/>
    <x v="137"/>
    <n v="2264308"/>
    <n v="19054"/>
    <n v="2238892"/>
    <s v="0.84"/>
    <s v="0.00"/>
    <s v="99.16"/>
  </r>
  <r>
    <x v="2"/>
    <x v="138"/>
    <n v="220513"/>
    <n v="924"/>
    <n v="46980"/>
    <s v="0.42"/>
    <s v="0.00"/>
    <s v="99.58"/>
  </r>
  <r>
    <x v="2"/>
    <x v="139"/>
    <n v="815372"/>
    <n v="11454"/>
    <n v="42442"/>
    <s v="1.40"/>
    <s v="0.00"/>
    <s v="98.60"/>
  </r>
  <r>
    <x v="2"/>
    <x v="140"/>
    <n v="7923"/>
    <n v="32"/>
    <n v="1912"/>
    <s v="0.40"/>
    <s v="0.00"/>
    <s v="99.60"/>
  </r>
  <r>
    <x v="2"/>
    <x v="141"/>
    <n v="304389"/>
    <n v="4113"/>
    <n v="246040"/>
    <s v="1.35"/>
    <s v="0.00"/>
    <s v="98.65"/>
  </r>
  <r>
    <x v="2"/>
    <x v="142"/>
    <n v="473522"/>
    <n v="7335"/>
    <n v="152490"/>
    <s v="1.55"/>
    <s v="0.00"/>
    <s v="98.45"/>
  </r>
  <r>
    <x v="2"/>
    <x v="143"/>
    <n v="2207890"/>
    <n v="200469"/>
    <n v="933519"/>
    <s v="9.08"/>
    <s v="0.00"/>
    <s v="90.92"/>
  </r>
  <r>
    <x v="2"/>
    <x v="144"/>
    <n v="45573"/>
    <n v="636"/>
    <n v="34199"/>
    <s v="1.40"/>
    <s v="0.00"/>
    <s v="98.60"/>
  </r>
  <r>
    <x v="2"/>
    <x v="145"/>
    <n v="31893"/>
    <n v="413"/>
    <n v="26576"/>
    <s v="1.29"/>
    <s v="0.00"/>
    <s v="98.71"/>
  </r>
  <r>
    <x v="2"/>
    <x v="146"/>
    <n v="2806694"/>
    <n v="44567"/>
    <n v="2132841"/>
    <s v="1.59"/>
    <s v="0.00"/>
    <s v="98.41"/>
  </r>
  <r>
    <x v="2"/>
    <x v="147"/>
    <n v="1278114"/>
    <n v="28566"/>
    <n v="288329"/>
    <s v="2.24"/>
    <s v="0.00"/>
    <s v="97.76"/>
  </r>
  <r>
    <x v="2"/>
    <x v="148"/>
    <n v="3125179"/>
    <n v="77980"/>
    <n v="2135505"/>
    <s v="2.50"/>
    <s v="0.00"/>
    <s v="97.50"/>
  </r>
  <r>
    <x v="2"/>
    <x v="149"/>
    <n v="455949"/>
    <n v="4731"/>
    <n v="114770"/>
    <s v="1.04"/>
    <s v="0.00"/>
    <s v="98.96"/>
  </r>
  <r>
    <x v="2"/>
    <x v="150"/>
    <n v="1099307"/>
    <n v="18217"/>
    <n v="382543"/>
    <s v="1.66"/>
    <s v="0.00"/>
    <s v="98.34"/>
  </r>
  <r>
    <x v="2"/>
    <x v="151"/>
    <n v="8"/>
    <n v="0"/>
    <n v="7"/>
    <s v="0.00"/>
    <s v="0.00"/>
    <s v="100.00"/>
  </r>
  <r>
    <x v="2"/>
    <x v="152"/>
    <n v="461413"/>
    <n v="16266"/>
    <n v="12519"/>
    <s v="3.53"/>
    <s v="0.00"/>
    <s v="96.47"/>
  </r>
  <r>
    <x v="2"/>
    <x v="153"/>
    <n v="240385"/>
    <n v="611"/>
    <n v="70187"/>
    <s v="0.25"/>
    <s v="0.00"/>
    <s v="99.75"/>
  </r>
  <r>
    <x v="2"/>
    <x v="154"/>
    <n v="55125"/>
    <n v="376"/>
    <n v="2095"/>
    <s v="0.68"/>
    <s v="0.00"/>
    <s v="99.32"/>
  </r>
  <r>
    <x v="2"/>
    <x v="155"/>
    <n v="1718726"/>
    <n v="51483"/>
    <n v="1243374"/>
    <s v="3.00"/>
    <s v="0.00"/>
    <s v="97.00"/>
  </r>
  <r>
    <x v="2"/>
    <x v="156"/>
    <n v="1192476"/>
    <n v="10534"/>
    <n v="319727"/>
    <s v="0.88"/>
    <s v="0.00"/>
    <s v="99.12"/>
  </r>
  <r>
    <x v="2"/>
    <x v="157"/>
    <n v="8727817"/>
    <n v="244588"/>
    <n v="402550"/>
    <s v="2.80"/>
    <s v="0.00"/>
    <s v="97.20"/>
  </r>
  <r>
    <x v="2"/>
    <x v="158"/>
    <n v="100000"/>
    <n v="1335"/>
    <n v="82523"/>
    <s v="1.34"/>
    <s v="0.00"/>
    <s v="98.67"/>
  </r>
  <r>
    <x v="2"/>
    <x v="159"/>
    <n v="549022"/>
    <n v="8806"/>
    <n v="361646"/>
    <s v="1.60"/>
    <s v="0.00"/>
    <s v="98.40"/>
  </r>
  <r>
    <x v="2"/>
    <x v="160"/>
    <n v="20"/>
    <n v="0"/>
    <n v="1"/>
    <s v="0.00"/>
    <s v="0.00"/>
    <s v="100.00"/>
  </r>
  <r>
    <x v="2"/>
    <x v="161"/>
    <n v="22457"/>
    <n v="119"/>
    <n v="10352"/>
    <s v="0.53"/>
    <s v="0.00"/>
    <s v="99.47"/>
  </r>
  <r>
    <x v="2"/>
    <x v="162"/>
    <n v="41019"/>
    <n v="3099"/>
    <n v="12783"/>
    <s v="7.56"/>
    <s v="0.00"/>
    <s v="92.44"/>
  </r>
  <r>
    <x v="2"/>
    <x v="163"/>
    <n v="1179192"/>
    <n v="15065"/>
    <n v="64539"/>
    <s v="1.28"/>
    <s v="0.00"/>
    <s v="98.72"/>
  </r>
  <r>
    <x v="2"/>
    <x v="164"/>
    <n v="224200"/>
    <n v="523"/>
    <n v="169345"/>
    <s v="0.23"/>
    <s v="0.00"/>
    <s v="99.77"/>
  </r>
  <r>
    <x v="2"/>
    <x v="165"/>
    <n v="360614"/>
    <n v="4855"/>
    <n v="142962"/>
    <s v="1.35"/>
    <s v="0.00"/>
    <s v="98.65"/>
  </r>
  <r>
    <x v="2"/>
    <x v="166"/>
    <n v="526608"/>
    <n v="13314"/>
    <n v="78942"/>
    <s v="2.53"/>
    <s v="0.00"/>
    <s v="97.47"/>
  </r>
  <r>
    <x v="2"/>
    <x v="167"/>
    <n v="6398"/>
    <n v="121"/>
    <n v="962"/>
    <s v="1.89"/>
    <s v="0.00"/>
    <s v="98.11"/>
  </r>
  <r>
    <x v="2"/>
    <x v="168"/>
    <n v="5610"/>
    <n v="92"/>
    <n v="4805"/>
    <s v="1.64"/>
    <s v="0.00"/>
    <s v="98.36"/>
  </r>
  <r>
    <x v="2"/>
    <x v="169"/>
    <n v="73942"/>
    <n v="1881"/>
    <n v="33608"/>
    <s v="2.54"/>
    <s v="0.00"/>
    <s v="97.46"/>
  </r>
  <r>
    <x v="2"/>
    <x v="170"/>
    <n v="22693"/>
    <n v="1294"/>
    <n v="7585"/>
    <s v="5.70"/>
    <s v="0.00"/>
    <s v="94.30"/>
  </r>
  <r>
    <x v="2"/>
    <x v="171"/>
    <n v="49812"/>
    <n v="1122"/>
    <n v="31374"/>
    <s v="2.25"/>
    <s v="0.00"/>
    <s v="97.75"/>
  </r>
  <r>
    <x v="2"/>
    <x v="172"/>
    <n v="12517"/>
    <n v="133"/>
    <n v="6311"/>
    <s v="1.06"/>
    <s v="0.00"/>
    <s v="98.94"/>
  </r>
  <r>
    <x v="2"/>
    <x v="173"/>
    <n v="3730"/>
    <n v="56"/>
    <n v="2030"/>
    <s v="1.50"/>
    <s v="0.00"/>
    <s v="98.50"/>
  </r>
  <r>
    <x v="2"/>
    <x v="174"/>
    <n v="116258"/>
    <n v="3695"/>
    <n v="83084"/>
    <s v="3.18"/>
    <s v="0.00"/>
    <s v="96.82"/>
  </r>
  <r>
    <x v="2"/>
    <x v="175"/>
    <n v="45468"/>
    <n v="2637"/>
    <n v="41997"/>
    <s v="5.80"/>
    <s v="0.00"/>
    <s v="94.20"/>
  </r>
  <r>
    <x v="2"/>
    <x v="176"/>
    <n v="46462"/>
    <n v="1244"/>
    <n v="23186"/>
    <s v="2.68"/>
    <s v="0.00"/>
    <s v="97.32"/>
  </r>
  <r>
    <x v="2"/>
    <x v="177"/>
    <n v="5107"/>
    <n v="175"/>
    <n v="1077"/>
    <s v="3.43"/>
    <s v="0.00"/>
    <s v="96.57"/>
  </r>
  <r>
    <x v="2"/>
    <x v="178"/>
    <n v="26125"/>
    <n v="243"/>
    <n v="20595"/>
    <s v="0.93"/>
    <s v="0.00"/>
    <s v="99.07"/>
  </r>
  <r>
    <x v="2"/>
    <x v="179"/>
    <n v="1982495"/>
    <n v="19764"/>
    <n v="652966"/>
    <s v="1.00"/>
    <s v="0.00"/>
    <s v="99.00"/>
  </r>
  <r>
    <x v="2"/>
    <x v="180"/>
    <n v="17486"/>
    <n v="125"/>
    <n v="16821"/>
    <s v="0.71"/>
    <s v="0.00"/>
    <s v="99.29"/>
  </r>
  <r>
    <x v="2"/>
    <x v="181"/>
    <n v="19804"/>
    <n v="122"/>
    <n v="15347"/>
    <s v="0.62"/>
    <s v="0.00"/>
    <s v="99.38"/>
  </r>
  <r>
    <x v="2"/>
    <x v="182"/>
    <n v="713352"/>
    <n v="25281"/>
    <n v="105669"/>
    <s v="3.54"/>
    <s v="0.00"/>
    <s v="96.46"/>
  </r>
  <r>
    <x v="2"/>
    <x v="183"/>
    <n v="1"/>
    <n v="0"/>
    <n v="0"/>
    <s v="0.00"/>
    <s v="0.00"/>
    <s v="100.00"/>
  </r>
  <r>
    <x v="2"/>
    <x v="184"/>
    <n v="8290135"/>
    <n v="72510"/>
    <n v="6736138"/>
    <s v="0.87"/>
    <s v="0.00"/>
    <s v="99.13"/>
  </r>
  <r>
    <x v="2"/>
    <x v="185"/>
    <n v="59963"/>
    <n v="1794"/>
    <n v="16637"/>
    <s v="2.99"/>
    <s v="0.00"/>
    <s v="97.01"/>
  </r>
  <r>
    <x v="2"/>
    <x v="186"/>
    <n v="16451"/>
    <n v="848"/>
    <n v="1566"/>
    <s v="5.15"/>
    <s v="0.00"/>
    <s v="94.85"/>
  </r>
  <r>
    <x v="2"/>
    <x v="187"/>
    <n v="26196"/>
    <n v="725"/>
    <n v="134"/>
    <s v="2.77"/>
    <s v="0.00"/>
    <s v="97.23"/>
  </r>
  <r>
    <x v="2"/>
    <x v="188"/>
    <n v="3253327"/>
    <n v="78017"/>
    <n v="2446299"/>
    <s v="2.40"/>
    <s v="0.00"/>
    <s v="97.60"/>
  </r>
  <r>
    <x v="2"/>
    <x v="189"/>
    <n v="126644"/>
    <n v="3230"/>
    <n v="111425"/>
    <s v="2.55"/>
    <s v="0.00"/>
    <s v="97.45"/>
  </r>
  <r>
    <x v="2"/>
    <x v="190"/>
    <n v="46693111"/>
    <n v="757309"/>
    <n v="113040"/>
    <s v="1.62"/>
    <s v="0.00"/>
    <s v="98.38"/>
  </r>
  <r>
    <x v="2"/>
    <x v="191"/>
    <n v="395610"/>
    <n v="6093"/>
    <n v="239302"/>
    <s v="1.54"/>
    <s v="0.00"/>
    <s v="98.46"/>
  </r>
  <r>
    <x v="2"/>
    <x v="192"/>
    <n v="188398"/>
    <n v="1343"/>
    <n v="15843"/>
    <s v="0.71"/>
    <s v="0.00"/>
    <s v="99.29"/>
  </r>
  <r>
    <x v="2"/>
    <x v="193"/>
    <n v="27"/>
    <n v="0"/>
    <n v="1"/>
    <s v="0.00"/>
    <s v="0.00"/>
    <s v="100.00"/>
  </r>
  <r>
    <x v="2"/>
    <x v="194"/>
    <n v="5123"/>
    <n v="69"/>
    <n v="3939"/>
    <s v="1.35"/>
    <s v="0.00"/>
    <s v="98.65"/>
  </r>
  <r>
    <x v="2"/>
    <x v="195"/>
    <n v="414220"/>
    <n v="4976"/>
    <n v="231553"/>
    <s v="1.20"/>
    <s v="0.00"/>
    <s v="98.80"/>
  </r>
  <r>
    <x v="2"/>
    <x v="196"/>
    <n v="984805"/>
    <n v="22686"/>
    <n v="141688"/>
    <s v="2.30"/>
    <s v="0.00"/>
    <s v="97.70"/>
  </r>
  <r>
    <x v="2"/>
    <x v="197"/>
    <n v="6"/>
    <n v="1"/>
    <n v="1"/>
    <s v="16.67"/>
    <s v="0.00"/>
    <s v="83.33"/>
  </r>
  <r>
    <x v="2"/>
    <x v="198"/>
    <n v="3"/>
    <n v="0"/>
    <n v="2"/>
    <s v="0.00"/>
    <s v="0.00"/>
    <s v="100.00"/>
  </r>
  <r>
    <x v="2"/>
    <x v="199"/>
    <n v="160891"/>
    <n v="2978"/>
    <n v="156121"/>
    <s v="1.85"/>
    <s v="0.00"/>
    <s v="98.15"/>
  </r>
  <r>
    <x v="2"/>
    <x v="200"/>
    <n v="9891"/>
    <n v="1915"/>
    <n v="6639"/>
    <s v="19.36"/>
    <s v="0.00"/>
    <s v="80.64"/>
  </r>
  <r>
    <x v="2"/>
    <x v="201"/>
    <n v="20709"/>
    <n v="185"/>
    <n v="20255"/>
    <s v="0.89"/>
    <s v="0.00"/>
    <s v="99.11"/>
  </r>
  <r>
    <x v="2"/>
    <x v="202"/>
    <n v="2924317"/>
    <n v="89387"/>
    <n v="1091073"/>
    <s v="3.06"/>
    <s v="0.00"/>
    <s v="96.94"/>
  </r>
  <r>
    <x v="2"/>
    <x v="203"/>
    <n v="209918"/>
    <n v="3664"/>
    <n v="198954"/>
    <s v="1.75"/>
    <s v="0.00"/>
    <s v="98.25"/>
  </r>
  <r>
    <x v="2"/>
    <x v="204"/>
    <n v="133242"/>
    <n v="4691"/>
    <n v="52640"/>
    <s v="3.52"/>
    <s v="0.00"/>
    <s v="96.48"/>
  </r>
  <r>
    <x v="2"/>
    <x v="205"/>
    <n v="721"/>
    <n v="15"/>
    <n v="207"/>
    <s v="2.08"/>
    <s v="0.00"/>
    <s v="97.92"/>
  </r>
  <r>
    <x v="3"/>
    <x v="205"/>
    <n v="721"/>
    <n v="15"/>
    <n v="438"/>
    <s v="2.08"/>
    <s v="0.00"/>
    <s v="97.92"/>
  </r>
  <r>
    <x v="3"/>
    <x v="204"/>
    <n v="133205"/>
    <n v="4690"/>
    <n v="29964"/>
    <s v="3.52"/>
    <s v="0.00"/>
    <s v="96.48"/>
  </r>
  <r>
    <x v="3"/>
    <x v="203"/>
    <n v="209908"/>
    <n v="3664"/>
    <n v="155265"/>
    <s v="1.75"/>
    <s v="0.00"/>
    <s v="98.25"/>
  </r>
  <r>
    <x v="3"/>
    <x v="202"/>
    <n v="2924072"/>
    <n v="89352"/>
    <n v="114866"/>
    <s v="3.06"/>
    <s v="0.00"/>
    <s v="96.94"/>
  </r>
  <r>
    <x v="3"/>
    <x v="201"/>
    <n v="20709"/>
    <n v="185"/>
    <n v="1355"/>
    <s v="0.89"/>
    <s v="0.00"/>
    <s v="99.11"/>
  </r>
  <r>
    <x v="3"/>
    <x v="200"/>
    <n v="9883"/>
    <n v="1909"/>
    <n v="6321"/>
    <s v="19.32"/>
    <s v="0.00"/>
    <s v="80.68"/>
  </r>
  <r>
    <x v="3"/>
    <x v="199"/>
    <n v="160880"/>
    <n v="2978"/>
    <n v="18417"/>
    <s v="1.85"/>
    <s v="0.00"/>
    <s v="98.15"/>
  </r>
  <r>
    <x v="3"/>
    <x v="198"/>
    <n v="3"/>
    <n v="0"/>
    <n v="2"/>
    <s v="0.00"/>
    <s v="0.00"/>
    <s v="100.00"/>
  </r>
  <r>
    <x v="3"/>
    <x v="197"/>
    <n v="6"/>
    <n v="1"/>
    <n v="5"/>
    <s v="16.67"/>
    <s v="0.00"/>
    <s v="83.33"/>
  </r>
  <r>
    <x v="3"/>
    <x v="196"/>
    <n v="976672"/>
    <n v="22598"/>
    <n v="904190"/>
    <s v="2.31"/>
    <s v="0.00"/>
    <s v="97.69"/>
  </r>
  <r>
    <x v="3"/>
    <x v="195"/>
    <n v="414220"/>
    <n v="4976"/>
    <n v="162024"/>
    <s v="1.20"/>
    <s v="0.00"/>
    <s v="98.80"/>
  </r>
  <r>
    <x v="3"/>
    <x v="194"/>
    <n v="5123"/>
    <n v="69"/>
    <n v="3099"/>
    <s v="1.35"/>
    <s v="0.00"/>
    <s v="98.65"/>
  </r>
  <r>
    <x v="3"/>
    <x v="193"/>
    <n v="27"/>
    <n v="0"/>
    <n v="23"/>
    <s v="0.00"/>
    <s v="0.00"/>
    <s v="100.00"/>
  </r>
  <r>
    <x v="3"/>
    <x v="192"/>
    <n v="188169"/>
    <n v="1340"/>
    <n v="88973"/>
    <s v="0.71"/>
    <s v="0.00"/>
    <s v="99.29"/>
  </r>
  <r>
    <x v="3"/>
    <x v="191"/>
    <n v="395410"/>
    <n v="6088"/>
    <n v="294954"/>
    <s v="1.54"/>
    <s v="0.00"/>
    <s v="98.46"/>
  </r>
  <r>
    <x v="3"/>
    <x v="190"/>
    <n v="46613282"/>
    <n v="755647"/>
    <n v="9291442"/>
    <s v="1.62"/>
    <s v="0.00"/>
    <s v="98.38"/>
  </r>
  <r>
    <x v="3"/>
    <x v="189"/>
    <n v="126625"/>
    <n v="3228"/>
    <n v="22197"/>
    <s v="2.55"/>
    <s v="0.00"/>
    <s v="97.45"/>
  </r>
  <r>
    <x v="3"/>
    <x v="188"/>
    <n v="3233178"/>
    <n v="77156"/>
    <n v="682279"/>
    <s v="2.39"/>
    <s v="0.00"/>
    <s v="97.61"/>
  </r>
  <r>
    <x v="3"/>
    <x v="187"/>
    <n v="26196"/>
    <n v="725"/>
    <n v="11013"/>
    <s v="2.77"/>
    <s v="0.00"/>
    <s v="97.23"/>
  </r>
  <r>
    <x v="3"/>
    <x v="186"/>
    <n v="16445"/>
    <n v="847"/>
    <n v="12122"/>
    <s v="5.15"/>
    <s v="0.00"/>
    <s v="94.85"/>
  </r>
  <r>
    <x v="3"/>
    <x v="185"/>
    <n v="59658"/>
    <n v="1785"/>
    <n v="10630"/>
    <s v="2.99"/>
    <s v="0.00"/>
    <s v="97.01"/>
  </r>
  <r>
    <x v="3"/>
    <x v="184"/>
    <n v="8261473"/>
    <n v="72314"/>
    <n v="5190079"/>
    <s v="0.88"/>
    <s v="0.00"/>
    <s v="99.12"/>
  </r>
  <r>
    <x v="3"/>
    <x v="183"/>
    <n v="1"/>
    <n v="0"/>
    <n v="0"/>
    <s v="0.00"/>
    <s v="0.00"/>
    <s v="100.00"/>
  </r>
  <r>
    <x v="3"/>
    <x v="182"/>
    <n v="713352"/>
    <n v="25281"/>
    <n v="154214"/>
    <s v="3.54"/>
    <s v="0.00"/>
    <s v="96.46"/>
  </r>
  <r>
    <x v="3"/>
    <x v="181"/>
    <n v="19799"/>
    <n v="122"/>
    <n v="8335"/>
    <s v="0.62"/>
    <s v="0.00"/>
    <s v="99.38"/>
  </r>
  <r>
    <x v="3"/>
    <x v="180"/>
    <n v="17486"/>
    <n v="125"/>
    <n v="14615"/>
    <s v="0.71"/>
    <s v="0.00"/>
    <s v="99.29"/>
  </r>
  <r>
    <x v="3"/>
    <x v="179"/>
    <n v="1975591"/>
    <n v="19703"/>
    <n v="1174612"/>
    <s v="1.00"/>
    <s v="0.00"/>
    <s v="99.00"/>
  </r>
  <r>
    <x v="3"/>
    <x v="178"/>
    <n v="26122"/>
    <n v="243"/>
    <n v="12541"/>
    <s v="0.93"/>
    <s v="0.00"/>
    <s v="99.07"/>
  </r>
  <r>
    <x v="3"/>
    <x v="177"/>
    <n v="5107"/>
    <n v="175"/>
    <n v="4857"/>
    <s v="3.43"/>
    <s v="0.00"/>
    <s v="96.57"/>
  </r>
  <r>
    <x v="3"/>
    <x v="176"/>
    <n v="46460"/>
    <n v="1244"/>
    <n v="42611"/>
    <s v="2.68"/>
    <s v="0.00"/>
    <s v="97.32"/>
  </r>
  <r>
    <x v="3"/>
    <x v="175"/>
    <n v="45096"/>
    <n v="2620"/>
    <n v="6104"/>
    <s v="5.81"/>
    <s v="0.00"/>
    <s v="94.19"/>
  </r>
  <r>
    <x v="3"/>
    <x v="174"/>
    <n v="116258"/>
    <n v="3690"/>
    <n v="34373"/>
    <s v="3.17"/>
    <s v="0.00"/>
    <s v="96.83"/>
  </r>
  <r>
    <x v="3"/>
    <x v="173"/>
    <n v="3729"/>
    <n v="56"/>
    <n v="1495"/>
    <s v="1.50"/>
    <s v="0.00"/>
    <s v="98.50"/>
  </r>
  <r>
    <x v="3"/>
    <x v="172"/>
    <n v="12514"/>
    <n v="133"/>
    <n v="3872"/>
    <s v="1.06"/>
    <s v="0.00"/>
    <s v="98.94"/>
  </r>
  <r>
    <x v="3"/>
    <x v="171"/>
    <n v="49602"/>
    <n v="1117"/>
    <n v="18245"/>
    <s v="2.25"/>
    <s v="0.00"/>
    <s v="97.75"/>
  </r>
  <r>
    <x v="3"/>
    <x v="170"/>
    <n v="22693"/>
    <n v="1294"/>
    <n v="14351"/>
    <s v="5.70"/>
    <s v="0.00"/>
    <s v="94.30"/>
  </r>
  <r>
    <x v="3"/>
    <x v="169"/>
    <n v="73939"/>
    <n v="1880"/>
    <n v="11637"/>
    <s v="2.54"/>
    <s v="0.00"/>
    <s v="97.46"/>
  </r>
  <r>
    <x v="3"/>
    <x v="168"/>
    <n v="5598"/>
    <n v="92"/>
    <n v="2228"/>
    <s v="1.64"/>
    <s v="0.00"/>
    <s v="98.36"/>
  </r>
  <r>
    <x v="3"/>
    <x v="167"/>
    <n v="6398"/>
    <n v="121"/>
    <n v="2691"/>
    <s v="1.89"/>
    <s v="0.00"/>
    <s v="98.11"/>
  </r>
  <r>
    <x v="3"/>
    <x v="166"/>
    <n v="521650"/>
    <n v="13269"/>
    <n v="338275"/>
    <s v="2.54"/>
    <s v="0.00"/>
    <s v="97.46"/>
  </r>
  <r>
    <x v="3"/>
    <x v="165"/>
    <n v="357262"/>
    <n v="4843"/>
    <n v="348682"/>
    <s v="1.36"/>
    <s v="0.00"/>
    <s v="98.64"/>
  </r>
  <r>
    <x v="3"/>
    <x v="164"/>
    <n v="220803"/>
    <n v="511"/>
    <n v="154351"/>
    <s v="0.23"/>
    <s v="0.00"/>
    <s v="99.77"/>
  </r>
  <r>
    <x v="3"/>
    <x v="163"/>
    <n v="1177094"/>
    <n v="15057"/>
    <n v="637406"/>
    <s v="1.28"/>
    <s v="0.00"/>
    <s v="98.72"/>
  </r>
  <r>
    <x v="3"/>
    <x v="162"/>
    <n v="40433"/>
    <n v="3099"/>
    <n v="6291"/>
    <s v="7.66"/>
    <s v="0.00"/>
    <s v="92.34"/>
  </r>
  <r>
    <x v="3"/>
    <x v="161"/>
    <n v="22441"/>
    <n v="119"/>
    <n v="11482"/>
    <s v="0.53"/>
    <s v="0.00"/>
    <s v="99.47"/>
  </r>
  <r>
    <x v="3"/>
    <x v="160"/>
    <n v="20"/>
    <n v="0"/>
    <n v="6"/>
    <s v="0.00"/>
    <s v="0.00"/>
    <s v="100.00"/>
  </r>
  <r>
    <x v="3"/>
    <x v="159"/>
    <n v="548973"/>
    <n v="8805"/>
    <n v="90039"/>
    <s v="1.60"/>
    <s v="0.00"/>
    <s v="98.40"/>
  </r>
  <r>
    <x v="3"/>
    <x v="158"/>
    <n v="99978"/>
    <n v="1334"/>
    <n v="17670"/>
    <s v="1.33"/>
    <s v="0.00"/>
    <s v="98.67"/>
  </r>
  <r>
    <x v="3"/>
    <x v="157"/>
    <n v="8689818"/>
    <n v="243405"/>
    <n v="6195799"/>
    <s v="2.80"/>
    <s v="0.00"/>
    <s v="97.20"/>
  </r>
  <r>
    <x v="3"/>
    <x v="156"/>
    <n v="1187373"/>
    <n v="10472"/>
    <n v="1043355"/>
    <s v="0.88"/>
    <s v="0.00"/>
    <s v="99.12"/>
  </r>
  <r>
    <x v="3"/>
    <x v="155"/>
    <n v="1711137"/>
    <n v="50996"/>
    <n v="409312"/>
    <s v="2.98"/>
    <s v="0.00"/>
    <s v="97.02"/>
  </r>
  <r>
    <x v="3"/>
    <x v="154"/>
    <n v="55125"/>
    <n v="376"/>
    <n v="53329"/>
    <s v="0.68"/>
    <s v="0.00"/>
    <s v="99.32"/>
  </r>
  <r>
    <x v="3"/>
    <x v="153"/>
    <n v="240247"/>
    <n v="611"/>
    <n v="170163"/>
    <s v="0.25"/>
    <s v="0.00"/>
    <s v="99.75"/>
  </r>
  <r>
    <x v="3"/>
    <x v="152"/>
    <n v="461413"/>
    <n v="16266"/>
    <n v="420594"/>
    <s v="3.53"/>
    <s v="0.00"/>
    <s v="96.47"/>
  </r>
  <r>
    <x v="3"/>
    <x v="151"/>
    <n v="8"/>
    <n v="0"/>
    <n v="3"/>
    <s v="0.00"/>
    <s v="0.00"/>
    <s v="100.00"/>
  </r>
  <r>
    <x v="3"/>
    <x v="150"/>
    <n v="1098125"/>
    <n v="18209"/>
    <n v="665011"/>
    <s v="1.66"/>
    <s v="0.00"/>
    <s v="98.34"/>
  </r>
  <r>
    <x v="3"/>
    <x v="149"/>
    <n v="455689"/>
    <n v="4724"/>
    <n v="431127"/>
    <s v="1.04"/>
    <s v="0.00"/>
    <s v="98.96"/>
  </r>
  <r>
    <x v="3"/>
    <x v="148"/>
    <n v="3111534"/>
    <n v="77760"/>
    <n v="2467549"/>
    <s v="2.50"/>
    <s v="0.00"/>
    <s v="97.50"/>
  </r>
  <r>
    <x v="3"/>
    <x v="147"/>
    <n v="1277560"/>
    <n v="28558"/>
    <n v="759940"/>
    <s v="2.24"/>
    <s v="0.00"/>
    <s v="97.76"/>
  </r>
  <r>
    <x v="3"/>
    <x v="146"/>
    <n v="2805294"/>
    <n v="44521"/>
    <n v="53087"/>
    <s v="1.59"/>
    <s v="0.00"/>
    <s v="98.41"/>
  </r>
  <r>
    <x v="3"/>
    <x v="145"/>
    <n v="31791"/>
    <n v="407"/>
    <n v="19749"/>
    <s v="1.28"/>
    <s v="0.00"/>
    <s v="98.72"/>
  </r>
  <r>
    <x v="3"/>
    <x v="144"/>
    <n v="45573"/>
    <n v="636"/>
    <n v="37360"/>
    <s v="1.40"/>
    <s v="0.00"/>
    <s v="98.60"/>
  </r>
  <r>
    <x v="3"/>
    <x v="143"/>
    <n v="2207890"/>
    <n v="200469"/>
    <n v="1964767"/>
    <s v="9.08"/>
    <s v="0.00"/>
    <s v="90.92"/>
  </r>
  <r>
    <x v="3"/>
    <x v="142"/>
    <n v="473522"/>
    <n v="7335"/>
    <n v="363038"/>
    <s v="1.55"/>
    <s v="0.00"/>
    <s v="98.45"/>
  </r>
  <r>
    <x v="3"/>
    <x v="141"/>
    <n v="304375"/>
    <n v="4113"/>
    <n v="226928"/>
    <s v="1.35"/>
    <s v="0.00"/>
    <s v="98.65"/>
  </r>
  <r>
    <x v="3"/>
    <x v="140"/>
    <n v="7776"/>
    <n v="32"/>
    <n v="5718"/>
    <s v="0.41"/>
    <s v="0.00"/>
    <s v="99.59"/>
  </r>
  <r>
    <x v="3"/>
    <x v="139"/>
    <n v="814929"/>
    <n v="11453"/>
    <n v="262292"/>
    <s v="1.41"/>
    <s v="0.00"/>
    <s v="98.59"/>
  </r>
  <r>
    <x v="3"/>
    <x v="138"/>
    <n v="218387"/>
    <n v="921"/>
    <n v="171683"/>
    <s v="0.42"/>
    <s v="0.00"/>
    <s v="99.58"/>
  </r>
  <r>
    <x v="3"/>
    <x v="137"/>
    <n v="2253015"/>
    <n v="19025"/>
    <n v="365467"/>
    <s v="0.84"/>
    <s v="0.00"/>
    <s v="99.16"/>
  </r>
  <r>
    <x v="3"/>
    <x v="136"/>
    <n v="16699"/>
    <n v="209"/>
    <n v="10366"/>
    <s v="1.25"/>
    <s v="0.00"/>
    <s v="98.75"/>
  </r>
  <r>
    <x v="3"/>
    <x v="135"/>
    <n v="212765"/>
    <n v="2906"/>
    <n v="68113"/>
    <s v="1.37"/>
    <s v="0.00"/>
    <s v="98.63"/>
  </r>
  <r>
    <x v="3"/>
    <x v="134"/>
    <n v="6511"/>
    <n v="221"/>
    <n v="4912"/>
    <s v="3.39"/>
    <s v="0.00"/>
    <s v="96.61"/>
  </r>
  <r>
    <x v="3"/>
    <x v="133"/>
    <n v="11350"/>
    <n v="269"/>
    <n v="10251"/>
    <s v="2.37"/>
    <s v="0.00"/>
    <s v="97.63"/>
  </r>
  <r>
    <x v="3"/>
    <x v="132"/>
    <n v="129014"/>
    <n v="3563"/>
    <n v="14217"/>
    <s v="2.76"/>
    <s v="0.00"/>
    <s v="97.24"/>
  </r>
  <r>
    <x v="3"/>
    <x v="131"/>
    <n v="151371"/>
    <n v="1934"/>
    <n v="45700"/>
    <s v="1.28"/>
    <s v="0.00"/>
    <s v="98.72"/>
  </r>
  <r>
    <x v="3"/>
    <x v="130"/>
    <n v="2510852"/>
    <n v="29349"/>
    <n v="1421126"/>
    <s v="1.17"/>
    <s v="0.00"/>
    <s v="98.83"/>
  </r>
  <r>
    <x v="3"/>
    <x v="129"/>
    <n v="3826786"/>
    <n v="289734"/>
    <n v="1151368"/>
    <s v="7.57"/>
    <s v="0.00"/>
    <s v="92.43"/>
  </r>
  <r>
    <x v="3"/>
    <x v="128"/>
    <n v="61818"/>
    <n v="2302"/>
    <n v="28326"/>
    <s v="3.72"/>
    <s v="0.00"/>
    <s v="96.28"/>
  </r>
  <r>
    <x v="3"/>
    <x v="127"/>
    <n v="88966"/>
    <n v="245"/>
    <n v="25430"/>
    <s v="0.28"/>
    <s v="0.00"/>
    <s v="99.72"/>
  </r>
  <r>
    <x v="3"/>
    <x v="126"/>
    <n v="18531"/>
    <n v="213"/>
    <n v="16587"/>
    <s v="1.15"/>
    <s v="0.00"/>
    <s v="98.85"/>
  </r>
  <r>
    <x v="3"/>
    <x v="125"/>
    <n v="37931"/>
    <n v="462"/>
    <n v="14654"/>
    <s v="1.22"/>
    <s v="0.00"/>
    <s v="98.78"/>
  </r>
  <r>
    <x v="3"/>
    <x v="124"/>
    <n v="37755"/>
    <n v="802"/>
    <n v="34982"/>
    <s v="2.12"/>
    <s v="0.00"/>
    <s v="97.88"/>
  </r>
  <r>
    <x v="3"/>
    <x v="123"/>
    <n v="43665"/>
    <n v="696"/>
    <n v="2469"/>
    <s v="1.59"/>
    <s v="0.00"/>
    <s v="98.41"/>
  </r>
  <r>
    <x v="3"/>
    <x v="122"/>
    <n v="77"/>
    <n v="0"/>
    <n v="16"/>
    <s v="0.00"/>
    <s v="0.00"/>
    <s v="100.00"/>
  </r>
  <r>
    <x v="3"/>
    <x v="121"/>
    <n v="367412"/>
    <n v="1817"/>
    <n v="214564"/>
    <s v="0.49"/>
    <s v="0.00"/>
    <s v="99.51"/>
  </r>
  <r>
    <x v="3"/>
    <x v="120"/>
    <n v="507815"/>
    <n v="18839"/>
    <n v="55206"/>
    <s v="3.71"/>
    <s v="0.00"/>
    <s v="96.29"/>
  </r>
  <r>
    <x v="3"/>
    <x v="119"/>
    <n v="16406"/>
    <n v="576"/>
    <n v="6287"/>
    <s v="3.51"/>
    <s v="0.00"/>
    <s v="96.49"/>
  </r>
  <r>
    <x v="3"/>
    <x v="118"/>
    <n v="206233"/>
    <n v="7242"/>
    <n v="113775"/>
    <s v="3.51"/>
    <s v="0.00"/>
    <s v="96.49"/>
  </r>
  <r>
    <x v="3"/>
    <x v="117"/>
    <n v="4"/>
    <n v="0"/>
    <n v="2"/>
    <s v="0.00"/>
    <s v="0.00"/>
    <s v="100.00"/>
  </r>
  <r>
    <x v="3"/>
    <x v="116"/>
    <n v="43632"/>
    <n v="964"/>
    <n v="28980"/>
    <s v="2.21"/>
    <s v="0.00"/>
    <s v="97.79"/>
  </r>
  <r>
    <x v="3"/>
    <x v="115"/>
    <n v="3941"/>
    <n v="56"/>
    <n v="2696"/>
    <s v="1.42"/>
    <s v="0.00"/>
    <s v="98.58"/>
  </r>
  <r>
    <x v="3"/>
    <x v="114"/>
    <n v="148997"/>
    <n v="2163"/>
    <n v="118615"/>
    <s v="1.45"/>
    <s v="0.00"/>
    <s v="98.55"/>
  </r>
  <r>
    <x v="3"/>
    <x v="113"/>
    <n v="347105"/>
    <n v="8144"/>
    <n v="98075"/>
    <s v="2.35"/>
    <s v="0.00"/>
    <s v="97.65"/>
  </r>
  <r>
    <x v="3"/>
    <x v="112"/>
    <n v="3439"/>
    <n v="36"/>
    <n v="1333"/>
    <s v="1.05"/>
    <s v="0.00"/>
    <s v="98.95"/>
  </r>
  <r>
    <x v="3"/>
    <x v="111"/>
    <n v="947451"/>
    <n v="14721"/>
    <n v="831603"/>
    <s v="1.55"/>
    <s v="0.00"/>
    <s v="98.45"/>
  </r>
  <r>
    <x v="3"/>
    <x v="110"/>
    <n v="361709"/>
    <n v="5218"/>
    <n v="226148"/>
    <s v="1.44"/>
    <s v="0.00"/>
    <s v="98.56"/>
  </r>
  <r>
    <x v="3"/>
    <x v="109"/>
    <n v="232247"/>
    <n v="3515"/>
    <n v="15886"/>
    <s v="1.51"/>
    <s v="0.00"/>
    <s v="98.49"/>
  </r>
  <r>
    <x v="3"/>
    <x v="108"/>
    <n v="83294"/>
    <n v="851"/>
    <n v="74036"/>
    <s v="1.02"/>
    <s v="0.00"/>
    <s v="98.98"/>
  </r>
  <r>
    <x v="3"/>
    <x v="107"/>
    <n v="428541"/>
    <n v="6135"/>
    <n v="150945"/>
    <s v="1.43"/>
    <s v="0.00"/>
    <s v="98.57"/>
  </r>
  <r>
    <x v="3"/>
    <x v="106"/>
    <n v="21685"/>
    <n v="659"/>
    <n v="4466"/>
    <s v="3.04"/>
    <s v="0.00"/>
    <s v="96.96"/>
  </r>
  <r>
    <x v="3"/>
    <x v="105"/>
    <n v="5815"/>
    <n v="287"/>
    <n v="850"/>
    <s v="4.94"/>
    <s v="0.00"/>
    <s v="95.06"/>
  </r>
  <r>
    <x v="3"/>
    <x v="104"/>
    <n v="545935"/>
    <n v="13875"/>
    <n v="529694"/>
    <s v="2.54"/>
    <s v="0.00"/>
    <s v="97.46"/>
  </r>
  <r>
    <x v="3"/>
    <x v="103"/>
    <n v="3738"/>
    <n v="61"/>
    <n v="1973"/>
    <s v="1.63"/>
    <s v="0.00"/>
    <s v="98.37"/>
  </r>
  <r>
    <x v="3"/>
    <x v="102"/>
    <n v="12748"/>
    <n v="264"/>
    <n v="10720"/>
    <s v="2.07"/>
    <s v="0.00"/>
    <s v="97.93"/>
  </r>
  <r>
    <x v="3"/>
    <x v="101"/>
    <n v="646869"/>
    <n v="8551"/>
    <n v="424724"/>
    <s v="1.32"/>
    <s v="0.00"/>
    <s v="98.68"/>
  </r>
  <r>
    <x v="3"/>
    <x v="100"/>
    <n v="47842"/>
    <n v="86"/>
    <n v="29587"/>
    <s v="0.18"/>
    <s v="0.00"/>
    <s v="99.82"/>
  </r>
  <r>
    <x v="3"/>
    <x v="99"/>
    <n v="1030911"/>
    <n v="17330"/>
    <n v="609916"/>
    <s v="1.68"/>
    <s v="0.00"/>
    <s v="98.32"/>
  </r>
  <r>
    <x v="3"/>
    <x v="98"/>
    <n v="412869"/>
    <n v="2462"/>
    <n v="179525"/>
    <s v="0.60"/>
    <s v="0.00"/>
    <s v="99.40"/>
  </r>
  <r>
    <x v="3"/>
    <x v="97"/>
    <n v="383407"/>
    <n v="2998"/>
    <n v="283403"/>
    <s v="0.78"/>
    <s v="0.00"/>
    <s v="99.22"/>
  </r>
  <r>
    <x v="3"/>
    <x v="96"/>
    <n v="2717"/>
    <n v="25"/>
    <n v="2380"/>
    <s v="0.92"/>
    <s v="0.00"/>
    <s v="99.08"/>
  </r>
  <r>
    <x v="3"/>
    <x v="95"/>
    <n v="4321"/>
    <n v="147"/>
    <n v="3501"/>
    <s v="3.40"/>
    <s v="0.00"/>
    <s v="96.60"/>
  </r>
  <r>
    <x v="3"/>
    <x v="93"/>
    <n v="119160"/>
    <n v="2835"/>
    <n v="104847"/>
    <s v="2.38"/>
    <s v="0.00"/>
    <s v="97.62"/>
  </r>
  <r>
    <x v="3"/>
    <x v="94"/>
    <n v="2"/>
    <n v="0"/>
    <n v="0"/>
    <s v="0.00"/>
    <s v="0.00"/>
    <s v="100.00"/>
  </r>
  <r>
    <x v="3"/>
    <x v="92"/>
    <n v="181882"/>
    <n v="2689"/>
    <n v="80964"/>
    <s v="1.48"/>
    <s v="0.00"/>
    <s v="98.52"/>
  </r>
  <r>
    <x v="3"/>
    <x v="91"/>
    <n v="253853"/>
    <n v="5312"/>
    <n v="63750"/>
    <s v="2.09"/>
    <s v="0.00"/>
    <s v="97.91"/>
  </r>
  <r>
    <x v="3"/>
    <x v="90"/>
    <n v="1723782"/>
    <n v="18309"/>
    <n v="1665367"/>
    <s v="1.06"/>
    <s v="0.00"/>
    <s v="98.94"/>
  </r>
  <r>
    <x v="3"/>
    <x v="89"/>
    <n v="878366"/>
    <n v="11145"/>
    <n v="46266"/>
    <s v="1.27"/>
    <s v="0.00"/>
    <s v="98.73"/>
  </r>
  <r>
    <x v="3"/>
    <x v="88"/>
    <n v="89746"/>
    <n v="2287"/>
    <n v="67939"/>
    <s v="2.55"/>
    <s v="0.00"/>
    <s v="97.45"/>
  </r>
  <r>
    <x v="3"/>
    <x v="87"/>
    <n v="4812594"/>
    <n v="132423"/>
    <n v="3619151"/>
    <s v="2.75"/>
    <s v="0.00"/>
    <s v="97.25"/>
  </r>
  <r>
    <x v="3"/>
    <x v="86"/>
    <n v="14571"/>
    <n v="34"/>
    <n v="4761"/>
    <s v="0.23"/>
    <s v="0.00"/>
    <s v="99.77"/>
  </r>
  <r>
    <x v="3"/>
    <x v="85"/>
    <n v="5996155"/>
    <n v="127439"/>
    <n v="2680900"/>
    <s v="2.13"/>
    <s v="0.00"/>
    <s v="97.87"/>
  </r>
  <r>
    <x v="3"/>
    <x v="84"/>
    <n v="2064011"/>
    <n v="23372"/>
    <n v="1446123"/>
    <s v="1.13"/>
    <s v="0.00"/>
    <s v="98.87"/>
  </r>
  <r>
    <x v="3"/>
    <x v="83"/>
    <n v="34377113"/>
    <n v="461389"/>
    <n v="15491779"/>
    <s v="1.34"/>
    <s v="0.00"/>
    <s v="98.66"/>
  </r>
  <r>
    <x v="3"/>
    <x v="82"/>
    <n v="1334766"/>
    <n v="8124"/>
    <n v="978945"/>
    <s v="0.61"/>
    <s v="0.00"/>
    <s v="99.39"/>
  </r>
  <r>
    <x v="3"/>
    <x v="81"/>
    <n v="472547"/>
    <n v="5492"/>
    <n v="201952"/>
    <s v="1.16"/>
    <s v="0.00"/>
    <s v="98.84"/>
  </r>
  <r>
    <x v="3"/>
    <x v="80"/>
    <n v="4248409"/>
    <n v="143557"/>
    <n v="638292"/>
    <s v="3.38"/>
    <s v="0.00"/>
    <s v="96.62"/>
  </r>
  <r>
    <x v="3"/>
    <x v="79"/>
    <n v="909998"/>
    <n v="31398"/>
    <n v="20110"/>
    <s v="3.45"/>
    <s v="0.00"/>
    <s v="96.55"/>
  </r>
  <r>
    <x v="3"/>
    <x v="78"/>
    <n v="24233"/>
    <n v="702"/>
    <n v="26"/>
    <s v="2.90"/>
    <s v="0.00"/>
    <s v="97.10"/>
  </r>
  <r>
    <x v="3"/>
    <x v="77"/>
    <n v="502569"/>
    <n v="9546"/>
    <n v="147040"/>
    <s v="1.90"/>
    <s v="0.00"/>
    <s v="98.10"/>
  </r>
  <r>
    <x v="3"/>
    <x v="76"/>
    <n v="376595"/>
    <n v="10312"/>
    <n v="157704"/>
    <s v="2.74"/>
    <s v="0.00"/>
    <s v="97.26"/>
  </r>
  <r>
    <x v="3"/>
    <x v="75"/>
    <n v="12368"/>
    <n v="213"/>
    <n v="8979"/>
    <s v="1.72"/>
    <s v="0.00"/>
    <s v="98.28"/>
  </r>
  <r>
    <x v="3"/>
    <x v="74"/>
    <n v="36257"/>
    <n v="945"/>
    <n v="18616"/>
    <s v="2.61"/>
    <s v="0.00"/>
    <s v="97.39"/>
  </r>
  <r>
    <x v="3"/>
    <x v="73"/>
    <n v="6150"/>
    <n v="143"/>
    <n v="389"/>
    <s v="2.33"/>
    <s v="0.00"/>
    <s v="97.67"/>
  </r>
  <r>
    <x v="3"/>
    <x v="72"/>
    <n v="605749"/>
    <n v="15474"/>
    <n v="181438"/>
    <s v="2.55"/>
    <s v="0.00"/>
    <s v="97.45"/>
  </r>
  <r>
    <x v="3"/>
    <x v="71"/>
    <n v="792239"/>
    <n v="16361"/>
    <n v="173701"/>
    <s v="2.07"/>
    <s v="0.00"/>
    <s v="97.93"/>
  </r>
  <r>
    <x v="3"/>
    <x v="70"/>
    <n v="13459"/>
    <n v="168"/>
    <n v="4739"/>
    <s v="1.25"/>
    <s v="0.00"/>
    <s v="98.75"/>
  </r>
  <r>
    <x v="3"/>
    <x v="69"/>
    <n v="54474"/>
    <n v="820"/>
    <n v="23593"/>
    <s v="1.51"/>
    <s v="0.00"/>
    <s v="98.49"/>
  </r>
  <r>
    <x v="3"/>
    <x v="68"/>
    <n v="30709"/>
    <n v="387"/>
    <n v="11202"/>
    <s v="1.26"/>
    <s v="0.00"/>
    <s v="98.74"/>
  </r>
  <r>
    <x v="3"/>
    <x v="67"/>
    <n v="9973"/>
    <n v="341"/>
    <n v="4727"/>
    <s v="3.42"/>
    <s v="0.00"/>
    <s v="96.58"/>
  </r>
  <r>
    <x v="3"/>
    <x v="66"/>
    <n v="6168"/>
    <n v="98"/>
    <n v="1878"/>
    <s v="1.59"/>
    <s v="0.00"/>
    <s v="98.41"/>
  </r>
  <r>
    <x v="3"/>
    <x v="65"/>
    <n v="130391"/>
    <n v="1188"/>
    <n v="115788"/>
    <s v="0.91"/>
    <s v="0.00"/>
    <s v="99.09"/>
  </r>
  <r>
    <x v="3"/>
    <x v="64"/>
    <n v="45028"/>
    <n v="315"/>
    <n v="44312"/>
    <s v="0.70"/>
    <s v="0.00"/>
    <s v="99.30"/>
  </r>
  <r>
    <x v="3"/>
    <x v="63"/>
    <n v="755046"/>
    <n v="10509"/>
    <n v="179554"/>
    <s v="1.39"/>
    <s v="0.00"/>
    <s v="98.61"/>
  </r>
  <r>
    <x v="3"/>
    <x v="62"/>
    <n v="5863"/>
    <n v="200"/>
    <n v="1255"/>
    <s v="3.41"/>
    <s v="0.00"/>
    <s v="96.59"/>
  </r>
  <r>
    <x v="3"/>
    <x v="61"/>
    <n v="9373118"/>
    <n v="142195"/>
    <n v="6023751"/>
    <s v="1.52"/>
    <s v="0.00"/>
    <s v="98.48"/>
  </r>
  <r>
    <x v="3"/>
    <x v="60"/>
    <n v="36310"/>
    <n v="259"/>
    <n v="10669"/>
    <s v="0.71"/>
    <s v="0.00"/>
    <s v="99.29"/>
  </r>
  <r>
    <x v="3"/>
    <x v="59"/>
    <n v="7040242"/>
    <n v="115565"/>
    <n v="109702"/>
    <s v="1.64"/>
    <s v="0.00"/>
    <s v="98.36"/>
  </r>
  <r>
    <x v="3"/>
    <x v="58"/>
    <n v="2667"/>
    <n v="6"/>
    <n v="471"/>
    <s v="0.22"/>
    <s v="0.00"/>
    <s v="99.78"/>
  </r>
  <r>
    <x v="3"/>
    <x v="57"/>
    <n v="52298"/>
    <n v="675"/>
    <n v="28690"/>
    <s v="1.29"/>
    <s v="0.00"/>
    <s v="98.71"/>
  </r>
  <r>
    <x v="3"/>
    <x v="56"/>
    <n v="164492"/>
    <n v="1200"/>
    <n v="153361"/>
    <s v="0.73"/>
    <s v="0.00"/>
    <s v="99.27"/>
  </r>
  <r>
    <x v="3"/>
    <x v="55"/>
    <n v="367369"/>
    <n v="6551"/>
    <n v="150811"/>
    <s v="1.78"/>
    <s v="0.00"/>
    <s v="98.22"/>
  </r>
  <r>
    <x v="3"/>
    <x v="54"/>
    <n v="5032056"/>
    <n v="87558"/>
    <n v="3452461"/>
    <s v="1.74"/>
    <s v="0.00"/>
    <s v="98.26"/>
  </r>
  <r>
    <x v="3"/>
    <x v="53"/>
    <n v="6959"/>
    <n v="47"/>
    <n v="352"/>
    <s v="0.68"/>
    <s v="0.00"/>
    <s v="99.32"/>
  </r>
  <r>
    <x v="3"/>
    <x v="52"/>
    <n v="338414"/>
    <n v="19130"/>
    <n v="214067"/>
    <s v="5.65"/>
    <s v="0.00"/>
    <s v="94.35"/>
  </r>
  <r>
    <x v="3"/>
    <x v="51"/>
    <n v="205883"/>
    <n v="1617"/>
    <n v="129102"/>
    <s v="0.79"/>
    <s v="0.00"/>
    <s v="99.21"/>
  </r>
  <r>
    <x v="3"/>
    <x v="50"/>
    <n v="519386"/>
    <n v="32989"/>
    <n v="77193"/>
    <s v="6.35"/>
    <s v="0.00"/>
    <s v="93.65"/>
  </r>
  <r>
    <x v="3"/>
    <x v="49"/>
    <n v="207254"/>
    <n v="5950"/>
    <n v="127972"/>
    <s v="2.87"/>
    <s v="0.00"/>
    <s v="97.13"/>
  </r>
  <r>
    <x v="3"/>
    <x v="48"/>
    <n v="389090"/>
    <n v="4153"/>
    <n v="374272"/>
    <s v="1.07"/>
    <s v="0.00"/>
    <s v="98.93"/>
  </r>
  <r>
    <x v="3"/>
    <x v="47"/>
    <n v="5070"/>
    <n v="33"/>
    <n v="1688"/>
    <s v="0.65"/>
    <s v="0.00"/>
    <s v="99.35"/>
  </r>
  <r>
    <x v="3"/>
    <x v="46"/>
    <n v="405737"/>
    <n v="2740"/>
    <n v="328667"/>
    <s v="0.68"/>
    <s v="0.00"/>
    <s v="99.32"/>
  </r>
  <r>
    <x v="3"/>
    <x v="45"/>
    <n v="13493"/>
    <n v="186"/>
    <n v="898"/>
    <s v="1.38"/>
    <s v="0.00"/>
    <s v="98.62"/>
  </r>
  <r>
    <x v="3"/>
    <x v="44"/>
    <n v="4816177"/>
    <n v="96731"/>
    <n v="518113"/>
    <s v="2.01"/>
    <s v="0.00"/>
    <s v="97.99"/>
  </r>
  <r>
    <x v="3"/>
    <x v="43"/>
    <n v="1819158"/>
    <n v="31053"/>
    <n v="119802"/>
    <s v="1.71"/>
    <s v="0.00"/>
    <s v="98.29"/>
  </r>
  <r>
    <x v="3"/>
    <x v="42"/>
    <n v="125947"/>
    <n v="577"/>
    <n v="9269"/>
    <s v="0.46"/>
    <s v="0.00"/>
    <s v="99.54"/>
  </r>
  <r>
    <x v="3"/>
    <x v="41"/>
    <n v="38263"/>
    <n v="350"/>
    <n v="23479"/>
    <s v="0.91"/>
    <s v="0.00"/>
    <s v="99.09"/>
  </r>
  <r>
    <x v="3"/>
    <x v="40"/>
    <n v="956452"/>
    <n v="8265"/>
    <n v="776852"/>
    <s v="0.86"/>
    <s v="0.00"/>
    <s v="99.14"/>
  </r>
  <r>
    <x v="3"/>
    <x v="39"/>
    <n v="562966"/>
    <n v="7164"/>
    <n v="551231"/>
    <s v="1.27"/>
    <s v="0.00"/>
    <s v="98.73"/>
  </r>
  <r>
    <x v="3"/>
    <x v="38"/>
    <n v="5016959"/>
    <n v="127571"/>
    <n v="3679047"/>
    <s v="2.54"/>
    <s v="0.00"/>
    <s v="97.46"/>
  </r>
  <r>
    <x v="3"/>
    <x v="37"/>
    <n v="97885"/>
    <n v="4636"/>
    <n v="40226"/>
    <s v="4.74"/>
    <s v="0.00"/>
    <s v="95.26"/>
  </r>
  <r>
    <x v="3"/>
    <x v="36"/>
    <n v="104348"/>
    <n v="1731"/>
    <n v="90149"/>
    <s v="1.66"/>
    <s v="0.00"/>
    <s v="98.34"/>
  </r>
  <r>
    <x v="3"/>
    <x v="35"/>
    <n v="1711442"/>
    <n v="37879"/>
    <n v="83323"/>
    <s v="2.21"/>
    <s v="0.00"/>
    <s v="97.79"/>
  </r>
  <r>
    <x v="3"/>
    <x v="34"/>
    <n v="61426"/>
    <n v="699"/>
    <n v="27728"/>
    <s v="1.14"/>
    <s v="0.00"/>
    <s v="98.86"/>
  </r>
  <r>
    <x v="3"/>
    <x v="33"/>
    <n v="894093"/>
    <n v="11282"/>
    <n v="690789"/>
    <s v="1.26"/>
    <s v="0.00"/>
    <s v="98.74"/>
  </r>
  <r>
    <x v="3"/>
    <x v="32"/>
    <n v="18153"/>
    <n v="309"/>
    <n v="7758"/>
    <s v="1.70"/>
    <s v="0.00"/>
    <s v="98.30"/>
  </r>
  <r>
    <x v="3"/>
    <x v="31"/>
    <n v="11579"/>
    <n v="100"/>
    <n v="4975"/>
    <s v="0.86"/>
    <s v="0.00"/>
    <s v="99.14"/>
  </r>
  <r>
    <x v="3"/>
    <x v="30"/>
    <n v="57638"/>
    <n v="1099"/>
    <n v="38195"/>
    <s v="1.91"/>
    <s v="0.00"/>
    <s v="98.09"/>
  </r>
  <r>
    <x v="3"/>
    <x v="29"/>
    <n v="1743338"/>
    <n v="29246"/>
    <n v="1612969"/>
    <s v="1.68"/>
    <s v="0.00"/>
    <s v="98.32"/>
  </r>
  <r>
    <x v="3"/>
    <x v="28"/>
    <n v="28162"/>
    <n v="509"/>
    <n v="19812"/>
    <s v="1.81"/>
    <s v="0.00"/>
    <s v="98.19"/>
  </r>
  <r>
    <x v="3"/>
    <x v="27"/>
    <n v="615814"/>
    <n v="4758"/>
    <n v="220002"/>
    <s v="0.77"/>
    <s v="0.00"/>
    <s v="99.23"/>
  </r>
  <r>
    <x v="3"/>
    <x v="26"/>
    <n v="193449"/>
    <n v="2409"/>
    <n v="188247"/>
    <s v="1.25"/>
    <s v="0.00"/>
    <s v="98.75"/>
  </r>
  <r>
    <x v="3"/>
    <x v="25"/>
    <n v="2623"/>
    <n v="3"/>
    <n v="689"/>
    <s v="0.11"/>
    <s v="0.00"/>
    <s v="99.89"/>
  </r>
  <r>
    <x v="3"/>
    <x v="24"/>
    <n v="22529"/>
    <n v="661"/>
    <n v="13472"/>
    <s v="2.93"/>
    <s v="0.00"/>
    <s v="97.07"/>
  </r>
  <r>
    <x v="3"/>
    <x v="23"/>
    <n v="21886077"/>
    <n v="609573"/>
    <n v="4718114"/>
    <s v="2.79"/>
    <s v="0.00"/>
    <s v="97.21"/>
  </r>
  <r>
    <x v="3"/>
    <x v="22"/>
    <n v="518266"/>
    <n v="18967"/>
    <n v="248993"/>
    <s v="3.66"/>
    <s v="0.00"/>
    <s v="96.34"/>
  </r>
  <r>
    <x v="3"/>
    <x v="21"/>
    <n v="13782"/>
    <n v="93"/>
    <n v="5481"/>
    <s v="0.67"/>
    <s v="0.00"/>
    <s v="99.33"/>
  </r>
  <r>
    <x v="3"/>
    <x v="20"/>
    <n v="1660"/>
    <n v="6"/>
    <n v="1316"/>
    <s v="0.36"/>
    <s v="0.00"/>
    <s v="99.64"/>
  </r>
  <r>
    <x v="3"/>
    <x v="19"/>
    <n v="24804"/>
    <n v="161"/>
    <n v="6162"/>
    <s v="0.65"/>
    <s v="0.00"/>
    <s v="99.35"/>
  </r>
  <r>
    <x v="3"/>
    <x v="18"/>
    <n v="20162"/>
    <n v="38"/>
    <n v="4391"/>
    <s v="0.19"/>
    <s v="0.00"/>
    <s v="99.81"/>
  </r>
  <r>
    <x v="3"/>
    <x v="17"/>
    <n v="277098"/>
    <n v="1393"/>
    <n v="89605"/>
    <s v="0.50"/>
    <s v="0.00"/>
    <s v="99.50"/>
  </r>
  <r>
    <x v="3"/>
    <x v="16"/>
    <n v="638048"/>
    <n v="25408"/>
    <n v="314986"/>
    <s v="3.98"/>
    <s v="0.00"/>
    <s v="96.02"/>
  </r>
  <r>
    <x v="3"/>
    <x v="15"/>
    <n v="15103"/>
    <n v="221"/>
    <n v="9302"/>
    <s v="1.46"/>
    <s v="0.00"/>
    <s v="98.54"/>
  </r>
  <r>
    <x v="3"/>
    <x v="14"/>
    <n v="1438830"/>
    <n v="26200"/>
    <n v="783304"/>
    <s v="1.82"/>
    <s v="0.00"/>
    <s v="98.18"/>
  </r>
  <r>
    <x v="3"/>
    <x v="13"/>
    <n v="1571228"/>
    <n v="27901"/>
    <n v="678732"/>
    <s v="1.78"/>
    <s v="0.00"/>
    <s v="98.22"/>
  </r>
  <r>
    <x v="3"/>
    <x v="12"/>
    <n v="20265"/>
    <n v="181"/>
    <n v="13397"/>
    <s v="0.89"/>
    <s v="0.00"/>
    <s v="99.11"/>
  </r>
  <r>
    <x v="3"/>
    <x v="11"/>
    <n v="259913"/>
    <n v="11840"/>
    <n v="149109"/>
    <s v="4.56"/>
    <s v="0.00"/>
    <s v="95.44"/>
  </r>
  <r>
    <x v="3"/>
    <x v="10"/>
    <n v="548591"/>
    <n v="7293"/>
    <n v="298281"/>
    <s v="1.33"/>
    <s v="0.00"/>
    <s v="98.67"/>
  </r>
  <r>
    <x v="3"/>
    <x v="9"/>
    <n v="182870"/>
    <n v="1841"/>
    <n v="142652"/>
    <s v="1.01"/>
    <s v="0.00"/>
    <s v="98.99"/>
  </r>
  <r>
    <x v="3"/>
    <x v="8"/>
    <n v="892065"/>
    <n v="11515"/>
    <n v="649385"/>
    <s v="1.29"/>
    <s v="0.00"/>
    <s v="98.71"/>
  </r>
  <r>
    <x v="3"/>
    <x v="7"/>
    <n v="5298069"/>
    <n v="116143"/>
    <n v="1156464"/>
    <s v="2.19"/>
    <s v="0.00"/>
    <s v="97.81"/>
  </r>
  <r>
    <x v="3"/>
    <x v="6"/>
    <n v="64724"/>
    <n v="1721"/>
    <n v="49487"/>
    <s v="2.66"/>
    <s v="0.00"/>
    <s v="97.34"/>
  </r>
  <r>
    <x v="3"/>
    <x v="5"/>
    <n v="321243"/>
    <n v="6700"/>
    <n v="5373"/>
    <s v="2.09"/>
    <s v="0.00"/>
    <s v="97.91"/>
  </r>
  <r>
    <x v="3"/>
    <x v="4"/>
    <n v="189355"/>
    <n v="2966"/>
    <n v="81993"/>
    <s v="1.57"/>
    <s v="0.00"/>
    <s v="98.43"/>
  </r>
  <r>
    <x v="3"/>
    <x v="3"/>
    <n v="4091"/>
    <n v="105"/>
    <n v="1170"/>
    <s v="2.57"/>
    <s v="0.00"/>
    <s v="97.43"/>
  </r>
  <r>
    <x v="3"/>
    <x v="2"/>
    <n v="156397"/>
    <n v="7288"/>
    <n v="55409"/>
    <s v="4.66"/>
    <s v="0.00"/>
    <s v="95.34"/>
  </r>
  <r>
    <x v="3"/>
    <x v="1"/>
    <n v="740500"/>
    <n v="2142"/>
    <n v="279060"/>
    <s v="0.29"/>
    <s v="0.00"/>
    <s v="99.71"/>
  </r>
  <r>
    <x v="3"/>
    <x v="0"/>
    <n v="15705"/>
    <n v="130"/>
    <n v="6298"/>
    <s v="0.83"/>
    <s v="0.00"/>
    <s v="99.17"/>
  </r>
  <r>
    <x v="4"/>
    <x v="0"/>
    <n v="15618"/>
    <n v="130"/>
    <n v="13201"/>
    <s v="0.83"/>
    <s v="0.00"/>
    <s v="99.17"/>
  </r>
  <r>
    <x v="4"/>
    <x v="1"/>
    <n v="740432"/>
    <n v="2140"/>
    <n v="634788"/>
    <s v="0.29"/>
    <s v="0.00"/>
    <s v="99.71"/>
  </r>
  <r>
    <x v="4"/>
    <x v="2"/>
    <n v="156397"/>
    <n v="7284"/>
    <n v="126534"/>
    <s v="4.66"/>
    <s v="0.00"/>
    <s v="95.34"/>
  </r>
  <r>
    <x v="4"/>
    <x v="3"/>
    <n v="4091"/>
    <n v="105"/>
    <n v="937"/>
    <s v="2.57"/>
    <s v="0.00"/>
    <s v="97.43"/>
  </r>
  <r>
    <x v="4"/>
    <x v="4"/>
    <n v="189125"/>
    <n v="2955"/>
    <n v="110860"/>
    <s v="1.56"/>
    <s v="0.00"/>
    <s v="98.44"/>
  </r>
  <r>
    <x v="4"/>
    <x v="5"/>
    <n v="320433"/>
    <n v="6670"/>
    <n v="164933"/>
    <s v="2.08"/>
    <s v="0.00"/>
    <s v="97.92"/>
  </r>
  <r>
    <x v="4"/>
    <x v="6"/>
    <n v="64674"/>
    <n v="1720"/>
    <n v="3107"/>
    <s v="2.66"/>
    <s v="0.00"/>
    <s v="97.34"/>
  </r>
  <r>
    <x v="4"/>
    <x v="7"/>
    <n v="5296781"/>
    <n v="116104"/>
    <n v="1302880"/>
    <s v="2.19"/>
    <s v="0.00"/>
    <s v="97.81"/>
  </r>
  <r>
    <x v="4"/>
    <x v="8"/>
    <n v="883887"/>
    <n v="11502"/>
    <n v="133499"/>
    <s v="1.30"/>
    <s v="0.00"/>
    <s v="98.70"/>
  </r>
  <r>
    <x v="4"/>
    <x v="9"/>
    <n v="181578"/>
    <n v="1827"/>
    <n v="140757"/>
    <s v="1.01"/>
    <s v="0.00"/>
    <s v="98.99"/>
  </r>
  <r>
    <x v="4"/>
    <x v="10"/>
    <n v="547281"/>
    <n v="7269"/>
    <n v="372813"/>
    <s v="1.33"/>
    <s v="0.00"/>
    <s v="98.67"/>
  </r>
  <r>
    <x v="4"/>
    <x v="11"/>
    <n v="257401"/>
    <n v="11717"/>
    <n v="47280"/>
    <s v="4.55"/>
    <s v="0.00"/>
    <s v="95.45"/>
  </r>
  <r>
    <x v="4"/>
    <x v="12"/>
    <n v="20069"/>
    <n v="180"/>
    <n v="1830"/>
    <s v="0.90"/>
    <s v="0.00"/>
    <s v="99.10"/>
  </r>
  <r>
    <x v="4"/>
    <x v="13"/>
    <n v="1571013"/>
    <n v="27895"/>
    <n v="205796"/>
    <s v="1.78"/>
    <s v="0.00"/>
    <s v="98.22"/>
  </r>
  <r>
    <x v="4"/>
    <x v="14"/>
    <n v="1414463"/>
    <n v="26131"/>
    <n v="1199828"/>
    <s v="1.85"/>
    <s v="0.00"/>
    <s v="98.15"/>
  </r>
  <r>
    <x v="4"/>
    <x v="15"/>
    <n v="15103"/>
    <n v="221"/>
    <n v="7082"/>
    <s v="1.46"/>
    <s v="0.00"/>
    <s v="98.54"/>
  </r>
  <r>
    <x v="4"/>
    <x v="16"/>
    <n v="632762"/>
    <n v="25074"/>
    <n v="375696"/>
    <s v="3.96"/>
    <s v="0.00"/>
    <s v="96.04"/>
  </r>
  <r>
    <x v="4"/>
    <x v="17"/>
    <n v="277081"/>
    <n v="1393"/>
    <n v="63910"/>
    <s v="0.50"/>
    <s v="0.00"/>
    <s v="99.50"/>
  </r>
  <r>
    <x v="4"/>
    <x v="18"/>
    <n v="20136"/>
    <n v="38"/>
    <n v="13812"/>
    <s v="0.19"/>
    <s v="0.00"/>
    <s v="99.81"/>
  </r>
  <r>
    <x v="4"/>
    <x v="19"/>
    <n v="24804"/>
    <n v="161"/>
    <n v="12941"/>
    <s v="0.65"/>
    <s v="0.00"/>
    <s v="99.35"/>
  </r>
  <r>
    <x v="4"/>
    <x v="20"/>
    <n v="1660"/>
    <n v="6"/>
    <n v="1509"/>
    <s v="0.36"/>
    <s v="0.00"/>
    <s v="99.64"/>
  </r>
  <r>
    <x v="4"/>
    <x v="21"/>
    <n v="13742"/>
    <n v="93"/>
    <n v="1878"/>
    <s v="0.68"/>
    <s v="0.00"/>
    <s v="99.32"/>
  </r>
  <r>
    <x v="4"/>
    <x v="22"/>
    <n v="517902"/>
    <n v="18964"/>
    <n v="212019"/>
    <s v="3.66"/>
    <s v="0.00"/>
    <s v="96.34"/>
  </r>
  <r>
    <x v="4"/>
    <x v="23"/>
    <n v="21880439"/>
    <n v="609447"/>
    <n v="6564293"/>
    <s v="2.79"/>
    <s v="0.00"/>
    <s v="97.21"/>
  </r>
  <r>
    <x v="4"/>
    <x v="24"/>
    <n v="22485"/>
    <n v="657"/>
    <n v="201"/>
    <s v="2.92"/>
    <s v="0.00"/>
    <s v="97.08"/>
  </r>
  <r>
    <x v="4"/>
    <x v="25"/>
    <n v="2623"/>
    <n v="3"/>
    <n v="840"/>
    <s v="0.11"/>
    <s v="0.00"/>
    <s v="99.89"/>
  </r>
  <r>
    <x v="4"/>
    <x v="26"/>
    <n v="192935"/>
    <n v="2407"/>
    <n v="70555"/>
    <s v="1.25"/>
    <s v="0.00"/>
    <s v="98.75"/>
  </r>
  <r>
    <x v="4"/>
    <x v="27"/>
    <n v="613927"/>
    <n v="4745"/>
    <n v="275207"/>
    <s v="0.77"/>
    <s v="0.00"/>
    <s v="99.23"/>
  </r>
  <r>
    <x v="4"/>
    <x v="28"/>
    <n v="27894"/>
    <n v="509"/>
    <n v="16918"/>
    <s v="1.82"/>
    <s v="0.00"/>
    <s v="98.18"/>
  </r>
  <r>
    <x v="4"/>
    <x v="29"/>
    <n v="1738543"/>
    <n v="29203"/>
    <n v="322474"/>
    <s v="1.68"/>
    <s v="0.00"/>
    <s v="98.32"/>
  </r>
  <r>
    <x v="4"/>
    <x v="30"/>
    <n v="57605"/>
    <n v="1098"/>
    <n v="40903"/>
    <s v="1.91"/>
    <s v="0.00"/>
    <s v="98.09"/>
  </r>
  <r>
    <x v="4"/>
    <x v="31"/>
    <n v="11579"/>
    <n v="100"/>
    <n v="5461"/>
    <s v="0.86"/>
    <s v="0.00"/>
    <s v="99.14"/>
  </r>
  <r>
    <x v="4"/>
    <x v="32"/>
    <n v="17944"/>
    <n v="297"/>
    <n v="16922"/>
    <s v="1.66"/>
    <s v="0.00"/>
    <s v="98.34"/>
  </r>
  <r>
    <x v="4"/>
    <x v="33"/>
    <n v="887446"/>
    <n v="11274"/>
    <n v="269774"/>
    <s v="1.27"/>
    <s v="0.00"/>
    <s v="98.73"/>
  </r>
  <r>
    <x v="4"/>
    <x v="34"/>
    <n v="61421"/>
    <n v="699"/>
    <n v="6194"/>
    <s v="1.14"/>
    <s v="0.00"/>
    <s v="98.86"/>
  </r>
  <r>
    <x v="4"/>
    <x v="35"/>
    <n v="1709189"/>
    <n v="37862"/>
    <n v="488949"/>
    <s v="2.22"/>
    <s v="0.00"/>
    <s v="97.78"/>
  </r>
  <r>
    <x v="4"/>
    <x v="36"/>
    <n v="104348"/>
    <n v="1731"/>
    <n v="24584"/>
    <s v="1.66"/>
    <s v="0.00"/>
    <s v="98.34"/>
  </r>
  <r>
    <x v="4"/>
    <x v="37"/>
    <n v="97823"/>
    <n v="4636"/>
    <n v="82723"/>
    <s v="4.74"/>
    <s v="0.00"/>
    <s v="95.26"/>
  </r>
  <r>
    <x v="4"/>
    <x v="38"/>
    <n v="5015042"/>
    <n v="127533"/>
    <n v="4007855"/>
    <s v="2.54"/>
    <s v="0.00"/>
    <s v="97.46"/>
  </r>
  <r>
    <x v="4"/>
    <x v="39"/>
    <n v="562316"/>
    <n v="7134"/>
    <n v="868"/>
    <s v="1.27"/>
    <s v="0.00"/>
    <s v="98.73"/>
  </r>
  <r>
    <x v="4"/>
    <x v="40"/>
    <n v="955981"/>
    <n v="8262"/>
    <n v="674692"/>
    <s v="0.86"/>
    <s v="0.00"/>
    <s v="99.14"/>
  </r>
  <r>
    <x v="4"/>
    <x v="41"/>
    <n v="38256"/>
    <n v="349"/>
    <n v="5616"/>
    <s v="0.91"/>
    <s v="0.00"/>
    <s v="99.09"/>
  </r>
  <r>
    <x v="4"/>
    <x v="42"/>
    <n v="125413"/>
    <n v="577"/>
    <n v="34891"/>
    <s v="0.46"/>
    <s v="0.00"/>
    <s v="99.54"/>
  </r>
  <r>
    <x v="4"/>
    <x v="43"/>
    <n v="1816161"/>
    <n v="31022"/>
    <n v="488092"/>
    <s v="1.71"/>
    <s v="0.00"/>
    <s v="98.29"/>
  </r>
  <r>
    <x v="4"/>
    <x v="44"/>
    <n v="4792463"/>
    <n v="96563"/>
    <n v="955849"/>
    <s v="2.01"/>
    <s v="0.00"/>
    <s v="97.99"/>
  </r>
  <r>
    <x v="4"/>
    <x v="45"/>
    <n v="13491"/>
    <n v="186"/>
    <n v="1221"/>
    <s v="1.38"/>
    <s v="0.00"/>
    <s v="98.62"/>
  </r>
  <r>
    <x v="4"/>
    <x v="46"/>
    <n v="403420"/>
    <n v="2738"/>
    <n v="86544"/>
    <s v="0.68"/>
    <s v="0.00"/>
    <s v="99.32"/>
  </r>
  <r>
    <x v="4"/>
    <x v="47"/>
    <n v="4961"/>
    <n v="32"/>
    <n v="1396"/>
    <s v="0.65"/>
    <s v="0.00"/>
    <s v="99.35"/>
  </r>
  <r>
    <x v="4"/>
    <x v="48"/>
    <n v="388165"/>
    <n v="4150"/>
    <n v="32436"/>
    <s v="1.07"/>
    <s v="0.00"/>
    <s v="98.93"/>
  </r>
  <r>
    <x v="4"/>
    <x v="49"/>
    <n v="207156"/>
    <n v="5945"/>
    <n v="70100"/>
    <s v="2.87"/>
    <s v="0.00"/>
    <s v="97.13"/>
  </r>
  <r>
    <x v="4"/>
    <x v="50"/>
    <n v="519386"/>
    <n v="32989"/>
    <n v="282560"/>
    <s v="6.35"/>
    <s v="0.00"/>
    <s v="93.65"/>
  </r>
  <r>
    <x v="4"/>
    <x v="51"/>
    <n v="205096"/>
    <n v="1610"/>
    <n v="82657"/>
    <s v="0.78"/>
    <s v="0.00"/>
    <s v="99.22"/>
  </r>
  <r>
    <x v="4"/>
    <x v="52"/>
    <n v="337485"/>
    <n v="19076"/>
    <n v="207759"/>
    <s v="5.65"/>
    <s v="0.00"/>
    <s v="94.35"/>
  </r>
  <r>
    <x v="4"/>
    <x v="53"/>
    <n v="6948"/>
    <n v="46"/>
    <n v="5259"/>
    <s v="0.66"/>
    <s v="0.00"/>
    <s v="99.34"/>
  </r>
  <r>
    <x v="4"/>
    <x v="54"/>
    <n v="5025639"/>
    <n v="87504"/>
    <n v="270583"/>
    <s v="1.74"/>
    <s v="0.00"/>
    <s v="98.26"/>
  </r>
  <r>
    <x v="4"/>
    <x v="55"/>
    <n v="367210"/>
    <n v="6542"/>
    <n v="175519"/>
    <s v="1.78"/>
    <s v="0.00"/>
    <s v="98.22"/>
  </r>
  <r>
    <x v="4"/>
    <x v="56"/>
    <n v="162476"/>
    <n v="1188"/>
    <n v="156078"/>
    <s v="0.73"/>
    <s v="0.00"/>
    <s v="99.27"/>
  </r>
  <r>
    <x v="4"/>
    <x v="57"/>
    <n v="52247"/>
    <n v="674"/>
    <n v="5312"/>
    <s v="1.29"/>
    <s v="0.00"/>
    <s v="98.71"/>
  </r>
  <r>
    <x v="4"/>
    <x v="58"/>
    <n v="2615"/>
    <n v="5"/>
    <n v="2142"/>
    <s v="0.19"/>
    <s v="0.00"/>
    <s v="99.81"/>
  </r>
  <r>
    <x v="4"/>
    <x v="59"/>
    <n v="7038485"/>
    <n v="115523"/>
    <n v="6562266"/>
    <s v="1.64"/>
    <s v="0.00"/>
    <s v="98.36"/>
  </r>
  <r>
    <x v="4"/>
    <x v="60"/>
    <n v="36174"/>
    <n v="254"/>
    <n v="24177"/>
    <s v="0.70"/>
    <s v="0.00"/>
    <s v="99.30"/>
  </r>
  <r>
    <x v="4"/>
    <x v="61"/>
    <n v="9340808"/>
    <n v="142138"/>
    <n v="4029304"/>
    <s v="1.52"/>
    <s v="0.00"/>
    <s v="98.48"/>
  </r>
  <r>
    <x v="4"/>
    <x v="62"/>
    <n v="5861"/>
    <n v="198"/>
    <n v="1406"/>
    <s v="3.38"/>
    <s v="0.00"/>
    <s v="96.62"/>
  </r>
  <r>
    <x v="4"/>
    <x v="63"/>
    <n v="752855"/>
    <n v="10435"/>
    <n v="80567"/>
    <s v="1.39"/>
    <s v="0.00"/>
    <s v="98.61"/>
  </r>
  <r>
    <x v="4"/>
    <x v="64"/>
    <n v="44964"/>
    <n v="313"/>
    <n v="10455"/>
    <s v="0.70"/>
    <s v="0.00"/>
    <s v="99.30"/>
  </r>
  <r>
    <x v="4"/>
    <x v="65"/>
    <n v="130391"/>
    <n v="1188"/>
    <n v="122549"/>
    <s v="0.91"/>
    <s v="0.00"/>
    <s v="99.09"/>
  </r>
  <r>
    <x v="4"/>
    <x v="66"/>
    <n v="6153"/>
    <n v="98"/>
    <n v="5888"/>
    <s v="1.59"/>
    <s v="0.00"/>
    <s v="98.41"/>
  </r>
  <r>
    <x v="4"/>
    <x v="67"/>
    <n v="9973"/>
    <n v="341"/>
    <n v="2142"/>
    <s v="3.42"/>
    <s v="0.00"/>
    <s v="96.58"/>
  </r>
  <r>
    <x v="4"/>
    <x v="68"/>
    <n v="30681"/>
    <n v="385"/>
    <n v="23210"/>
    <s v="1.25"/>
    <s v="0.00"/>
    <s v="98.75"/>
  </r>
  <r>
    <x v="4"/>
    <x v="69"/>
    <n v="54474"/>
    <n v="820"/>
    <n v="24823"/>
    <s v="1.51"/>
    <s v="0.00"/>
    <s v="98.49"/>
  </r>
  <r>
    <x v="4"/>
    <x v="70"/>
    <n v="13407"/>
    <n v="168"/>
    <n v="3538"/>
    <s v="1.25"/>
    <s v="0.00"/>
    <s v="98.75"/>
  </r>
  <r>
    <x v="4"/>
    <x v="71"/>
    <n v="784904"/>
    <n v="16295"/>
    <n v="75011"/>
    <s v="2.08"/>
    <s v="0.00"/>
    <s v="97.92"/>
  </r>
  <r>
    <x v="4"/>
    <x v="72"/>
    <n v="605664"/>
    <n v="15437"/>
    <n v="214146"/>
    <s v="2.55"/>
    <s v="0.00"/>
    <s v="97.45"/>
  </r>
  <r>
    <x v="4"/>
    <x v="73"/>
    <n v="6150"/>
    <n v="143"/>
    <n v="5172"/>
    <s v="2.33"/>
    <s v="0.00"/>
    <s v="97.67"/>
  </r>
  <r>
    <x v="4"/>
    <x v="74"/>
    <n v="36079"/>
    <n v="941"/>
    <n v="13888"/>
    <s v="2.61"/>
    <s v="0.00"/>
    <s v="97.39"/>
  </r>
  <r>
    <x v="4"/>
    <x v="75"/>
    <n v="12368"/>
    <n v="213"/>
    <n v="3084"/>
    <s v="1.72"/>
    <s v="0.00"/>
    <s v="98.28"/>
  </r>
  <r>
    <x v="4"/>
    <x v="76"/>
    <n v="376281"/>
    <n v="10308"/>
    <n v="223142"/>
    <s v="2.74"/>
    <s v="0.00"/>
    <s v="97.26"/>
  </r>
  <r>
    <x v="4"/>
    <x v="77"/>
    <n v="501327"/>
    <n v="9500"/>
    <n v="102245"/>
    <s v="1.89"/>
    <s v="0.00"/>
    <s v="98.11"/>
  </r>
  <r>
    <x v="4"/>
    <x v="78"/>
    <n v="24073"/>
    <n v="685"/>
    <n v="3400"/>
    <s v="2.85"/>
    <s v="0.00"/>
    <s v="97.15"/>
  </r>
  <r>
    <x v="4"/>
    <x v="79"/>
    <n v="892164"/>
    <n v="31184"/>
    <n v="417756"/>
    <s v="3.50"/>
    <s v="0.00"/>
    <s v="96.50"/>
  </r>
  <r>
    <x v="4"/>
    <x v="80"/>
    <n v="4248165"/>
    <n v="143545"/>
    <n v="2936132"/>
    <s v="3.38"/>
    <s v="0.00"/>
    <s v="96.62"/>
  </r>
  <r>
    <x v="4"/>
    <x v="81"/>
    <n v="469386"/>
    <n v="5492"/>
    <n v="158264"/>
    <s v="1.17"/>
    <s v="0.00"/>
    <s v="98.83"/>
  </r>
  <r>
    <x v="4"/>
    <x v="82"/>
    <n v="1333989"/>
    <n v="8122"/>
    <n v="611590"/>
    <s v="0.61"/>
    <s v="0.00"/>
    <s v="99.39"/>
  </r>
  <r>
    <x v="4"/>
    <x v="83"/>
    <n v="34366987"/>
    <n v="461057"/>
    <n v="33556828"/>
    <s v="1.34"/>
    <s v="0.00"/>
    <s v="98.66"/>
  </r>
  <r>
    <x v="4"/>
    <x v="84"/>
    <n v="2062863"/>
    <n v="23344"/>
    <n v="1562355"/>
    <s v="1.13"/>
    <s v="0.00"/>
    <s v="98.87"/>
  </r>
  <r>
    <x v="4"/>
    <x v="85"/>
    <n v="5987814"/>
    <n v="127299"/>
    <n v="3375510"/>
    <s v="2.13"/>
    <s v="0.00"/>
    <s v="97.87"/>
  </r>
  <r>
    <x v="4"/>
    <x v="86"/>
    <n v="14255"/>
    <n v="34"/>
    <n v="5340"/>
    <s v="0.24"/>
    <s v="0.00"/>
    <s v="99.76"/>
  </r>
  <r>
    <x v="4"/>
    <x v="87"/>
    <n v="4808047"/>
    <n v="132391"/>
    <n v="3328263"/>
    <s v="2.75"/>
    <s v="0.00"/>
    <s v="97.25"/>
  </r>
  <r>
    <x v="4"/>
    <x v="88"/>
    <n v="89681"/>
    <n v="2275"/>
    <n v="3514"/>
    <s v="2.54"/>
    <s v="0.00"/>
    <s v="97.46"/>
  </r>
  <r>
    <x v="4"/>
    <x v="89"/>
    <n v="875804"/>
    <n v="11128"/>
    <n v="815010"/>
    <s v="1.27"/>
    <s v="0.00"/>
    <s v="98.73"/>
  </r>
  <r>
    <x v="4"/>
    <x v="90"/>
    <n v="1723682"/>
    <n v="18306"/>
    <n v="1665882"/>
    <s v="1.06"/>
    <s v="0.00"/>
    <s v="98.94"/>
  </r>
  <r>
    <x v="4"/>
    <x v="91"/>
    <n v="253833"/>
    <n v="5312"/>
    <n v="44781"/>
    <s v="2.09"/>
    <s v="0.00"/>
    <s v="97.91"/>
  </r>
  <r>
    <x v="4"/>
    <x v="92"/>
    <n v="181830"/>
    <n v="2686"/>
    <n v="114855"/>
    <s v="1.48"/>
    <s v="0.00"/>
    <s v="98.52"/>
  </r>
  <r>
    <x v="4"/>
    <x v="94"/>
    <n v="2"/>
    <n v="0"/>
    <n v="0"/>
    <s v="0.00"/>
    <s v="0.00"/>
    <s v="100.00"/>
  </r>
  <r>
    <x v="4"/>
    <x v="93"/>
    <n v="119092"/>
    <n v="2829"/>
    <n v="13314"/>
    <s v="2.38"/>
    <s v="0.00"/>
    <s v="97.62"/>
  </r>
  <r>
    <x v="4"/>
    <x v="95"/>
    <n v="4315"/>
    <n v="147"/>
    <n v="2162"/>
    <s v="3.41"/>
    <s v="0.00"/>
    <s v="96.59"/>
  </r>
  <r>
    <x v="4"/>
    <x v="96"/>
    <n v="2717"/>
    <n v="25"/>
    <n v="2300"/>
    <s v="0.92"/>
    <s v="0.00"/>
    <s v="99.08"/>
  </r>
  <r>
    <x v="4"/>
    <x v="97"/>
    <n v="381694"/>
    <n v="2980"/>
    <n v="6813"/>
    <s v="0.78"/>
    <s v="0.00"/>
    <s v="99.22"/>
  </r>
  <r>
    <x v="4"/>
    <x v="98"/>
    <n v="412844"/>
    <n v="2462"/>
    <n v="171695"/>
    <s v="0.60"/>
    <s v="0.00"/>
    <s v="99.40"/>
  </r>
  <r>
    <x v="4"/>
    <x v="99"/>
    <n v="1029986"/>
    <n v="17263"/>
    <n v="175917"/>
    <s v="1.68"/>
    <s v="0.00"/>
    <s v="98.32"/>
  </r>
  <r>
    <x v="4"/>
    <x v="100"/>
    <n v="47056"/>
    <n v="82"/>
    <n v="4767"/>
    <s v="0.17"/>
    <s v="0.00"/>
    <s v="99.83"/>
  </r>
  <r>
    <x v="4"/>
    <x v="101"/>
    <n v="646629"/>
    <n v="8546"/>
    <n v="583340"/>
    <s v="1.32"/>
    <s v="0.00"/>
    <s v="98.68"/>
  </r>
  <r>
    <x v="4"/>
    <x v="102"/>
    <n v="12688"/>
    <n v="260"/>
    <n v="3222"/>
    <s v="2.05"/>
    <s v="0.00"/>
    <s v="97.95"/>
  </r>
  <r>
    <x v="4"/>
    <x v="103"/>
    <n v="3728"/>
    <n v="61"/>
    <n v="2192"/>
    <s v="1.64"/>
    <s v="0.00"/>
    <s v="98.36"/>
  </r>
  <r>
    <x v="4"/>
    <x v="104"/>
    <n v="545256"/>
    <n v="13856"/>
    <n v="45041"/>
    <s v="2.54"/>
    <s v="0.00"/>
    <s v="97.46"/>
  </r>
  <r>
    <x v="4"/>
    <x v="105"/>
    <n v="5815"/>
    <n v="287"/>
    <n v="2212"/>
    <s v="4.94"/>
    <s v="0.00"/>
    <s v="95.06"/>
  </r>
  <r>
    <x v="4"/>
    <x v="106"/>
    <n v="21685"/>
    <n v="659"/>
    <n v="18092"/>
    <s v="3.04"/>
    <s v="0.00"/>
    <s v="96.96"/>
  </r>
  <r>
    <x v="4"/>
    <x v="107"/>
    <n v="427118"/>
    <n v="6111"/>
    <n v="26533"/>
    <s v="1.43"/>
    <s v="0.00"/>
    <s v="98.57"/>
  </r>
  <r>
    <x v="4"/>
    <x v="108"/>
    <n v="82842"/>
    <n v="849"/>
    <n v="47605"/>
    <s v="1.02"/>
    <s v="0.00"/>
    <s v="98.98"/>
  </r>
  <r>
    <x v="4"/>
    <x v="109"/>
    <n v="231824"/>
    <n v="3499"/>
    <n v="142767"/>
    <s v="1.51"/>
    <s v="0.00"/>
    <s v="98.49"/>
  </r>
  <r>
    <x v="4"/>
    <x v="110"/>
    <n v="360914"/>
    <n v="5207"/>
    <n v="289400"/>
    <s v="1.44"/>
    <s v="0.00"/>
    <s v="98.56"/>
  </r>
  <r>
    <x v="4"/>
    <x v="111"/>
    <n v="947396"/>
    <n v="14713"/>
    <n v="631039"/>
    <s v="1.55"/>
    <s v="0.00"/>
    <s v="98.45"/>
  </r>
  <r>
    <x v="4"/>
    <x v="112"/>
    <n v="3436"/>
    <n v="36"/>
    <n v="1087"/>
    <s v="1.05"/>
    <s v="0.00"/>
    <s v="98.95"/>
  </r>
  <r>
    <x v="4"/>
    <x v="113"/>
    <n v="345964"/>
    <n v="8099"/>
    <n v="268356"/>
    <s v="2.34"/>
    <s v="0.00"/>
    <s v="97.66"/>
  </r>
  <r>
    <x v="4"/>
    <x v="114"/>
    <n v="148579"/>
    <n v="2148"/>
    <n v="112893"/>
    <s v="1.45"/>
    <s v="0.00"/>
    <s v="98.55"/>
  </r>
  <r>
    <x v="4"/>
    <x v="115"/>
    <n v="3941"/>
    <n v="56"/>
    <n v="2060"/>
    <s v="1.42"/>
    <s v="0.00"/>
    <s v="98.58"/>
  </r>
  <r>
    <x v="4"/>
    <x v="116"/>
    <n v="43632"/>
    <n v="964"/>
    <n v="38030"/>
    <s v="2.21"/>
    <s v="0.00"/>
    <s v="97.79"/>
  </r>
  <r>
    <x v="4"/>
    <x v="117"/>
    <n v="4"/>
    <n v="0"/>
    <n v="3"/>
    <s v="0.00"/>
    <s v="0.00"/>
    <s v="100.00"/>
  </r>
  <r>
    <x v="4"/>
    <x v="118"/>
    <n v="206077"/>
    <n v="7232"/>
    <n v="103562"/>
    <s v="3.51"/>
    <s v="0.00"/>
    <s v="96.49"/>
  </r>
  <r>
    <x v="4"/>
    <x v="119"/>
    <n v="16371"/>
    <n v="576"/>
    <n v="15580"/>
    <s v="3.52"/>
    <s v="0.00"/>
    <s v="96.48"/>
  </r>
  <r>
    <x v="4"/>
    <x v="120"/>
    <n v="506816"/>
    <n v="18821"/>
    <n v="53215"/>
    <s v="3.71"/>
    <s v="0.00"/>
    <s v="96.29"/>
  </r>
  <r>
    <x v="4"/>
    <x v="121"/>
    <n v="367412"/>
    <n v="1817"/>
    <n v="346600"/>
    <s v="0.49"/>
    <s v="0.00"/>
    <s v="99.51"/>
  </r>
  <r>
    <x v="4"/>
    <x v="122"/>
    <n v="77"/>
    <n v="0"/>
    <n v="62"/>
    <s v="0.00"/>
    <s v="0.00"/>
    <s v="100.00"/>
  </r>
  <r>
    <x v="4"/>
    <x v="123"/>
    <n v="43347"/>
    <n v="683"/>
    <n v="2246"/>
    <s v="1.58"/>
    <s v="0.00"/>
    <s v="98.42"/>
  </r>
  <r>
    <x v="4"/>
    <x v="124"/>
    <n v="37703"/>
    <n v="801"/>
    <n v="3401"/>
    <s v="2.12"/>
    <s v="0.00"/>
    <s v="97.88"/>
  </r>
  <r>
    <x v="4"/>
    <x v="125"/>
    <n v="37904"/>
    <n v="462"/>
    <n v="4642"/>
    <s v="1.22"/>
    <s v="0.00"/>
    <s v="98.78"/>
  </r>
  <r>
    <x v="4"/>
    <x v="126"/>
    <n v="18314"/>
    <n v="199"/>
    <n v="669"/>
    <s v="1.09"/>
    <s v="0.00"/>
    <s v="98.91"/>
  </r>
  <r>
    <x v="4"/>
    <x v="127"/>
    <n v="88817"/>
    <n v="245"/>
    <n v="48368"/>
    <s v="0.28"/>
    <s v="0.00"/>
    <s v="99.72"/>
  </r>
  <r>
    <x v="4"/>
    <x v="128"/>
    <n v="61815"/>
    <n v="2302"/>
    <n v="10470"/>
    <s v="3.72"/>
    <s v="0.00"/>
    <s v="96.28"/>
  </r>
  <r>
    <x v="4"/>
    <x v="129"/>
    <n v="3826786"/>
    <n v="289734"/>
    <n v="2965659"/>
    <s v="7.57"/>
    <s v="0.00"/>
    <s v="92.43"/>
  </r>
  <r>
    <x v="4"/>
    <x v="130"/>
    <n v="2506309"/>
    <n v="29291"/>
    <n v="2137760"/>
    <s v="1.17"/>
    <s v="0.00"/>
    <s v="98.83"/>
  </r>
  <r>
    <x v="4"/>
    <x v="131"/>
    <n v="151368"/>
    <n v="1934"/>
    <n v="129083"/>
    <s v="1.28"/>
    <s v="0.00"/>
    <s v="98.72"/>
  </r>
  <r>
    <x v="4"/>
    <x v="132"/>
    <n v="129009"/>
    <n v="3563"/>
    <n v="17159"/>
    <s v="2.76"/>
    <s v="0.00"/>
    <s v="97.24"/>
  </r>
  <r>
    <x v="4"/>
    <x v="133"/>
    <n v="11306"/>
    <n v="268"/>
    <n v="7027"/>
    <s v="2.37"/>
    <s v="0.00"/>
    <s v="97.63"/>
  </r>
  <r>
    <x v="4"/>
    <x v="134"/>
    <n v="6490"/>
    <n v="220"/>
    <n v="1354"/>
    <s v="3.39"/>
    <s v="0.00"/>
    <s v="96.61"/>
  </r>
  <r>
    <x v="4"/>
    <x v="135"/>
    <n v="212713"/>
    <n v="2906"/>
    <n v="23726"/>
    <s v="1.37"/>
    <s v="0.00"/>
    <s v="98.63"/>
  </r>
  <r>
    <x v="4"/>
    <x v="136"/>
    <n v="16699"/>
    <n v="209"/>
    <n v="12873"/>
    <s v="1.25"/>
    <s v="0.00"/>
    <s v="98.75"/>
  </r>
  <r>
    <x v="4"/>
    <x v="137"/>
    <n v="2241183"/>
    <n v="19003"/>
    <n v="1481968"/>
    <s v="0.85"/>
    <s v="0.00"/>
    <s v="99.15"/>
  </r>
  <r>
    <x v="4"/>
    <x v="138"/>
    <n v="216855"/>
    <n v="922"/>
    <n v="98634"/>
    <s v="0.43"/>
    <s v="0.00"/>
    <s v="99.57"/>
  </r>
  <r>
    <x v="4"/>
    <x v="139"/>
    <n v="814558"/>
    <n v="11448"/>
    <n v="637926"/>
    <s v="1.41"/>
    <s v="0.00"/>
    <s v="98.59"/>
  </r>
  <r>
    <x v="4"/>
    <x v="140"/>
    <n v="7649"/>
    <n v="32"/>
    <n v="3235"/>
    <s v="0.42"/>
    <s v="0.00"/>
    <s v="99.58"/>
  </r>
  <r>
    <x v="4"/>
    <x v="141"/>
    <n v="304365"/>
    <n v="4112"/>
    <n v="228849"/>
    <s v="1.35"/>
    <s v="0.00"/>
    <s v="98.65"/>
  </r>
  <r>
    <x v="4"/>
    <x v="142"/>
    <n v="473416"/>
    <n v="7329"/>
    <n v="182048"/>
    <s v="1.55"/>
    <s v="0.00"/>
    <s v="98.45"/>
  </r>
  <r>
    <x v="4"/>
    <x v="143"/>
    <n v="2207550"/>
    <n v="200430"/>
    <n v="1936675"/>
    <s v="9.08"/>
    <s v="0.00"/>
    <s v="90.92"/>
  </r>
  <r>
    <x v="4"/>
    <x v="144"/>
    <n v="45573"/>
    <n v="636"/>
    <n v="43011"/>
    <s v="1.40"/>
    <s v="0.00"/>
    <s v="98.60"/>
  </r>
  <r>
    <x v="4"/>
    <x v="145"/>
    <n v="31479"/>
    <n v="407"/>
    <n v="6342"/>
    <s v="1.29"/>
    <s v="0.00"/>
    <s v="98.71"/>
  </r>
  <r>
    <x v="4"/>
    <x v="146"/>
    <n v="2803213"/>
    <n v="44430"/>
    <n v="2562417"/>
    <s v="1.58"/>
    <s v="0.00"/>
    <s v="98.42"/>
  </r>
  <r>
    <x v="4"/>
    <x v="147"/>
    <n v="1277160"/>
    <n v="28547"/>
    <n v="231651"/>
    <s v="2.24"/>
    <s v="0.00"/>
    <s v="97.76"/>
  </r>
  <r>
    <x v="4"/>
    <x v="148"/>
    <n v="3104220"/>
    <n v="77757"/>
    <n v="1532693"/>
    <s v="2.50"/>
    <s v="0.00"/>
    <s v="97.50"/>
  </r>
  <r>
    <x v="4"/>
    <x v="149"/>
    <n v="455099"/>
    <n v="4705"/>
    <n v="17391"/>
    <s v="1.03"/>
    <s v="0.00"/>
    <s v="98.97"/>
  </r>
  <r>
    <x v="4"/>
    <x v="150"/>
    <n v="1097557"/>
    <n v="18203"/>
    <n v="915103"/>
    <s v="1.66"/>
    <s v="0.00"/>
    <s v="98.34"/>
  </r>
  <r>
    <x v="4"/>
    <x v="151"/>
    <n v="8"/>
    <n v="0"/>
    <n v="6"/>
    <s v="0.00"/>
    <s v="0.00"/>
    <s v="100.00"/>
  </r>
  <r>
    <x v="4"/>
    <x v="152"/>
    <n v="461313"/>
    <n v="16259"/>
    <n v="367871"/>
    <s v="3.52"/>
    <s v="0.00"/>
    <s v="96.48"/>
  </r>
  <r>
    <x v="4"/>
    <x v="153"/>
    <n v="240098"/>
    <n v="611"/>
    <n v="222357"/>
    <s v="0.25"/>
    <s v="0.00"/>
    <s v="99.75"/>
  </r>
  <r>
    <x v="4"/>
    <x v="154"/>
    <n v="55125"/>
    <n v="376"/>
    <n v="40630"/>
    <s v="0.68"/>
    <s v="0.00"/>
    <s v="99.32"/>
  </r>
  <r>
    <x v="4"/>
    <x v="155"/>
    <n v="1706882"/>
    <n v="50755"/>
    <n v="193060"/>
    <s v="2.97"/>
    <s v="0.00"/>
    <s v="97.03"/>
  </r>
  <r>
    <x v="4"/>
    <x v="156"/>
    <n v="1183025"/>
    <n v="10405"/>
    <n v="825787"/>
    <s v="0.88"/>
    <s v="0.00"/>
    <s v="99.12"/>
  </r>
  <r>
    <x v="4"/>
    <x v="157"/>
    <n v="8651561"/>
    <n v="242241"/>
    <n v="5807919"/>
    <s v="2.80"/>
    <s v="0.00"/>
    <s v="97.20"/>
  </r>
  <r>
    <x v="4"/>
    <x v="158"/>
    <n v="99947"/>
    <n v="1334"/>
    <n v="56457"/>
    <s v="1.33"/>
    <s v="0.00"/>
    <s v="98.67"/>
  </r>
  <r>
    <x v="4"/>
    <x v="159"/>
    <n v="548930"/>
    <n v="8804"/>
    <n v="158938"/>
    <s v="1.60"/>
    <s v="0.00"/>
    <s v="98.40"/>
  </r>
  <r>
    <x v="4"/>
    <x v="160"/>
    <n v="20"/>
    <n v="0"/>
    <n v="12"/>
    <s v="0.00"/>
    <s v="0.00"/>
    <s v="100.00"/>
  </r>
  <r>
    <x v="4"/>
    <x v="161"/>
    <n v="22381"/>
    <n v="119"/>
    <n v="15839"/>
    <s v="0.53"/>
    <s v="0.00"/>
    <s v="99.47"/>
  </r>
  <r>
    <x v="4"/>
    <x v="162"/>
    <n v="40433"/>
    <n v="3099"/>
    <n v="5297"/>
    <s v="7.66"/>
    <s v="0.00"/>
    <s v="92.34"/>
  </r>
  <r>
    <x v="4"/>
    <x v="163"/>
    <n v="1177094"/>
    <n v="15057"/>
    <n v="766258"/>
    <s v="1.28"/>
    <s v="0.00"/>
    <s v="98.72"/>
  </r>
  <r>
    <x v="4"/>
    <x v="164"/>
    <n v="218333"/>
    <n v="497"/>
    <n v="157469"/>
    <s v="0.23"/>
    <s v="0.00"/>
    <s v="99.77"/>
  </r>
  <r>
    <x v="4"/>
    <x v="165"/>
    <n v="355979"/>
    <n v="4830"/>
    <n v="79815"/>
    <s v="1.36"/>
    <s v="0.00"/>
    <s v="98.64"/>
  </r>
  <r>
    <x v="4"/>
    <x v="166"/>
    <n v="518635"/>
    <n v="13229"/>
    <n v="420668"/>
    <s v="2.55"/>
    <s v="0.00"/>
    <s v="97.45"/>
  </r>
  <r>
    <x v="4"/>
    <x v="167"/>
    <n v="6398"/>
    <n v="121"/>
    <n v="3828"/>
    <s v="1.89"/>
    <s v="0.00"/>
    <s v="98.11"/>
  </r>
  <r>
    <x v="4"/>
    <x v="168"/>
    <n v="5588"/>
    <n v="92"/>
    <n v="2203"/>
    <s v="1.65"/>
    <s v="0.00"/>
    <s v="98.35"/>
  </r>
  <r>
    <x v="4"/>
    <x v="169"/>
    <n v="73935"/>
    <n v="1880"/>
    <n v="28556"/>
    <s v="2.54"/>
    <s v="0.00"/>
    <s v="97.46"/>
  </r>
  <r>
    <x v="4"/>
    <x v="170"/>
    <n v="22693"/>
    <n v="1294"/>
    <n v="342"/>
    <s v="5.70"/>
    <s v="0.00"/>
    <s v="94.30"/>
  </r>
  <r>
    <x v="4"/>
    <x v="171"/>
    <n v="49550"/>
    <n v="1114"/>
    <n v="34432"/>
    <s v="2.25"/>
    <s v="0.00"/>
    <s v="97.75"/>
  </r>
  <r>
    <x v="4"/>
    <x v="172"/>
    <n v="12453"/>
    <n v="133"/>
    <n v="7251"/>
    <s v="1.07"/>
    <s v="0.00"/>
    <s v="98.93"/>
  </r>
  <r>
    <x v="4"/>
    <x v="173"/>
    <n v="3729"/>
    <n v="56"/>
    <n v="2724"/>
    <s v="1.50"/>
    <s v="0.00"/>
    <s v="98.50"/>
  </r>
  <r>
    <x v="4"/>
    <x v="174"/>
    <n v="116258"/>
    <n v="3682"/>
    <n v="66164"/>
    <s v="3.17"/>
    <s v="0.00"/>
    <s v="96.83"/>
  </r>
  <r>
    <x v="4"/>
    <x v="175"/>
    <n v="44191"/>
    <n v="2593"/>
    <n v="5540"/>
    <s v="5.87"/>
    <s v="0.00"/>
    <s v="94.13"/>
  </r>
  <r>
    <x v="4"/>
    <x v="176"/>
    <n v="46457"/>
    <n v="1244"/>
    <n v="38777"/>
    <s v="2.68"/>
    <s v="0.00"/>
    <s v="97.32"/>
  </r>
  <r>
    <x v="4"/>
    <x v="177"/>
    <n v="5107"/>
    <n v="175"/>
    <n v="1378"/>
    <s v="3.43"/>
    <s v="0.00"/>
    <s v="96.57"/>
  </r>
  <r>
    <x v="4"/>
    <x v="178"/>
    <n v="26114"/>
    <n v="243"/>
    <n v="24817"/>
    <s v="0.93"/>
    <s v="0.00"/>
    <s v="99.07"/>
  </r>
  <r>
    <x v="4"/>
    <x v="179"/>
    <n v="1967999"/>
    <n v="19664"/>
    <n v="1706831"/>
    <s v="1.00"/>
    <s v="0.00"/>
    <s v="99.00"/>
  </r>
  <r>
    <x v="4"/>
    <x v="180"/>
    <n v="17486"/>
    <n v="125"/>
    <n v="9879"/>
    <s v="0.71"/>
    <s v="0.00"/>
    <s v="99.29"/>
  </r>
  <r>
    <x v="4"/>
    <x v="181"/>
    <n v="19799"/>
    <n v="122"/>
    <n v="6337"/>
    <s v="0.62"/>
    <s v="0.00"/>
    <s v="99.38"/>
  </r>
  <r>
    <x v="4"/>
    <x v="182"/>
    <n v="713308"/>
    <n v="25276"/>
    <n v="145134"/>
    <s v="3.54"/>
    <s v="0.00"/>
    <s v="96.46"/>
  </r>
  <r>
    <x v="4"/>
    <x v="183"/>
    <n v="1"/>
    <n v="0"/>
    <n v="1"/>
    <s v="0.00"/>
    <s v="0.00"/>
    <s v="100.00"/>
  </r>
  <r>
    <x v="4"/>
    <x v="184"/>
    <n v="8233649"/>
    <n v="72127"/>
    <n v="3579112"/>
    <s v="0.88"/>
    <s v="0.00"/>
    <s v="99.12"/>
  </r>
  <r>
    <x v="4"/>
    <x v="185"/>
    <n v="59304"/>
    <n v="1772"/>
    <n v="38188"/>
    <s v="2.99"/>
    <s v="0.00"/>
    <s v="97.01"/>
  </r>
  <r>
    <x v="4"/>
    <x v="186"/>
    <n v="16442"/>
    <n v="847"/>
    <n v="5759"/>
    <s v="5.15"/>
    <s v="0.00"/>
    <s v="94.85"/>
  </r>
  <r>
    <x v="4"/>
    <x v="187"/>
    <n v="26196"/>
    <n v="725"/>
    <n v="12834"/>
    <s v="2.77"/>
    <s v="0.00"/>
    <s v="97.23"/>
  </r>
  <r>
    <x v="4"/>
    <x v="188"/>
    <n v="3218967"/>
    <n v="76657"/>
    <n v="770570"/>
    <s v="2.38"/>
    <s v="0.00"/>
    <s v="97.62"/>
  </r>
  <r>
    <x v="4"/>
    <x v="189"/>
    <n v="126570"/>
    <n v="3227"/>
    <n v="27795"/>
    <s v="2.55"/>
    <s v="0.00"/>
    <s v="97.45"/>
  </r>
  <r>
    <x v="4"/>
    <x v="190"/>
    <n v="46487244"/>
    <n v="754425"/>
    <n v="5318104"/>
    <s v="1.62"/>
    <s v="0.00"/>
    <s v="98.38"/>
  </r>
  <r>
    <x v="4"/>
    <x v="191"/>
    <n v="395268"/>
    <n v="6086"/>
    <n v="139099"/>
    <s v="1.54"/>
    <s v="0.00"/>
    <s v="98.46"/>
  </r>
  <r>
    <x v="4"/>
    <x v="192"/>
    <n v="187924"/>
    <n v="1338"/>
    <n v="34799"/>
    <s v="0.71"/>
    <s v="0.00"/>
    <s v="99.29"/>
  </r>
  <r>
    <x v="4"/>
    <x v="193"/>
    <n v="27"/>
    <n v="0"/>
    <n v="7"/>
    <s v="0.00"/>
    <s v="0.00"/>
    <s v="100.00"/>
  </r>
  <r>
    <x v="4"/>
    <x v="194"/>
    <n v="5092"/>
    <n v="69"/>
    <n v="765"/>
    <s v="1.36"/>
    <s v="0.00"/>
    <s v="98.64"/>
  </r>
  <r>
    <x v="4"/>
    <x v="195"/>
    <n v="413135"/>
    <n v="4965"/>
    <n v="1819"/>
    <s v="1.20"/>
    <s v="0.00"/>
    <s v="98.80"/>
  </r>
  <r>
    <x v="4"/>
    <x v="196"/>
    <n v="968684"/>
    <n v="22531"/>
    <n v="127611"/>
    <s v="2.33"/>
    <s v="0.00"/>
    <s v="97.67"/>
  </r>
  <r>
    <x v="4"/>
    <x v="197"/>
    <n v="6"/>
    <n v="1"/>
    <n v="1"/>
    <s v="16.67"/>
    <s v="0.00"/>
    <s v="83.33"/>
  </r>
  <r>
    <x v="4"/>
    <x v="198"/>
    <n v="3"/>
    <n v="0"/>
    <n v="2"/>
    <s v="0.00"/>
    <s v="0.00"/>
    <s v="100.00"/>
  </r>
  <r>
    <x v="4"/>
    <x v="199"/>
    <n v="160872"/>
    <n v="2978"/>
    <n v="15924"/>
    <s v="1.85"/>
    <s v="0.00"/>
    <s v="98.15"/>
  </r>
  <r>
    <x v="4"/>
    <x v="200"/>
    <n v="9870"/>
    <n v="1909"/>
    <n v="3634"/>
    <s v="19.34"/>
    <s v="0.00"/>
    <s v="80.66"/>
  </r>
  <r>
    <x v="4"/>
    <x v="201"/>
    <n v="20651"/>
    <n v="185"/>
    <n v="3790"/>
    <s v="0.90"/>
    <s v="0.00"/>
    <s v="99.10"/>
  </r>
  <r>
    <x v="4"/>
    <x v="202"/>
    <n v="2923956"/>
    <n v="89332"/>
    <n v="61369"/>
    <s v="3.06"/>
    <s v="0.00"/>
    <s v="96.94"/>
  </r>
  <r>
    <x v="4"/>
    <x v="203"/>
    <n v="209902"/>
    <n v="3664"/>
    <n v="168266"/>
    <s v="1.75"/>
    <s v="0.00"/>
    <s v="98.25"/>
  </r>
  <r>
    <x v="4"/>
    <x v="204"/>
    <n v="133187"/>
    <n v="4685"/>
    <n v="39002"/>
    <s v="3.52"/>
    <s v="0.00"/>
    <s v="96.48"/>
  </r>
  <r>
    <x v="4"/>
    <x v="205"/>
    <n v="721"/>
    <n v="15"/>
    <n v="563"/>
    <s v="2.08"/>
    <s v="0.00"/>
    <s v="97.92"/>
  </r>
  <r>
    <x v="5"/>
    <x v="205"/>
    <n v="721"/>
    <n v="15"/>
    <n v="22"/>
    <s v="2.08"/>
    <s v="0.00"/>
    <s v="97.92"/>
  </r>
  <r>
    <x v="5"/>
    <x v="204"/>
    <n v="133168"/>
    <n v="4685"/>
    <n v="51491"/>
    <s v="3.52"/>
    <s v="0.00"/>
    <s v="96.48"/>
  </r>
  <r>
    <x v="5"/>
    <x v="203"/>
    <n v="209869"/>
    <n v="3663"/>
    <n v="132257"/>
    <s v="1.75"/>
    <s v="0.00"/>
    <s v="98.25"/>
  </r>
  <r>
    <x v="5"/>
    <x v="202"/>
    <n v="2923751"/>
    <n v="89319"/>
    <n v="2399289"/>
    <s v="3.05"/>
    <s v="0.00"/>
    <s v="96.95"/>
  </r>
  <r>
    <x v="5"/>
    <x v="201"/>
    <n v="20651"/>
    <n v="185"/>
    <n v="17855"/>
    <s v="0.90"/>
    <s v="0.00"/>
    <s v="99.10"/>
  </r>
  <r>
    <x v="5"/>
    <x v="200"/>
    <n v="9858"/>
    <n v="1907"/>
    <n v="4196"/>
    <s v="19.34"/>
    <s v="0.00"/>
    <s v="80.66"/>
  </r>
  <r>
    <x v="5"/>
    <x v="199"/>
    <n v="160853"/>
    <n v="2978"/>
    <n v="28756"/>
    <s v="1.85"/>
    <s v="0.00"/>
    <s v="98.15"/>
  </r>
  <r>
    <x v="5"/>
    <x v="198"/>
    <n v="3"/>
    <n v="0"/>
    <n v="3"/>
    <s v="0.00"/>
    <s v="0.00"/>
    <s v="100.00"/>
  </r>
  <r>
    <x v="5"/>
    <x v="197"/>
    <n v="6"/>
    <n v="1"/>
    <n v="0"/>
    <s v="16.67"/>
    <s v="0.00"/>
    <s v="83.33"/>
  </r>
  <r>
    <x v="5"/>
    <x v="196"/>
    <n v="961038"/>
    <n v="22470"/>
    <n v="486977"/>
    <s v="2.34"/>
    <s v="0.00"/>
    <s v="97.66"/>
  </r>
  <r>
    <x v="5"/>
    <x v="195"/>
    <n v="412472"/>
    <n v="4955"/>
    <n v="86177"/>
    <s v="1.20"/>
    <s v="0.00"/>
    <s v="98.80"/>
  </r>
  <r>
    <x v="5"/>
    <x v="194"/>
    <n v="5092"/>
    <n v="69"/>
    <n v="48"/>
    <s v="1.36"/>
    <s v="0.00"/>
    <s v="98.64"/>
  </r>
  <r>
    <x v="5"/>
    <x v="193"/>
    <n v="27"/>
    <n v="0"/>
    <n v="15"/>
    <s v="0.00"/>
    <s v="0.00"/>
    <s v="100.00"/>
  </r>
  <r>
    <x v="5"/>
    <x v="192"/>
    <n v="187666"/>
    <n v="1336"/>
    <n v="159745"/>
    <s v="0.71"/>
    <s v="0.00"/>
    <s v="99.29"/>
  </r>
  <r>
    <x v="5"/>
    <x v="191"/>
    <n v="395099"/>
    <n v="6085"/>
    <n v="345366"/>
    <s v="1.54"/>
    <s v="0.00"/>
    <s v="98.46"/>
  </r>
  <r>
    <x v="5"/>
    <x v="190"/>
    <n v="46465253"/>
    <n v="754306"/>
    <n v="25254132"/>
    <s v="1.62"/>
    <s v="0.00"/>
    <s v="98.38"/>
  </r>
  <r>
    <x v="5"/>
    <x v="189"/>
    <n v="126492"/>
    <n v="3226"/>
    <n v="67866"/>
    <s v="2.55"/>
    <s v="0.00"/>
    <s v="97.45"/>
  </r>
  <r>
    <x v="5"/>
    <x v="188"/>
    <n v="3200411"/>
    <n v="76175"/>
    <n v="24022"/>
    <s v="2.38"/>
    <s v="0.00"/>
    <s v="97.62"/>
  </r>
  <r>
    <x v="5"/>
    <x v="187"/>
    <n v="26196"/>
    <n v="725"/>
    <n v="3311"/>
    <s v="2.77"/>
    <s v="0.00"/>
    <s v="97.23"/>
  </r>
  <r>
    <x v="5"/>
    <x v="186"/>
    <n v="16438"/>
    <n v="847"/>
    <n v="14179"/>
    <s v="5.15"/>
    <s v="0.00"/>
    <s v="94.85"/>
  </r>
  <r>
    <x v="5"/>
    <x v="185"/>
    <n v="58975"/>
    <n v="1764"/>
    <n v="55479"/>
    <s v="2.99"/>
    <s v="0.00"/>
    <s v="97.01"/>
  </r>
  <r>
    <x v="5"/>
    <x v="184"/>
    <n v="8206345"/>
    <n v="71927"/>
    <n v="5977522"/>
    <s v="0.88"/>
    <s v="0.00"/>
    <s v="99.12"/>
  </r>
  <r>
    <x v="5"/>
    <x v="183"/>
    <n v="1"/>
    <n v="0"/>
    <n v="1"/>
    <s v="0.00"/>
    <s v="0.00"/>
    <s v="100.00"/>
  </r>
  <r>
    <x v="5"/>
    <x v="182"/>
    <n v="713254"/>
    <n v="25272"/>
    <n v="156965"/>
    <s v="3.54"/>
    <s v="0.00"/>
    <s v="96.46"/>
  </r>
  <r>
    <x v="5"/>
    <x v="181"/>
    <n v="19799"/>
    <n v="122"/>
    <n v="10853"/>
    <s v="0.62"/>
    <s v="0.00"/>
    <s v="99.38"/>
  </r>
  <r>
    <x v="5"/>
    <x v="180"/>
    <n v="17486"/>
    <n v="125"/>
    <n v="7632"/>
    <s v="0.71"/>
    <s v="0.00"/>
    <s v="99.29"/>
  </r>
  <r>
    <x v="5"/>
    <x v="179"/>
    <n v="1960039"/>
    <n v="19611"/>
    <n v="1049863"/>
    <s v="1.00"/>
    <s v="0.00"/>
    <s v="99.00"/>
  </r>
  <r>
    <x v="5"/>
    <x v="178"/>
    <n v="26114"/>
    <n v="243"/>
    <n v="15008"/>
    <s v="0.93"/>
    <s v="0.00"/>
    <s v="99.07"/>
  </r>
  <r>
    <x v="5"/>
    <x v="177"/>
    <n v="5107"/>
    <n v="175"/>
    <n v="2444"/>
    <s v="3.43"/>
    <s v="0.00"/>
    <s v="96.57"/>
  </r>
  <r>
    <x v="5"/>
    <x v="176"/>
    <n v="46457"/>
    <n v="1244"/>
    <n v="43109"/>
    <s v="2.68"/>
    <s v="0.00"/>
    <s v="97.32"/>
  </r>
  <r>
    <x v="5"/>
    <x v="175"/>
    <n v="44191"/>
    <n v="2593"/>
    <n v="30102"/>
    <s v="5.87"/>
    <s v="0.00"/>
    <s v="94.13"/>
  </r>
  <r>
    <x v="5"/>
    <x v="174"/>
    <n v="116258"/>
    <n v="3675"/>
    <n v="35284"/>
    <s v="3.16"/>
    <s v="0.00"/>
    <s v="96.84"/>
  </r>
  <r>
    <x v="5"/>
    <x v="173"/>
    <n v="3721"/>
    <n v="56"/>
    <n v="1581"/>
    <s v="1.50"/>
    <s v="0.00"/>
    <s v="98.50"/>
  </r>
  <r>
    <x v="5"/>
    <x v="172"/>
    <n v="12453"/>
    <n v="133"/>
    <n v="1825"/>
    <s v="1.07"/>
    <s v="0.00"/>
    <s v="98.93"/>
  </r>
  <r>
    <x v="5"/>
    <x v="171"/>
    <n v="49504"/>
    <n v="1112"/>
    <n v="26759"/>
    <s v="2.25"/>
    <s v="0.00"/>
    <s v="97.75"/>
  </r>
  <r>
    <x v="5"/>
    <x v="170"/>
    <n v="22693"/>
    <n v="1294"/>
    <n v="13306"/>
    <s v="5.70"/>
    <s v="0.00"/>
    <s v="94.30"/>
  </r>
  <r>
    <x v="5"/>
    <x v="169"/>
    <n v="73935"/>
    <n v="1880"/>
    <n v="63698"/>
    <s v="2.54"/>
    <s v="0.00"/>
    <s v="97.46"/>
  </r>
  <r>
    <x v="5"/>
    <x v="168"/>
    <n v="5588"/>
    <n v="92"/>
    <n v="25"/>
    <s v="1.65"/>
    <s v="0.00"/>
    <s v="98.35"/>
  </r>
  <r>
    <x v="5"/>
    <x v="167"/>
    <n v="6398"/>
    <n v="121"/>
    <n v="380"/>
    <s v="1.89"/>
    <s v="0.00"/>
    <s v="98.11"/>
  </r>
  <r>
    <x v="5"/>
    <x v="166"/>
    <n v="513297"/>
    <n v="13205"/>
    <n v="405096"/>
    <s v="2.57"/>
    <s v="0.00"/>
    <s v="97.43"/>
  </r>
  <r>
    <x v="5"/>
    <x v="165"/>
    <n v="353660"/>
    <n v="4820"/>
    <n v="311712"/>
    <s v="1.36"/>
    <s v="0.00"/>
    <s v="98.64"/>
  </r>
  <r>
    <x v="5"/>
    <x v="164"/>
    <n v="215780"/>
    <n v="480"/>
    <n v="144933"/>
    <s v="0.22"/>
    <s v="0.00"/>
    <s v="99.78"/>
  </r>
  <r>
    <x v="5"/>
    <x v="163"/>
    <n v="1177094"/>
    <n v="15057"/>
    <n v="106313"/>
    <s v="1.28"/>
    <s v="0.00"/>
    <s v="98.72"/>
  </r>
  <r>
    <x v="5"/>
    <x v="162"/>
    <n v="40433"/>
    <n v="3099"/>
    <n v="32491"/>
    <s v="7.66"/>
    <s v="0.00"/>
    <s v="92.34"/>
  </r>
  <r>
    <x v="5"/>
    <x v="161"/>
    <n v="22381"/>
    <n v="119"/>
    <n v="19791"/>
    <s v="0.53"/>
    <s v="0.00"/>
    <s v="99.47"/>
  </r>
  <r>
    <x v="5"/>
    <x v="160"/>
    <n v="20"/>
    <n v="0"/>
    <n v="17"/>
    <s v="0.00"/>
    <s v="0.00"/>
    <s v="100.00"/>
  </r>
  <r>
    <x v="5"/>
    <x v="159"/>
    <n v="548890"/>
    <n v="8803"/>
    <n v="6177"/>
    <s v="1.60"/>
    <s v="0.00"/>
    <s v="98.40"/>
  </r>
  <r>
    <x v="5"/>
    <x v="158"/>
    <n v="99931"/>
    <n v="1332"/>
    <n v="68004"/>
    <s v="1.33"/>
    <s v="0.00"/>
    <s v="98.67"/>
  </r>
  <r>
    <x v="5"/>
    <x v="157"/>
    <n v="8613533"/>
    <n v="241095"/>
    <n v="7096030"/>
    <s v="2.80"/>
    <s v="0.00"/>
    <s v="97.20"/>
  </r>
  <r>
    <x v="5"/>
    <x v="156"/>
    <n v="1179137"/>
    <n v="10336"/>
    <n v="507041"/>
    <s v="0.88"/>
    <s v="0.00"/>
    <s v="99.12"/>
  </r>
  <r>
    <x v="5"/>
    <x v="155"/>
    <n v="1701589"/>
    <n v="50482"/>
    <n v="254956"/>
    <s v="2.97"/>
    <s v="0.00"/>
    <s v="97.03"/>
  </r>
  <r>
    <x v="5"/>
    <x v="154"/>
    <n v="55125"/>
    <n v="376"/>
    <n v="40929"/>
    <s v="0.68"/>
    <s v="0.00"/>
    <s v="99.32"/>
  </r>
  <r>
    <x v="5"/>
    <x v="153"/>
    <n v="239995"/>
    <n v="611"/>
    <n v="3169"/>
    <s v="0.25"/>
    <s v="0.00"/>
    <s v="99.75"/>
  </r>
  <r>
    <x v="5"/>
    <x v="152"/>
    <n v="461275"/>
    <n v="16258"/>
    <n v="323653"/>
    <s v="3.52"/>
    <s v="0.00"/>
    <s v="96.48"/>
  </r>
  <r>
    <x v="5"/>
    <x v="151"/>
    <n v="8"/>
    <n v="0"/>
    <n v="1"/>
    <s v="0.00"/>
    <s v="0.00"/>
    <s v="100.00"/>
  </r>
  <r>
    <x v="5"/>
    <x v="150"/>
    <n v="1096534"/>
    <n v="18198"/>
    <n v="674567"/>
    <s v="1.66"/>
    <s v="0.00"/>
    <s v="98.34"/>
  </r>
  <r>
    <x v="5"/>
    <x v="149"/>
    <n v="455099"/>
    <n v="4705"/>
    <n v="16135"/>
    <s v="1.03"/>
    <s v="0.00"/>
    <s v="98.97"/>
  </r>
  <r>
    <x v="5"/>
    <x v="148"/>
    <n v="3091713"/>
    <n v="77733"/>
    <n v="1817707"/>
    <s v="2.51"/>
    <s v="0.00"/>
    <s v="97.49"/>
  </r>
  <r>
    <x v="5"/>
    <x v="147"/>
    <n v="1276711"/>
    <n v="28538"/>
    <n v="31703"/>
    <s v="2.24"/>
    <s v="0.00"/>
    <s v="97.76"/>
  </r>
  <r>
    <x v="5"/>
    <x v="146"/>
    <n v="2800621"/>
    <n v="44239"/>
    <n v="2658613"/>
    <s v="1.58"/>
    <s v="0.00"/>
    <s v="98.42"/>
  </r>
  <r>
    <x v="5"/>
    <x v="145"/>
    <n v="31287"/>
    <n v="406"/>
    <n v="16602"/>
    <s v="1.30"/>
    <s v="0.00"/>
    <s v="98.70"/>
  </r>
  <r>
    <x v="5"/>
    <x v="144"/>
    <n v="45573"/>
    <n v="636"/>
    <n v="17876"/>
    <s v="1.40"/>
    <s v="0.00"/>
    <s v="98.60"/>
  </r>
  <r>
    <x v="5"/>
    <x v="143"/>
    <n v="2206556"/>
    <n v="200409"/>
    <n v="1380179"/>
    <s v="9.08"/>
    <s v="0.00"/>
    <s v="90.92"/>
  </r>
  <r>
    <x v="5"/>
    <x v="142"/>
    <n v="473303"/>
    <n v="7325"/>
    <n v="356616"/>
    <s v="1.55"/>
    <s v="0.00"/>
    <s v="98.45"/>
  </r>
  <r>
    <x v="5"/>
    <x v="141"/>
    <n v="304329"/>
    <n v="4112"/>
    <n v="219737"/>
    <s v="1.35"/>
    <s v="0.00"/>
    <s v="98.65"/>
  </r>
  <r>
    <x v="5"/>
    <x v="140"/>
    <n v="7457"/>
    <n v="31"/>
    <n v="6352"/>
    <s v="0.42"/>
    <s v="0.00"/>
    <s v="99.58"/>
  </r>
  <r>
    <x v="5"/>
    <x v="139"/>
    <n v="814417"/>
    <n v="11439"/>
    <n v="152619"/>
    <s v="1.40"/>
    <s v="0.00"/>
    <s v="98.60"/>
  </r>
  <r>
    <x v="5"/>
    <x v="138"/>
    <n v="215857"/>
    <n v="922"/>
    <n v="398"/>
    <s v="0.43"/>
    <s v="0.00"/>
    <s v="99.57"/>
  </r>
  <r>
    <x v="5"/>
    <x v="137"/>
    <n v="2229807"/>
    <n v="18995"/>
    <n v="941944"/>
    <s v="0.85"/>
    <s v="0.00"/>
    <s v="99.15"/>
  </r>
  <r>
    <x v="5"/>
    <x v="136"/>
    <n v="16699"/>
    <n v="209"/>
    <n v="6169"/>
    <s v="1.25"/>
    <s v="0.00"/>
    <s v="98.75"/>
  </r>
  <r>
    <x v="5"/>
    <x v="135"/>
    <n v="212627"/>
    <n v="2905"/>
    <n v="44068"/>
    <s v="1.37"/>
    <s v="0.00"/>
    <s v="98.63"/>
  </r>
  <r>
    <x v="5"/>
    <x v="134"/>
    <n v="6457"/>
    <n v="220"/>
    <n v="1355"/>
    <s v="3.41"/>
    <s v="0.00"/>
    <s v="96.59"/>
  </r>
  <r>
    <x v="5"/>
    <x v="133"/>
    <n v="11294"/>
    <n v="267"/>
    <n v="4526"/>
    <s v="2.36"/>
    <s v="0.00"/>
    <s v="97.64"/>
  </r>
  <r>
    <x v="5"/>
    <x v="132"/>
    <n v="128999"/>
    <n v="3561"/>
    <n v="68407"/>
    <s v="2.76"/>
    <s v="0.00"/>
    <s v="97.24"/>
  </r>
  <r>
    <x v="5"/>
    <x v="131"/>
    <n v="151367"/>
    <n v="1934"/>
    <n v="84138"/>
    <s v="1.28"/>
    <s v="0.00"/>
    <s v="98.72"/>
  </r>
  <r>
    <x v="5"/>
    <x v="130"/>
    <n v="2501966"/>
    <n v="29256"/>
    <n v="2454009"/>
    <s v="1.17"/>
    <s v="0.00"/>
    <s v="98.83"/>
  </r>
  <r>
    <x v="5"/>
    <x v="129"/>
    <n v="3825404"/>
    <n v="289674"/>
    <n v="2898200"/>
    <s v="7.57"/>
    <s v="0.00"/>
    <s v="92.43"/>
  </r>
  <r>
    <x v="5"/>
    <x v="128"/>
    <n v="61815"/>
    <n v="2302"/>
    <n v="20167"/>
    <s v="3.72"/>
    <s v="0.00"/>
    <s v="96.28"/>
  </r>
  <r>
    <x v="5"/>
    <x v="127"/>
    <n v="88635"/>
    <n v="245"/>
    <n v="22909"/>
    <s v="0.28"/>
    <s v="0.00"/>
    <s v="99.72"/>
  </r>
  <r>
    <x v="5"/>
    <x v="126"/>
    <n v="18314"/>
    <n v="199"/>
    <n v="1388"/>
    <s v="1.09"/>
    <s v="0.00"/>
    <s v="98.91"/>
  </r>
  <r>
    <x v="5"/>
    <x v="125"/>
    <n v="37854"/>
    <n v="462"/>
    <n v="9369"/>
    <s v="1.22"/>
    <s v="0.00"/>
    <s v="98.78"/>
  </r>
  <r>
    <x v="5"/>
    <x v="124"/>
    <n v="37659"/>
    <n v="801"/>
    <n v="16840"/>
    <s v="2.13"/>
    <s v="0.00"/>
    <s v="97.87"/>
  </r>
  <r>
    <x v="5"/>
    <x v="123"/>
    <n v="43347"/>
    <n v="683"/>
    <n v="34374"/>
    <s v="1.58"/>
    <s v="0.00"/>
    <s v="98.42"/>
  </r>
  <r>
    <x v="5"/>
    <x v="122"/>
    <n v="77"/>
    <n v="0"/>
    <n v="20"/>
    <s v="0.00"/>
    <s v="0.00"/>
    <s v="100.00"/>
  </r>
  <r>
    <x v="5"/>
    <x v="121"/>
    <n v="366962"/>
    <n v="1809"/>
    <n v="345494"/>
    <s v="0.49"/>
    <s v="0.00"/>
    <s v="99.51"/>
  </r>
  <r>
    <x v="5"/>
    <x v="120"/>
    <n v="505998"/>
    <n v="18804"/>
    <n v="468944"/>
    <s v="3.72"/>
    <s v="0.00"/>
    <s v="96.28"/>
  </r>
  <r>
    <x v="5"/>
    <x v="119"/>
    <n v="16342"/>
    <n v="574"/>
    <n v="15486"/>
    <s v="3.51"/>
    <s v="0.00"/>
    <s v="96.49"/>
  </r>
  <r>
    <x v="5"/>
    <x v="118"/>
    <n v="205623"/>
    <n v="7217"/>
    <n v="48896"/>
    <s v="3.51"/>
    <s v="0.00"/>
    <s v="96.49"/>
  </r>
  <r>
    <x v="5"/>
    <x v="117"/>
    <n v="4"/>
    <n v="0"/>
    <n v="1"/>
    <s v="0.00"/>
    <s v="0.00"/>
    <s v="100.00"/>
  </r>
  <r>
    <x v="5"/>
    <x v="116"/>
    <n v="43632"/>
    <n v="964"/>
    <n v="33201"/>
    <s v="2.21"/>
    <s v="0.00"/>
    <s v="97.79"/>
  </r>
  <r>
    <x v="5"/>
    <x v="115"/>
    <n v="3941"/>
    <n v="56"/>
    <n v="1938"/>
    <s v="1.42"/>
    <s v="0.00"/>
    <s v="98.58"/>
  </r>
  <r>
    <x v="5"/>
    <x v="114"/>
    <n v="148027"/>
    <n v="2145"/>
    <n v="52613"/>
    <s v="1.45"/>
    <s v="0.00"/>
    <s v="98.55"/>
  </r>
  <r>
    <x v="5"/>
    <x v="113"/>
    <n v="345517"/>
    <n v="8056"/>
    <n v="222804"/>
    <s v="2.33"/>
    <s v="0.00"/>
    <s v="97.67"/>
  </r>
  <r>
    <x v="5"/>
    <x v="112"/>
    <n v="3436"/>
    <n v="36"/>
    <n v="1915"/>
    <s v="1.05"/>
    <s v="0.00"/>
    <s v="98.95"/>
  </r>
  <r>
    <x v="5"/>
    <x v="111"/>
    <n v="947307"/>
    <n v="14706"/>
    <n v="798851"/>
    <s v="1.55"/>
    <s v="0.00"/>
    <s v="98.45"/>
  </r>
  <r>
    <x v="5"/>
    <x v="110"/>
    <n v="360266"/>
    <n v="5186"/>
    <n v="239141"/>
    <s v="1.44"/>
    <s v="0.00"/>
    <s v="98.56"/>
  </r>
  <r>
    <x v="5"/>
    <x v="109"/>
    <n v="230569"/>
    <n v="3472"/>
    <n v="34712"/>
    <s v="1.51"/>
    <s v="0.00"/>
    <s v="98.49"/>
  </r>
  <r>
    <x v="5"/>
    <x v="108"/>
    <n v="82842"/>
    <n v="849"/>
    <n v="65897"/>
    <s v="1.02"/>
    <s v="0.00"/>
    <s v="98.98"/>
  </r>
  <r>
    <x v="5"/>
    <x v="107"/>
    <n v="424884"/>
    <n v="6084"/>
    <n v="364055"/>
    <s v="1.43"/>
    <s v="0.00"/>
    <s v="98.57"/>
  </r>
  <r>
    <x v="5"/>
    <x v="106"/>
    <n v="21685"/>
    <n v="659"/>
    <n v="17832"/>
    <s v="3.04"/>
    <s v="0.00"/>
    <s v="96.96"/>
  </r>
  <r>
    <x v="5"/>
    <x v="105"/>
    <n v="5815"/>
    <n v="287"/>
    <n v="351"/>
    <s v="4.94"/>
    <s v="0.00"/>
    <s v="95.06"/>
  </r>
  <r>
    <x v="5"/>
    <x v="104"/>
    <n v="544630"/>
    <n v="13841"/>
    <n v="456069"/>
    <s v="2.54"/>
    <s v="0.00"/>
    <s v="97.46"/>
  </r>
  <r>
    <x v="5"/>
    <x v="103"/>
    <n v="3728"/>
    <n v="61"/>
    <n v="1004"/>
    <s v="1.64"/>
    <s v="0.00"/>
    <s v="98.36"/>
  </r>
  <r>
    <x v="5"/>
    <x v="102"/>
    <n v="12688"/>
    <n v="260"/>
    <n v="7997"/>
    <s v="2.05"/>
    <s v="0.00"/>
    <s v="97.95"/>
  </r>
  <r>
    <x v="5"/>
    <x v="101"/>
    <n v="645805"/>
    <n v="8540"/>
    <n v="210781"/>
    <s v="1.32"/>
    <s v="0.00"/>
    <s v="98.68"/>
  </r>
  <r>
    <x v="5"/>
    <x v="100"/>
    <n v="45980"/>
    <n v="81"/>
    <n v="14428"/>
    <s v="0.18"/>
    <s v="0.00"/>
    <s v="99.82"/>
  </r>
  <r>
    <x v="5"/>
    <x v="99"/>
    <n v="1028928"/>
    <n v="17263"/>
    <n v="241173"/>
    <s v="1.68"/>
    <s v="0.00"/>
    <s v="98.32"/>
  </r>
  <r>
    <x v="5"/>
    <x v="98"/>
    <n v="412821"/>
    <n v="2462"/>
    <n v="4901"/>
    <s v="0.60"/>
    <s v="0.00"/>
    <s v="99.40"/>
  </r>
  <r>
    <x v="5"/>
    <x v="97"/>
    <n v="379935"/>
    <n v="2967"/>
    <n v="195507"/>
    <s v="0.78"/>
    <s v="0.00"/>
    <s v="99.22"/>
  </r>
  <r>
    <x v="5"/>
    <x v="96"/>
    <n v="2708"/>
    <n v="25"/>
    <n v="1308"/>
    <s v="0.92"/>
    <s v="0.00"/>
    <s v="99.08"/>
  </r>
  <r>
    <x v="5"/>
    <x v="95"/>
    <n v="4307"/>
    <n v="147"/>
    <n v="3463"/>
    <s v="3.41"/>
    <s v="0.00"/>
    <s v="96.59"/>
  </r>
  <r>
    <x v="5"/>
    <x v="93"/>
    <n v="119021"/>
    <n v="2824"/>
    <n v="108314"/>
    <s v="2.37"/>
    <s v="0.00"/>
    <s v="97.63"/>
  </r>
  <r>
    <x v="5"/>
    <x v="94"/>
    <n v="2"/>
    <n v="0"/>
    <n v="2"/>
    <s v="0.00"/>
    <s v="0.00"/>
    <s v="100.00"/>
  </r>
  <r>
    <x v="5"/>
    <x v="92"/>
    <n v="181764"/>
    <n v="2683"/>
    <n v="107916"/>
    <s v="1.48"/>
    <s v="0.00"/>
    <s v="98.52"/>
  </r>
  <r>
    <x v="5"/>
    <x v="91"/>
    <n v="253813"/>
    <n v="5305"/>
    <n v="213923"/>
    <s v="2.09"/>
    <s v="0.00"/>
    <s v="97.91"/>
  </r>
  <r>
    <x v="5"/>
    <x v="90"/>
    <n v="1723525"/>
    <n v="18306"/>
    <n v="889312"/>
    <s v="1.06"/>
    <s v="0.00"/>
    <s v="98.94"/>
  </r>
  <r>
    <x v="5"/>
    <x v="89"/>
    <n v="873707"/>
    <n v="11114"/>
    <n v="654196"/>
    <s v="1.27"/>
    <s v="0.00"/>
    <s v="98.73"/>
  </r>
  <r>
    <x v="5"/>
    <x v="88"/>
    <n v="89587"/>
    <n v="2274"/>
    <n v="49847"/>
    <s v="2.54"/>
    <s v="0.00"/>
    <s v="97.46"/>
  </r>
  <r>
    <x v="5"/>
    <x v="87"/>
    <n v="4802225"/>
    <n v="132365"/>
    <n v="1768775"/>
    <s v="2.76"/>
    <s v="0.00"/>
    <s v="97.24"/>
  </r>
  <r>
    <x v="5"/>
    <x v="86"/>
    <n v="14255"/>
    <n v="34"/>
    <n v="13647"/>
    <s v="0.24"/>
    <s v="0.00"/>
    <s v="99.76"/>
  </r>
  <r>
    <x v="5"/>
    <x v="85"/>
    <n v="5980260"/>
    <n v="127173"/>
    <n v="2003749"/>
    <s v="2.13"/>
    <s v="0.00"/>
    <s v="97.87"/>
  </r>
  <r>
    <x v="5"/>
    <x v="84"/>
    <n v="2061939"/>
    <n v="23319"/>
    <n v="1548025"/>
    <s v="1.13"/>
    <s v="0.00"/>
    <s v="98.87"/>
  </r>
  <r>
    <x v="5"/>
    <x v="83"/>
    <n v="34355509"/>
    <n v="460791"/>
    <n v="31484283"/>
    <s v="1.34"/>
    <s v="0.00"/>
    <s v="98.66"/>
  </r>
  <r>
    <x v="5"/>
    <x v="82"/>
    <n v="1333605"/>
    <n v="8114"/>
    <n v="25139"/>
    <s v="0.61"/>
    <s v="0.00"/>
    <s v="99.39"/>
  </r>
  <r>
    <x v="5"/>
    <x v="81"/>
    <n v="465958"/>
    <n v="5492"/>
    <n v="239247"/>
    <s v="1.18"/>
    <s v="0.00"/>
    <s v="98.82"/>
  </r>
  <r>
    <x v="5"/>
    <x v="80"/>
    <n v="4247721"/>
    <n v="143534"/>
    <n v="848050"/>
    <s v="3.38"/>
    <s v="0.00"/>
    <s v="96.62"/>
  </r>
  <r>
    <x v="5"/>
    <x v="79"/>
    <n v="892164"/>
    <n v="31184"/>
    <n v="746362"/>
    <s v="3.50"/>
    <s v="0.00"/>
    <s v="96.50"/>
  </r>
  <r>
    <x v="5"/>
    <x v="78"/>
    <n v="24073"/>
    <n v="685"/>
    <n v="10893"/>
    <s v="2.85"/>
    <s v="0.00"/>
    <s v="97.15"/>
  </r>
  <r>
    <x v="5"/>
    <x v="77"/>
    <n v="497168"/>
    <n v="9450"/>
    <n v="416046"/>
    <s v="1.90"/>
    <s v="0.00"/>
    <s v="98.10"/>
  </r>
  <r>
    <x v="5"/>
    <x v="76"/>
    <n v="376281"/>
    <n v="10308"/>
    <n v="328480"/>
    <s v="2.74"/>
    <s v="0.00"/>
    <s v="97.26"/>
  </r>
  <r>
    <x v="5"/>
    <x v="75"/>
    <n v="12367"/>
    <n v="213"/>
    <n v="3538"/>
    <s v="1.72"/>
    <s v="0.00"/>
    <s v="98.28"/>
  </r>
  <r>
    <x v="5"/>
    <x v="74"/>
    <n v="36079"/>
    <n v="941"/>
    <n v="5510"/>
    <s v="2.61"/>
    <s v="0.00"/>
    <s v="97.39"/>
  </r>
  <r>
    <x v="5"/>
    <x v="73"/>
    <n v="6150"/>
    <n v="143"/>
    <n v="939"/>
    <s v="2.33"/>
    <s v="0.00"/>
    <s v="97.67"/>
  </r>
  <r>
    <x v="5"/>
    <x v="72"/>
    <n v="605415"/>
    <n v="15389"/>
    <n v="549445"/>
    <s v="2.54"/>
    <s v="0.00"/>
    <s v="97.46"/>
  </r>
  <r>
    <x v="5"/>
    <x v="71"/>
    <n v="780621"/>
    <n v="16243"/>
    <n v="256013"/>
    <s v="2.08"/>
    <s v="0.00"/>
    <s v="97.92"/>
  </r>
  <r>
    <x v="5"/>
    <x v="70"/>
    <n v="13407"/>
    <n v="168"/>
    <n v="8288"/>
    <s v="1.25"/>
    <s v="0.00"/>
    <s v="98.75"/>
  </r>
  <r>
    <x v="5"/>
    <x v="69"/>
    <n v="54474"/>
    <n v="820"/>
    <n v="29300"/>
    <s v="1.51"/>
    <s v="0.00"/>
    <s v="98.49"/>
  </r>
  <r>
    <x v="5"/>
    <x v="68"/>
    <n v="30681"/>
    <n v="385"/>
    <n v="23358"/>
    <s v="1.25"/>
    <s v="0.00"/>
    <s v="98.75"/>
  </r>
  <r>
    <x v="5"/>
    <x v="67"/>
    <n v="9973"/>
    <n v="341"/>
    <n v="5033"/>
    <s v="3.42"/>
    <s v="0.00"/>
    <s v="96.58"/>
  </r>
  <r>
    <x v="5"/>
    <x v="66"/>
    <n v="6138"/>
    <n v="98"/>
    <n v="4432"/>
    <s v="1.60"/>
    <s v="0.00"/>
    <s v="98.40"/>
  </r>
  <r>
    <x v="5"/>
    <x v="65"/>
    <n v="130391"/>
    <n v="1188"/>
    <n v="56397"/>
    <s v="0.91"/>
    <s v="0.00"/>
    <s v="99.09"/>
  </r>
  <r>
    <x v="5"/>
    <x v="64"/>
    <n v="44964"/>
    <n v="313"/>
    <n v="22119"/>
    <s v="0.70"/>
    <s v="0.00"/>
    <s v="99.30"/>
  </r>
  <r>
    <x v="5"/>
    <x v="63"/>
    <n v="748751"/>
    <n v="10368"/>
    <n v="229527"/>
    <s v="1.38"/>
    <s v="0.00"/>
    <s v="98.62"/>
  </r>
  <r>
    <x v="5"/>
    <x v="62"/>
    <n v="5861"/>
    <n v="198"/>
    <n v="1356"/>
    <s v="3.38"/>
    <s v="0.00"/>
    <s v="96.62"/>
  </r>
  <r>
    <x v="5"/>
    <x v="61"/>
    <n v="9310934"/>
    <n v="142076"/>
    <n v="3093132"/>
    <s v="1.53"/>
    <s v="0.00"/>
    <s v="98.47"/>
  </r>
  <r>
    <x v="5"/>
    <x v="60"/>
    <n v="36174"/>
    <n v="254"/>
    <n v="14277"/>
    <s v="0.70"/>
    <s v="0.00"/>
    <s v="99.30"/>
  </r>
  <r>
    <x v="5"/>
    <x v="59"/>
    <n v="7029938"/>
    <n v="115513"/>
    <n v="4259832"/>
    <s v="1.64"/>
    <s v="0.00"/>
    <s v="98.36"/>
  </r>
  <r>
    <x v="5"/>
    <x v="58"/>
    <n v="2586"/>
    <n v="5"/>
    <n v="2573"/>
    <s v="0.19"/>
    <s v="0.00"/>
    <s v="99.81"/>
  </r>
  <r>
    <x v="5"/>
    <x v="57"/>
    <n v="52247"/>
    <n v="674"/>
    <n v="1668"/>
    <s v="1.29"/>
    <s v="0.00"/>
    <s v="98.71"/>
  </r>
  <r>
    <x v="5"/>
    <x v="56"/>
    <n v="162476"/>
    <n v="1188"/>
    <n v="594"/>
    <s v="0.73"/>
    <s v="0.00"/>
    <s v="99.27"/>
  </r>
  <r>
    <x v="5"/>
    <x v="55"/>
    <n v="367062"/>
    <n v="6531"/>
    <n v="291728"/>
    <s v="1.78"/>
    <s v="0.00"/>
    <s v="98.22"/>
  </r>
  <r>
    <x v="5"/>
    <x v="54"/>
    <n v="5025639"/>
    <n v="87504"/>
    <n v="4449969"/>
    <s v="1.74"/>
    <s v="0.00"/>
    <s v="98.26"/>
  </r>
  <r>
    <x v="5"/>
    <x v="53"/>
    <n v="6943"/>
    <n v="46"/>
    <n v="2758"/>
    <s v="0.66"/>
    <s v="0.00"/>
    <s v="99.34"/>
  </r>
  <r>
    <x v="5"/>
    <x v="52"/>
    <n v="336582"/>
    <n v="19011"/>
    <n v="41090"/>
    <s v="5.65"/>
    <s v="0.00"/>
    <s v="94.35"/>
  </r>
  <r>
    <x v="5"/>
    <x v="51"/>
    <n v="204148"/>
    <n v="1598"/>
    <n v="47861"/>
    <s v="0.78"/>
    <s v="0.00"/>
    <s v="99.22"/>
  </r>
  <r>
    <x v="5"/>
    <x v="50"/>
    <n v="519386"/>
    <n v="32989"/>
    <n v="135399"/>
    <s v="6.35"/>
    <s v="0.00"/>
    <s v="93.65"/>
  </r>
  <r>
    <x v="5"/>
    <x v="49"/>
    <n v="207079"/>
    <n v="5941"/>
    <n v="97626"/>
    <s v="2.87"/>
    <s v="0.00"/>
    <s v="97.13"/>
  </r>
  <r>
    <x v="5"/>
    <x v="48"/>
    <n v="387269"/>
    <n v="4150"/>
    <n v="216352"/>
    <s v="1.07"/>
    <s v="0.00"/>
    <s v="98.93"/>
  </r>
  <r>
    <x v="5"/>
    <x v="47"/>
    <n v="4961"/>
    <n v="32"/>
    <n v="2364"/>
    <s v="0.65"/>
    <s v="0.00"/>
    <s v="99.35"/>
  </r>
  <r>
    <x v="5"/>
    <x v="46"/>
    <n v="401004"/>
    <n v="2735"/>
    <n v="24317"/>
    <s v="0.68"/>
    <s v="0.00"/>
    <s v="99.32"/>
  </r>
  <r>
    <x v="5"/>
    <x v="45"/>
    <n v="13491"/>
    <n v="186"/>
    <n v="3088"/>
    <s v="1.38"/>
    <s v="0.00"/>
    <s v="98.62"/>
  </r>
  <r>
    <x v="5"/>
    <x v="44"/>
    <n v="4779675"/>
    <n v="96529"/>
    <n v="3630303"/>
    <s v="2.02"/>
    <s v="0.00"/>
    <s v="97.98"/>
  </r>
  <r>
    <x v="5"/>
    <x v="43"/>
    <n v="1810395"/>
    <n v="30985"/>
    <n v="535463"/>
    <s v="1.71"/>
    <s v="0.00"/>
    <s v="98.29"/>
  </r>
  <r>
    <x v="5"/>
    <x v="42"/>
    <n v="125413"/>
    <n v="577"/>
    <n v="81422"/>
    <s v="0.46"/>
    <s v="0.00"/>
    <s v="99.54"/>
  </r>
  <r>
    <x v="5"/>
    <x v="41"/>
    <n v="38253"/>
    <n v="349"/>
    <n v="10565"/>
    <s v="0.91"/>
    <s v="0.00"/>
    <s v="99.09"/>
  </r>
  <r>
    <x v="5"/>
    <x v="40"/>
    <n v="955498"/>
    <n v="8261"/>
    <n v="65121"/>
    <s v="0.86"/>
    <s v="0.00"/>
    <s v="99.14"/>
  </r>
  <r>
    <x v="5"/>
    <x v="39"/>
    <n v="562316"/>
    <n v="7134"/>
    <n v="445088"/>
    <s v="1.27"/>
    <s v="0.00"/>
    <s v="98.73"/>
  </r>
  <r>
    <x v="5"/>
    <x v="38"/>
    <n v="5012981"/>
    <n v="127488"/>
    <n v="3102102"/>
    <s v="2.54"/>
    <s v="0.00"/>
    <s v="97.46"/>
  </r>
  <r>
    <x v="5"/>
    <x v="37"/>
    <n v="97734"/>
    <n v="4636"/>
    <n v="2136"/>
    <s v="4.74"/>
    <s v="0.00"/>
    <s v="95.26"/>
  </r>
  <r>
    <x v="5"/>
    <x v="36"/>
    <n v="104348"/>
    <n v="1731"/>
    <n v="24887"/>
    <s v="1.66"/>
    <s v="0.00"/>
    <s v="98.34"/>
  </r>
  <r>
    <x v="5"/>
    <x v="35"/>
    <n v="1706622"/>
    <n v="37841"/>
    <n v="130718"/>
    <s v="2.22"/>
    <s v="0.00"/>
    <s v="97.78"/>
  </r>
  <r>
    <x v="5"/>
    <x v="34"/>
    <n v="61404"/>
    <n v="699"/>
    <n v="15317"/>
    <s v="1.14"/>
    <s v="0.00"/>
    <s v="98.86"/>
  </r>
  <r>
    <x v="5"/>
    <x v="33"/>
    <n v="887446"/>
    <n v="11274"/>
    <n v="828888"/>
    <s v="1.27"/>
    <s v="0.00"/>
    <s v="98.73"/>
  </r>
  <r>
    <x v="5"/>
    <x v="32"/>
    <n v="17944"/>
    <n v="297"/>
    <n v="7411"/>
    <s v="1.66"/>
    <s v="0.00"/>
    <s v="98.34"/>
  </r>
  <r>
    <x v="5"/>
    <x v="31"/>
    <n v="11579"/>
    <n v="100"/>
    <n v="3072"/>
    <s v="0.86"/>
    <s v="0.00"/>
    <s v="99.14"/>
  </r>
  <r>
    <x v="5"/>
    <x v="30"/>
    <n v="57605"/>
    <n v="1098"/>
    <n v="46682"/>
    <s v="1.91"/>
    <s v="0.00"/>
    <s v="98.09"/>
  </r>
  <r>
    <x v="5"/>
    <x v="29"/>
    <n v="1737252"/>
    <n v="29192"/>
    <n v="1166893"/>
    <s v="1.68"/>
    <s v="0.00"/>
    <s v="98.32"/>
  </r>
  <r>
    <x v="5"/>
    <x v="28"/>
    <n v="27894"/>
    <n v="509"/>
    <n v="6524"/>
    <s v="1.82"/>
    <s v="0.00"/>
    <s v="98.18"/>
  </r>
  <r>
    <x v="5"/>
    <x v="27"/>
    <n v="612015"/>
    <n v="4730"/>
    <n v="342430"/>
    <s v="0.77"/>
    <s v="0.00"/>
    <s v="99.23"/>
  </r>
  <r>
    <x v="5"/>
    <x v="26"/>
    <n v="192935"/>
    <n v="2407"/>
    <n v="81396"/>
    <s v="1.25"/>
    <s v="0.00"/>
    <s v="98.75"/>
  </r>
  <r>
    <x v="5"/>
    <x v="25"/>
    <n v="2623"/>
    <n v="3"/>
    <n v="627"/>
    <s v="0.11"/>
    <s v="0.00"/>
    <s v="99.89"/>
  </r>
  <r>
    <x v="5"/>
    <x v="24"/>
    <n v="22485"/>
    <n v="657"/>
    <n v="17841"/>
    <s v="2.92"/>
    <s v="0.00"/>
    <s v="97.08"/>
  </r>
  <r>
    <x v="5"/>
    <x v="23"/>
    <n v="21874324"/>
    <n v="609388"/>
    <n v="13226319"/>
    <s v="2.79"/>
    <s v="0.00"/>
    <s v="97.21"/>
  </r>
  <r>
    <x v="5"/>
    <x v="22"/>
    <n v="517229"/>
    <n v="18960"/>
    <n v="281195"/>
    <s v="3.67"/>
    <s v="0.00"/>
    <s v="96.33"/>
  </r>
  <r>
    <x v="5"/>
    <x v="21"/>
    <n v="13742"/>
    <n v="93"/>
    <n v="13325"/>
    <s v="0.68"/>
    <s v="0.00"/>
    <s v="99.32"/>
  </r>
  <r>
    <x v="5"/>
    <x v="20"/>
    <n v="1660"/>
    <n v="6"/>
    <n v="1599"/>
    <s v="0.36"/>
    <s v="0.00"/>
    <s v="99.64"/>
  </r>
  <r>
    <x v="5"/>
    <x v="19"/>
    <n v="24804"/>
    <n v="161"/>
    <n v="7048"/>
    <s v="0.65"/>
    <s v="0.00"/>
    <s v="99.35"/>
  </r>
  <r>
    <x v="5"/>
    <x v="18"/>
    <n v="20136"/>
    <n v="38"/>
    <n v="2007"/>
    <s v="0.19"/>
    <s v="0.00"/>
    <s v="99.81"/>
  </r>
  <r>
    <x v="5"/>
    <x v="17"/>
    <n v="277041"/>
    <n v="1393"/>
    <n v="132362"/>
    <s v="0.50"/>
    <s v="0.00"/>
    <s v="99.50"/>
  </r>
  <r>
    <x v="5"/>
    <x v="16"/>
    <n v="631506"/>
    <n v="25005"/>
    <n v="506965"/>
    <s v="3.96"/>
    <s v="0.00"/>
    <s v="96.04"/>
  </r>
  <r>
    <x v="5"/>
    <x v="15"/>
    <n v="15103"/>
    <n v="221"/>
    <n v="2089"/>
    <s v="1.46"/>
    <s v="0.00"/>
    <s v="98.54"/>
  </r>
  <r>
    <x v="5"/>
    <x v="14"/>
    <n v="1414463"/>
    <n v="26131"/>
    <n v="209337"/>
    <s v="1.85"/>
    <s v="0.00"/>
    <s v="98.15"/>
  </r>
  <r>
    <x v="5"/>
    <x v="13"/>
    <n v="1570835"/>
    <n v="27891"/>
    <n v="1112327"/>
    <s v="1.78"/>
    <s v="0.00"/>
    <s v="98.22"/>
  </r>
  <r>
    <x v="5"/>
    <x v="12"/>
    <n v="19831"/>
    <n v="172"/>
    <n v="6026"/>
    <s v="0.87"/>
    <s v="0.00"/>
    <s v="99.13"/>
  </r>
  <r>
    <x v="5"/>
    <x v="11"/>
    <n v="257401"/>
    <n v="11717"/>
    <n v="156450"/>
    <s v="4.55"/>
    <s v="0.00"/>
    <s v="95.45"/>
  </r>
  <r>
    <x v="5"/>
    <x v="10"/>
    <n v="544650"/>
    <n v="7241"/>
    <n v="28401"/>
    <s v="1.33"/>
    <s v="0.00"/>
    <s v="98.67"/>
  </r>
  <r>
    <x v="5"/>
    <x v="9"/>
    <n v="180314"/>
    <n v="1815"/>
    <n v="150336"/>
    <s v="1.01"/>
    <s v="0.00"/>
    <s v="98.99"/>
  </r>
  <r>
    <x v="5"/>
    <x v="8"/>
    <n v="875333"/>
    <n v="11482"/>
    <n v="338731"/>
    <s v="1.31"/>
    <s v="0.00"/>
    <s v="98.69"/>
  </r>
  <r>
    <x v="5"/>
    <x v="7"/>
    <n v="5296188"/>
    <n v="116091"/>
    <n v="939403"/>
    <s v="2.19"/>
    <s v="0.00"/>
    <s v="97.81"/>
  </r>
  <r>
    <x v="5"/>
    <x v="6"/>
    <n v="64654"/>
    <n v="1719"/>
    <n v="11412"/>
    <s v="2.66"/>
    <s v="0.00"/>
    <s v="97.34"/>
  </r>
  <r>
    <x v="5"/>
    <x v="5"/>
    <n v="319016"/>
    <n v="6628"/>
    <n v="150197"/>
    <s v="2.08"/>
    <s v="0.00"/>
    <s v="97.92"/>
  </r>
  <r>
    <x v="5"/>
    <x v="4"/>
    <n v="187994"/>
    <n v="2948"/>
    <n v="151040"/>
    <s v="1.57"/>
    <s v="0.00"/>
    <s v="98.43"/>
  </r>
  <r>
    <x v="5"/>
    <x v="3"/>
    <n v="4091"/>
    <n v="105"/>
    <n v="1195"/>
    <s v="2.57"/>
    <s v="0.00"/>
    <s v="97.43"/>
  </r>
  <r>
    <x v="5"/>
    <x v="2"/>
    <n v="156397"/>
    <n v="7284"/>
    <n v="5599"/>
    <s v="4.66"/>
    <s v="0.00"/>
    <s v="95.34"/>
  </r>
  <r>
    <x v="5"/>
    <x v="1"/>
    <n v="740362"/>
    <n v="2139"/>
    <n v="272259"/>
    <s v="0.29"/>
    <s v="0.00"/>
    <s v="99.71"/>
  </r>
  <r>
    <x v="5"/>
    <x v="0"/>
    <n v="15618"/>
    <n v="130"/>
    <n v="5563"/>
    <s v="0.83"/>
    <s v="0.00"/>
    <s v="99.17"/>
  </r>
  <r>
    <x v="6"/>
    <x v="0"/>
    <n v="15618"/>
    <n v="130"/>
    <n v="11807"/>
    <s v="0.83"/>
    <s v="0.00"/>
    <s v="99.17"/>
  </r>
  <r>
    <x v="6"/>
    <x v="1"/>
    <n v="740289"/>
    <n v="2138"/>
    <n v="505815"/>
    <s v="0.29"/>
    <s v="0.00"/>
    <s v="99.71"/>
  </r>
  <r>
    <x v="6"/>
    <x v="2"/>
    <n v="156392"/>
    <n v="7284"/>
    <n v="71689"/>
    <s v="4.66"/>
    <s v="0.00"/>
    <s v="95.34"/>
  </r>
  <r>
    <x v="6"/>
    <x v="3"/>
    <n v="4078"/>
    <n v="104"/>
    <n v="744"/>
    <s v="2.55"/>
    <s v="0.00"/>
    <s v="97.45"/>
  </r>
  <r>
    <x v="6"/>
    <x v="4"/>
    <n v="187994"/>
    <n v="2948"/>
    <n v="12521"/>
    <s v="1.57"/>
    <s v="0.00"/>
    <s v="98.43"/>
  </r>
  <r>
    <x v="6"/>
    <x v="5"/>
    <n v="316839"/>
    <n v="6582"/>
    <n v="36335"/>
    <s v="2.08"/>
    <s v="0.00"/>
    <s v="97.92"/>
  </r>
  <r>
    <x v="6"/>
    <x v="6"/>
    <n v="64612"/>
    <n v="1719"/>
    <n v="15825"/>
    <s v="2.66"/>
    <s v="0.00"/>
    <s v="97.34"/>
  </r>
  <r>
    <x v="6"/>
    <x v="7"/>
    <n v="5295260"/>
    <n v="116083"/>
    <n v="3284148"/>
    <s v="2.19"/>
    <s v="0.00"/>
    <s v="97.81"/>
  </r>
  <r>
    <x v="6"/>
    <x v="8"/>
    <n v="865390"/>
    <n v="11451"/>
    <n v="20770"/>
    <s v="1.32"/>
    <s v="0.00"/>
    <s v="98.68"/>
  </r>
  <r>
    <x v="6"/>
    <x v="9"/>
    <n v="178927"/>
    <n v="1805"/>
    <n v="139703"/>
    <s v="1.01"/>
    <s v="0.00"/>
    <s v="98.99"/>
  </r>
  <r>
    <x v="6"/>
    <x v="10"/>
    <n v="542150"/>
    <n v="7208"/>
    <n v="84836"/>
    <s v="1.33"/>
    <s v="0.00"/>
    <s v="98.67"/>
  </r>
  <r>
    <x v="6"/>
    <x v="11"/>
    <n v="257401"/>
    <n v="11717"/>
    <n v="45971"/>
    <s v="4.55"/>
    <s v="0.00"/>
    <s v="95.45"/>
  </r>
  <r>
    <x v="6"/>
    <x v="12"/>
    <n v="19516"/>
    <n v="170"/>
    <n v="928"/>
    <s v="0.87"/>
    <s v="0.00"/>
    <s v="99.13"/>
  </r>
  <r>
    <x v="6"/>
    <x v="13"/>
    <n v="1570485"/>
    <n v="27887"/>
    <n v="1293303"/>
    <s v="1.78"/>
    <s v="0.00"/>
    <s v="98.22"/>
  </r>
  <r>
    <x v="6"/>
    <x v="14"/>
    <n v="1403548"/>
    <n v="26105"/>
    <n v="862417"/>
    <s v="1.86"/>
    <s v="0.00"/>
    <s v="98.14"/>
  </r>
  <r>
    <x v="6"/>
    <x v="15"/>
    <n v="15103"/>
    <n v="221"/>
    <n v="13617"/>
    <s v="1.46"/>
    <s v="0.00"/>
    <s v="98.54"/>
  </r>
  <r>
    <x v="6"/>
    <x v="16"/>
    <n v="628680"/>
    <n v="24940"/>
    <n v="175515"/>
    <s v="3.97"/>
    <s v="0.00"/>
    <s v="96.03"/>
  </r>
  <r>
    <x v="6"/>
    <x v="17"/>
    <n v="277011"/>
    <n v="1393"/>
    <n v="213865"/>
    <s v="0.50"/>
    <s v="0.00"/>
    <s v="99.50"/>
  </r>
  <r>
    <x v="6"/>
    <x v="18"/>
    <n v="20136"/>
    <n v="38"/>
    <n v="4024"/>
    <s v="0.19"/>
    <s v="0.00"/>
    <s v="99.81"/>
  </r>
  <r>
    <x v="6"/>
    <x v="19"/>
    <n v="24804"/>
    <n v="161"/>
    <n v="286"/>
    <s v="0.65"/>
    <s v="0.00"/>
    <s v="99.35"/>
  </r>
  <r>
    <x v="6"/>
    <x v="20"/>
    <n v="1660"/>
    <n v="6"/>
    <n v="229"/>
    <s v="0.36"/>
    <s v="0.00"/>
    <s v="99.64"/>
  </r>
  <r>
    <x v="6"/>
    <x v="21"/>
    <n v="13545"/>
    <n v="91"/>
    <n v="13296"/>
    <s v="0.67"/>
    <s v="0.00"/>
    <s v="99.33"/>
  </r>
  <r>
    <x v="6"/>
    <x v="22"/>
    <n v="517229"/>
    <n v="18960"/>
    <n v="352264"/>
    <s v="3.67"/>
    <s v="0.00"/>
    <s v="96.33"/>
  </r>
  <r>
    <x v="6"/>
    <x v="23"/>
    <n v="21862458"/>
    <n v="609060"/>
    <n v="3636865"/>
    <s v="2.79"/>
    <s v="0.00"/>
    <s v="97.21"/>
  </r>
  <r>
    <x v="6"/>
    <x v="24"/>
    <n v="22485"/>
    <n v="657"/>
    <n v="5370"/>
    <s v="2.92"/>
    <s v="0.00"/>
    <s v="97.08"/>
  </r>
  <r>
    <x v="6"/>
    <x v="25"/>
    <n v="2623"/>
    <n v="3"/>
    <n v="666"/>
    <s v="0.11"/>
    <s v="0.00"/>
    <s v="99.89"/>
  </r>
  <r>
    <x v="6"/>
    <x v="26"/>
    <n v="192935"/>
    <n v="2407"/>
    <n v="33724"/>
    <s v="1.25"/>
    <s v="0.00"/>
    <s v="98.75"/>
  </r>
  <r>
    <x v="6"/>
    <x v="27"/>
    <n v="610022"/>
    <n v="4712"/>
    <n v="108569"/>
    <s v="0.77"/>
    <s v="0.00"/>
    <s v="99.23"/>
  </r>
  <r>
    <x v="6"/>
    <x v="28"/>
    <n v="27894"/>
    <n v="509"/>
    <n v="25485"/>
    <s v="1.82"/>
    <s v="0.00"/>
    <s v="98.18"/>
  </r>
  <r>
    <x v="6"/>
    <x v="29"/>
    <n v="1735964"/>
    <n v="29185"/>
    <n v="785097"/>
    <s v="1.68"/>
    <s v="0.00"/>
    <s v="98.32"/>
  </r>
  <r>
    <x v="6"/>
    <x v="30"/>
    <n v="57605"/>
    <n v="1098"/>
    <n v="31192"/>
    <s v="1.91"/>
    <s v="0.00"/>
    <s v="98.09"/>
  </r>
  <r>
    <x v="6"/>
    <x v="31"/>
    <n v="11579"/>
    <n v="100"/>
    <n v="5520"/>
    <s v="0.86"/>
    <s v="0.00"/>
    <s v="99.14"/>
  </r>
  <r>
    <x v="6"/>
    <x v="32"/>
    <n v="17944"/>
    <n v="297"/>
    <n v="2778"/>
    <s v="1.66"/>
    <s v="0.00"/>
    <s v="98.34"/>
  </r>
  <r>
    <x v="6"/>
    <x v="33"/>
    <n v="887446"/>
    <n v="11273"/>
    <n v="79752"/>
    <s v="1.27"/>
    <s v="0.00"/>
    <s v="98.73"/>
  </r>
  <r>
    <x v="6"/>
    <x v="34"/>
    <n v="61387"/>
    <n v="698"/>
    <n v="46003"/>
    <s v="1.14"/>
    <s v="0.00"/>
    <s v="98.86"/>
  </r>
  <r>
    <x v="6"/>
    <x v="35"/>
    <n v="1703826"/>
    <n v="37814"/>
    <n v="1048432"/>
    <s v="2.22"/>
    <s v="0.00"/>
    <s v="97.78"/>
  </r>
  <r>
    <x v="6"/>
    <x v="36"/>
    <n v="104348"/>
    <n v="1731"/>
    <n v="93151"/>
    <s v="1.66"/>
    <s v="0.00"/>
    <s v="98.34"/>
  </r>
  <r>
    <x v="6"/>
    <x v="37"/>
    <n v="97665"/>
    <n v="4636"/>
    <n v="36570"/>
    <s v="4.75"/>
    <s v="0.00"/>
    <s v="95.25"/>
  </r>
  <r>
    <x v="6"/>
    <x v="38"/>
    <n v="5010982"/>
    <n v="127456"/>
    <n v="2653687"/>
    <s v="2.54"/>
    <s v="0.00"/>
    <s v="97.46"/>
  </r>
  <r>
    <x v="6"/>
    <x v="39"/>
    <n v="562316"/>
    <n v="7134"/>
    <n v="350080"/>
    <s v="1.27"/>
    <s v="0.00"/>
    <s v="98.73"/>
  </r>
  <r>
    <x v="6"/>
    <x v="40"/>
    <n v="954948"/>
    <n v="8257"/>
    <n v="591874"/>
    <s v="0.86"/>
    <s v="0.00"/>
    <s v="99.14"/>
  </r>
  <r>
    <x v="6"/>
    <x v="41"/>
    <n v="38242"/>
    <n v="349"/>
    <n v="33671"/>
    <s v="0.91"/>
    <s v="0.00"/>
    <s v="99.09"/>
  </r>
  <r>
    <x v="6"/>
    <x v="42"/>
    <n v="125413"/>
    <n v="576"/>
    <n v="43520"/>
    <s v="0.46"/>
    <s v="0.00"/>
    <s v="99.54"/>
  </r>
  <r>
    <x v="6"/>
    <x v="43"/>
    <n v="1801154"/>
    <n v="30938"/>
    <n v="1700859"/>
    <s v="1.72"/>
    <s v="0.00"/>
    <s v="98.28"/>
  </r>
  <r>
    <x v="6"/>
    <x v="44"/>
    <n v="4755887"/>
    <n v="96492"/>
    <n v="4079306"/>
    <s v="2.03"/>
    <s v="0.00"/>
    <s v="97.97"/>
  </r>
  <r>
    <x v="6"/>
    <x v="45"/>
    <n v="13491"/>
    <n v="183"/>
    <n v="9192"/>
    <s v="1.36"/>
    <s v="0.00"/>
    <s v="98.64"/>
  </r>
  <r>
    <x v="6"/>
    <x v="46"/>
    <n v="396656"/>
    <n v="2722"/>
    <n v="36806"/>
    <s v="0.69"/>
    <s v="0.00"/>
    <s v="99.31"/>
  </r>
  <r>
    <x v="6"/>
    <x v="47"/>
    <n v="4961"/>
    <n v="32"/>
    <n v="1580"/>
    <s v="0.65"/>
    <s v="0.00"/>
    <s v="99.35"/>
  </r>
  <r>
    <x v="6"/>
    <x v="48"/>
    <n v="386285"/>
    <n v="4148"/>
    <n v="258499"/>
    <s v="1.07"/>
    <s v="0.00"/>
    <s v="98.93"/>
  </r>
  <r>
    <x v="6"/>
    <x v="49"/>
    <n v="206995"/>
    <n v="5939"/>
    <n v="29462"/>
    <s v="2.87"/>
    <s v="0.00"/>
    <s v="97.13"/>
  </r>
  <r>
    <x v="6"/>
    <x v="50"/>
    <n v="518274"/>
    <n v="32983"/>
    <n v="434606"/>
    <s v="6.36"/>
    <s v="0.00"/>
    <s v="93.64"/>
  </r>
  <r>
    <x v="6"/>
    <x v="51"/>
    <n v="202629"/>
    <n v="1581"/>
    <n v="154522"/>
    <s v="0.78"/>
    <s v="0.00"/>
    <s v="99.22"/>
  </r>
  <r>
    <x v="6"/>
    <x v="52"/>
    <n v="335673"/>
    <n v="18949"/>
    <n v="131374"/>
    <s v="5.65"/>
    <s v="0.00"/>
    <s v="94.35"/>
  </r>
  <r>
    <x v="6"/>
    <x v="53"/>
    <n v="6910"/>
    <n v="45"/>
    <n v="878"/>
    <s v="0.65"/>
    <s v="0.00"/>
    <s v="99.35"/>
  </r>
  <r>
    <x v="6"/>
    <x v="54"/>
    <n v="5025639"/>
    <n v="87504"/>
    <n v="366262"/>
    <s v="1.74"/>
    <s v="0.00"/>
    <s v="98.26"/>
  </r>
  <r>
    <x v="6"/>
    <x v="55"/>
    <n v="366783"/>
    <n v="6517"/>
    <n v="311093"/>
    <s v="1.78"/>
    <s v="0.00"/>
    <s v="98.22"/>
  </r>
  <r>
    <x v="6"/>
    <x v="56"/>
    <n v="162476"/>
    <n v="1188"/>
    <n v="125154"/>
    <s v="0.73"/>
    <s v="0.00"/>
    <s v="99.27"/>
  </r>
  <r>
    <x v="6"/>
    <x v="57"/>
    <n v="52247"/>
    <n v="674"/>
    <n v="1978"/>
    <s v="1.29"/>
    <s v="0.00"/>
    <s v="98.71"/>
  </r>
  <r>
    <x v="6"/>
    <x v="58"/>
    <n v="2538"/>
    <n v="5"/>
    <n v="421"/>
    <s v="0.20"/>
    <s v="0.00"/>
    <s v="99.80"/>
  </r>
  <r>
    <x v="6"/>
    <x v="59"/>
    <n v="7020333"/>
    <n v="115488"/>
    <n v="87685"/>
    <s v="1.65"/>
    <s v="0.00"/>
    <s v="98.35"/>
  </r>
  <r>
    <x v="6"/>
    <x v="60"/>
    <n v="36020"/>
    <n v="249"/>
    <n v="22367"/>
    <s v="0.69"/>
    <s v="0.00"/>
    <s v="99.31"/>
  </r>
  <r>
    <x v="6"/>
    <x v="61"/>
    <n v="9280503"/>
    <n v="141921"/>
    <n v="1431277"/>
    <s v="1.53"/>
    <s v="0.00"/>
    <s v="98.47"/>
  </r>
  <r>
    <x v="6"/>
    <x v="62"/>
    <n v="5857"/>
    <n v="198"/>
    <n v="3269"/>
    <s v="3.38"/>
    <s v="0.00"/>
    <s v="96.62"/>
  </r>
  <r>
    <x v="6"/>
    <x v="63"/>
    <n v="743511"/>
    <n v="10300"/>
    <n v="245785"/>
    <s v="1.39"/>
    <s v="0.00"/>
    <s v="98.61"/>
  </r>
  <r>
    <x v="6"/>
    <x v="64"/>
    <n v="44964"/>
    <n v="313"/>
    <n v="31596"/>
    <s v="0.70"/>
    <s v="0.00"/>
    <s v="99.30"/>
  </r>
  <r>
    <x v="6"/>
    <x v="65"/>
    <n v="130391"/>
    <n v="1188"/>
    <n v="31577"/>
    <s v="0.91"/>
    <s v="0.00"/>
    <s v="99.09"/>
  </r>
  <r>
    <x v="6"/>
    <x v="66"/>
    <n v="6115"/>
    <n v="98"/>
    <n v="2297"/>
    <s v="1.60"/>
    <s v="0.00"/>
    <s v="98.40"/>
  </r>
  <r>
    <x v="6"/>
    <x v="67"/>
    <n v="9973"/>
    <n v="341"/>
    <n v="8416"/>
    <s v="3.42"/>
    <s v="0.00"/>
    <s v="96.58"/>
  </r>
  <r>
    <x v="6"/>
    <x v="68"/>
    <n v="30681"/>
    <n v="385"/>
    <n v="1437"/>
    <s v="1.25"/>
    <s v="0.00"/>
    <s v="98.75"/>
  </r>
  <r>
    <x v="6"/>
    <x v="69"/>
    <n v="54474"/>
    <n v="820"/>
    <n v="20023"/>
    <s v="1.51"/>
    <s v="0.00"/>
    <s v="98.49"/>
  </r>
  <r>
    <x v="6"/>
    <x v="70"/>
    <n v="13407"/>
    <n v="168"/>
    <n v="7708"/>
    <s v="1.25"/>
    <s v="0.00"/>
    <s v="98.75"/>
  </r>
  <r>
    <x v="6"/>
    <x v="71"/>
    <n v="774265"/>
    <n v="16200"/>
    <n v="707639"/>
    <s v="2.09"/>
    <s v="0.00"/>
    <s v="97.91"/>
  </r>
  <r>
    <x v="6"/>
    <x v="72"/>
    <n v="604586"/>
    <n v="15338"/>
    <n v="175821"/>
    <s v="2.54"/>
    <s v="0.00"/>
    <s v="97.46"/>
  </r>
  <r>
    <x v="6"/>
    <x v="73"/>
    <n v="6150"/>
    <n v="143"/>
    <n v="3849"/>
    <s v="2.33"/>
    <s v="0.00"/>
    <s v="97.67"/>
  </r>
  <r>
    <x v="6"/>
    <x v="74"/>
    <n v="35993"/>
    <n v="933"/>
    <n v="27925"/>
    <s v="2.59"/>
    <s v="0.00"/>
    <s v="97.41"/>
  </r>
  <r>
    <x v="6"/>
    <x v="75"/>
    <n v="12360"/>
    <n v="213"/>
    <n v="1167"/>
    <s v="1.72"/>
    <s v="0.00"/>
    <s v="98.28"/>
  </r>
  <r>
    <x v="6"/>
    <x v="76"/>
    <n v="376281"/>
    <n v="10308"/>
    <n v="282350"/>
    <s v="2.74"/>
    <s v="0.00"/>
    <s v="97.26"/>
  </r>
  <r>
    <x v="6"/>
    <x v="77"/>
    <n v="490074"/>
    <n v="9400"/>
    <n v="3214"/>
    <s v="1.92"/>
    <s v="0.00"/>
    <s v="98.08"/>
  </r>
  <r>
    <x v="6"/>
    <x v="78"/>
    <n v="24073"/>
    <n v="685"/>
    <n v="19282"/>
    <s v="2.85"/>
    <s v="0.00"/>
    <s v="97.15"/>
  </r>
  <r>
    <x v="6"/>
    <x v="79"/>
    <n v="892164"/>
    <n v="31184"/>
    <n v="469331"/>
    <s v="3.50"/>
    <s v="0.00"/>
    <s v="96.50"/>
  </r>
  <r>
    <x v="6"/>
    <x v="80"/>
    <n v="4247320"/>
    <n v="143519"/>
    <n v="2991447"/>
    <s v="3.38"/>
    <s v="0.00"/>
    <s v="96.62"/>
  </r>
  <r>
    <x v="6"/>
    <x v="81"/>
    <n v="462273"/>
    <n v="5492"/>
    <n v="232159"/>
    <s v="1.19"/>
    <s v="0.00"/>
    <s v="98.81"/>
  </r>
  <r>
    <x v="6"/>
    <x v="82"/>
    <n v="1333263"/>
    <n v="8112"/>
    <n v="864631"/>
    <s v="0.61"/>
    <s v="0.00"/>
    <s v="99.39"/>
  </r>
  <r>
    <x v="6"/>
    <x v="83"/>
    <n v="34344683"/>
    <n v="460265"/>
    <n v="23534998"/>
    <s v="1.34"/>
    <s v="0.00"/>
    <s v="98.66"/>
  </r>
  <r>
    <x v="6"/>
    <x v="84"/>
    <n v="2061222"/>
    <n v="23297"/>
    <n v="706589"/>
    <s v="1.13"/>
    <s v="0.00"/>
    <s v="98.87"/>
  </r>
  <r>
    <x v="6"/>
    <x v="85"/>
    <n v="5973457"/>
    <n v="127053"/>
    <n v="5699802"/>
    <s v="2.13"/>
    <s v="0.00"/>
    <s v="97.87"/>
  </r>
  <r>
    <x v="6"/>
    <x v="86"/>
    <n v="14255"/>
    <n v="34"/>
    <n v="12619"/>
    <s v="0.24"/>
    <s v="0.00"/>
    <s v="99.76"/>
  </r>
  <r>
    <x v="6"/>
    <x v="87"/>
    <n v="4795465"/>
    <n v="132334"/>
    <n v="2717989"/>
    <s v="2.76"/>
    <s v="0.00"/>
    <s v="97.24"/>
  </r>
  <r>
    <x v="6"/>
    <x v="88"/>
    <n v="89466"/>
    <n v="2272"/>
    <n v="11333"/>
    <s v="2.54"/>
    <s v="0.00"/>
    <s v="97.46"/>
  </r>
  <r>
    <x v="6"/>
    <x v="89"/>
    <n v="872585"/>
    <n v="11102"/>
    <n v="481045"/>
    <s v="1.27"/>
    <s v="0.00"/>
    <s v="98.73"/>
  </r>
  <r>
    <x v="6"/>
    <x v="90"/>
    <n v="1723295"/>
    <n v="18304"/>
    <n v="1427524"/>
    <s v="1.06"/>
    <s v="0.00"/>
    <s v="98.94"/>
  </r>
  <r>
    <x v="6"/>
    <x v="91"/>
    <n v="253737"/>
    <n v="5296"/>
    <n v="41834"/>
    <s v="2.09"/>
    <s v="0.00"/>
    <s v="97.91"/>
  </r>
  <r>
    <x v="6"/>
    <x v="92"/>
    <n v="181668"/>
    <n v="2681"/>
    <n v="74077"/>
    <s v="1.48"/>
    <s v="0.00"/>
    <s v="98.52"/>
  </r>
  <r>
    <x v="6"/>
    <x v="94"/>
    <n v="2"/>
    <n v="0"/>
    <n v="2"/>
    <s v="0.00"/>
    <s v="0.00"/>
    <s v="100.00"/>
  </r>
  <r>
    <x v="6"/>
    <x v="93"/>
    <n v="118948"/>
    <n v="2818"/>
    <n v="54724"/>
    <s v="2.37"/>
    <s v="0.00"/>
    <s v="97.63"/>
  </r>
  <r>
    <x v="6"/>
    <x v="95"/>
    <n v="4300"/>
    <n v="147"/>
    <n v="1448"/>
    <s v="3.42"/>
    <s v="0.00"/>
    <s v="96.58"/>
  </r>
  <r>
    <x v="6"/>
    <x v="96"/>
    <n v="2708"/>
    <n v="25"/>
    <n v="1758"/>
    <s v="0.92"/>
    <s v="0.00"/>
    <s v="99.08"/>
  </r>
  <r>
    <x v="6"/>
    <x v="97"/>
    <n v="377712"/>
    <n v="2956"/>
    <n v="3021"/>
    <s v="0.78"/>
    <s v="0.00"/>
    <s v="99.22"/>
  </r>
  <r>
    <x v="6"/>
    <x v="98"/>
    <n v="412793"/>
    <n v="2462"/>
    <n v="98178"/>
    <s v="0.60"/>
    <s v="0.00"/>
    <s v="99.40"/>
  </r>
  <r>
    <x v="6"/>
    <x v="99"/>
    <n v="1027434"/>
    <n v="17263"/>
    <n v="89877"/>
    <s v="1.68"/>
    <s v="0.00"/>
    <s v="98.32"/>
  </r>
  <r>
    <x v="6"/>
    <x v="100"/>
    <n v="45020"/>
    <n v="77"/>
    <n v="5680"/>
    <s v="0.17"/>
    <s v="0.00"/>
    <s v="99.83"/>
  </r>
  <r>
    <x v="6"/>
    <x v="101"/>
    <n v="645104"/>
    <n v="8534"/>
    <n v="344437"/>
    <s v="1.32"/>
    <s v="0.00"/>
    <s v="98.68"/>
  </r>
  <r>
    <x v="6"/>
    <x v="102"/>
    <n v="12673"/>
    <n v="260"/>
    <n v="5418"/>
    <s v="2.05"/>
    <s v="0.00"/>
    <s v="97.95"/>
  </r>
  <r>
    <x v="6"/>
    <x v="103"/>
    <n v="3728"/>
    <n v="61"/>
    <n v="2417"/>
    <s v="1.64"/>
    <s v="0.00"/>
    <s v="98.36"/>
  </r>
  <r>
    <x v="6"/>
    <x v="104"/>
    <n v="544013"/>
    <n v="13821"/>
    <n v="112499"/>
    <s v="2.54"/>
    <s v="0.00"/>
    <s v="97.46"/>
  </r>
  <r>
    <x v="6"/>
    <x v="105"/>
    <n v="5815"/>
    <n v="287"/>
    <n v="4826"/>
    <s v="4.94"/>
    <s v="0.00"/>
    <s v="95.06"/>
  </r>
  <r>
    <x v="6"/>
    <x v="106"/>
    <n v="21677"/>
    <n v="659"/>
    <n v="10672"/>
    <s v="3.04"/>
    <s v="0.00"/>
    <s v="96.96"/>
  </r>
  <r>
    <x v="6"/>
    <x v="107"/>
    <n v="421360"/>
    <n v="6047"/>
    <n v="156450"/>
    <s v="1.44"/>
    <s v="0.00"/>
    <s v="98.56"/>
  </r>
  <r>
    <x v="6"/>
    <x v="108"/>
    <n v="82842"/>
    <n v="849"/>
    <n v="79319"/>
    <s v="1.02"/>
    <s v="0.00"/>
    <s v="98.98"/>
  </r>
  <r>
    <x v="6"/>
    <x v="109"/>
    <n v="228681"/>
    <n v="3444"/>
    <n v="59420"/>
    <s v="1.51"/>
    <s v="0.00"/>
    <s v="98.49"/>
  </r>
  <r>
    <x v="6"/>
    <x v="110"/>
    <n v="360266"/>
    <n v="5186"/>
    <n v="305713"/>
    <s v="1.44"/>
    <s v="0.00"/>
    <s v="98.56"/>
  </r>
  <r>
    <x v="6"/>
    <x v="111"/>
    <n v="947139"/>
    <n v="14701"/>
    <n v="373013"/>
    <s v="1.55"/>
    <s v="0.00"/>
    <s v="98.45"/>
  </r>
  <r>
    <x v="6"/>
    <x v="112"/>
    <n v="3434"/>
    <n v="36"/>
    <n v="218"/>
    <s v="1.05"/>
    <s v="0.00"/>
    <s v="98.95"/>
  </r>
  <r>
    <x v="6"/>
    <x v="113"/>
    <n v="344563"/>
    <n v="8007"/>
    <n v="323097"/>
    <s v="2.32"/>
    <s v="0.00"/>
    <s v="97.68"/>
  </r>
  <r>
    <x v="6"/>
    <x v="114"/>
    <n v="147401"/>
    <n v="2140"/>
    <n v="55686"/>
    <s v="1.45"/>
    <s v="0.00"/>
    <s v="98.55"/>
  </r>
  <r>
    <x v="6"/>
    <x v="115"/>
    <n v="3941"/>
    <n v="56"/>
    <n v="1886"/>
    <s v="1.42"/>
    <s v="0.00"/>
    <s v="98.58"/>
  </r>
  <r>
    <x v="6"/>
    <x v="116"/>
    <n v="43632"/>
    <n v="964"/>
    <n v="29893"/>
    <s v="2.21"/>
    <s v="0.00"/>
    <s v="97.79"/>
  </r>
  <r>
    <x v="6"/>
    <x v="117"/>
    <n v="4"/>
    <n v="0"/>
    <n v="0"/>
    <s v="0.00"/>
    <s v="0.00"/>
    <s v="100.00"/>
  </r>
  <r>
    <x v="6"/>
    <x v="118"/>
    <n v="205022"/>
    <n v="7204"/>
    <n v="24701"/>
    <s v="3.51"/>
    <s v="0.00"/>
    <s v="96.49"/>
  </r>
  <r>
    <x v="6"/>
    <x v="119"/>
    <n v="16294"/>
    <n v="571"/>
    <n v="13365"/>
    <s v="3.50"/>
    <s v="0.00"/>
    <s v="96.50"/>
  </r>
  <r>
    <x v="6"/>
    <x v="120"/>
    <n v="505038"/>
    <n v="18783"/>
    <n v="51470"/>
    <s v="3.72"/>
    <s v="0.00"/>
    <s v="96.28"/>
  </r>
  <r>
    <x v="6"/>
    <x v="121"/>
    <n v="365233"/>
    <n v="1788"/>
    <n v="278828"/>
    <s v="0.49"/>
    <s v="0.00"/>
    <s v="99.51"/>
  </r>
  <r>
    <x v="6"/>
    <x v="122"/>
    <n v="77"/>
    <n v="0"/>
    <n v="36"/>
    <s v="0.00"/>
    <s v="0.00"/>
    <s v="100.00"/>
  </r>
  <r>
    <x v="6"/>
    <x v="123"/>
    <n v="43347"/>
    <n v="683"/>
    <n v="33255"/>
    <s v="1.58"/>
    <s v="0.00"/>
    <s v="98.42"/>
  </r>
  <r>
    <x v="6"/>
    <x v="124"/>
    <n v="37608"/>
    <n v="801"/>
    <n v="8623"/>
    <s v="2.13"/>
    <s v="0.00"/>
    <s v="97.87"/>
  </r>
  <r>
    <x v="6"/>
    <x v="125"/>
    <n v="37813"/>
    <n v="462"/>
    <n v="14422"/>
    <s v="1.22"/>
    <s v="0.00"/>
    <s v="98.78"/>
  </r>
  <r>
    <x v="6"/>
    <x v="126"/>
    <n v="18314"/>
    <n v="199"/>
    <n v="7373"/>
    <s v="1.09"/>
    <s v="0.00"/>
    <s v="98.91"/>
  </r>
  <r>
    <x v="6"/>
    <x v="127"/>
    <n v="88516"/>
    <n v="245"/>
    <n v="26101"/>
    <s v="0.28"/>
    <s v="0.00"/>
    <s v="99.72"/>
  </r>
  <r>
    <x v="6"/>
    <x v="128"/>
    <n v="61803"/>
    <n v="2302"/>
    <n v="42371"/>
    <s v="3.72"/>
    <s v="0.00"/>
    <s v="96.28"/>
  </r>
  <r>
    <x v="6"/>
    <x v="129"/>
    <n v="3818216"/>
    <n v="289131"/>
    <n v="25522"/>
    <s v="7.57"/>
    <s v="0.00"/>
    <s v="92.43"/>
  </r>
  <r>
    <x v="6"/>
    <x v="130"/>
    <n v="2497265"/>
    <n v="29202"/>
    <n v="659415"/>
    <s v="1.17"/>
    <s v="0.00"/>
    <s v="98.83"/>
  </r>
  <r>
    <x v="6"/>
    <x v="131"/>
    <n v="151352"/>
    <n v="1933"/>
    <n v="72983"/>
    <s v="1.28"/>
    <s v="0.00"/>
    <s v="98.72"/>
  </r>
  <r>
    <x v="6"/>
    <x v="132"/>
    <n v="128985"/>
    <n v="3560"/>
    <n v="2020"/>
    <s v="2.76"/>
    <s v="0.00"/>
    <s v="97.24"/>
  </r>
  <r>
    <x v="6"/>
    <x v="133"/>
    <n v="11235"/>
    <n v="267"/>
    <n v="8954"/>
    <s v="2.38"/>
    <s v="0.00"/>
    <s v="97.62"/>
  </r>
  <r>
    <x v="6"/>
    <x v="134"/>
    <n v="6434"/>
    <n v="220"/>
    <n v="4884"/>
    <s v="3.42"/>
    <s v="0.00"/>
    <s v="96.58"/>
  </r>
  <r>
    <x v="6"/>
    <x v="135"/>
    <n v="212511"/>
    <n v="2902"/>
    <n v="38957"/>
    <s v="1.37"/>
    <s v="0.00"/>
    <s v="98.63"/>
  </r>
  <r>
    <x v="6"/>
    <x v="136"/>
    <n v="16699"/>
    <n v="209"/>
    <n v="2803"/>
    <s v="1.25"/>
    <s v="0.00"/>
    <s v="98.75"/>
  </r>
  <r>
    <x v="6"/>
    <x v="137"/>
    <n v="2217816"/>
    <n v="18958"/>
    <n v="203195"/>
    <s v="0.85"/>
    <s v="0.00"/>
    <s v="99.15"/>
  </r>
  <r>
    <x v="6"/>
    <x v="138"/>
    <n v="214795"/>
    <n v="922"/>
    <n v="155497"/>
    <s v="0.43"/>
    <s v="0.00"/>
    <s v="99.57"/>
  </r>
  <r>
    <x v="6"/>
    <x v="139"/>
    <n v="814289"/>
    <n v="11438"/>
    <n v="716468"/>
    <s v="1.40"/>
    <s v="0.00"/>
    <s v="98.60"/>
  </r>
  <r>
    <x v="6"/>
    <x v="140"/>
    <n v="7343"/>
    <n v="31"/>
    <n v="4382"/>
    <s v="0.42"/>
    <s v="0.00"/>
    <s v="99.58"/>
  </r>
  <r>
    <x v="6"/>
    <x v="141"/>
    <n v="304329"/>
    <n v="4112"/>
    <n v="184762"/>
    <s v="1.35"/>
    <s v="0.00"/>
    <s v="98.65"/>
  </r>
  <r>
    <x v="6"/>
    <x v="142"/>
    <n v="473183"/>
    <n v="7322"/>
    <n v="326003"/>
    <s v="1.55"/>
    <s v="0.00"/>
    <s v="98.45"/>
  </r>
  <r>
    <x v="6"/>
    <x v="143"/>
    <n v="2205486"/>
    <n v="200373"/>
    <n v="1717031"/>
    <s v="9.09"/>
    <s v="0.00"/>
    <s v="90.91"/>
  </r>
  <r>
    <x v="6"/>
    <x v="144"/>
    <n v="45573"/>
    <n v="636"/>
    <n v="16678"/>
    <s v="1.40"/>
    <s v="0.00"/>
    <s v="98.60"/>
  </r>
  <r>
    <x v="6"/>
    <x v="145"/>
    <n v="31287"/>
    <n v="406"/>
    <n v="25417"/>
    <s v="1.30"/>
    <s v="0.00"/>
    <s v="98.70"/>
  </r>
  <r>
    <x v="6"/>
    <x v="146"/>
    <n v="2797986"/>
    <n v="44085"/>
    <n v="259509"/>
    <s v="1.58"/>
    <s v="0.00"/>
    <s v="98.42"/>
  </r>
  <r>
    <x v="6"/>
    <x v="147"/>
    <n v="1276240"/>
    <n v="28518"/>
    <n v="617226"/>
    <s v="2.23"/>
    <s v="0.00"/>
    <s v="97.77"/>
  </r>
  <r>
    <x v="6"/>
    <x v="148"/>
    <n v="3076518"/>
    <n v="77547"/>
    <n v="1826316"/>
    <s v="2.52"/>
    <s v="0.00"/>
    <s v="97.48"/>
  </r>
  <r>
    <x v="6"/>
    <x v="149"/>
    <n v="455099"/>
    <n v="4705"/>
    <n v="250874"/>
    <s v="1.03"/>
    <s v="0.00"/>
    <s v="98.97"/>
  </r>
  <r>
    <x v="6"/>
    <x v="150"/>
    <n v="1095337"/>
    <n v="18193"/>
    <n v="1067173"/>
    <s v="1.66"/>
    <s v="0.00"/>
    <s v="98.34"/>
  </r>
  <r>
    <x v="6"/>
    <x v="151"/>
    <n v="8"/>
    <n v="0"/>
    <n v="4"/>
    <s v="0.00"/>
    <s v="0.00"/>
    <s v="100.00"/>
  </r>
  <r>
    <x v="6"/>
    <x v="152"/>
    <n v="461275"/>
    <n v="16258"/>
    <n v="4931"/>
    <s v="3.52"/>
    <s v="0.00"/>
    <s v="96.48"/>
  </r>
  <r>
    <x v="6"/>
    <x v="153"/>
    <n v="239871"/>
    <n v="611"/>
    <n v="120745"/>
    <s v="0.25"/>
    <s v="0.00"/>
    <s v="99.75"/>
  </r>
  <r>
    <x v="6"/>
    <x v="154"/>
    <n v="55125"/>
    <n v="376"/>
    <n v="40494"/>
    <s v="0.68"/>
    <s v="0.00"/>
    <s v="99.32"/>
  </r>
  <r>
    <x v="6"/>
    <x v="155"/>
    <n v="1693532"/>
    <n v="50087"/>
    <n v="490663"/>
    <s v="2.96"/>
    <s v="0.00"/>
    <s v="97.04"/>
  </r>
  <r>
    <x v="6"/>
    <x v="156"/>
    <n v="1174333"/>
    <n v="10271"/>
    <n v="731704"/>
    <s v="0.87"/>
    <s v="0.00"/>
    <s v="99.13"/>
  </r>
  <r>
    <x v="6"/>
    <x v="157"/>
    <n v="8573323"/>
    <n v="239943"/>
    <n v="7270927"/>
    <s v="2.80"/>
    <s v="0.00"/>
    <s v="97.20"/>
  </r>
  <r>
    <x v="6"/>
    <x v="158"/>
    <n v="99898"/>
    <n v="1332"/>
    <n v="4245"/>
    <s v="1.33"/>
    <s v="0.00"/>
    <s v="98.67"/>
  </r>
  <r>
    <x v="6"/>
    <x v="159"/>
    <n v="548848"/>
    <n v="8802"/>
    <n v="133138"/>
    <s v="1.60"/>
    <s v="0.00"/>
    <s v="98.40"/>
  </r>
  <r>
    <x v="6"/>
    <x v="160"/>
    <n v="20"/>
    <n v="0"/>
    <n v="1"/>
    <s v="0.00"/>
    <s v="0.00"/>
    <s v="100.00"/>
  </r>
  <r>
    <x v="6"/>
    <x v="161"/>
    <n v="22381"/>
    <n v="119"/>
    <n v="9820"/>
    <s v="0.53"/>
    <s v="0.00"/>
    <s v="99.47"/>
  </r>
  <r>
    <x v="6"/>
    <x v="162"/>
    <n v="40433"/>
    <n v="3099"/>
    <n v="36346"/>
    <s v="7.66"/>
    <s v="0.00"/>
    <s v="92.34"/>
  </r>
  <r>
    <x v="6"/>
    <x v="163"/>
    <n v="1177094"/>
    <n v="15057"/>
    <n v="1104829"/>
    <s v="1.28"/>
    <s v="0.00"/>
    <s v="98.72"/>
  </r>
  <r>
    <x v="6"/>
    <x v="164"/>
    <n v="212745"/>
    <n v="468"/>
    <n v="170035"/>
    <s v="0.22"/>
    <s v="0.00"/>
    <s v="99.78"/>
  </r>
  <r>
    <x v="6"/>
    <x v="165"/>
    <n v="349996"/>
    <n v="4806"/>
    <n v="339932"/>
    <s v="1.37"/>
    <s v="0.00"/>
    <s v="98.63"/>
  </r>
  <r>
    <x v="6"/>
    <x v="166"/>
    <n v="506795"/>
    <n v="13166"/>
    <n v="468989"/>
    <s v="2.60"/>
    <s v="0.00"/>
    <s v="97.40"/>
  </r>
  <r>
    <x v="6"/>
    <x v="167"/>
    <n v="6398"/>
    <n v="121"/>
    <n v="3174"/>
    <s v="1.89"/>
    <s v="0.00"/>
    <s v="98.11"/>
  </r>
  <r>
    <x v="6"/>
    <x v="168"/>
    <n v="5588"/>
    <n v="92"/>
    <n v="1654"/>
    <s v="1.65"/>
    <s v="0.00"/>
    <s v="98.35"/>
  </r>
  <r>
    <x v="6"/>
    <x v="169"/>
    <n v="73933"/>
    <n v="1880"/>
    <n v="67739"/>
    <s v="2.54"/>
    <s v="0.00"/>
    <s v="97.46"/>
  </r>
  <r>
    <x v="6"/>
    <x v="170"/>
    <n v="22693"/>
    <n v="1294"/>
    <n v="3750"/>
    <s v="5.70"/>
    <s v="0.00"/>
    <s v="94.30"/>
  </r>
  <r>
    <x v="6"/>
    <x v="171"/>
    <n v="49400"/>
    <n v="1107"/>
    <n v="9861"/>
    <s v="2.24"/>
    <s v="0.00"/>
    <s v="97.76"/>
  </r>
  <r>
    <x v="6"/>
    <x v="172"/>
    <n v="12453"/>
    <n v="133"/>
    <n v="10758"/>
    <s v="1.07"/>
    <s v="0.00"/>
    <s v="98.93"/>
  </r>
  <r>
    <x v="6"/>
    <x v="173"/>
    <n v="3720"/>
    <n v="56"/>
    <n v="1176"/>
    <s v="1.51"/>
    <s v="0.00"/>
    <s v="98.49"/>
  </r>
  <r>
    <x v="6"/>
    <x v="174"/>
    <n v="113422"/>
    <n v="3670"/>
    <n v="33653"/>
    <s v="3.24"/>
    <s v="0.00"/>
    <s v="96.76"/>
  </r>
  <r>
    <x v="6"/>
    <x v="175"/>
    <n v="44191"/>
    <n v="2593"/>
    <n v="37150"/>
    <s v="5.87"/>
    <s v="0.00"/>
    <s v="94.13"/>
  </r>
  <r>
    <x v="6"/>
    <x v="176"/>
    <n v="46455"/>
    <n v="1243"/>
    <n v="16247"/>
    <s v="2.68"/>
    <s v="0.00"/>
    <s v="97.32"/>
  </r>
  <r>
    <x v="6"/>
    <x v="177"/>
    <n v="5107"/>
    <n v="175"/>
    <n v="4285"/>
    <s v="3.43"/>
    <s v="0.00"/>
    <s v="96.57"/>
  </r>
  <r>
    <x v="6"/>
    <x v="178"/>
    <n v="26107"/>
    <n v="243"/>
    <n v="22143"/>
    <s v="0.93"/>
    <s v="0.00"/>
    <s v="99.07"/>
  </r>
  <r>
    <x v="6"/>
    <x v="179"/>
    <n v="1960039"/>
    <n v="19611"/>
    <n v="322403"/>
    <s v="1.00"/>
    <s v="0.00"/>
    <s v="99.00"/>
  </r>
  <r>
    <x v="6"/>
    <x v="180"/>
    <n v="17486"/>
    <n v="125"/>
    <n v="3638"/>
    <s v="0.71"/>
    <s v="0.00"/>
    <s v="99.29"/>
  </r>
  <r>
    <x v="6"/>
    <x v="181"/>
    <n v="19795"/>
    <n v="122"/>
    <n v="16513"/>
    <s v="0.62"/>
    <s v="0.00"/>
    <s v="99.38"/>
  </r>
  <r>
    <x v="6"/>
    <x v="182"/>
    <n v="713071"/>
    <n v="25261"/>
    <n v="426354"/>
    <s v="3.54"/>
    <s v="0.00"/>
    <s v="96.46"/>
  </r>
  <r>
    <x v="6"/>
    <x v="183"/>
    <n v="1"/>
    <n v="0"/>
    <n v="1"/>
    <s v="0.00"/>
    <s v="0.00"/>
    <s v="100.00"/>
  </r>
  <r>
    <x v="6"/>
    <x v="184"/>
    <n v="8178871"/>
    <n v="71724"/>
    <n v="6463146"/>
    <s v="0.88"/>
    <s v="0.00"/>
    <s v="99.12"/>
  </r>
  <r>
    <x v="6"/>
    <x v="185"/>
    <n v="58581"/>
    <n v="1753"/>
    <n v="5188"/>
    <s v="2.99"/>
    <s v="0.00"/>
    <s v="97.01"/>
  </r>
  <r>
    <x v="6"/>
    <x v="186"/>
    <n v="16437"/>
    <n v="847"/>
    <n v="3635"/>
    <s v="5.15"/>
    <s v="0.00"/>
    <s v="94.85"/>
  </r>
  <r>
    <x v="6"/>
    <x v="187"/>
    <n v="26196"/>
    <n v="725"/>
    <n v="9761"/>
    <s v="2.77"/>
    <s v="0.00"/>
    <s v="97.23"/>
  </r>
  <r>
    <x v="6"/>
    <x v="188"/>
    <n v="3174223"/>
    <n v="75346"/>
    <n v="1721727"/>
    <s v="2.37"/>
    <s v="0.00"/>
    <s v="97.63"/>
  </r>
  <r>
    <x v="6"/>
    <x v="189"/>
    <n v="126407"/>
    <n v="3224"/>
    <n v="115798"/>
    <s v="2.55"/>
    <s v="0.00"/>
    <s v="97.45"/>
  </r>
  <r>
    <x v="6"/>
    <x v="190"/>
    <n v="46435397"/>
    <n v="753922"/>
    <n v="40262325"/>
    <s v="1.62"/>
    <s v="0.00"/>
    <s v="98.38"/>
  </r>
  <r>
    <x v="6"/>
    <x v="191"/>
    <n v="394914"/>
    <n v="6084"/>
    <n v="364800"/>
    <s v="1.54"/>
    <s v="0.00"/>
    <s v="98.46"/>
  </r>
  <r>
    <x v="6"/>
    <x v="192"/>
    <n v="187381"/>
    <n v="1334"/>
    <n v="49923"/>
    <s v="0.71"/>
    <s v="0.00"/>
    <s v="99.29"/>
  </r>
  <r>
    <x v="6"/>
    <x v="193"/>
    <n v="27"/>
    <n v="0"/>
    <n v="17"/>
    <s v="0.00"/>
    <s v="0.00"/>
    <s v="100.00"/>
  </r>
  <r>
    <x v="6"/>
    <x v="194"/>
    <n v="5092"/>
    <n v="69"/>
    <n v="2682"/>
    <s v="1.36"/>
    <s v="0.00"/>
    <s v="98.64"/>
  </r>
  <r>
    <x v="6"/>
    <x v="195"/>
    <n v="411574"/>
    <n v="4946"/>
    <n v="57285"/>
    <s v="1.20"/>
    <s v="0.00"/>
    <s v="98.80"/>
  </r>
  <r>
    <x v="6"/>
    <x v="196"/>
    <n v="953547"/>
    <n v="22412"/>
    <n v="841895"/>
    <s v="2.35"/>
    <s v="0.00"/>
    <s v="97.65"/>
  </r>
  <r>
    <x v="6"/>
    <x v="197"/>
    <n v="6"/>
    <n v="1"/>
    <n v="4"/>
    <s v="16.67"/>
    <s v="0.00"/>
    <s v="83.33"/>
  </r>
  <r>
    <x v="6"/>
    <x v="198"/>
    <n v="3"/>
    <n v="0"/>
    <n v="1"/>
    <s v="0.00"/>
    <s v="0.00"/>
    <s v="100.00"/>
  </r>
  <r>
    <x v="6"/>
    <x v="199"/>
    <n v="160837"/>
    <n v="2978"/>
    <n v="134718"/>
    <s v="1.85"/>
    <s v="0.00"/>
    <s v="98.15"/>
  </r>
  <r>
    <x v="6"/>
    <x v="200"/>
    <n v="9843"/>
    <n v="1905"/>
    <n v="2592"/>
    <s v="19.35"/>
    <s v="0.00"/>
    <s v="80.65"/>
  </r>
  <r>
    <x v="6"/>
    <x v="201"/>
    <n v="20651"/>
    <n v="185"/>
    <n v="14553"/>
    <s v="0.90"/>
    <s v="0.00"/>
    <s v="99.10"/>
  </r>
  <r>
    <x v="6"/>
    <x v="202"/>
    <n v="2923393"/>
    <n v="89295"/>
    <n v="1070382"/>
    <s v="3.05"/>
    <s v="0.00"/>
    <s v="96.95"/>
  </r>
  <r>
    <x v="6"/>
    <x v="203"/>
    <n v="209852"/>
    <n v="3662"/>
    <n v="114908"/>
    <s v="1.75"/>
    <s v="0.00"/>
    <s v="98.25"/>
  </r>
  <r>
    <x v="6"/>
    <x v="204"/>
    <n v="133112"/>
    <n v="4685"/>
    <n v="58314"/>
    <s v="3.52"/>
    <s v="0.00"/>
    <s v="96.48"/>
  </r>
  <r>
    <x v="6"/>
    <x v="205"/>
    <n v="721"/>
    <n v="15"/>
    <n v="1"/>
    <s v="2.08"/>
    <s v="0.00"/>
    <s v="97.92"/>
  </r>
  <r>
    <x v="7"/>
    <x v="205"/>
    <n v="721"/>
    <n v="15"/>
    <n v="341"/>
    <s v="2.08"/>
    <s v="0.00"/>
    <s v="97.92"/>
  </r>
  <r>
    <x v="7"/>
    <x v="204"/>
    <n v="133112"/>
    <n v="4685"/>
    <n v="75268"/>
    <s v="3.52"/>
    <s v="0.00"/>
    <s v="96.48"/>
  </r>
  <r>
    <x v="7"/>
    <x v="203"/>
    <n v="209815"/>
    <n v="3662"/>
    <n v="201774"/>
    <s v="1.75"/>
    <s v="0.00"/>
    <s v="98.25"/>
  </r>
  <r>
    <x v="7"/>
    <x v="202"/>
    <n v="2923054"/>
    <n v="89251"/>
    <n v="2115081"/>
    <s v="3.05"/>
    <s v="0.00"/>
    <s v="96.95"/>
  </r>
  <r>
    <x v="7"/>
    <x v="201"/>
    <n v="20612"/>
    <n v="185"/>
    <n v="10336"/>
    <s v="0.90"/>
    <s v="0.00"/>
    <s v="99.10"/>
  </r>
  <r>
    <x v="7"/>
    <x v="200"/>
    <n v="9831"/>
    <n v="1901"/>
    <n v="7814"/>
    <s v="19.34"/>
    <s v="0.00"/>
    <s v="80.66"/>
  </r>
  <r>
    <x v="7"/>
    <x v="199"/>
    <n v="160823"/>
    <n v="2978"/>
    <n v="116826"/>
    <s v="1.85"/>
    <s v="0.00"/>
    <s v="98.15"/>
  </r>
  <r>
    <x v="7"/>
    <x v="198"/>
    <n v="3"/>
    <n v="0"/>
    <n v="0"/>
    <s v="0.00"/>
    <s v="0.00"/>
    <s v="100.00"/>
  </r>
  <r>
    <x v="7"/>
    <x v="197"/>
    <n v="6"/>
    <n v="1"/>
    <n v="3"/>
    <s v="16.67"/>
    <s v="0.00"/>
    <s v="83.33"/>
  </r>
  <r>
    <x v="7"/>
    <x v="196"/>
    <n v="946043"/>
    <n v="22342"/>
    <n v="359824"/>
    <s v="2.36"/>
    <s v="0.00"/>
    <s v="97.64"/>
  </r>
  <r>
    <x v="7"/>
    <x v="195"/>
    <n v="410648"/>
    <n v="4936"/>
    <n v="188012"/>
    <s v="1.20"/>
    <s v="0.00"/>
    <s v="98.80"/>
  </r>
  <r>
    <x v="7"/>
    <x v="194"/>
    <n v="5073"/>
    <n v="69"/>
    <n v="1429"/>
    <s v="1.36"/>
    <s v="0.00"/>
    <s v="98.64"/>
  </r>
  <r>
    <x v="7"/>
    <x v="193"/>
    <n v="27"/>
    <n v="0"/>
    <n v="25"/>
    <s v="0.00"/>
    <s v="0.00"/>
    <s v="100.00"/>
  </r>
  <r>
    <x v="7"/>
    <x v="192"/>
    <n v="187085"/>
    <n v="1332"/>
    <n v="60487"/>
    <s v="0.71"/>
    <s v="0.00"/>
    <s v="99.29"/>
  </r>
  <r>
    <x v="7"/>
    <x v="191"/>
    <n v="394679"/>
    <n v="6082"/>
    <n v="174229"/>
    <s v="1.54"/>
    <s v="0.00"/>
    <s v="98.46"/>
  </r>
  <r>
    <x v="7"/>
    <x v="190"/>
    <n v="46338732"/>
    <n v="751855"/>
    <n v="24883389"/>
    <s v="1.62"/>
    <s v="0.00"/>
    <s v="98.38"/>
  </r>
  <r>
    <x v="7"/>
    <x v="189"/>
    <n v="126348"/>
    <n v="3222"/>
    <n v="72021"/>
    <s v="2.55"/>
    <s v="0.00"/>
    <s v="97.45"/>
  </r>
  <r>
    <x v="7"/>
    <x v="188"/>
    <n v="3146617"/>
    <n v="74617"/>
    <n v="1543691"/>
    <s v="2.37"/>
    <s v="0.00"/>
    <s v="97.63"/>
  </r>
  <r>
    <x v="7"/>
    <x v="187"/>
    <n v="26196"/>
    <n v="725"/>
    <n v="20794"/>
    <s v="2.77"/>
    <s v="0.00"/>
    <s v="97.23"/>
  </r>
  <r>
    <x v="7"/>
    <x v="186"/>
    <n v="16430"/>
    <n v="847"/>
    <n v="8786"/>
    <s v="5.16"/>
    <s v="0.00"/>
    <s v="94.84"/>
  </r>
  <r>
    <x v="7"/>
    <x v="185"/>
    <n v="58441"/>
    <n v="1739"/>
    <n v="52512"/>
    <s v="2.98"/>
    <s v="0.00"/>
    <s v="97.02"/>
  </r>
  <r>
    <x v="7"/>
    <x v="184"/>
    <n v="8150678"/>
    <n v="71526"/>
    <n v="4263750"/>
    <s v="0.88"/>
    <s v="0.00"/>
    <s v="99.12"/>
  </r>
  <r>
    <x v="7"/>
    <x v="183"/>
    <n v="1"/>
    <n v="0"/>
    <n v="0"/>
    <s v="0.00"/>
    <s v="0.00"/>
    <s v="100.00"/>
  </r>
  <r>
    <x v="7"/>
    <x v="182"/>
    <n v="713071"/>
    <n v="25261"/>
    <n v="161251"/>
    <s v="3.54"/>
    <s v="0.00"/>
    <s v="96.46"/>
  </r>
  <r>
    <x v="7"/>
    <x v="181"/>
    <n v="19794"/>
    <n v="122"/>
    <n v="1455"/>
    <s v="0.62"/>
    <s v="0.00"/>
    <s v="99.38"/>
  </r>
  <r>
    <x v="7"/>
    <x v="180"/>
    <n v="17486"/>
    <n v="125"/>
    <n v="4549"/>
    <s v="0.71"/>
    <s v="0.00"/>
    <s v="99.29"/>
  </r>
  <r>
    <x v="7"/>
    <x v="179"/>
    <n v="1951572"/>
    <n v="19542"/>
    <n v="892794"/>
    <s v="1.00"/>
    <s v="0.00"/>
    <s v="99.00"/>
  </r>
  <r>
    <x v="7"/>
    <x v="178"/>
    <n v="26102"/>
    <n v="243"/>
    <n v="24107"/>
    <s v="0.93"/>
    <s v="0.00"/>
    <s v="99.07"/>
  </r>
  <r>
    <x v="7"/>
    <x v="177"/>
    <n v="5107"/>
    <n v="175"/>
    <n v="4924"/>
    <s v="3.43"/>
    <s v="0.00"/>
    <s v="96.57"/>
  </r>
  <r>
    <x v="7"/>
    <x v="176"/>
    <n v="46454"/>
    <n v="1243"/>
    <n v="44077"/>
    <s v="2.68"/>
    <s v="0.00"/>
    <s v="97.32"/>
  </r>
  <r>
    <x v="7"/>
    <x v="175"/>
    <n v="44191"/>
    <n v="2593"/>
    <n v="30050"/>
    <s v="5.87"/>
    <s v="0.00"/>
    <s v="94.13"/>
  </r>
  <r>
    <x v="7"/>
    <x v="174"/>
    <n v="113422"/>
    <n v="3664"/>
    <n v="2000"/>
    <s v="3.23"/>
    <s v="0.00"/>
    <s v="96.77"/>
  </r>
  <r>
    <x v="7"/>
    <x v="173"/>
    <n v="3718"/>
    <n v="56"/>
    <n v="2131"/>
    <s v="1.51"/>
    <s v="0.00"/>
    <s v="98.49"/>
  </r>
  <r>
    <x v="7"/>
    <x v="172"/>
    <n v="12448"/>
    <n v="133"/>
    <n v="7877"/>
    <s v="1.07"/>
    <s v="0.00"/>
    <s v="98.93"/>
  </r>
  <r>
    <x v="7"/>
    <x v="171"/>
    <n v="49362"/>
    <n v="1101"/>
    <n v="15680"/>
    <s v="2.23"/>
    <s v="0.00"/>
    <s v="97.77"/>
  </r>
  <r>
    <x v="7"/>
    <x v="170"/>
    <n v="21998"/>
    <n v="1208"/>
    <n v="18368"/>
    <s v="5.49"/>
    <s v="0.00"/>
    <s v="94.51"/>
  </r>
  <r>
    <x v="7"/>
    <x v="169"/>
    <n v="73931"/>
    <n v="1879"/>
    <n v="16162"/>
    <s v="2.54"/>
    <s v="0.00"/>
    <s v="97.46"/>
  </r>
  <r>
    <x v="7"/>
    <x v="168"/>
    <n v="5582"/>
    <n v="92"/>
    <n v="5320"/>
    <s v="1.65"/>
    <s v="0.00"/>
    <s v="98.35"/>
  </r>
  <r>
    <x v="7"/>
    <x v="167"/>
    <n v="6398"/>
    <n v="121"/>
    <n v="1614"/>
    <s v="1.89"/>
    <s v="0.00"/>
    <s v="98.11"/>
  </r>
  <r>
    <x v="7"/>
    <x v="166"/>
    <n v="499990"/>
    <n v="13146"/>
    <n v="232211"/>
    <s v="2.63"/>
    <s v="0.00"/>
    <s v="97.37"/>
  </r>
  <r>
    <x v="7"/>
    <x v="165"/>
    <n v="346220"/>
    <n v="4793"/>
    <n v="18209"/>
    <s v="1.38"/>
    <s v="0.00"/>
    <s v="98.62"/>
  </r>
  <r>
    <x v="7"/>
    <x v="164"/>
    <n v="210978"/>
    <n v="459"/>
    <n v="206454"/>
    <s v="0.22"/>
    <s v="0.00"/>
    <s v="99.78"/>
  </r>
  <r>
    <x v="7"/>
    <x v="163"/>
    <n v="1176269"/>
    <n v="15050"/>
    <n v="689686"/>
    <s v="1.28"/>
    <s v="0.00"/>
    <s v="98.72"/>
  </r>
  <r>
    <x v="7"/>
    <x v="162"/>
    <n v="40433"/>
    <n v="3099"/>
    <n v="36660"/>
    <s v="7.66"/>
    <s v="0.00"/>
    <s v="92.34"/>
  </r>
  <r>
    <x v="7"/>
    <x v="161"/>
    <n v="22336"/>
    <n v="119"/>
    <n v="10154"/>
    <s v="0.53"/>
    <s v="0.00"/>
    <s v="99.47"/>
  </r>
  <r>
    <x v="7"/>
    <x v="160"/>
    <n v="20"/>
    <n v="0"/>
    <n v="17"/>
    <s v="0.00"/>
    <s v="0.00"/>
    <s v="100.00"/>
  </r>
  <r>
    <x v="7"/>
    <x v="159"/>
    <n v="548805"/>
    <n v="8800"/>
    <n v="176390"/>
    <s v="1.60"/>
    <s v="0.00"/>
    <s v="98.40"/>
  </r>
  <r>
    <x v="7"/>
    <x v="158"/>
    <n v="99854"/>
    <n v="1332"/>
    <n v="16328"/>
    <s v="1.33"/>
    <s v="0.00"/>
    <s v="98.67"/>
  </r>
  <r>
    <x v="7"/>
    <x v="157"/>
    <n v="8533706"/>
    <n v="238784"/>
    <n v="3118101"/>
    <s v="2.80"/>
    <s v="0.00"/>
    <s v="97.20"/>
  </r>
  <r>
    <x v="7"/>
    <x v="156"/>
    <n v="1168608"/>
    <n v="10203"/>
    <n v="958869"/>
    <s v="0.87"/>
    <s v="0.00"/>
    <s v="99.13"/>
  </r>
  <r>
    <x v="7"/>
    <x v="155"/>
    <n v="1685264"/>
    <n v="49604"/>
    <n v="969398"/>
    <s v="2.94"/>
    <s v="0.00"/>
    <s v="97.06"/>
  </r>
  <r>
    <x v="7"/>
    <x v="154"/>
    <n v="55125"/>
    <n v="376"/>
    <n v="47542"/>
    <s v="0.68"/>
    <s v="0.00"/>
    <s v="99.32"/>
  </r>
  <r>
    <x v="7"/>
    <x v="153"/>
    <n v="239752"/>
    <n v="611"/>
    <n v="35566"/>
    <s v="0.25"/>
    <s v="0.00"/>
    <s v="99.75"/>
  </r>
  <r>
    <x v="7"/>
    <x v="152"/>
    <n v="461225"/>
    <n v="16256"/>
    <n v="181923"/>
    <s v="3.52"/>
    <s v="0.00"/>
    <s v="96.48"/>
  </r>
  <r>
    <x v="7"/>
    <x v="151"/>
    <n v="8"/>
    <n v="0"/>
    <n v="7"/>
    <s v="0.00"/>
    <s v="0.00"/>
    <s v="100.00"/>
  </r>
  <r>
    <x v="7"/>
    <x v="150"/>
    <n v="1094048"/>
    <n v="18184"/>
    <n v="426242"/>
    <s v="1.66"/>
    <s v="0.00"/>
    <s v="98.34"/>
  </r>
  <r>
    <x v="7"/>
    <x v="149"/>
    <n v="454799"/>
    <n v="4697"/>
    <n v="10904"/>
    <s v="1.03"/>
    <s v="0.00"/>
    <s v="98.97"/>
  </r>
  <r>
    <x v="7"/>
    <x v="148"/>
    <n v="3060613"/>
    <n v="77395"/>
    <n v="2016841"/>
    <s v="2.53"/>
    <s v="0.00"/>
    <s v="97.47"/>
  </r>
  <r>
    <x v="7"/>
    <x v="147"/>
    <n v="1275673"/>
    <n v="28507"/>
    <n v="1208118"/>
    <s v="2.23"/>
    <s v="0.00"/>
    <s v="97.77"/>
  </r>
  <r>
    <x v="7"/>
    <x v="146"/>
    <n v="2795642"/>
    <n v="43825"/>
    <n v="473314"/>
    <s v="1.57"/>
    <s v="0.00"/>
    <s v="98.43"/>
  </r>
  <r>
    <x v="7"/>
    <x v="145"/>
    <n v="31010"/>
    <n v="392"/>
    <n v="23361"/>
    <s v="1.26"/>
    <s v="0.00"/>
    <s v="98.74"/>
  </r>
  <r>
    <x v="7"/>
    <x v="144"/>
    <n v="45541"/>
    <n v="636"/>
    <n v="19172"/>
    <s v="1.40"/>
    <s v="0.00"/>
    <s v="98.60"/>
  </r>
  <r>
    <x v="7"/>
    <x v="143"/>
    <n v="2204424"/>
    <n v="200350"/>
    <n v="1881899"/>
    <s v="9.09"/>
    <s v="0.00"/>
    <s v="90.91"/>
  </r>
  <r>
    <x v="7"/>
    <x v="142"/>
    <n v="473089"/>
    <n v="7321"/>
    <n v="383376"/>
    <s v="1.55"/>
    <s v="0.00"/>
    <s v="98.45"/>
  </r>
  <r>
    <x v="7"/>
    <x v="141"/>
    <n v="304329"/>
    <n v="4112"/>
    <n v="828"/>
    <s v="1.35"/>
    <s v="0.00"/>
    <s v="98.65"/>
  </r>
  <r>
    <x v="7"/>
    <x v="140"/>
    <n v="7139"/>
    <n v="29"/>
    <n v="5250"/>
    <s v="0.41"/>
    <s v="0.00"/>
    <s v="99.59"/>
  </r>
  <r>
    <x v="7"/>
    <x v="139"/>
    <n v="814115"/>
    <n v="11436"/>
    <n v="316768"/>
    <s v="1.40"/>
    <s v="0.00"/>
    <s v="98.60"/>
  </r>
  <r>
    <x v="7"/>
    <x v="138"/>
    <n v="213289"/>
    <n v="920"/>
    <n v="17911"/>
    <s v="0.43"/>
    <s v="0.00"/>
    <s v="99.57"/>
  </r>
  <r>
    <x v="7"/>
    <x v="137"/>
    <n v="2206853"/>
    <n v="18937"/>
    <n v="1576295"/>
    <s v="0.86"/>
    <s v="0.00"/>
    <s v="99.14"/>
  </r>
  <r>
    <x v="7"/>
    <x v="136"/>
    <n v="16699"/>
    <n v="209"/>
    <n v="790"/>
    <s v="1.25"/>
    <s v="0.00"/>
    <s v="98.75"/>
  </r>
  <r>
    <x v="7"/>
    <x v="135"/>
    <n v="212446"/>
    <n v="2902"/>
    <n v="163345"/>
    <s v="1.37"/>
    <s v="0.00"/>
    <s v="98.63"/>
  </r>
  <r>
    <x v="7"/>
    <x v="134"/>
    <n v="6434"/>
    <n v="220"/>
    <n v="1204"/>
    <s v="3.42"/>
    <s v="0.00"/>
    <s v="96.58"/>
  </r>
  <r>
    <x v="7"/>
    <x v="133"/>
    <n v="11182"/>
    <n v="267"/>
    <n v="5830"/>
    <s v="2.39"/>
    <s v="0.00"/>
    <s v="97.61"/>
  </r>
  <r>
    <x v="7"/>
    <x v="132"/>
    <n v="128967"/>
    <n v="3558"/>
    <n v="42248"/>
    <s v="2.76"/>
    <s v="0.00"/>
    <s v="97.24"/>
  </r>
  <r>
    <x v="7"/>
    <x v="131"/>
    <n v="151339"/>
    <n v="1932"/>
    <n v="79896"/>
    <s v="1.28"/>
    <s v="0.00"/>
    <s v="98.72"/>
  </r>
  <r>
    <x v="7"/>
    <x v="130"/>
    <n v="2492343"/>
    <n v="29155"/>
    <n v="1003953"/>
    <s v="1.17"/>
    <s v="0.00"/>
    <s v="98.83"/>
  </r>
  <r>
    <x v="7"/>
    <x v="129"/>
    <n v="3814453"/>
    <n v="288887"/>
    <n v="1366100"/>
    <s v="7.57"/>
    <s v="0.00"/>
    <s v="92.43"/>
  </r>
  <r>
    <x v="7"/>
    <x v="128"/>
    <n v="61803"/>
    <n v="2302"/>
    <n v="13395"/>
    <s v="3.72"/>
    <s v="0.00"/>
    <s v="96.28"/>
  </r>
  <r>
    <x v="7"/>
    <x v="127"/>
    <n v="88386"/>
    <n v="244"/>
    <n v="12517"/>
    <s v="0.28"/>
    <s v="0.00"/>
    <s v="99.72"/>
  </r>
  <r>
    <x v="7"/>
    <x v="126"/>
    <n v="18314"/>
    <n v="199"/>
    <n v="7610"/>
    <s v="1.09"/>
    <s v="0.00"/>
    <s v="98.91"/>
  </r>
  <r>
    <x v="7"/>
    <x v="125"/>
    <n v="37773"/>
    <n v="462"/>
    <n v="16716"/>
    <s v="1.22"/>
    <s v="0.00"/>
    <s v="98.78"/>
  </r>
  <r>
    <x v="7"/>
    <x v="124"/>
    <n v="37535"/>
    <n v="801"/>
    <n v="32678"/>
    <s v="2.13"/>
    <s v="0.00"/>
    <s v="97.87"/>
  </r>
  <r>
    <x v="7"/>
    <x v="123"/>
    <n v="43347"/>
    <n v="683"/>
    <n v="14722"/>
    <s v="1.58"/>
    <s v="0.00"/>
    <s v="98.42"/>
  </r>
  <r>
    <x v="7"/>
    <x v="122"/>
    <n v="77"/>
    <n v="0"/>
    <n v="38"/>
    <s v="0.00"/>
    <s v="0.00"/>
    <s v="100.00"/>
  </r>
  <r>
    <x v="7"/>
    <x v="121"/>
    <n v="364051"/>
    <n v="1777"/>
    <n v="38937"/>
    <s v="0.49"/>
    <s v="0.00"/>
    <s v="99.51"/>
  </r>
  <r>
    <x v="7"/>
    <x v="120"/>
    <n v="503981"/>
    <n v="18766"/>
    <n v="86435"/>
    <s v="3.72"/>
    <s v="0.00"/>
    <s v="96.28"/>
  </r>
  <r>
    <x v="7"/>
    <x v="119"/>
    <n v="16233"/>
    <n v="570"/>
    <n v="1053"/>
    <s v="3.51"/>
    <s v="0.00"/>
    <s v="96.49"/>
  </r>
  <r>
    <x v="7"/>
    <x v="118"/>
    <n v="204416"/>
    <n v="7194"/>
    <n v="69492"/>
    <s v="3.52"/>
    <s v="0.00"/>
    <s v="96.48"/>
  </r>
  <r>
    <x v="7"/>
    <x v="117"/>
    <n v="4"/>
    <n v="0"/>
    <n v="1"/>
    <s v="0.00"/>
    <s v="0.00"/>
    <s v="100.00"/>
  </r>
  <r>
    <x v="7"/>
    <x v="116"/>
    <n v="43632"/>
    <n v="964"/>
    <n v="28194"/>
    <s v="2.21"/>
    <s v="0.00"/>
    <s v="97.79"/>
  </r>
  <r>
    <x v="7"/>
    <x v="115"/>
    <n v="3941"/>
    <n v="56"/>
    <n v="273"/>
    <s v="1.42"/>
    <s v="0.00"/>
    <s v="98.58"/>
  </r>
  <r>
    <x v="7"/>
    <x v="114"/>
    <n v="146663"/>
    <n v="2125"/>
    <n v="121497"/>
    <s v="1.45"/>
    <s v="0.00"/>
    <s v="98.55"/>
  </r>
  <r>
    <x v="7"/>
    <x v="113"/>
    <n v="343261"/>
    <n v="7958"/>
    <n v="196935"/>
    <s v="2.32"/>
    <s v="0.00"/>
    <s v="97.68"/>
  </r>
  <r>
    <x v="7"/>
    <x v="112"/>
    <n v="3424"/>
    <n v="36"/>
    <n v="1883"/>
    <s v="1.05"/>
    <s v="0.00"/>
    <s v="98.95"/>
  </r>
  <r>
    <x v="7"/>
    <x v="111"/>
    <n v="946957"/>
    <n v="14698"/>
    <n v="270612"/>
    <s v="1.55"/>
    <s v="0.00"/>
    <s v="98.45"/>
  </r>
  <r>
    <x v="7"/>
    <x v="110"/>
    <n v="359667"/>
    <n v="5171"/>
    <n v="90119"/>
    <s v="1.44"/>
    <s v="0.00"/>
    <s v="98.56"/>
  </r>
  <r>
    <x v="7"/>
    <x v="109"/>
    <n v="226860"/>
    <n v="3401"/>
    <n v="47240"/>
    <s v="1.50"/>
    <s v="0.00"/>
    <s v="98.50"/>
  </r>
  <r>
    <x v="7"/>
    <x v="108"/>
    <n v="82623"/>
    <n v="849"/>
    <n v="9139"/>
    <s v="1.03"/>
    <s v="0.00"/>
    <s v="98.97"/>
  </r>
  <r>
    <x v="7"/>
    <x v="107"/>
    <n v="418078"/>
    <n v="6010"/>
    <n v="131832"/>
    <s v="1.44"/>
    <s v="0.00"/>
    <s v="98.56"/>
  </r>
  <r>
    <x v="7"/>
    <x v="106"/>
    <n v="21672"/>
    <n v="658"/>
    <n v="11986"/>
    <s v="3.04"/>
    <s v="0.00"/>
    <s v="96.96"/>
  </r>
  <r>
    <x v="7"/>
    <x v="105"/>
    <n v="5815"/>
    <n v="287"/>
    <n v="1134"/>
    <s v="4.94"/>
    <s v="0.00"/>
    <s v="95.06"/>
  </r>
  <r>
    <x v="7"/>
    <x v="104"/>
    <n v="543385"/>
    <n v="13806"/>
    <n v="208230"/>
    <s v="2.54"/>
    <s v="0.00"/>
    <s v="97.46"/>
  </r>
  <r>
    <x v="7"/>
    <x v="103"/>
    <n v="3708"/>
    <n v="61"/>
    <n v="2161"/>
    <s v="1.65"/>
    <s v="0.00"/>
    <s v="98.35"/>
  </r>
  <r>
    <x v="7"/>
    <x v="102"/>
    <n v="12645"/>
    <n v="260"/>
    <n v="7403"/>
    <s v="2.06"/>
    <s v="0.00"/>
    <s v="97.94"/>
  </r>
  <r>
    <x v="7"/>
    <x v="101"/>
    <n v="644391"/>
    <n v="8528"/>
    <n v="230124"/>
    <s v="1.32"/>
    <s v="0.00"/>
    <s v="98.68"/>
  </r>
  <r>
    <x v="7"/>
    <x v="100"/>
    <n v="44061"/>
    <n v="76"/>
    <n v="7164"/>
    <s v="0.17"/>
    <s v="0.00"/>
    <s v="99.83"/>
  </r>
  <r>
    <x v="7"/>
    <x v="99"/>
    <n v="1025990"/>
    <n v="17238"/>
    <n v="205935"/>
    <s v="1.68"/>
    <s v="0.00"/>
    <s v="98.32"/>
  </r>
  <r>
    <x v="7"/>
    <x v="98"/>
    <n v="412768"/>
    <n v="2462"/>
    <n v="9553"/>
    <s v="0.60"/>
    <s v="0.00"/>
    <s v="99.40"/>
  </r>
  <r>
    <x v="7"/>
    <x v="97"/>
    <n v="375464"/>
    <n v="2936"/>
    <n v="204840"/>
    <s v="0.78"/>
    <s v="0.00"/>
    <s v="99.22"/>
  </r>
  <r>
    <x v="7"/>
    <x v="96"/>
    <n v="2701"/>
    <n v="25"/>
    <n v="2322"/>
    <s v="0.93"/>
    <s v="0.00"/>
    <s v="99.07"/>
  </r>
  <r>
    <x v="7"/>
    <x v="95"/>
    <n v="4291"/>
    <n v="147"/>
    <n v="161"/>
    <s v="3.43"/>
    <s v="0.00"/>
    <s v="96.57"/>
  </r>
  <r>
    <x v="7"/>
    <x v="93"/>
    <n v="118870"/>
    <n v="2813"/>
    <n v="7737"/>
    <s v="2.37"/>
    <s v="0.00"/>
    <s v="97.63"/>
  </r>
  <r>
    <x v="7"/>
    <x v="94"/>
    <n v="2"/>
    <n v="0"/>
    <n v="2"/>
    <s v="0.00"/>
    <s v="0.00"/>
    <s v="100.00"/>
  </r>
  <r>
    <x v="7"/>
    <x v="92"/>
    <n v="181590"/>
    <n v="2679"/>
    <n v="67580"/>
    <s v="1.48"/>
    <s v="0.00"/>
    <s v="98.52"/>
  </r>
  <r>
    <x v="7"/>
    <x v="91"/>
    <n v="253661"/>
    <n v="5296"/>
    <n v="43122"/>
    <s v="2.09"/>
    <s v="0.00"/>
    <s v="97.91"/>
  </r>
  <r>
    <x v="7"/>
    <x v="90"/>
    <n v="1723070"/>
    <n v="18292"/>
    <n v="675691"/>
    <s v="1.06"/>
    <s v="0.00"/>
    <s v="98.94"/>
  </r>
  <r>
    <x v="7"/>
    <x v="89"/>
    <n v="870505"/>
    <n v="11088"/>
    <n v="13512"/>
    <s v="1.27"/>
    <s v="0.00"/>
    <s v="98.73"/>
  </r>
  <r>
    <x v="7"/>
    <x v="88"/>
    <n v="89349"/>
    <n v="2257"/>
    <n v="10073"/>
    <s v="2.53"/>
    <s v="0.00"/>
    <s v="97.47"/>
  </r>
  <r>
    <x v="7"/>
    <x v="87"/>
    <n v="4788704"/>
    <n v="132283"/>
    <n v="1659198"/>
    <s v="2.76"/>
    <s v="0.00"/>
    <s v="97.24"/>
  </r>
  <r>
    <x v="7"/>
    <x v="86"/>
    <n v="14087"/>
    <n v="34"/>
    <n v="10713"/>
    <s v="0.24"/>
    <s v="0.00"/>
    <s v="99.76"/>
  </r>
  <r>
    <x v="7"/>
    <x v="85"/>
    <n v="5964824"/>
    <n v="126921"/>
    <n v="1228758"/>
    <s v="2.13"/>
    <s v="0.00"/>
    <s v="97.87"/>
  </r>
  <r>
    <x v="7"/>
    <x v="84"/>
    <n v="2060066"/>
    <n v="23271"/>
    <n v="1911018"/>
    <s v="1.13"/>
    <s v="0.00"/>
    <s v="98.87"/>
  </r>
  <r>
    <x v="7"/>
    <x v="83"/>
    <n v="34333754"/>
    <n v="459873"/>
    <n v="18468185"/>
    <s v="1.34"/>
    <s v="0.00"/>
    <s v="98.66"/>
  </r>
  <r>
    <x v="7"/>
    <x v="82"/>
    <n v="1332801"/>
    <n v="8112"/>
    <n v="1153129"/>
    <s v="0.61"/>
    <s v="0.00"/>
    <s v="99.39"/>
  </r>
  <r>
    <x v="7"/>
    <x v="81"/>
    <n v="458370"/>
    <n v="5492"/>
    <n v="297083"/>
    <s v="1.20"/>
    <s v="0.00"/>
    <s v="98.80"/>
  </r>
  <r>
    <x v="7"/>
    <x v="80"/>
    <n v="4246802"/>
    <n v="143500"/>
    <n v="2300963"/>
    <s v="3.38"/>
    <s v="0.00"/>
    <s v="96.62"/>
  </r>
  <r>
    <x v="7"/>
    <x v="79"/>
    <n v="885360"/>
    <n v="31101"/>
    <n v="337948"/>
    <s v="3.51"/>
    <s v="0.00"/>
    <s v="96.49"/>
  </r>
  <r>
    <x v="7"/>
    <x v="78"/>
    <n v="24032"/>
    <n v="679"/>
    <n v="3031"/>
    <s v="2.83"/>
    <s v="0.00"/>
    <s v="97.17"/>
  </r>
  <r>
    <x v="7"/>
    <x v="77"/>
    <n v="483142"/>
    <n v="9364"/>
    <n v="187117"/>
    <s v="1.94"/>
    <s v="0.00"/>
    <s v="98.06"/>
  </r>
  <r>
    <x v="7"/>
    <x v="76"/>
    <n v="375983"/>
    <n v="10284"/>
    <n v="334791"/>
    <s v="2.74"/>
    <s v="0.00"/>
    <s v="97.26"/>
  </r>
  <r>
    <x v="7"/>
    <x v="75"/>
    <n v="12359"/>
    <n v="213"/>
    <n v="8591"/>
    <s v="1.72"/>
    <s v="0.00"/>
    <s v="98.28"/>
  </r>
  <r>
    <x v="7"/>
    <x v="74"/>
    <n v="35929"/>
    <n v="930"/>
    <n v="31379"/>
    <s v="2.59"/>
    <s v="0.00"/>
    <s v="97.41"/>
  </r>
  <r>
    <x v="7"/>
    <x v="73"/>
    <n v="6149"/>
    <n v="143"/>
    <n v="2229"/>
    <s v="2.33"/>
    <s v="0.00"/>
    <s v="97.67"/>
  </r>
  <r>
    <x v="7"/>
    <x v="72"/>
    <n v="603641"/>
    <n v="15281"/>
    <n v="111956"/>
    <s v="2.53"/>
    <s v="0.00"/>
    <s v="97.47"/>
  </r>
  <r>
    <x v="7"/>
    <x v="71"/>
    <n v="767376"/>
    <n v="16151"/>
    <n v="636498"/>
    <s v="2.10"/>
    <s v="0.00"/>
    <s v="97.90"/>
  </r>
  <r>
    <x v="7"/>
    <x v="70"/>
    <n v="13407"/>
    <n v="168"/>
    <n v="5731"/>
    <s v="1.25"/>
    <s v="0.00"/>
    <s v="98.75"/>
  </r>
  <r>
    <x v="7"/>
    <x v="69"/>
    <n v="54474"/>
    <n v="820"/>
    <n v="50993"/>
    <s v="1.51"/>
    <s v="0.00"/>
    <s v="98.49"/>
  </r>
  <r>
    <x v="7"/>
    <x v="68"/>
    <n v="30681"/>
    <n v="385"/>
    <n v="1900"/>
    <s v="1.25"/>
    <s v="0.00"/>
    <s v="98.75"/>
  </r>
  <r>
    <x v="7"/>
    <x v="67"/>
    <n v="9973"/>
    <n v="341"/>
    <n v="8948"/>
    <s v="3.42"/>
    <s v="0.00"/>
    <s v="96.58"/>
  </r>
  <r>
    <x v="7"/>
    <x v="66"/>
    <n v="6091"/>
    <n v="98"/>
    <n v="2819"/>
    <s v="1.61"/>
    <s v="0.00"/>
    <s v="98.39"/>
  </r>
  <r>
    <x v="7"/>
    <x v="65"/>
    <n v="130287"/>
    <n v="1182"/>
    <n v="31412"/>
    <s v="0.91"/>
    <s v="0.00"/>
    <s v="99.09"/>
  </r>
  <r>
    <x v="7"/>
    <x v="64"/>
    <n v="44784"/>
    <n v="311"/>
    <n v="29605"/>
    <s v="0.69"/>
    <s v="0.00"/>
    <s v="99.31"/>
  </r>
  <r>
    <x v="7"/>
    <x v="63"/>
    <n v="738171"/>
    <n v="10238"/>
    <n v="496558"/>
    <s v="1.39"/>
    <s v="0.00"/>
    <s v="98.61"/>
  </r>
  <r>
    <x v="7"/>
    <x v="62"/>
    <n v="5857"/>
    <n v="198"/>
    <n v="2754"/>
    <s v="3.38"/>
    <s v="0.00"/>
    <s v="96.62"/>
  </r>
  <r>
    <x v="7"/>
    <x v="61"/>
    <n v="9246555"/>
    <n v="141728"/>
    <n v="2067457"/>
    <s v="1.53"/>
    <s v="0.00"/>
    <s v="98.47"/>
  </r>
  <r>
    <x v="7"/>
    <x v="60"/>
    <n v="36020"/>
    <n v="249"/>
    <n v="33358"/>
    <s v="0.69"/>
    <s v="0.00"/>
    <s v="99.31"/>
  </r>
  <r>
    <x v="7"/>
    <x v="59"/>
    <n v="7011554"/>
    <n v="115464"/>
    <n v="5529091"/>
    <s v="1.65"/>
    <s v="0.00"/>
    <s v="98.35"/>
  </r>
  <r>
    <x v="7"/>
    <x v="58"/>
    <n v="2484"/>
    <n v="5"/>
    <n v="184"/>
    <s v="0.20"/>
    <s v="0.00"/>
    <s v="99.80"/>
  </r>
  <r>
    <x v="7"/>
    <x v="57"/>
    <n v="52209"/>
    <n v="674"/>
    <n v="43314"/>
    <s v="1.29"/>
    <s v="0.00"/>
    <s v="98.71"/>
  </r>
  <r>
    <x v="7"/>
    <x v="56"/>
    <n v="161688"/>
    <n v="1184"/>
    <n v="120"/>
    <s v="0.73"/>
    <s v="0.00"/>
    <s v="99.27"/>
  </r>
  <r>
    <x v="7"/>
    <x v="55"/>
    <n v="366424"/>
    <n v="6509"/>
    <n v="276984"/>
    <s v="1.78"/>
    <s v="0.00"/>
    <s v="98.22"/>
  </r>
  <r>
    <x v="7"/>
    <x v="54"/>
    <n v="5022546"/>
    <n v="87477"/>
    <n v="2977706"/>
    <s v="1.74"/>
    <s v="0.00"/>
    <s v="98.26"/>
  </r>
  <r>
    <x v="7"/>
    <x v="53"/>
    <n v="6910"/>
    <n v="45"/>
    <n v="2427"/>
    <s v="0.65"/>
    <s v="0.00"/>
    <s v="99.35"/>
  </r>
  <r>
    <x v="7"/>
    <x v="52"/>
    <n v="334751"/>
    <n v="18889"/>
    <n v="118563"/>
    <s v="5.64"/>
    <s v="0.00"/>
    <s v="94.36"/>
  </r>
  <r>
    <x v="7"/>
    <x v="51"/>
    <n v="201194"/>
    <n v="1574"/>
    <n v="89025"/>
    <s v="0.78"/>
    <s v="0.00"/>
    <s v="99.22"/>
  </r>
  <r>
    <x v="7"/>
    <x v="50"/>
    <n v="518274"/>
    <n v="32983"/>
    <n v="456941"/>
    <s v="6.36"/>
    <s v="0.00"/>
    <s v="93.64"/>
  </r>
  <r>
    <x v="7"/>
    <x v="49"/>
    <n v="206878"/>
    <n v="5936"/>
    <n v="199218"/>
    <s v="2.87"/>
    <s v="0.00"/>
    <s v="97.13"/>
  </r>
  <r>
    <x v="7"/>
    <x v="48"/>
    <n v="385181"/>
    <n v="4146"/>
    <n v="147711"/>
    <s v="1.08"/>
    <s v="0.00"/>
    <s v="98.92"/>
  </r>
  <r>
    <x v="7"/>
    <x v="47"/>
    <n v="4961"/>
    <n v="32"/>
    <n v="1839"/>
    <s v="0.65"/>
    <s v="0.00"/>
    <s v="99.35"/>
  </r>
  <r>
    <x v="7"/>
    <x v="46"/>
    <n v="396643"/>
    <n v="2722"/>
    <n v="292405"/>
    <s v="0.69"/>
    <s v="0.00"/>
    <s v="99.31"/>
  </r>
  <r>
    <x v="7"/>
    <x v="45"/>
    <n v="13489"/>
    <n v="183"/>
    <n v="7137"/>
    <s v="1.36"/>
    <s v="0.00"/>
    <s v="98.64"/>
  </r>
  <r>
    <x v="7"/>
    <x v="44"/>
    <n v="4722102"/>
    <n v="96351"/>
    <n v="1170869"/>
    <s v="2.04"/>
    <s v="0.00"/>
    <s v="97.96"/>
  </r>
  <r>
    <x v="7"/>
    <x v="43"/>
    <n v="1792707"/>
    <n v="30878"/>
    <n v="277429"/>
    <s v="1.72"/>
    <s v="0.00"/>
    <s v="98.28"/>
  </r>
  <r>
    <x v="7"/>
    <x v="42"/>
    <n v="125161"/>
    <n v="576"/>
    <n v="25622"/>
    <s v="0.46"/>
    <s v="0.00"/>
    <s v="99.54"/>
  </r>
  <r>
    <x v="7"/>
    <x v="41"/>
    <n v="38233"/>
    <n v="349"/>
    <n v="35281"/>
    <s v="0.91"/>
    <s v="0.00"/>
    <s v="99.09"/>
  </r>
  <r>
    <x v="7"/>
    <x v="40"/>
    <n v="954342"/>
    <n v="8252"/>
    <n v="5280"/>
    <s v="0.86"/>
    <s v="0.00"/>
    <s v="99.14"/>
  </r>
  <r>
    <x v="7"/>
    <x v="39"/>
    <n v="561829"/>
    <n v="7124"/>
    <n v="206410"/>
    <s v="1.27"/>
    <s v="0.00"/>
    <s v="98.73"/>
  </r>
  <r>
    <x v="7"/>
    <x v="38"/>
    <n v="5009007"/>
    <n v="127417"/>
    <n v="865963"/>
    <s v="2.54"/>
    <s v="0.00"/>
    <s v="97.46"/>
  </r>
  <r>
    <x v="7"/>
    <x v="37"/>
    <n v="97605"/>
    <n v="4636"/>
    <n v="12507"/>
    <s v="4.75"/>
    <s v="0.00"/>
    <s v="95.25"/>
  </r>
  <r>
    <x v="7"/>
    <x v="36"/>
    <n v="104348"/>
    <n v="1731"/>
    <n v="30264"/>
    <s v="1.66"/>
    <s v="0.00"/>
    <s v="98.34"/>
  </r>
  <r>
    <x v="7"/>
    <x v="35"/>
    <n v="1701316"/>
    <n v="37795"/>
    <n v="1310949"/>
    <s v="2.22"/>
    <s v="0.00"/>
    <s v="97.78"/>
  </r>
  <r>
    <x v="7"/>
    <x v="34"/>
    <n v="61370"/>
    <n v="696"/>
    <n v="482"/>
    <s v="1.13"/>
    <s v="0.00"/>
    <s v="98.87"/>
  </r>
  <r>
    <x v="7"/>
    <x v="33"/>
    <n v="884597"/>
    <n v="11265"/>
    <n v="253721"/>
    <s v="1.27"/>
    <s v="0.00"/>
    <s v="98.73"/>
  </r>
  <r>
    <x v="7"/>
    <x v="32"/>
    <n v="17944"/>
    <n v="297"/>
    <n v="2234"/>
    <s v="1.66"/>
    <s v="0.00"/>
    <s v="98.34"/>
  </r>
  <r>
    <x v="7"/>
    <x v="31"/>
    <n v="11579"/>
    <n v="100"/>
    <n v="8885"/>
    <s v="0.86"/>
    <s v="0.00"/>
    <s v="99.14"/>
  </r>
  <r>
    <x v="7"/>
    <x v="30"/>
    <n v="57587"/>
    <n v="1098"/>
    <n v="41317"/>
    <s v="1.91"/>
    <s v="0.00"/>
    <s v="98.09"/>
  </r>
  <r>
    <x v="7"/>
    <x v="29"/>
    <n v="1733440"/>
    <n v="29169"/>
    <n v="866070"/>
    <s v="1.68"/>
    <s v="0.00"/>
    <s v="98.32"/>
  </r>
  <r>
    <x v="7"/>
    <x v="28"/>
    <n v="27673"/>
    <n v="505"/>
    <n v="12967"/>
    <s v="1.82"/>
    <s v="0.00"/>
    <s v="98.18"/>
  </r>
  <r>
    <x v="7"/>
    <x v="27"/>
    <n v="608031"/>
    <n v="4696"/>
    <n v="102070"/>
    <s v="0.77"/>
    <s v="0.00"/>
    <s v="99.23"/>
  </r>
  <r>
    <x v="7"/>
    <x v="26"/>
    <n v="187281"/>
    <n v="2407"/>
    <n v="5969"/>
    <s v="1.29"/>
    <s v="0.00"/>
    <s v="98.71"/>
  </r>
  <r>
    <x v="7"/>
    <x v="25"/>
    <n v="2622"/>
    <n v="3"/>
    <n v="1562"/>
    <s v="0.11"/>
    <s v="0.00"/>
    <s v="99.89"/>
  </r>
  <r>
    <x v="7"/>
    <x v="24"/>
    <n v="22485"/>
    <n v="657"/>
    <n v="12019"/>
    <s v="2.92"/>
    <s v="0.00"/>
    <s v="97.08"/>
  </r>
  <r>
    <x v="7"/>
    <x v="23"/>
    <n v="21849137"/>
    <n v="608671"/>
    <n v="11191884"/>
    <s v="2.79"/>
    <s v="0.00"/>
    <s v="97.21"/>
  </r>
  <r>
    <x v="7"/>
    <x v="22"/>
    <n v="515373"/>
    <n v="18942"/>
    <n v="396561"/>
    <s v="3.68"/>
    <s v="0.00"/>
    <s v="96.32"/>
  </r>
  <r>
    <x v="7"/>
    <x v="21"/>
    <n v="13545"/>
    <n v="91"/>
    <n v="822"/>
    <s v="0.67"/>
    <s v="0.00"/>
    <s v="99.33"/>
  </r>
  <r>
    <x v="7"/>
    <x v="20"/>
    <n v="1660"/>
    <n v="6"/>
    <n v="472"/>
    <s v="0.36"/>
    <s v="0.00"/>
    <s v="99.64"/>
  </r>
  <r>
    <x v="7"/>
    <x v="19"/>
    <n v="24804"/>
    <n v="161"/>
    <n v="5779"/>
    <s v="0.65"/>
    <s v="0.00"/>
    <s v="99.35"/>
  </r>
  <r>
    <x v="7"/>
    <x v="18"/>
    <n v="20106"/>
    <n v="38"/>
    <n v="1042"/>
    <s v="0.19"/>
    <s v="0.00"/>
    <s v="99.81"/>
  </r>
  <r>
    <x v="7"/>
    <x v="17"/>
    <n v="276983"/>
    <n v="1393"/>
    <n v="170480"/>
    <s v="0.50"/>
    <s v="0.00"/>
    <s v="99.50"/>
  </r>
  <r>
    <x v="7"/>
    <x v="16"/>
    <n v="623946"/>
    <n v="24755"/>
    <n v="411245"/>
    <s v="3.97"/>
    <s v="0.00"/>
    <s v="96.03"/>
  </r>
  <r>
    <x v="7"/>
    <x v="15"/>
    <n v="15103"/>
    <n v="221"/>
    <n v="6850"/>
    <s v="1.46"/>
    <s v="0.00"/>
    <s v="98.54"/>
  </r>
  <r>
    <x v="7"/>
    <x v="14"/>
    <n v="1403548"/>
    <n v="26105"/>
    <n v="1235562"/>
    <s v="1.86"/>
    <s v="0.00"/>
    <s v="98.14"/>
  </r>
  <r>
    <x v="7"/>
    <x v="13"/>
    <n v="1570485"/>
    <n v="27887"/>
    <n v="743432"/>
    <s v="1.78"/>
    <s v="0.00"/>
    <s v="98.22"/>
  </r>
  <r>
    <x v="7"/>
    <x v="12"/>
    <n v="19188"/>
    <n v="167"/>
    <n v="9841"/>
    <s v="0.87"/>
    <s v="0.00"/>
    <s v="99.13"/>
  </r>
  <r>
    <x v="7"/>
    <x v="11"/>
    <n v="257401"/>
    <n v="11717"/>
    <n v="69533"/>
    <s v="4.55"/>
    <s v="0.00"/>
    <s v="95.45"/>
  </r>
  <r>
    <x v="7"/>
    <x v="10"/>
    <n v="539710"/>
    <n v="7182"/>
    <n v="328451"/>
    <s v="1.33"/>
    <s v="0.00"/>
    <s v="98.67"/>
  </r>
  <r>
    <x v="7"/>
    <x v="9"/>
    <n v="177393"/>
    <n v="1795"/>
    <n v="50396"/>
    <s v="1.01"/>
    <s v="0.00"/>
    <s v="98.99"/>
  </r>
  <r>
    <x v="7"/>
    <x v="8"/>
    <n v="856002"/>
    <n v="11419"/>
    <n v="802429"/>
    <s v="1.33"/>
    <s v="0.00"/>
    <s v="98.67"/>
  </r>
  <r>
    <x v="7"/>
    <x v="7"/>
    <n v="5293989"/>
    <n v="116055"/>
    <n v="185827"/>
    <s v="2.19"/>
    <s v="0.00"/>
    <s v="97.81"/>
  </r>
  <r>
    <x v="7"/>
    <x v="6"/>
    <n v="64583"/>
    <n v="1718"/>
    <n v="33778"/>
    <s v="2.66"/>
    <s v="0.00"/>
    <s v="97.34"/>
  </r>
  <r>
    <x v="7"/>
    <x v="5"/>
    <n v="315004"/>
    <n v="6532"/>
    <n v="121993"/>
    <s v="2.07"/>
    <s v="0.00"/>
    <s v="97.93"/>
  </r>
  <r>
    <x v="7"/>
    <x v="4"/>
    <n v="187363"/>
    <n v="2944"/>
    <n v="66439"/>
    <s v="1.57"/>
    <s v="0.00"/>
    <s v="98.43"/>
  </r>
  <r>
    <x v="7"/>
    <x v="3"/>
    <n v="4072"/>
    <n v="104"/>
    <n v="2782"/>
    <s v="2.55"/>
    <s v="0.00"/>
    <s v="97.45"/>
  </r>
  <r>
    <x v="7"/>
    <x v="2"/>
    <n v="156363"/>
    <n v="7284"/>
    <n v="37574"/>
    <s v="4.66"/>
    <s v="0.00"/>
    <s v="95.34"/>
  </r>
  <r>
    <x v="7"/>
    <x v="1"/>
    <n v="740209"/>
    <n v="2137"/>
    <n v="282070"/>
    <s v="0.29"/>
    <s v="0.00"/>
    <s v="99.71"/>
  </r>
  <r>
    <x v="7"/>
    <x v="0"/>
    <n v="15618"/>
    <n v="130"/>
    <n v="9432"/>
    <s v="0.83"/>
    <s v="0.00"/>
    <s v="99.17"/>
  </r>
  <r>
    <x v="8"/>
    <x v="0"/>
    <n v="15572"/>
    <n v="130"/>
    <n v="6265"/>
    <s v="0.83"/>
    <s v="0.00"/>
    <s v="99.17"/>
  </r>
  <r>
    <x v="8"/>
    <x v="1"/>
    <n v="740136"/>
    <n v="2137"/>
    <n v="280929"/>
    <s v="0.29"/>
    <s v="0.00"/>
    <s v="99.71"/>
  </r>
  <r>
    <x v="8"/>
    <x v="2"/>
    <n v="156323"/>
    <n v="7284"/>
    <n v="24758"/>
    <s v="4.66"/>
    <s v="0.00"/>
    <s v="95.34"/>
  </r>
  <r>
    <x v="8"/>
    <x v="3"/>
    <n v="4069"/>
    <n v="102"/>
    <n v="3225"/>
    <s v="2.51"/>
    <s v="0.00"/>
    <s v="97.49"/>
  </r>
  <r>
    <x v="8"/>
    <x v="4"/>
    <n v="186793"/>
    <n v="2940"/>
    <n v="47331"/>
    <s v="1.57"/>
    <s v="0.00"/>
    <s v="98.43"/>
  </r>
  <r>
    <x v="8"/>
    <x v="5"/>
    <n v="312674"/>
    <n v="6491"/>
    <n v="223947"/>
    <s v="2.08"/>
    <s v="0.00"/>
    <s v="97.92"/>
  </r>
  <r>
    <x v="8"/>
    <x v="6"/>
    <n v="64533"/>
    <n v="1716"/>
    <n v="40136"/>
    <s v="2.66"/>
    <s v="0.00"/>
    <s v="97.34"/>
  </r>
  <r>
    <x v="8"/>
    <x v="7"/>
    <n v="5292549"/>
    <n v="116029"/>
    <n v="4370395"/>
    <s v="2.19"/>
    <s v="0.00"/>
    <s v="97.81"/>
  </r>
  <r>
    <x v="8"/>
    <x v="8"/>
    <n v="847408"/>
    <n v="11400"/>
    <n v="8758"/>
    <s v="1.35"/>
    <s v="0.00"/>
    <s v="98.65"/>
  </r>
  <r>
    <x v="8"/>
    <x v="9"/>
    <n v="175813"/>
    <n v="1781"/>
    <n v="55921"/>
    <s v="1.01"/>
    <s v="0.00"/>
    <s v="98.99"/>
  </r>
  <r>
    <x v="8"/>
    <x v="10"/>
    <n v="537004"/>
    <n v="7153"/>
    <n v="197563"/>
    <s v="1.33"/>
    <s v="0.00"/>
    <s v="98.67"/>
  </r>
  <r>
    <x v="8"/>
    <x v="11"/>
    <n v="256307"/>
    <n v="11685"/>
    <n v="237272"/>
    <s v="4.56"/>
    <s v="0.00"/>
    <s v="95.44"/>
  </r>
  <r>
    <x v="8"/>
    <x v="12"/>
    <n v="18852"/>
    <n v="164"/>
    <n v="3499"/>
    <s v="0.87"/>
    <s v="0.00"/>
    <s v="99.13"/>
  </r>
  <r>
    <x v="8"/>
    <x v="13"/>
    <n v="1570238"/>
    <n v="27880"/>
    <n v="537438"/>
    <s v="1.78"/>
    <s v="0.00"/>
    <s v="98.22"/>
  </r>
  <r>
    <x v="8"/>
    <x v="14"/>
    <n v="1393358"/>
    <n v="26083"/>
    <n v="1047561"/>
    <s v="1.87"/>
    <s v="0.00"/>
    <s v="98.13"/>
  </r>
  <r>
    <x v="8"/>
    <x v="15"/>
    <n v="15103"/>
    <n v="221"/>
    <n v="10504"/>
    <s v="1.46"/>
    <s v="0.00"/>
    <s v="98.54"/>
  </r>
  <r>
    <x v="8"/>
    <x v="16"/>
    <n v="619284"/>
    <n v="24589"/>
    <n v="47367"/>
    <s v="3.97"/>
    <s v="0.00"/>
    <s v="96.03"/>
  </r>
  <r>
    <x v="8"/>
    <x v="17"/>
    <n v="276956"/>
    <n v="1393"/>
    <n v="63703"/>
    <s v="0.50"/>
    <s v="0.00"/>
    <s v="99.50"/>
  </r>
  <r>
    <x v="8"/>
    <x v="18"/>
    <n v="20106"/>
    <n v="38"/>
    <n v="10432"/>
    <s v="0.19"/>
    <s v="0.00"/>
    <s v="99.81"/>
  </r>
  <r>
    <x v="8"/>
    <x v="19"/>
    <n v="24804"/>
    <n v="161"/>
    <n v="876"/>
    <s v="0.65"/>
    <s v="0.00"/>
    <s v="99.35"/>
  </r>
  <r>
    <x v="8"/>
    <x v="20"/>
    <n v="1659"/>
    <n v="6"/>
    <n v="870"/>
    <s v="0.36"/>
    <s v="0.00"/>
    <s v="99.64"/>
  </r>
  <r>
    <x v="8"/>
    <x v="21"/>
    <n v="13446"/>
    <n v="89"/>
    <n v="10425"/>
    <s v="0.66"/>
    <s v="0.00"/>
    <s v="99.34"/>
  </r>
  <r>
    <x v="8"/>
    <x v="22"/>
    <n v="514679"/>
    <n v="18936"/>
    <n v="3901"/>
    <s v="3.68"/>
    <s v="0.00"/>
    <s v="96.32"/>
  </r>
  <r>
    <x v="8"/>
    <x v="23"/>
    <n v="21835785"/>
    <n v="608235"/>
    <n v="17526862"/>
    <s v="2.79"/>
    <s v="0.00"/>
    <s v="97.21"/>
  </r>
  <r>
    <x v="8"/>
    <x v="24"/>
    <n v="22429"/>
    <n v="643"/>
    <n v="15971"/>
    <s v="2.87"/>
    <s v="0.00"/>
    <s v="97.13"/>
  </r>
  <r>
    <x v="8"/>
    <x v="25"/>
    <n v="2622"/>
    <n v="3"/>
    <n v="784"/>
    <s v="0.11"/>
    <s v="0.00"/>
    <s v="99.89"/>
  </r>
  <r>
    <x v="8"/>
    <x v="26"/>
    <n v="187281"/>
    <n v="2407"/>
    <n v="163527"/>
    <s v="1.29"/>
    <s v="0.00"/>
    <s v="98.71"/>
  </r>
  <r>
    <x v="8"/>
    <x v="27"/>
    <n v="606033"/>
    <n v="4679"/>
    <n v="218071"/>
    <s v="0.77"/>
    <s v="0.00"/>
    <s v="99.23"/>
  </r>
  <r>
    <x v="8"/>
    <x v="28"/>
    <n v="27523"/>
    <n v="499"/>
    <n v="15495"/>
    <s v="1.81"/>
    <s v="0.00"/>
    <s v="98.19"/>
  </r>
  <r>
    <x v="8"/>
    <x v="29"/>
    <n v="1730818"/>
    <n v="29149"/>
    <n v="27833"/>
    <s v="1.68"/>
    <s v="0.00"/>
    <s v="98.32"/>
  </r>
  <r>
    <x v="8"/>
    <x v="30"/>
    <n v="57582"/>
    <n v="1098"/>
    <n v="21932"/>
    <s v="1.91"/>
    <s v="0.00"/>
    <s v="98.09"/>
  </r>
  <r>
    <x v="8"/>
    <x v="31"/>
    <n v="11579"/>
    <n v="100"/>
    <n v="6432"/>
    <s v="0.86"/>
    <s v="0.00"/>
    <s v="99.14"/>
  </r>
  <r>
    <x v="8"/>
    <x v="32"/>
    <n v="17670"/>
    <n v="278"/>
    <n v="10545"/>
    <s v="1.57"/>
    <s v="0.00"/>
    <s v="98.43"/>
  </r>
  <r>
    <x v="8"/>
    <x v="33"/>
    <n v="881660"/>
    <n v="11261"/>
    <n v="621135"/>
    <s v="1.28"/>
    <s v="0.00"/>
    <s v="98.72"/>
  </r>
  <r>
    <x v="8"/>
    <x v="34"/>
    <n v="61330"/>
    <n v="696"/>
    <n v="57999"/>
    <s v="1.13"/>
    <s v="0.00"/>
    <s v="98.87"/>
  </r>
  <r>
    <x v="8"/>
    <x v="35"/>
    <n v="1699427"/>
    <n v="37790"/>
    <n v="1594020"/>
    <s v="2.22"/>
    <s v="0.00"/>
    <s v="97.78"/>
  </r>
  <r>
    <x v="8"/>
    <x v="36"/>
    <n v="104348"/>
    <n v="1731"/>
    <n v="57947"/>
    <s v="1.66"/>
    <s v="0.00"/>
    <s v="98.34"/>
  </r>
  <r>
    <x v="8"/>
    <x v="37"/>
    <n v="97527"/>
    <n v="4636"/>
    <n v="2965"/>
    <s v="4.75"/>
    <s v="0.00"/>
    <s v="95.25"/>
  </r>
  <r>
    <x v="8"/>
    <x v="38"/>
    <n v="5007099"/>
    <n v="127380"/>
    <n v="194388"/>
    <s v="2.54"/>
    <s v="0.00"/>
    <s v="97.46"/>
  </r>
  <r>
    <x v="8"/>
    <x v="39"/>
    <n v="561432"/>
    <n v="7111"/>
    <n v="433790"/>
    <s v="1.27"/>
    <s v="0.00"/>
    <s v="98.73"/>
  </r>
  <r>
    <x v="8"/>
    <x v="40"/>
    <n v="953750"/>
    <n v="8250"/>
    <n v="252875"/>
    <s v="0.87"/>
    <s v="0.00"/>
    <s v="99.13"/>
  </r>
  <r>
    <x v="8"/>
    <x v="41"/>
    <n v="38228"/>
    <n v="349"/>
    <n v="5973"/>
    <s v="0.91"/>
    <s v="0.00"/>
    <s v="99.09"/>
  </r>
  <r>
    <x v="8"/>
    <x v="42"/>
    <n v="124973"/>
    <n v="576"/>
    <n v="115251"/>
    <s v="0.46"/>
    <s v="0.00"/>
    <s v="99.54"/>
  </r>
  <r>
    <x v="8"/>
    <x v="43"/>
    <n v="1783227"/>
    <n v="30840"/>
    <n v="243645"/>
    <s v="1.73"/>
    <s v="0.00"/>
    <s v="98.27"/>
  </r>
  <r>
    <x v="8"/>
    <x v="44"/>
    <n v="4684462"/>
    <n v="96196"/>
    <n v="2961153"/>
    <s v="2.05"/>
    <s v="0.00"/>
    <s v="97.95"/>
  </r>
  <r>
    <x v="8"/>
    <x v="45"/>
    <n v="13487"/>
    <n v="183"/>
    <n v="5907"/>
    <s v="1.36"/>
    <s v="0.00"/>
    <s v="98.64"/>
  </r>
  <r>
    <x v="8"/>
    <x v="46"/>
    <n v="394034"/>
    <n v="2717"/>
    <n v="364520"/>
    <s v="0.69"/>
    <s v="0.00"/>
    <s v="99.31"/>
  </r>
  <r>
    <x v="8"/>
    <x v="47"/>
    <n v="4823"/>
    <n v="32"/>
    <n v="2390"/>
    <s v="0.66"/>
    <s v="0.00"/>
    <s v="99.34"/>
  </r>
  <r>
    <x v="8"/>
    <x v="48"/>
    <n v="384208"/>
    <n v="4144"/>
    <n v="32139"/>
    <s v="1.08"/>
    <s v="0.00"/>
    <s v="98.92"/>
  </r>
  <r>
    <x v="8"/>
    <x v="49"/>
    <n v="206754"/>
    <n v="5931"/>
    <n v="111400"/>
    <s v="2.87"/>
    <s v="0.00"/>
    <s v="97.13"/>
  </r>
  <r>
    <x v="8"/>
    <x v="50"/>
    <n v="515859"/>
    <n v="32958"/>
    <n v="280021"/>
    <s v="6.39"/>
    <s v="0.00"/>
    <s v="93.61"/>
  </r>
  <r>
    <x v="8"/>
    <x v="51"/>
    <n v="199251"/>
    <n v="1563"/>
    <n v="58894"/>
    <s v="0.78"/>
    <s v="0.00"/>
    <s v="99.22"/>
  </r>
  <r>
    <x v="8"/>
    <x v="52"/>
    <n v="333840"/>
    <n v="18832"/>
    <n v="39172"/>
    <s v="5.64"/>
    <s v="0.00"/>
    <s v="94.36"/>
  </r>
  <r>
    <x v="8"/>
    <x v="53"/>
    <n v="6881"/>
    <n v="45"/>
    <n v="6749"/>
    <s v="0.65"/>
    <s v="0.00"/>
    <s v="99.35"/>
  </r>
  <r>
    <x v="8"/>
    <x v="54"/>
    <n v="5019255"/>
    <n v="87462"/>
    <n v="2488213"/>
    <s v="1.74"/>
    <s v="0.00"/>
    <s v="98.26"/>
  </r>
  <r>
    <x v="8"/>
    <x v="55"/>
    <n v="366097"/>
    <n v="6494"/>
    <n v="256497"/>
    <s v="1.77"/>
    <s v="0.00"/>
    <s v="98.23"/>
  </r>
  <r>
    <x v="8"/>
    <x v="56"/>
    <n v="160948"/>
    <n v="1176"/>
    <n v="86365"/>
    <s v="0.73"/>
    <s v="0.00"/>
    <s v="99.27"/>
  </r>
  <r>
    <x v="8"/>
    <x v="57"/>
    <n v="52209"/>
    <n v="674"/>
    <n v="48593"/>
    <s v="1.29"/>
    <s v="0.00"/>
    <s v="98.71"/>
  </r>
  <r>
    <x v="8"/>
    <x v="58"/>
    <n v="2373"/>
    <n v="4"/>
    <n v="1285"/>
    <s v="0.17"/>
    <s v="0.00"/>
    <s v="99.83"/>
  </r>
  <r>
    <x v="8"/>
    <x v="59"/>
    <n v="7002875"/>
    <n v="115425"/>
    <n v="4590424"/>
    <s v="1.65"/>
    <s v="0.00"/>
    <s v="98.35"/>
  </r>
  <r>
    <x v="8"/>
    <x v="60"/>
    <n v="36020"/>
    <n v="249"/>
    <n v="14029"/>
    <s v="0.69"/>
    <s v="0.00"/>
    <s v="99.31"/>
  </r>
  <r>
    <x v="8"/>
    <x v="61"/>
    <n v="9209618"/>
    <n v="141509"/>
    <n v="2444596"/>
    <s v="1.54"/>
    <s v="0.00"/>
    <s v="98.46"/>
  </r>
  <r>
    <x v="8"/>
    <x v="62"/>
    <n v="5850"/>
    <n v="198"/>
    <n v="180"/>
    <s v="3.38"/>
    <s v="0.00"/>
    <s v="96.62"/>
  </r>
  <r>
    <x v="8"/>
    <x v="63"/>
    <n v="732965"/>
    <n v="10185"/>
    <n v="273672"/>
    <s v="1.39"/>
    <s v="0.00"/>
    <s v="98.61"/>
  </r>
  <r>
    <x v="8"/>
    <x v="64"/>
    <n v="44784"/>
    <n v="311"/>
    <n v="23127"/>
    <s v="0.69"/>
    <s v="0.00"/>
    <s v="99.31"/>
  </r>
  <r>
    <x v="8"/>
    <x v="65"/>
    <n v="130287"/>
    <n v="1182"/>
    <n v="113909"/>
    <s v="0.91"/>
    <s v="0.00"/>
    <s v="99.09"/>
  </r>
  <r>
    <x v="8"/>
    <x v="66"/>
    <n v="6065"/>
    <n v="98"/>
    <n v="2244"/>
    <s v="1.62"/>
    <s v="0.00"/>
    <s v="98.38"/>
  </r>
  <r>
    <x v="8"/>
    <x v="67"/>
    <n v="9973"/>
    <n v="341"/>
    <n v="2316"/>
    <s v="3.42"/>
    <s v="0.00"/>
    <s v="96.58"/>
  </r>
  <r>
    <x v="8"/>
    <x v="68"/>
    <n v="30681"/>
    <n v="385"/>
    <n v="10947"/>
    <s v="1.25"/>
    <s v="0.00"/>
    <s v="98.75"/>
  </r>
  <r>
    <x v="8"/>
    <x v="69"/>
    <n v="54288"/>
    <n v="815"/>
    <n v="957"/>
    <s v="1.50"/>
    <s v="0.00"/>
    <s v="98.50"/>
  </r>
  <r>
    <x v="8"/>
    <x v="70"/>
    <n v="13377"/>
    <n v="167"/>
    <n v="9441"/>
    <s v="1.25"/>
    <s v="0.00"/>
    <s v="98.75"/>
  </r>
  <r>
    <x v="8"/>
    <x v="71"/>
    <n v="760592"/>
    <n v="16109"/>
    <n v="320438"/>
    <s v="2.12"/>
    <s v="0.00"/>
    <s v="97.88"/>
  </r>
  <r>
    <x v="8"/>
    <x v="72"/>
    <n v="602575"/>
    <n v="15222"/>
    <n v="188739"/>
    <s v="2.53"/>
    <s v="0.00"/>
    <s v="97.47"/>
  </r>
  <r>
    <x v="8"/>
    <x v="73"/>
    <n v="6137"/>
    <n v="141"/>
    <n v="5045"/>
    <s v="2.30"/>
    <s v="0.00"/>
    <s v="97.70"/>
  </r>
  <r>
    <x v="8"/>
    <x v="74"/>
    <n v="35800"/>
    <n v="928"/>
    <n v="366"/>
    <s v="2.59"/>
    <s v="0.00"/>
    <s v="97.41"/>
  </r>
  <r>
    <x v="8"/>
    <x v="75"/>
    <n v="12352"/>
    <n v="213"/>
    <n v="2120"/>
    <s v="1.72"/>
    <s v="0.00"/>
    <s v="98.28"/>
  </r>
  <r>
    <x v="8"/>
    <x v="76"/>
    <n v="375983"/>
    <n v="10284"/>
    <n v="73287"/>
    <s v="2.74"/>
    <s v="0.00"/>
    <s v="97.26"/>
  </r>
  <r>
    <x v="8"/>
    <x v="77"/>
    <n v="476832"/>
    <n v="9332"/>
    <n v="15775"/>
    <s v="1.96"/>
    <s v="0.00"/>
    <s v="98.04"/>
  </r>
  <r>
    <x v="8"/>
    <x v="78"/>
    <n v="24004"/>
    <n v="677"/>
    <n v="8557"/>
    <s v="2.82"/>
    <s v="0.00"/>
    <s v="97.18"/>
  </r>
  <r>
    <x v="8"/>
    <x v="79"/>
    <n v="879092"/>
    <n v="30994"/>
    <n v="178996"/>
    <s v="3.53"/>
    <s v="0.00"/>
    <s v="96.47"/>
  </r>
  <r>
    <x v="8"/>
    <x v="80"/>
    <n v="4246174"/>
    <n v="143481"/>
    <n v="742030"/>
    <s v="3.38"/>
    <s v="0.00"/>
    <s v="96.62"/>
  </r>
  <r>
    <x v="8"/>
    <x v="81"/>
    <n v="455346"/>
    <n v="5492"/>
    <n v="424458"/>
    <s v="1.21"/>
    <s v="0.00"/>
    <s v="98.79"/>
  </r>
  <r>
    <x v="8"/>
    <x v="82"/>
    <n v="1332247"/>
    <n v="8109"/>
    <n v="437536"/>
    <s v="0.61"/>
    <s v="0.00"/>
    <s v="99.39"/>
  </r>
  <r>
    <x v="8"/>
    <x v="83"/>
    <n v="34321025"/>
    <n v="459652"/>
    <n v="29130287"/>
    <s v="1.34"/>
    <s v="0.00"/>
    <s v="98.66"/>
  </r>
  <r>
    <x v="8"/>
    <x v="84"/>
    <n v="2058914"/>
    <n v="23248"/>
    <n v="1493272"/>
    <s v="1.13"/>
    <s v="0.00"/>
    <s v="98.87"/>
  </r>
  <r>
    <x v="8"/>
    <x v="85"/>
    <n v="5954962"/>
    <n v="126763"/>
    <n v="1557493"/>
    <s v="2.13"/>
    <s v="0.00"/>
    <s v="97.87"/>
  </r>
  <r>
    <x v="8"/>
    <x v="86"/>
    <n v="13923"/>
    <n v="34"/>
    <n v="3044"/>
    <s v="0.24"/>
    <s v="0.00"/>
    <s v="99.76"/>
  </r>
  <r>
    <x v="8"/>
    <x v="87"/>
    <n v="4782802"/>
    <n v="132224"/>
    <n v="1017060"/>
    <s v="2.76"/>
    <s v="0.00"/>
    <s v="97.24"/>
  </r>
  <r>
    <x v="8"/>
    <x v="88"/>
    <n v="89216"/>
    <n v="2249"/>
    <n v="27628"/>
    <s v="2.52"/>
    <s v="0.00"/>
    <s v="97.48"/>
  </r>
  <r>
    <x v="8"/>
    <x v="89"/>
    <n v="868493"/>
    <n v="11077"/>
    <n v="684564"/>
    <s v="1.28"/>
    <s v="0.00"/>
    <s v="98.72"/>
  </r>
  <r>
    <x v="8"/>
    <x v="90"/>
    <n v="1722912"/>
    <n v="18286"/>
    <n v="1123407"/>
    <s v="1.06"/>
    <s v="0.00"/>
    <s v="98.94"/>
  </r>
  <r>
    <x v="8"/>
    <x v="91"/>
    <n v="253512"/>
    <n v="5282"/>
    <n v="125706"/>
    <s v="2.08"/>
    <s v="0.00"/>
    <s v="97.92"/>
  </r>
  <r>
    <x v="8"/>
    <x v="92"/>
    <n v="181499"/>
    <n v="2676"/>
    <n v="63381"/>
    <s v="1.47"/>
    <s v="0.00"/>
    <s v="98.53"/>
  </r>
  <r>
    <x v="8"/>
    <x v="94"/>
    <n v="2"/>
    <n v="0"/>
    <n v="0"/>
    <s v="0.00"/>
    <s v="0.00"/>
    <s v="100.00"/>
  </r>
  <r>
    <x v="8"/>
    <x v="93"/>
    <n v="118787"/>
    <n v="2807"/>
    <n v="8641"/>
    <s v="2.36"/>
    <s v="0.00"/>
    <s v="97.64"/>
  </r>
  <r>
    <x v="8"/>
    <x v="95"/>
    <n v="4281"/>
    <n v="147"/>
    <n v="3791"/>
    <s v="3.43"/>
    <s v="0.00"/>
    <s v="96.57"/>
  </r>
  <r>
    <x v="8"/>
    <x v="96"/>
    <n v="2696"/>
    <n v="25"/>
    <n v="2506"/>
    <s v="0.93"/>
    <s v="0.00"/>
    <s v="99.07"/>
  </r>
  <r>
    <x v="8"/>
    <x v="97"/>
    <n v="373120"/>
    <n v="2916"/>
    <n v="88414"/>
    <s v="0.78"/>
    <s v="0.00"/>
    <s v="99.22"/>
  </r>
  <r>
    <x v="8"/>
    <x v="98"/>
    <n v="412752"/>
    <n v="2462"/>
    <n v="215717"/>
    <s v="0.60"/>
    <s v="0.00"/>
    <s v="99.40"/>
  </r>
  <r>
    <x v="8"/>
    <x v="99"/>
    <n v="1024449"/>
    <n v="17201"/>
    <n v="880903"/>
    <s v="1.68"/>
    <s v="0.00"/>
    <s v="98.32"/>
  </r>
  <r>
    <x v="8"/>
    <x v="100"/>
    <n v="42891"/>
    <n v="73"/>
    <n v="11075"/>
    <s v="0.17"/>
    <s v="0.00"/>
    <s v="99.83"/>
  </r>
  <r>
    <x v="8"/>
    <x v="101"/>
    <n v="643749"/>
    <n v="8522"/>
    <n v="223010"/>
    <s v="1.32"/>
    <s v="0.00"/>
    <s v="98.68"/>
  </r>
  <r>
    <x v="8"/>
    <x v="102"/>
    <n v="12610"/>
    <n v="259"/>
    <n v="7363"/>
    <s v="2.05"/>
    <s v="0.00"/>
    <s v="97.95"/>
  </r>
  <r>
    <x v="8"/>
    <x v="103"/>
    <n v="3699"/>
    <n v="61"/>
    <n v="2308"/>
    <s v="1.65"/>
    <s v="0.00"/>
    <s v="98.35"/>
  </r>
  <r>
    <x v="8"/>
    <x v="104"/>
    <n v="542793"/>
    <n v="13791"/>
    <n v="349772"/>
    <s v="2.54"/>
    <s v="0.00"/>
    <s v="97.46"/>
  </r>
  <r>
    <x v="8"/>
    <x v="105"/>
    <n v="5815"/>
    <n v="287"/>
    <n v="4290"/>
    <s v="4.94"/>
    <s v="0.00"/>
    <s v="95.06"/>
  </r>
  <r>
    <x v="8"/>
    <x v="106"/>
    <n v="21643"/>
    <n v="658"/>
    <n v="7010"/>
    <s v="3.04"/>
    <s v="0.00"/>
    <s v="96.96"/>
  </r>
  <r>
    <x v="8"/>
    <x v="107"/>
    <n v="414817"/>
    <n v="5971"/>
    <n v="198179"/>
    <s v="1.44"/>
    <s v="0.00"/>
    <s v="98.56"/>
  </r>
  <r>
    <x v="8"/>
    <x v="108"/>
    <n v="82190"/>
    <n v="848"/>
    <n v="58484"/>
    <s v="1.03"/>
    <s v="0.00"/>
    <s v="98.97"/>
  </r>
  <r>
    <x v="8"/>
    <x v="109"/>
    <n v="224513"/>
    <n v="3357"/>
    <n v="62884"/>
    <s v="1.50"/>
    <s v="0.00"/>
    <s v="98.50"/>
  </r>
  <r>
    <x v="8"/>
    <x v="110"/>
    <n v="359019"/>
    <n v="5157"/>
    <n v="304413"/>
    <s v="1.44"/>
    <s v="0.00"/>
    <s v="98.56"/>
  </r>
  <r>
    <x v="8"/>
    <x v="111"/>
    <n v="946766"/>
    <n v="14689"/>
    <n v="306615"/>
    <s v="1.55"/>
    <s v="0.00"/>
    <s v="98.45"/>
  </r>
  <r>
    <x v="8"/>
    <x v="112"/>
    <n v="3424"/>
    <n v="36"/>
    <n v="842"/>
    <s v="1.05"/>
    <s v="0.00"/>
    <s v="98.95"/>
  </r>
  <r>
    <x v="8"/>
    <x v="113"/>
    <n v="341675"/>
    <n v="7912"/>
    <n v="296933"/>
    <s v="2.32"/>
    <s v="0.00"/>
    <s v="97.68"/>
  </r>
  <r>
    <x v="8"/>
    <x v="114"/>
    <n v="145936"/>
    <n v="2119"/>
    <n v="50930"/>
    <s v="1.45"/>
    <s v="0.00"/>
    <s v="98.55"/>
  </r>
  <r>
    <x v="8"/>
    <x v="115"/>
    <n v="3920"/>
    <n v="56"/>
    <n v="2501"/>
    <s v="1.43"/>
    <s v="0.00"/>
    <s v="98.57"/>
  </r>
  <r>
    <x v="8"/>
    <x v="116"/>
    <n v="43632"/>
    <n v="964"/>
    <n v="20806"/>
    <s v="2.21"/>
    <s v="0.00"/>
    <s v="97.79"/>
  </r>
  <r>
    <x v="8"/>
    <x v="117"/>
    <n v="4"/>
    <n v="0"/>
    <n v="1"/>
    <s v="0.00"/>
    <s v="0.00"/>
    <s v="100.00"/>
  </r>
  <r>
    <x v="8"/>
    <x v="118"/>
    <n v="203866"/>
    <n v="7178"/>
    <n v="34764"/>
    <s v="3.52"/>
    <s v="0.00"/>
    <s v="96.48"/>
  </r>
  <r>
    <x v="8"/>
    <x v="119"/>
    <n v="16195"/>
    <n v="569"/>
    <n v="15244"/>
    <s v="3.51"/>
    <s v="0.00"/>
    <s v="96.49"/>
  </r>
  <r>
    <x v="8"/>
    <x v="120"/>
    <n v="502979"/>
    <n v="18744"/>
    <n v="214213"/>
    <s v="3.73"/>
    <s v="0.00"/>
    <s v="96.27"/>
  </r>
  <r>
    <x v="8"/>
    <x v="121"/>
    <n v="362772"/>
    <n v="1767"/>
    <n v="123898"/>
    <s v="0.49"/>
    <s v="0.00"/>
    <s v="99.51"/>
  </r>
  <r>
    <x v="8"/>
    <x v="122"/>
    <n v="77"/>
    <n v="0"/>
    <n v="52"/>
    <s v="0.00"/>
    <s v="0.00"/>
    <s v="100.00"/>
  </r>
  <r>
    <x v="8"/>
    <x v="123"/>
    <n v="43347"/>
    <n v="683"/>
    <n v="123"/>
    <s v="1.58"/>
    <s v="0.00"/>
    <s v="98.42"/>
  </r>
  <r>
    <x v="8"/>
    <x v="124"/>
    <n v="37489"/>
    <n v="799"/>
    <n v="32164"/>
    <s v="2.13"/>
    <s v="0.00"/>
    <s v="97.87"/>
  </r>
  <r>
    <x v="8"/>
    <x v="125"/>
    <n v="37736"/>
    <n v="462"/>
    <n v="5134"/>
    <s v="1.22"/>
    <s v="0.00"/>
    <s v="98.78"/>
  </r>
  <r>
    <x v="8"/>
    <x v="126"/>
    <n v="18205"/>
    <n v="196"/>
    <n v="980"/>
    <s v="1.08"/>
    <s v="0.00"/>
    <s v="98.92"/>
  </r>
  <r>
    <x v="8"/>
    <x v="127"/>
    <n v="88277"/>
    <n v="243"/>
    <n v="1443"/>
    <s v="0.28"/>
    <s v="0.00"/>
    <s v="99.72"/>
  </r>
  <r>
    <x v="8"/>
    <x v="128"/>
    <n v="61803"/>
    <n v="2302"/>
    <n v="41984"/>
    <s v="3.72"/>
    <s v="0.00"/>
    <s v="96.28"/>
  </r>
  <r>
    <x v="8"/>
    <x v="129"/>
    <n v="3811793"/>
    <n v="288733"/>
    <n v="740823"/>
    <s v="7.57"/>
    <s v="0.00"/>
    <s v="92.43"/>
  </r>
  <r>
    <x v="8"/>
    <x v="130"/>
    <n v="2486630"/>
    <n v="29091"/>
    <n v="2337028"/>
    <s v="1.17"/>
    <s v="0.00"/>
    <s v="98.83"/>
  </r>
  <r>
    <x v="8"/>
    <x v="131"/>
    <n v="151325"/>
    <n v="1932"/>
    <n v="111448"/>
    <s v="1.28"/>
    <s v="0.00"/>
    <s v="98.72"/>
  </r>
  <r>
    <x v="8"/>
    <x v="132"/>
    <n v="128963"/>
    <n v="3557"/>
    <n v="8213"/>
    <s v="2.76"/>
    <s v="0.00"/>
    <s v="97.24"/>
  </r>
  <r>
    <x v="8"/>
    <x v="133"/>
    <n v="11129"/>
    <n v="267"/>
    <n v="363"/>
    <s v="2.40"/>
    <s v="0.00"/>
    <s v="97.60"/>
  </r>
  <r>
    <x v="8"/>
    <x v="134"/>
    <n v="6399"/>
    <n v="216"/>
    <n v="1991"/>
    <s v="3.38"/>
    <s v="0.00"/>
    <s v="96.62"/>
  </r>
  <r>
    <x v="8"/>
    <x v="135"/>
    <n v="212359"/>
    <n v="2900"/>
    <n v="55323"/>
    <s v="1.37"/>
    <s v="0.00"/>
    <s v="98.63"/>
  </r>
  <r>
    <x v="8"/>
    <x v="136"/>
    <n v="16699"/>
    <n v="209"/>
    <n v="7376"/>
    <s v="1.25"/>
    <s v="0.00"/>
    <s v="98.75"/>
  </r>
  <r>
    <x v="8"/>
    <x v="137"/>
    <n v="2196598"/>
    <n v="18914"/>
    <n v="1960683"/>
    <s v="0.86"/>
    <s v="0.00"/>
    <s v="99.14"/>
  </r>
  <r>
    <x v="8"/>
    <x v="138"/>
    <n v="211755"/>
    <n v="919"/>
    <n v="177048"/>
    <s v="0.43"/>
    <s v="0.00"/>
    <s v="99.57"/>
  </r>
  <r>
    <x v="8"/>
    <x v="139"/>
    <n v="813828"/>
    <n v="11434"/>
    <n v="7287"/>
    <s v="1.40"/>
    <s v="0.00"/>
    <s v="98.60"/>
  </r>
  <r>
    <x v="8"/>
    <x v="140"/>
    <n v="6973"/>
    <n v="28"/>
    <n v="4417"/>
    <s v="0.40"/>
    <s v="0.00"/>
    <s v="99.60"/>
  </r>
  <r>
    <x v="8"/>
    <x v="141"/>
    <n v="304318"/>
    <n v="4112"/>
    <n v="176217"/>
    <s v="1.35"/>
    <s v="0.00"/>
    <s v="98.65"/>
  </r>
  <r>
    <x v="8"/>
    <x v="142"/>
    <n v="473005"/>
    <n v="7320"/>
    <n v="237566"/>
    <s v="1.55"/>
    <s v="0.00"/>
    <s v="98.45"/>
  </r>
  <r>
    <x v="8"/>
    <x v="143"/>
    <n v="2203310"/>
    <n v="200326"/>
    <n v="1719983"/>
    <s v="9.09"/>
    <s v="0.00"/>
    <s v="90.91"/>
  </r>
  <r>
    <x v="8"/>
    <x v="144"/>
    <n v="45541"/>
    <n v="636"/>
    <n v="3993"/>
    <s v="1.40"/>
    <s v="0.00"/>
    <s v="98.60"/>
  </r>
  <r>
    <x v="8"/>
    <x v="145"/>
    <n v="31010"/>
    <n v="392"/>
    <n v="24646"/>
    <s v="1.26"/>
    <s v="0.00"/>
    <s v="98.74"/>
  </r>
  <r>
    <x v="8"/>
    <x v="146"/>
    <n v="2793898"/>
    <n v="43586"/>
    <n v="1366789"/>
    <s v="1.56"/>
    <s v="0.00"/>
    <s v="98.44"/>
  </r>
  <r>
    <x v="8"/>
    <x v="147"/>
    <n v="1275158"/>
    <n v="28496"/>
    <n v="1135703"/>
    <s v="2.23"/>
    <s v="0.00"/>
    <s v="97.77"/>
  </r>
  <r>
    <x v="8"/>
    <x v="148"/>
    <n v="3045102"/>
    <n v="77145"/>
    <n v="2825497"/>
    <s v="2.53"/>
    <s v="0.00"/>
    <s v="97.47"/>
  </r>
  <r>
    <x v="8"/>
    <x v="149"/>
    <n v="454509"/>
    <n v="4694"/>
    <n v="398528"/>
    <s v="1.03"/>
    <s v="0.00"/>
    <s v="98.97"/>
  </r>
  <r>
    <x v="8"/>
    <x v="150"/>
    <n v="1092666"/>
    <n v="18180"/>
    <n v="922590"/>
    <s v="1.66"/>
    <s v="0.00"/>
    <s v="98.34"/>
  </r>
  <r>
    <x v="8"/>
    <x v="151"/>
    <n v="8"/>
    <n v="0"/>
    <n v="7"/>
    <s v="0.00"/>
    <s v="0.00"/>
    <s v="100.00"/>
  </r>
  <r>
    <x v="8"/>
    <x v="152"/>
    <n v="461184"/>
    <n v="16256"/>
    <n v="230060"/>
    <s v="3.52"/>
    <s v="0.00"/>
    <s v="96.48"/>
  </r>
  <r>
    <x v="8"/>
    <x v="153"/>
    <n v="239646"/>
    <n v="611"/>
    <n v="7463"/>
    <s v="0.25"/>
    <s v="0.00"/>
    <s v="99.75"/>
  </r>
  <r>
    <x v="8"/>
    <x v="154"/>
    <n v="54668"/>
    <n v="374"/>
    <n v="51903"/>
    <s v="0.68"/>
    <s v="0.00"/>
    <s v="99.32"/>
  </r>
  <r>
    <x v="8"/>
    <x v="155"/>
    <n v="1676293"/>
    <n v="49115"/>
    <n v="335156"/>
    <s v="2.93"/>
    <s v="0.00"/>
    <s v="97.07"/>
  </r>
  <r>
    <x v="8"/>
    <x v="156"/>
    <n v="1162482"/>
    <n v="10139"/>
    <n v="857831"/>
    <s v="0.87"/>
    <s v="0.00"/>
    <s v="99.13"/>
  </r>
  <r>
    <x v="8"/>
    <x v="157"/>
    <n v="8494589"/>
    <n v="237619"/>
    <n v="5191712"/>
    <s v="2.80"/>
    <s v="0.00"/>
    <s v="97.20"/>
  </r>
  <r>
    <x v="8"/>
    <x v="158"/>
    <n v="99820"/>
    <n v="1332"/>
    <n v="35594"/>
    <s v="1.33"/>
    <s v="0.00"/>
    <s v="98.67"/>
  </r>
  <r>
    <x v="8"/>
    <x v="159"/>
    <n v="548760"/>
    <n v="8799"/>
    <n v="469"/>
    <s v="1.60"/>
    <s v="0.00"/>
    <s v="98.40"/>
  </r>
  <r>
    <x v="8"/>
    <x v="160"/>
    <n v="20"/>
    <n v="0"/>
    <n v="10"/>
    <s v="0.00"/>
    <s v="0.00"/>
    <s v="100.00"/>
  </r>
  <r>
    <x v="8"/>
    <x v="161"/>
    <n v="22301"/>
    <n v="119"/>
    <n v="20605"/>
    <s v="0.53"/>
    <s v="0.00"/>
    <s v="99.47"/>
  </r>
  <r>
    <x v="8"/>
    <x v="162"/>
    <n v="40433"/>
    <n v="3099"/>
    <n v="34483"/>
    <s v="7.66"/>
    <s v="0.00"/>
    <s v="92.34"/>
  </r>
  <r>
    <x v="8"/>
    <x v="163"/>
    <n v="1175425"/>
    <n v="15043"/>
    <n v="708793"/>
    <s v="1.28"/>
    <s v="0.00"/>
    <s v="98.72"/>
  </r>
  <r>
    <x v="8"/>
    <x v="164"/>
    <n v="207975"/>
    <n v="442"/>
    <n v="97400"/>
    <s v="0.21"/>
    <s v="0.00"/>
    <s v="99.79"/>
  </r>
  <r>
    <x v="8"/>
    <x v="165"/>
    <n v="341699"/>
    <n v="4784"/>
    <n v="140216"/>
    <s v="1.40"/>
    <s v="0.00"/>
    <s v="98.60"/>
  </r>
  <r>
    <x v="8"/>
    <x v="166"/>
    <n v="493277"/>
    <n v="13112"/>
    <n v="342215"/>
    <s v="2.66"/>
    <s v="0.00"/>
    <s v="97.34"/>
  </r>
  <r>
    <x v="8"/>
    <x v="167"/>
    <n v="6398"/>
    <n v="121"/>
    <n v="4845"/>
    <s v="1.89"/>
    <s v="0.00"/>
    <s v="98.11"/>
  </r>
  <r>
    <x v="8"/>
    <x v="168"/>
    <n v="5569"/>
    <n v="92"/>
    <n v="5040"/>
    <s v="1.65"/>
    <s v="0.00"/>
    <s v="98.35"/>
  </r>
  <r>
    <x v="8"/>
    <x v="169"/>
    <n v="73926"/>
    <n v="1879"/>
    <n v="60035"/>
    <s v="2.54"/>
    <s v="0.00"/>
    <s v="97.46"/>
  </r>
  <r>
    <x v="8"/>
    <x v="170"/>
    <n v="21998"/>
    <n v="1208"/>
    <n v="18704"/>
    <s v="5.49"/>
    <s v="0.00"/>
    <s v="94.51"/>
  </r>
  <r>
    <x v="8"/>
    <x v="171"/>
    <n v="49257"/>
    <n v="1098"/>
    <n v="46748"/>
    <s v="2.23"/>
    <s v="0.00"/>
    <s v="97.77"/>
  </r>
  <r>
    <x v="8"/>
    <x v="172"/>
    <n v="12436"/>
    <n v="133"/>
    <n v="4887"/>
    <s v="1.07"/>
    <s v="0.00"/>
    <s v="98.93"/>
  </r>
  <r>
    <x v="8"/>
    <x v="173"/>
    <n v="3715"/>
    <n v="56"/>
    <n v="1955"/>
    <s v="1.51"/>
    <s v="0.00"/>
    <s v="98.49"/>
  </r>
  <r>
    <x v="8"/>
    <x v="174"/>
    <n v="113422"/>
    <n v="3654"/>
    <n v="80061"/>
    <s v="3.22"/>
    <s v="0.00"/>
    <s v="96.78"/>
  </r>
  <r>
    <x v="8"/>
    <x v="175"/>
    <n v="44191"/>
    <n v="2590"/>
    <n v="2936"/>
    <s v="5.86"/>
    <s v="0.00"/>
    <s v="94.14"/>
  </r>
  <r>
    <x v="8"/>
    <x v="176"/>
    <n v="46447"/>
    <n v="1242"/>
    <n v="2295"/>
    <s v="2.67"/>
    <s v="0.00"/>
    <s v="97.33"/>
  </r>
  <r>
    <x v="8"/>
    <x v="177"/>
    <n v="5107"/>
    <n v="175"/>
    <n v="1447"/>
    <s v="3.43"/>
    <s v="0.00"/>
    <s v="96.57"/>
  </r>
  <r>
    <x v="8"/>
    <x v="178"/>
    <n v="26096"/>
    <n v="243"/>
    <n v="12297"/>
    <s v="0.93"/>
    <s v="0.00"/>
    <s v="99.07"/>
  </r>
  <r>
    <x v="8"/>
    <x v="179"/>
    <n v="1935442"/>
    <n v="19394"/>
    <n v="571781"/>
    <s v="1.00"/>
    <s v="0.00"/>
    <s v="99.00"/>
  </r>
  <r>
    <x v="8"/>
    <x v="180"/>
    <n v="17486"/>
    <n v="125"/>
    <n v="17234"/>
    <s v="0.71"/>
    <s v="0.00"/>
    <s v="99.29"/>
  </r>
  <r>
    <x v="8"/>
    <x v="181"/>
    <n v="19790"/>
    <n v="122"/>
    <n v="10856"/>
    <s v="0.62"/>
    <s v="0.00"/>
    <s v="99.38"/>
  </r>
  <r>
    <x v="8"/>
    <x v="182"/>
    <n v="712982"/>
    <n v="25254"/>
    <n v="557996"/>
    <s v="3.54"/>
    <s v="0.00"/>
    <s v="96.46"/>
  </r>
  <r>
    <x v="8"/>
    <x v="183"/>
    <n v="1"/>
    <n v="0"/>
    <n v="0"/>
    <s v="0.00"/>
    <s v="0.00"/>
    <s v="100.00"/>
  </r>
  <r>
    <x v="8"/>
    <x v="184"/>
    <n v="8121196"/>
    <n v="71298"/>
    <n v="605612"/>
    <s v="0.88"/>
    <s v="0.00"/>
    <s v="99.12"/>
  </r>
  <r>
    <x v="8"/>
    <x v="185"/>
    <n v="58106"/>
    <n v="1729"/>
    <n v="5854"/>
    <s v="2.98"/>
    <s v="0.00"/>
    <s v="97.02"/>
  </r>
  <r>
    <x v="8"/>
    <x v="186"/>
    <n v="16428"/>
    <n v="847"/>
    <n v="8685"/>
    <s v="5.16"/>
    <s v="0.00"/>
    <s v="94.84"/>
  </r>
  <r>
    <x v="8"/>
    <x v="187"/>
    <n v="26154"/>
    <n v="725"/>
    <n v="11161"/>
    <s v="2.77"/>
    <s v="0.00"/>
    <s v="97.23"/>
  </r>
  <r>
    <x v="8"/>
    <x v="188"/>
    <n v="3118140"/>
    <n v="73888"/>
    <n v="2427584"/>
    <s v="2.37"/>
    <s v="0.00"/>
    <s v="97.63"/>
  </r>
  <r>
    <x v="8"/>
    <x v="189"/>
    <n v="126321"/>
    <n v="3219"/>
    <n v="80463"/>
    <s v="2.55"/>
    <s v="0.00"/>
    <s v="97.45"/>
  </r>
  <r>
    <x v="8"/>
    <x v="190"/>
    <n v="46257736"/>
    <n v="750728"/>
    <n v="20259282"/>
    <s v="1.62"/>
    <s v="0.00"/>
    <s v="98.38"/>
  </r>
  <r>
    <x v="8"/>
    <x v="191"/>
    <n v="394443"/>
    <n v="6080"/>
    <n v="135340"/>
    <s v="1.54"/>
    <s v="0.00"/>
    <s v="98.46"/>
  </r>
  <r>
    <x v="8"/>
    <x v="192"/>
    <n v="186793"/>
    <n v="1329"/>
    <n v="914"/>
    <s v="0.71"/>
    <s v="0.00"/>
    <s v="99.29"/>
  </r>
  <r>
    <x v="8"/>
    <x v="193"/>
    <n v="27"/>
    <n v="0"/>
    <n v="14"/>
    <s v="0.00"/>
    <s v="0.00"/>
    <s v="100.00"/>
  </r>
  <r>
    <x v="8"/>
    <x v="194"/>
    <n v="5050"/>
    <n v="69"/>
    <n v="995"/>
    <s v="1.37"/>
    <s v="0.00"/>
    <s v="98.63"/>
  </r>
  <r>
    <x v="8"/>
    <x v="195"/>
    <n v="409695"/>
    <n v="4925"/>
    <n v="288448"/>
    <s v="1.20"/>
    <s v="0.00"/>
    <s v="98.80"/>
  </r>
  <r>
    <x v="8"/>
    <x v="196"/>
    <n v="939463"/>
    <n v="22283"/>
    <n v="134040"/>
    <s v="2.37"/>
    <s v="0.00"/>
    <s v="97.63"/>
  </r>
  <r>
    <x v="8"/>
    <x v="197"/>
    <n v="6"/>
    <n v="1"/>
    <n v="3"/>
    <s v="16.67"/>
    <s v="0.00"/>
    <s v="83.33"/>
  </r>
  <r>
    <x v="8"/>
    <x v="198"/>
    <n v="3"/>
    <n v="0"/>
    <n v="0"/>
    <s v="0.00"/>
    <s v="0.00"/>
    <s v="100.00"/>
  </r>
  <r>
    <x v="8"/>
    <x v="199"/>
    <n v="160809"/>
    <n v="2978"/>
    <n v="134778"/>
    <s v="1.85"/>
    <s v="0.00"/>
    <s v="98.15"/>
  </r>
  <r>
    <x v="8"/>
    <x v="200"/>
    <n v="9810"/>
    <n v="1897"/>
    <n v="6281"/>
    <s v="19.34"/>
    <s v="0.00"/>
    <s v="80.66"/>
  </r>
  <r>
    <x v="8"/>
    <x v="201"/>
    <n v="20612"/>
    <n v="185"/>
    <n v="15258"/>
    <s v="0.90"/>
    <s v="0.00"/>
    <s v="99.10"/>
  </r>
  <r>
    <x v="8"/>
    <x v="202"/>
    <n v="2922735"/>
    <n v="89220"/>
    <n v="2388628"/>
    <s v="3.05"/>
    <s v="0.00"/>
    <s v="96.95"/>
  </r>
  <r>
    <x v="8"/>
    <x v="203"/>
    <n v="209781"/>
    <n v="3661"/>
    <n v="68577"/>
    <s v="1.75"/>
    <s v="0.00"/>
    <s v="98.25"/>
  </r>
  <r>
    <x v="8"/>
    <x v="204"/>
    <n v="133091"/>
    <n v="4684"/>
    <n v="43005"/>
    <s v="3.52"/>
    <s v="0.00"/>
    <s v="96.48"/>
  </r>
  <r>
    <x v="8"/>
    <x v="205"/>
    <n v="721"/>
    <n v="15"/>
    <n v="8"/>
    <s v="2.08"/>
    <s v="0.00"/>
    <s v="97.92"/>
  </r>
  <r>
    <x v="9"/>
    <x v="205"/>
    <n v="721"/>
    <n v="15"/>
    <n v="512"/>
    <s v="2.08"/>
    <s v="0.00"/>
    <s v="97.92"/>
  </r>
  <r>
    <x v="9"/>
    <x v="204"/>
    <n v="133047"/>
    <n v="4683"/>
    <n v="125173"/>
    <s v="3.52"/>
    <s v="0.00"/>
    <s v="96.48"/>
  </r>
  <r>
    <x v="9"/>
    <x v="203"/>
    <n v="209760"/>
    <n v="3661"/>
    <n v="79943"/>
    <s v="1.75"/>
    <s v="0.00"/>
    <s v="98.25"/>
  </r>
  <r>
    <x v="9"/>
    <x v="202"/>
    <n v="2922391"/>
    <n v="89197"/>
    <n v="1408198"/>
    <s v="3.05"/>
    <s v="0.00"/>
    <s v="96.95"/>
  </r>
  <r>
    <x v="9"/>
    <x v="201"/>
    <n v="20587"/>
    <n v="185"/>
    <n v="7759"/>
    <s v="0.90"/>
    <s v="0.00"/>
    <s v="99.10"/>
  </r>
  <r>
    <x v="9"/>
    <x v="200"/>
    <n v="9806"/>
    <n v="1894"/>
    <n v="2425"/>
    <s v="19.31"/>
    <s v="0.00"/>
    <s v="80.69"/>
  </r>
  <r>
    <x v="9"/>
    <x v="199"/>
    <n v="160788"/>
    <n v="2977"/>
    <n v="52631"/>
    <s v="1.85"/>
    <s v="0.00"/>
    <s v="98.15"/>
  </r>
  <r>
    <x v="9"/>
    <x v="198"/>
    <n v="3"/>
    <n v="0"/>
    <n v="2"/>
    <s v="0.00"/>
    <s v="0.00"/>
    <s v="100.00"/>
  </r>
  <r>
    <x v="9"/>
    <x v="197"/>
    <n v="6"/>
    <n v="1"/>
    <n v="2"/>
    <s v="16.67"/>
    <s v="0.00"/>
    <s v="83.33"/>
  </r>
  <r>
    <x v="9"/>
    <x v="196"/>
    <n v="932357"/>
    <n v="22205"/>
    <n v="861566"/>
    <s v="2.38"/>
    <s v="0.00"/>
    <s v="97.62"/>
  </r>
  <r>
    <x v="9"/>
    <x v="195"/>
    <n v="408727"/>
    <n v="4915"/>
    <n v="118230"/>
    <s v="1.20"/>
    <s v="0.00"/>
    <s v="98.80"/>
  </r>
  <r>
    <x v="9"/>
    <x v="194"/>
    <n v="5012"/>
    <n v="69"/>
    <n v="1885"/>
    <s v="1.38"/>
    <s v="0.00"/>
    <s v="98.62"/>
  </r>
  <r>
    <x v="9"/>
    <x v="193"/>
    <n v="27"/>
    <n v="0"/>
    <n v="26"/>
    <s v="0.00"/>
    <s v="0.00"/>
    <s v="100.00"/>
  </r>
  <r>
    <x v="9"/>
    <x v="192"/>
    <n v="186793"/>
    <n v="1329"/>
    <n v="16675"/>
    <s v="0.71"/>
    <s v="0.00"/>
    <s v="99.29"/>
  </r>
  <r>
    <x v="9"/>
    <x v="191"/>
    <n v="394248"/>
    <n v="6080"/>
    <n v="163081"/>
    <s v="1.54"/>
    <s v="0.00"/>
    <s v="98.46"/>
  </r>
  <r>
    <x v="9"/>
    <x v="190"/>
    <n v="46173367"/>
    <n v="748822"/>
    <n v="18272856"/>
    <s v="1.62"/>
    <s v="0.00"/>
    <s v="98.38"/>
  </r>
  <r>
    <x v="9"/>
    <x v="189"/>
    <n v="126272"/>
    <n v="3217"/>
    <n v="81407"/>
    <s v="2.55"/>
    <s v="0.00"/>
    <s v="97.45"/>
  </r>
  <r>
    <x v="9"/>
    <x v="188"/>
    <n v="3093661"/>
    <n v="73136"/>
    <n v="2566494"/>
    <s v="2.36"/>
    <s v="0.00"/>
    <s v="97.64"/>
  </r>
  <r>
    <x v="9"/>
    <x v="187"/>
    <n v="26154"/>
    <n v="725"/>
    <n v="16476"/>
    <s v="2.77"/>
    <s v="0.00"/>
    <s v="97.23"/>
  </r>
  <r>
    <x v="9"/>
    <x v="186"/>
    <n v="16421"/>
    <n v="847"/>
    <n v="5521"/>
    <s v="5.16"/>
    <s v="0.00"/>
    <s v="94.84"/>
  </r>
  <r>
    <x v="9"/>
    <x v="185"/>
    <n v="57713"/>
    <n v="1720"/>
    <n v="36785"/>
    <s v="2.98"/>
    <s v="0.00"/>
    <s v="97.02"/>
  </r>
  <r>
    <x v="9"/>
    <x v="184"/>
    <n v="8091432"/>
    <n v="71052"/>
    <n v="2141585"/>
    <s v="0.88"/>
    <s v="0.00"/>
    <s v="99.12"/>
  </r>
  <r>
    <x v="9"/>
    <x v="183"/>
    <n v="1"/>
    <n v="0"/>
    <n v="1"/>
    <s v="0.00"/>
    <s v="0.00"/>
    <s v="100.00"/>
  </r>
  <r>
    <x v="9"/>
    <x v="182"/>
    <n v="712880"/>
    <n v="25250"/>
    <n v="280891"/>
    <s v="3.54"/>
    <s v="0.00"/>
    <s v="96.46"/>
  </r>
  <r>
    <x v="9"/>
    <x v="181"/>
    <n v="19790"/>
    <n v="122"/>
    <n v="6814"/>
    <s v="0.62"/>
    <s v="0.00"/>
    <s v="99.38"/>
  </r>
  <r>
    <x v="9"/>
    <x v="180"/>
    <n v="17486"/>
    <n v="125"/>
    <n v="1746"/>
    <s v="0.71"/>
    <s v="0.00"/>
    <s v="99.29"/>
  </r>
  <r>
    <x v="9"/>
    <x v="179"/>
    <n v="1935442"/>
    <n v="19394"/>
    <n v="644116"/>
    <s v="1.00"/>
    <s v="0.00"/>
    <s v="99.00"/>
  </r>
  <r>
    <x v="9"/>
    <x v="178"/>
    <n v="26086"/>
    <n v="242"/>
    <n v="24819"/>
    <s v="0.93"/>
    <s v="0.00"/>
    <s v="99.07"/>
  </r>
  <r>
    <x v="9"/>
    <x v="177"/>
    <n v="5107"/>
    <n v="175"/>
    <n v="2721"/>
    <s v="3.43"/>
    <s v="0.00"/>
    <s v="96.57"/>
  </r>
  <r>
    <x v="9"/>
    <x v="176"/>
    <n v="46438"/>
    <n v="1242"/>
    <n v="41856"/>
    <s v="2.67"/>
    <s v="0.00"/>
    <s v="97.33"/>
  </r>
  <r>
    <x v="9"/>
    <x v="175"/>
    <n v="43666"/>
    <n v="2576"/>
    <n v="23113"/>
    <s v="5.90"/>
    <s v="0.00"/>
    <s v="94.10"/>
  </r>
  <r>
    <x v="9"/>
    <x v="174"/>
    <n v="113422"/>
    <n v="3647"/>
    <n v="67461"/>
    <s v="3.22"/>
    <s v="0.00"/>
    <s v="96.78"/>
  </r>
  <r>
    <x v="9"/>
    <x v="173"/>
    <n v="3715"/>
    <n v="56"/>
    <n v="1892"/>
    <s v="1.51"/>
    <s v="0.00"/>
    <s v="98.49"/>
  </r>
  <r>
    <x v="9"/>
    <x v="172"/>
    <n v="12421"/>
    <n v="133"/>
    <n v="5838"/>
    <s v="1.07"/>
    <s v="0.00"/>
    <s v="98.93"/>
  </r>
  <r>
    <x v="9"/>
    <x v="171"/>
    <n v="49119"/>
    <n v="1094"/>
    <n v="35765"/>
    <s v="2.23"/>
    <s v="0.00"/>
    <s v="97.77"/>
  </r>
  <r>
    <x v="9"/>
    <x v="170"/>
    <n v="21998"/>
    <n v="1208"/>
    <n v="3998"/>
    <s v="5.49"/>
    <s v="0.00"/>
    <s v="94.51"/>
  </r>
  <r>
    <x v="9"/>
    <x v="169"/>
    <n v="73922"/>
    <n v="1878"/>
    <n v="45784"/>
    <s v="2.54"/>
    <s v="0.00"/>
    <s v="97.46"/>
  </r>
  <r>
    <x v="9"/>
    <x v="168"/>
    <n v="5547"/>
    <n v="92"/>
    <n v="3488"/>
    <s v="1.66"/>
    <s v="0.00"/>
    <s v="98.34"/>
  </r>
  <r>
    <x v="9"/>
    <x v="167"/>
    <n v="6398"/>
    <n v="121"/>
    <n v="3194"/>
    <s v="1.89"/>
    <s v="0.00"/>
    <s v="98.11"/>
  </r>
  <r>
    <x v="9"/>
    <x v="166"/>
    <n v="487916"/>
    <n v="13076"/>
    <n v="176744"/>
    <s v="2.68"/>
    <s v="0.00"/>
    <s v="97.32"/>
  </r>
  <r>
    <x v="9"/>
    <x v="165"/>
    <n v="338246"/>
    <n v="4766"/>
    <n v="50358"/>
    <s v="1.41"/>
    <s v="0.00"/>
    <s v="98.59"/>
  </r>
  <r>
    <x v="9"/>
    <x v="164"/>
    <n v="204340"/>
    <n v="430"/>
    <n v="164284"/>
    <s v="0.21"/>
    <s v="0.00"/>
    <s v="99.79"/>
  </r>
  <r>
    <x v="9"/>
    <x v="163"/>
    <n v="1174273"/>
    <n v="15040"/>
    <n v="801756"/>
    <s v="1.28"/>
    <s v="0.00"/>
    <s v="98.72"/>
  </r>
  <r>
    <x v="9"/>
    <x v="162"/>
    <n v="40433"/>
    <n v="3099"/>
    <n v="17643"/>
    <s v="7.66"/>
    <s v="0.00"/>
    <s v="92.34"/>
  </r>
  <r>
    <x v="9"/>
    <x v="161"/>
    <n v="22280"/>
    <n v="119"/>
    <n v="4809"/>
    <s v="0.53"/>
    <s v="0.00"/>
    <s v="99.47"/>
  </r>
  <r>
    <x v="9"/>
    <x v="160"/>
    <n v="20"/>
    <n v="0"/>
    <n v="13"/>
    <s v="0.00"/>
    <s v="0.00"/>
    <s v="100.00"/>
  </r>
  <r>
    <x v="9"/>
    <x v="159"/>
    <n v="548711"/>
    <n v="8798"/>
    <n v="18648"/>
    <s v="1.60"/>
    <s v="0.00"/>
    <s v="98.40"/>
  </r>
  <r>
    <x v="9"/>
    <x v="158"/>
    <n v="99765"/>
    <n v="1332"/>
    <n v="21910"/>
    <s v="1.34"/>
    <s v="0.00"/>
    <s v="98.66"/>
  </r>
  <r>
    <x v="9"/>
    <x v="157"/>
    <n v="8455232"/>
    <n v="236462"/>
    <n v="2341875"/>
    <s v="2.80"/>
    <s v="0.00"/>
    <s v="97.20"/>
  </r>
  <r>
    <x v="9"/>
    <x v="156"/>
    <n v="1155756"/>
    <n v="10078"/>
    <n v="775725"/>
    <s v="0.87"/>
    <s v="0.00"/>
    <s v="99.13"/>
  </r>
  <r>
    <x v="9"/>
    <x v="155"/>
    <n v="1666097"/>
    <n v="48664"/>
    <n v="1207743"/>
    <s v="2.92"/>
    <s v="0.00"/>
    <s v="97.08"/>
  </r>
  <r>
    <x v="9"/>
    <x v="154"/>
    <n v="54668"/>
    <n v="374"/>
    <n v="1065"/>
    <s v="0.68"/>
    <s v="0.00"/>
    <s v="99.32"/>
  </r>
  <r>
    <x v="9"/>
    <x v="153"/>
    <n v="239508"/>
    <n v="611"/>
    <n v="181582"/>
    <s v="0.26"/>
    <s v="0.00"/>
    <s v="99.74"/>
  </r>
  <r>
    <x v="9"/>
    <x v="152"/>
    <n v="461132"/>
    <n v="16250"/>
    <n v="143114"/>
    <s v="3.52"/>
    <s v="0.00"/>
    <s v="96.48"/>
  </r>
  <r>
    <x v="9"/>
    <x v="151"/>
    <n v="8"/>
    <n v="0"/>
    <n v="7"/>
    <s v="0.00"/>
    <s v="0.00"/>
    <s v="100.00"/>
  </r>
  <r>
    <x v="9"/>
    <x v="150"/>
    <n v="1091592"/>
    <n v="18171"/>
    <n v="178185"/>
    <s v="1.66"/>
    <s v="0.00"/>
    <s v="98.34"/>
  </r>
  <r>
    <x v="9"/>
    <x v="149"/>
    <n v="454172"/>
    <n v="4689"/>
    <n v="6669"/>
    <s v="1.03"/>
    <s v="0.00"/>
    <s v="98.97"/>
  </r>
  <r>
    <x v="9"/>
    <x v="148"/>
    <n v="3034668"/>
    <n v="77021"/>
    <n v="471516"/>
    <s v="2.54"/>
    <s v="0.00"/>
    <s v="97.46"/>
  </r>
  <r>
    <x v="9"/>
    <x v="147"/>
    <n v="1274578"/>
    <n v="28477"/>
    <n v="1096876"/>
    <s v="2.23"/>
    <s v="0.00"/>
    <s v="97.77"/>
  </r>
  <r>
    <x v="9"/>
    <x v="146"/>
    <n v="2792656"/>
    <n v="43404"/>
    <n v="2359012"/>
    <s v="1.55"/>
    <s v="0.00"/>
    <s v="98.45"/>
  </r>
  <r>
    <x v="9"/>
    <x v="145"/>
    <n v="30035"/>
    <n v="385"/>
    <n v="11481"/>
    <s v="1.28"/>
    <s v="0.00"/>
    <s v="98.72"/>
  </r>
  <r>
    <x v="9"/>
    <x v="144"/>
    <n v="45541"/>
    <n v="636"/>
    <n v="12536"/>
    <s v="1.40"/>
    <s v="0.00"/>
    <s v="98.60"/>
  </r>
  <r>
    <x v="9"/>
    <x v="143"/>
    <n v="2202189"/>
    <n v="200276"/>
    <n v="1081999"/>
    <s v="9.09"/>
    <s v="0.00"/>
    <s v="90.91"/>
  </r>
  <r>
    <x v="9"/>
    <x v="142"/>
    <n v="472877"/>
    <n v="7315"/>
    <n v="185994"/>
    <s v="1.55"/>
    <s v="0.00"/>
    <s v="98.45"/>
  </r>
  <r>
    <x v="9"/>
    <x v="141"/>
    <n v="304308"/>
    <n v="4111"/>
    <n v="2652"/>
    <s v="1.35"/>
    <s v="0.00"/>
    <s v="98.65"/>
  </r>
  <r>
    <x v="9"/>
    <x v="140"/>
    <n v="6833"/>
    <n v="28"/>
    <n v="6523"/>
    <s v="0.41"/>
    <s v="0.00"/>
    <s v="99.59"/>
  </r>
  <r>
    <x v="9"/>
    <x v="139"/>
    <n v="813433"/>
    <n v="11427"/>
    <n v="137923"/>
    <s v="1.40"/>
    <s v="0.00"/>
    <s v="98.60"/>
  </r>
  <r>
    <x v="9"/>
    <x v="138"/>
    <n v="210241"/>
    <n v="902"/>
    <n v="164665"/>
    <s v="0.43"/>
    <s v="0.00"/>
    <s v="99.57"/>
  </r>
  <r>
    <x v="9"/>
    <x v="137"/>
    <n v="2187466"/>
    <n v="18881"/>
    <n v="1445529"/>
    <s v="0.86"/>
    <s v="0.00"/>
    <s v="99.14"/>
  </r>
  <r>
    <x v="9"/>
    <x v="136"/>
    <n v="16699"/>
    <n v="208"/>
    <n v="6529"/>
    <s v="1.25"/>
    <s v="0.00"/>
    <s v="98.75"/>
  </r>
  <r>
    <x v="9"/>
    <x v="135"/>
    <n v="212150"/>
    <n v="2899"/>
    <n v="114237"/>
    <s v="1.37"/>
    <s v="0.00"/>
    <s v="98.63"/>
  </r>
  <r>
    <x v="9"/>
    <x v="134"/>
    <n v="6399"/>
    <n v="216"/>
    <n v="5940"/>
    <s v="3.38"/>
    <s v="0.00"/>
    <s v="96.62"/>
  </r>
  <r>
    <x v="9"/>
    <x v="133"/>
    <n v="11052"/>
    <n v="267"/>
    <n v="4845"/>
    <s v="2.42"/>
    <s v="0.00"/>
    <s v="97.58"/>
  </r>
  <r>
    <x v="9"/>
    <x v="132"/>
    <n v="128956"/>
    <n v="3556"/>
    <n v="116715"/>
    <s v="2.76"/>
    <s v="0.00"/>
    <s v="97.24"/>
  </r>
  <r>
    <x v="9"/>
    <x v="131"/>
    <n v="151316"/>
    <n v="1932"/>
    <n v="112381"/>
    <s v="1.28"/>
    <s v="0.00"/>
    <s v="98.72"/>
  </r>
  <r>
    <x v="9"/>
    <x v="130"/>
    <n v="2481339"/>
    <n v="29045"/>
    <n v="1627569"/>
    <s v="1.17"/>
    <s v="0.00"/>
    <s v="98.83"/>
  </r>
  <r>
    <x v="9"/>
    <x v="129"/>
    <n v="3808205"/>
    <n v="288464"/>
    <n v="697905"/>
    <s v="7.57"/>
    <s v="0.00"/>
    <s v="92.43"/>
  </r>
  <r>
    <x v="9"/>
    <x v="128"/>
    <n v="61802"/>
    <n v="2302"/>
    <n v="48132"/>
    <s v="3.72"/>
    <s v="0.00"/>
    <s v="96.28"/>
  </r>
  <r>
    <x v="9"/>
    <x v="127"/>
    <n v="88058"/>
    <n v="243"/>
    <n v="21628"/>
    <s v="0.28"/>
    <s v="0.00"/>
    <s v="99.72"/>
  </r>
  <r>
    <x v="9"/>
    <x v="126"/>
    <n v="17812"/>
    <n v="176"/>
    <n v="11237"/>
    <s v="0.99"/>
    <s v="0.00"/>
    <s v="99.01"/>
  </r>
  <r>
    <x v="9"/>
    <x v="125"/>
    <n v="37702"/>
    <n v="462"/>
    <n v="31671"/>
    <s v="1.23"/>
    <s v="0.00"/>
    <s v="98.77"/>
  </r>
  <r>
    <x v="9"/>
    <x v="124"/>
    <n v="37435"/>
    <n v="798"/>
    <n v="9087"/>
    <s v="2.13"/>
    <s v="0.00"/>
    <s v="97.87"/>
  </r>
  <r>
    <x v="9"/>
    <x v="123"/>
    <n v="43347"/>
    <n v="683"/>
    <n v="15066"/>
    <s v="1.58"/>
    <s v="0.00"/>
    <s v="98.42"/>
  </r>
  <r>
    <x v="9"/>
    <x v="122"/>
    <n v="77"/>
    <n v="0"/>
    <n v="33"/>
    <s v="0.00"/>
    <s v="0.00"/>
    <s v="100.00"/>
  </r>
  <r>
    <x v="9"/>
    <x v="121"/>
    <n v="362772"/>
    <n v="1767"/>
    <n v="67899"/>
    <s v="0.49"/>
    <s v="0.00"/>
    <s v="99.51"/>
  </r>
  <r>
    <x v="9"/>
    <x v="120"/>
    <n v="502024"/>
    <n v="18728"/>
    <n v="163496"/>
    <s v="3.73"/>
    <s v="0.00"/>
    <s v="96.27"/>
  </r>
  <r>
    <x v="9"/>
    <x v="119"/>
    <n v="16148"/>
    <n v="568"/>
    <n v="3061"/>
    <s v="3.52"/>
    <s v="0.00"/>
    <s v="96.48"/>
  </r>
  <r>
    <x v="9"/>
    <x v="118"/>
    <n v="203298"/>
    <n v="7159"/>
    <n v="21997"/>
    <s v="3.52"/>
    <s v="0.00"/>
    <s v="96.48"/>
  </r>
  <r>
    <x v="9"/>
    <x v="117"/>
    <n v="4"/>
    <n v="0"/>
    <n v="1"/>
    <s v="0.00"/>
    <s v="0.00"/>
    <s v="100.00"/>
  </r>
  <r>
    <x v="9"/>
    <x v="116"/>
    <n v="43632"/>
    <n v="964"/>
    <n v="14358"/>
    <s v="2.21"/>
    <s v="0.00"/>
    <s v="97.79"/>
  </r>
  <r>
    <x v="9"/>
    <x v="115"/>
    <n v="3920"/>
    <n v="56"/>
    <n v="2162"/>
    <s v="1.43"/>
    <s v="0.00"/>
    <s v="98.57"/>
  </r>
  <r>
    <x v="9"/>
    <x v="114"/>
    <n v="145314"/>
    <n v="2113"/>
    <n v="79731"/>
    <s v="1.45"/>
    <s v="0.00"/>
    <s v="98.55"/>
  </r>
  <r>
    <x v="9"/>
    <x v="113"/>
    <n v="340188"/>
    <n v="7870"/>
    <n v="223428"/>
    <s v="2.31"/>
    <s v="0.00"/>
    <s v="97.69"/>
  </r>
  <r>
    <x v="9"/>
    <x v="112"/>
    <n v="3414"/>
    <n v="36"/>
    <n v="2294"/>
    <s v="1.05"/>
    <s v="0.00"/>
    <s v="98.95"/>
  </r>
  <r>
    <x v="9"/>
    <x v="111"/>
    <n v="946543"/>
    <n v="14683"/>
    <n v="227055"/>
    <s v="1.55"/>
    <s v="0.00"/>
    <s v="98.45"/>
  </r>
  <r>
    <x v="9"/>
    <x v="110"/>
    <n v="358463"/>
    <n v="5139"/>
    <n v="152183"/>
    <s v="1.43"/>
    <s v="0.00"/>
    <s v="98.57"/>
  </r>
  <r>
    <x v="9"/>
    <x v="109"/>
    <n v="221795"/>
    <n v="3312"/>
    <n v="2618"/>
    <s v="1.49"/>
    <s v="0.00"/>
    <s v="98.51"/>
  </r>
  <r>
    <x v="9"/>
    <x v="108"/>
    <n v="82092"/>
    <n v="848"/>
    <n v="30185"/>
    <s v="1.03"/>
    <s v="0.00"/>
    <s v="98.97"/>
  </r>
  <r>
    <x v="9"/>
    <x v="107"/>
    <n v="412769"/>
    <n v="5936"/>
    <n v="126041"/>
    <s v="1.44"/>
    <s v="0.00"/>
    <s v="98.56"/>
  </r>
  <r>
    <x v="9"/>
    <x v="106"/>
    <n v="21640"/>
    <n v="658"/>
    <n v="8896"/>
    <s v="3.04"/>
    <s v="0.00"/>
    <s v="96.96"/>
  </r>
  <r>
    <x v="9"/>
    <x v="105"/>
    <n v="5815"/>
    <n v="287"/>
    <n v="828"/>
    <s v="4.94"/>
    <s v="0.00"/>
    <s v="95.06"/>
  </r>
  <r>
    <x v="9"/>
    <x v="104"/>
    <n v="542212"/>
    <n v="13770"/>
    <n v="81697"/>
    <s v="2.54"/>
    <s v="0.00"/>
    <s v="97.46"/>
  </r>
  <r>
    <x v="9"/>
    <x v="103"/>
    <n v="3685"/>
    <n v="61"/>
    <n v="488"/>
    <s v="1.66"/>
    <s v="0.00"/>
    <s v="98.34"/>
  </r>
  <r>
    <x v="9"/>
    <x v="102"/>
    <n v="12586"/>
    <n v="258"/>
    <n v="6199"/>
    <s v="2.05"/>
    <s v="0.00"/>
    <s v="97.95"/>
  </r>
  <r>
    <x v="9"/>
    <x v="101"/>
    <n v="643047"/>
    <n v="8515"/>
    <n v="273671"/>
    <s v="1.32"/>
    <s v="0.00"/>
    <s v="98.68"/>
  </r>
  <r>
    <x v="9"/>
    <x v="100"/>
    <n v="41829"/>
    <n v="70"/>
    <n v="17757"/>
    <s v="0.17"/>
    <s v="0.00"/>
    <s v="99.83"/>
  </r>
  <r>
    <x v="9"/>
    <x v="99"/>
    <n v="1022944"/>
    <n v="17175"/>
    <n v="934439"/>
    <s v="1.68"/>
    <s v="0.00"/>
    <s v="98.32"/>
  </r>
  <r>
    <x v="9"/>
    <x v="98"/>
    <n v="412731"/>
    <n v="2462"/>
    <n v="245979"/>
    <s v="0.60"/>
    <s v="0.00"/>
    <s v="99.40"/>
  </r>
  <r>
    <x v="9"/>
    <x v="97"/>
    <n v="370640"/>
    <n v="2892"/>
    <n v="90565"/>
    <s v="0.78"/>
    <s v="0.00"/>
    <s v="99.22"/>
  </r>
  <r>
    <x v="9"/>
    <x v="96"/>
    <n v="2686"/>
    <n v="25"/>
    <n v="841"/>
    <s v="0.93"/>
    <s v="0.00"/>
    <s v="99.07"/>
  </r>
  <r>
    <x v="9"/>
    <x v="95"/>
    <n v="4272"/>
    <n v="147"/>
    <n v="3288"/>
    <s v="3.44"/>
    <s v="0.00"/>
    <s v="96.56"/>
  </r>
  <r>
    <x v="9"/>
    <x v="93"/>
    <n v="118787"/>
    <n v="2807"/>
    <n v="98326"/>
    <s v="2.36"/>
    <s v="0.00"/>
    <s v="97.64"/>
  </r>
  <r>
    <x v="9"/>
    <x v="94"/>
    <n v="2"/>
    <n v="0"/>
    <n v="1"/>
    <s v="0.00"/>
    <s v="0.00"/>
    <s v="100.00"/>
  </r>
  <r>
    <x v="9"/>
    <x v="92"/>
    <n v="181499"/>
    <n v="2676"/>
    <n v="107019"/>
    <s v="1.47"/>
    <s v="0.00"/>
    <s v="98.53"/>
  </r>
  <r>
    <x v="9"/>
    <x v="91"/>
    <n v="253409"/>
    <n v="5282"/>
    <n v="134479"/>
    <s v="2.08"/>
    <s v="0.00"/>
    <s v="97.92"/>
  </r>
  <r>
    <x v="9"/>
    <x v="90"/>
    <n v="1722648"/>
    <n v="18278"/>
    <n v="708443"/>
    <s v="1.06"/>
    <s v="0.00"/>
    <s v="98.94"/>
  </r>
  <r>
    <x v="9"/>
    <x v="89"/>
    <n v="866451"/>
    <n v="11062"/>
    <n v="573339"/>
    <s v="1.28"/>
    <s v="0.00"/>
    <s v="98.72"/>
  </r>
  <r>
    <x v="9"/>
    <x v="88"/>
    <n v="89170"/>
    <n v="2246"/>
    <n v="32711"/>
    <s v="2.52"/>
    <s v="0.00"/>
    <s v="97.48"/>
  </r>
  <r>
    <x v="9"/>
    <x v="87"/>
    <n v="4777614"/>
    <n v="132161"/>
    <n v="3483514"/>
    <s v="2.77"/>
    <s v="0.00"/>
    <s v="97.23"/>
  </r>
  <r>
    <x v="9"/>
    <x v="86"/>
    <n v="13829"/>
    <n v="34"/>
    <n v="8972"/>
    <s v="0.25"/>
    <s v="0.00"/>
    <s v="99.75"/>
  </r>
  <r>
    <x v="9"/>
    <x v="85"/>
    <n v="5944599"/>
    <n v="126616"/>
    <n v="5260731"/>
    <s v="2.13"/>
    <s v="0.00"/>
    <s v="97.87"/>
  </r>
  <r>
    <x v="9"/>
    <x v="84"/>
    <n v="2057716"/>
    <n v="23223"/>
    <n v="696162"/>
    <s v="1.13"/>
    <s v="0.00"/>
    <s v="98.87"/>
  </r>
  <r>
    <x v="9"/>
    <x v="83"/>
    <n v="34308140"/>
    <n v="459191"/>
    <n v="18985247"/>
    <s v="1.34"/>
    <s v="0.00"/>
    <s v="98.66"/>
  </r>
  <r>
    <x v="9"/>
    <x v="82"/>
    <n v="1331597"/>
    <n v="8106"/>
    <n v="762090"/>
    <s v="0.61"/>
    <s v="0.00"/>
    <s v="99.39"/>
  </r>
  <r>
    <x v="9"/>
    <x v="81"/>
    <n v="452172"/>
    <n v="5436"/>
    <n v="319580"/>
    <s v="1.20"/>
    <s v="0.00"/>
    <s v="98.80"/>
  </r>
  <r>
    <x v="9"/>
    <x v="80"/>
    <n v="4245373"/>
    <n v="143457"/>
    <n v="1035543"/>
    <s v="3.38"/>
    <s v="0.00"/>
    <s v="96.62"/>
  </r>
  <r>
    <x v="9"/>
    <x v="79"/>
    <n v="876497"/>
    <n v="30920"/>
    <n v="76438"/>
    <s v="3.53"/>
    <s v="0.00"/>
    <s v="96.47"/>
  </r>
  <r>
    <x v="9"/>
    <x v="78"/>
    <n v="24004"/>
    <n v="677"/>
    <n v="1080"/>
    <s v="2.82"/>
    <s v="0.00"/>
    <s v="97.18"/>
  </r>
  <r>
    <x v="9"/>
    <x v="77"/>
    <n v="472259"/>
    <n v="9291"/>
    <n v="220531"/>
    <s v="1.97"/>
    <s v="0.00"/>
    <s v="98.03"/>
  </r>
  <r>
    <x v="9"/>
    <x v="76"/>
    <n v="375877"/>
    <n v="10273"/>
    <n v="12878"/>
    <s v="2.73"/>
    <s v="0.00"/>
    <s v="97.27"/>
  </r>
  <r>
    <x v="9"/>
    <x v="75"/>
    <n v="12349"/>
    <n v="213"/>
    <n v="7702"/>
    <s v="1.72"/>
    <s v="0.00"/>
    <s v="98.28"/>
  </r>
  <r>
    <x v="9"/>
    <x v="74"/>
    <n v="35719"/>
    <n v="926"/>
    <n v="46"/>
    <s v="2.59"/>
    <s v="0.00"/>
    <s v="97.41"/>
  </r>
  <r>
    <x v="9"/>
    <x v="73"/>
    <n v="6134"/>
    <n v="141"/>
    <n v="5009"/>
    <s v="2.30"/>
    <s v="0.00"/>
    <s v="97.70"/>
  </r>
  <r>
    <x v="9"/>
    <x v="72"/>
    <n v="601793"/>
    <n v="15179"/>
    <n v="568631"/>
    <s v="2.52"/>
    <s v="0.00"/>
    <s v="97.48"/>
  </r>
  <r>
    <x v="9"/>
    <x v="71"/>
    <n v="754451"/>
    <n v="16050"/>
    <n v="435314"/>
    <s v="2.13"/>
    <s v="0.00"/>
    <s v="97.87"/>
  </r>
  <r>
    <x v="9"/>
    <x v="70"/>
    <n v="13377"/>
    <n v="167"/>
    <n v="10509"/>
    <s v="1.25"/>
    <s v="0.00"/>
    <s v="98.75"/>
  </r>
  <r>
    <x v="9"/>
    <x v="69"/>
    <n v="54288"/>
    <n v="815"/>
    <n v="24586"/>
    <s v="1.50"/>
    <s v="0.00"/>
    <s v="98.50"/>
  </r>
  <r>
    <x v="9"/>
    <x v="68"/>
    <n v="30672"/>
    <n v="385"/>
    <n v="13881"/>
    <s v="1.26"/>
    <s v="0.00"/>
    <s v="98.74"/>
  </r>
  <r>
    <x v="9"/>
    <x v="67"/>
    <n v="9973"/>
    <n v="341"/>
    <n v="6831"/>
    <s v="3.42"/>
    <s v="0.00"/>
    <s v="96.58"/>
  </r>
  <r>
    <x v="9"/>
    <x v="66"/>
    <n v="6029"/>
    <n v="98"/>
    <n v="2175"/>
    <s v="1.63"/>
    <s v="0.00"/>
    <s v="98.37"/>
  </r>
  <r>
    <x v="9"/>
    <x v="65"/>
    <n v="130287"/>
    <n v="1182"/>
    <n v="3805"/>
    <s v="0.91"/>
    <s v="0.00"/>
    <s v="99.09"/>
  </r>
  <r>
    <x v="9"/>
    <x v="64"/>
    <n v="44629"/>
    <n v="308"/>
    <n v="5583"/>
    <s v="0.69"/>
    <s v="0.00"/>
    <s v="99.31"/>
  </r>
  <r>
    <x v="9"/>
    <x v="62"/>
    <n v="5850"/>
    <n v="198"/>
    <n v="2201"/>
    <s v="3.38"/>
    <s v="0.00"/>
    <s v="96.62"/>
  </r>
  <r>
    <x v="9"/>
    <x v="63"/>
    <n v="726941"/>
    <n v="10136"/>
    <n v="690210"/>
    <s v="1.39"/>
    <s v="0.00"/>
    <s v="98.61"/>
  </r>
  <r>
    <x v="9"/>
    <x v="61"/>
    <n v="9168124"/>
    <n v="141292"/>
    <n v="5242320"/>
    <s v="1.54"/>
    <s v="0.00"/>
    <s v="98.46"/>
  </r>
  <r>
    <x v="9"/>
    <x v="60"/>
    <n v="35841"/>
    <n v="244"/>
    <n v="28956"/>
    <s v="0.68"/>
    <s v="0.00"/>
    <s v="99.32"/>
  </r>
  <r>
    <x v="9"/>
    <x v="59"/>
    <n v="6992825"/>
    <n v="115390"/>
    <n v="788005"/>
    <s v="1.65"/>
    <s v="0.00"/>
    <s v="98.35"/>
  </r>
  <r>
    <x v="9"/>
    <x v="58"/>
    <n v="2288"/>
    <n v="3"/>
    <n v="485"/>
    <s v="0.13"/>
    <s v="0.00"/>
    <s v="99.87"/>
  </r>
  <r>
    <x v="9"/>
    <x v="57"/>
    <n v="52180"/>
    <n v="674"/>
    <n v="49838"/>
    <s v="1.29"/>
    <s v="0.00"/>
    <s v="98.71"/>
  </r>
  <r>
    <x v="9"/>
    <x v="56"/>
    <n v="159798"/>
    <n v="1173"/>
    <n v="90906"/>
    <s v="0.73"/>
    <s v="0.00"/>
    <s v="99.27"/>
  </r>
  <r>
    <x v="9"/>
    <x v="55"/>
    <n v="365776"/>
    <n v="6486"/>
    <n v="272775"/>
    <s v="1.77"/>
    <s v="0.00"/>
    <s v="98.23"/>
  </r>
  <r>
    <x v="9"/>
    <x v="54"/>
    <n v="5016968"/>
    <n v="87423"/>
    <n v="792573"/>
    <s v="1.74"/>
    <s v="0.00"/>
    <s v="98.26"/>
  </r>
  <r>
    <x v="9"/>
    <x v="53"/>
    <n v="6860"/>
    <n v="45"/>
    <n v="5754"/>
    <s v="0.66"/>
    <s v="0.00"/>
    <s v="99.34"/>
  </r>
  <r>
    <x v="9"/>
    <x v="52"/>
    <n v="332889"/>
    <n v="18769"/>
    <n v="313524"/>
    <s v="5.64"/>
    <s v="0.00"/>
    <s v="94.36"/>
  </r>
  <r>
    <x v="9"/>
    <x v="51"/>
    <n v="196951"/>
    <n v="1550"/>
    <n v="120201"/>
    <s v="0.79"/>
    <s v="0.00"/>
    <s v="99.21"/>
  </r>
  <r>
    <x v="9"/>
    <x v="50"/>
    <n v="515859"/>
    <n v="32958"/>
    <n v="70513"/>
    <s v="6.39"/>
    <s v="0.00"/>
    <s v="93.61"/>
  </r>
  <r>
    <x v="9"/>
    <x v="49"/>
    <n v="206649"/>
    <n v="5927"/>
    <n v="13473"/>
    <s v="2.87"/>
    <s v="0.00"/>
    <s v="97.13"/>
  </r>
  <r>
    <x v="9"/>
    <x v="48"/>
    <n v="383317"/>
    <n v="4138"/>
    <n v="83353"/>
    <s v="1.08"/>
    <s v="0.00"/>
    <s v="98.92"/>
  </r>
  <r>
    <x v="9"/>
    <x v="47"/>
    <n v="4823"/>
    <n v="32"/>
    <n v="2439"/>
    <s v="0.66"/>
    <s v="0.00"/>
    <s v="99.34"/>
  </r>
  <r>
    <x v="9"/>
    <x v="46"/>
    <n v="392044"/>
    <n v="2716"/>
    <n v="81319"/>
    <s v="0.69"/>
    <s v="0.00"/>
    <s v="99.31"/>
  </r>
  <r>
    <x v="9"/>
    <x v="45"/>
    <n v="13486"/>
    <n v="182"/>
    <n v="6087"/>
    <s v="1.35"/>
    <s v="0.00"/>
    <s v="98.65"/>
  </r>
  <r>
    <x v="9"/>
    <x v="44"/>
    <n v="4649964"/>
    <n v="96031"/>
    <n v="3827737"/>
    <s v="2.07"/>
    <s v="0.00"/>
    <s v="97.93"/>
  </r>
  <r>
    <x v="9"/>
    <x v="43"/>
    <n v="1773291"/>
    <n v="30807"/>
    <n v="52742"/>
    <s v="1.74"/>
    <s v="0.00"/>
    <s v="98.26"/>
  </r>
  <r>
    <x v="9"/>
    <x v="42"/>
    <n v="124724"/>
    <n v="576"/>
    <n v="7767"/>
    <s v="0.46"/>
    <s v="0.00"/>
    <s v="99.54"/>
  </r>
  <r>
    <x v="9"/>
    <x v="41"/>
    <n v="38219"/>
    <n v="349"/>
    <n v="13575"/>
    <s v="0.91"/>
    <s v="0.00"/>
    <s v="99.09"/>
  </r>
  <r>
    <x v="9"/>
    <x v="40"/>
    <n v="953183"/>
    <n v="8246"/>
    <n v="819198"/>
    <s v="0.87"/>
    <s v="0.00"/>
    <s v="99.13"/>
  </r>
  <r>
    <x v="9"/>
    <x v="39"/>
    <n v="561054"/>
    <n v="7093"/>
    <n v="204507"/>
    <s v="1.26"/>
    <s v="0.00"/>
    <s v="98.74"/>
  </r>
  <r>
    <x v="9"/>
    <x v="38"/>
    <n v="5005402"/>
    <n v="127348"/>
    <n v="2620729"/>
    <s v="2.54"/>
    <s v="0.00"/>
    <s v="97.46"/>
  </r>
  <r>
    <x v="9"/>
    <x v="37"/>
    <n v="97424"/>
    <n v="4636"/>
    <n v="90093"/>
    <s v="4.76"/>
    <s v="0.00"/>
    <s v="95.24"/>
  </r>
  <r>
    <x v="9"/>
    <x v="36"/>
    <n v="102499"/>
    <n v="1686"/>
    <n v="45753"/>
    <s v="1.64"/>
    <s v="0.00"/>
    <s v="98.36"/>
  </r>
  <r>
    <x v="9"/>
    <x v="35"/>
    <n v="1698127"/>
    <n v="37782"/>
    <n v="1258593"/>
    <s v="2.22"/>
    <s v="0.00"/>
    <s v="97.78"/>
  </r>
  <r>
    <x v="9"/>
    <x v="34"/>
    <n v="61319"/>
    <n v="696"/>
    <n v="36878"/>
    <s v="1.14"/>
    <s v="0.00"/>
    <s v="98.86"/>
  </r>
  <r>
    <x v="9"/>
    <x v="33"/>
    <n v="879051"/>
    <n v="11259"/>
    <n v="53217"/>
    <s v="1.28"/>
    <s v="0.00"/>
    <s v="98.72"/>
  </r>
  <r>
    <x v="9"/>
    <x v="32"/>
    <n v="17670"/>
    <n v="278"/>
    <n v="7517"/>
    <s v="1.57"/>
    <s v="0.00"/>
    <s v="98.43"/>
  </r>
  <r>
    <x v="9"/>
    <x v="31"/>
    <n v="11579"/>
    <n v="100"/>
    <n v="7212"/>
    <s v="0.86"/>
    <s v="0.00"/>
    <s v="99.14"/>
  </r>
  <r>
    <x v="9"/>
    <x v="30"/>
    <n v="57565"/>
    <n v="1098"/>
    <n v="273"/>
    <s v="1.91"/>
    <s v="0.00"/>
    <s v="98.09"/>
  </r>
  <r>
    <x v="9"/>
    <x v="29"/>
    <n v="1728543"/>
    <n v="29110"/>
    <n v="506753"/>
    <s v="1.68"/>
    <s v="0.00"/>
    <s v="98.32"/>
  </r>
  <r>
    <x v="9"/>
    <x v="28"/>
    <n v="27305"/>
    <n v="499"/>
    <n v="13137"/>
    <s v="1.83"/>
    <s v="0.00"/>
    <s v="98.17"/>
  </r>
  <r>
    <x v="9"/>
    <x v="27"/>
    <n v="604037"/>
    <n v="4662"/>
    <n v="496464"/>
    <s v="0.77"/>
    <s v="0.00"/>
    <s v="99.23"/>
  </r>
  <r>
    <x v="9"/>
    <x v="26"/>
    <n v="187281"/>
    <n v="2407"/>
    <n v="91810"/>
    <s v="1.29"/>
    <s v="0.00"/>
    <s v="98.71"/>
  </r>
  <r>
    <x v="9"/>
    <x v="25"/>
    <n v="2621"/>
    <n v="3"/>
    <n v="439"/>
    <s v="0.11"/>
    <s v="0.00"/>
    <s v="99.89"/>
  </r>
  <r>
    <x v="9"/>
    <x v="24"/>
    <n v="22429"/>
    <n v="643"/>
    <n v="19847"/>
    <s v="2.87"/>
    <s v="0.00"/>
    <s v="97.13"/>
  </r>
  <r>
    <x v="9"/>
    <x v="23"/>
    <n v="21821124"/>
    <n v="608071"/>
    <n v="2659884"/>
    <s v="2.79"/>
    <s v="0.00"/>
    <s v="97.21"/>
  </r>
  <r>
    <x v="9"/>
    <x v="22"/>
    <n v="513810"/>
    <n v="18928"/>
    <n v="483083"/>
    <s v="3.68"/>
    <s v="0.00"/>
    <s v="96.32"/>
  </r>
  <r>
    <x v="9"/>
    <x v="21"/>
    <n v="13321"/>
    <n v="89"/>
    <n v="2392"/>
    <s v="0.67"/>
    <s v="0.00"/>
    <s v="99.33"/>
  </r>
  <r>
    <x v="9"/>
    <x v="20"/>
    <n v="1659"/>
    <n v="6"/>
    <n v="853"/>
    <s v="0.36"/>
    <s v="0.00"/>
    <s v="99.64"/>
  </r>
  <r>
    <x v="9"/>
    <x v="19"/>
    <n v="24749"/>
    <n v="161"/>
    <n v="16732"/>
    <s v="0.65"/>
    <s v="0.00"/>
    <s v="99.35"/>
  </r>
  <r>
    <x v="9"/>
    <x v="18"/>
    <n v="20087"/>
    <n v="38"/>
    <n v="12211"/>
    <s v="0.19"/>
    <s v="0.00"/>
    <s v="99.81"/>
  </r>
  <r>
    <x v="9"/>
    <x v="17"/>
    <n v="276917"/>
    <n v="1393"/>
    <n v="202598"/>
    <s v="0.50"/>
    <s v="0.00"/>
    <s v="99.50"/>
  </r>
  <r>
    <x v="9"/>
    <x v="16"/>
    <n v="614362"/>
    <n v="24454"/>
    <n v="231235"/>
    <s v="3.98"/>
    <s v="0.00"/>
    <s v="96.02"/>
  </r>
  <r>
    <x v="9"/>
    <x v="15"/>
    <n v="15103"/>
    <n v="221"/>
    <n v="5855"/>
    <s v="1.46"/>
    <s v="0.00"/>
    <s v="98.54"/>
  </r>
  <r>
    <x v="9"/>
    <x v="14"/>
    <n v="1360650"/>
    <n v="25994"/>
    <n v="947981"/>
    <s v="1.91"/>
    <s v="0.00"/>
    <s v="98.09"/>
  </r>
  <r>
    <x v="9"/>
    <x v="13"/>
    <n v="1569982"/>
    <n v="27873"/>
    <n v="1344739"/>
    <s v="1.78"/>
    <s v="0.00"/>
    <s v="98.22"/>
  </r>
  <r>
    <x v="9"/>
    <x v="12"/>
    <n v="18459"/>
    <n v="158"/>
    <n v="17239"/>
    <s v="0.86"/>
    <s v="0.00"/>
    <s v="99.14"/>
  </r>
  <r>
    <x v="9"/>
    <x v="11"/>
    <n v="255054"/>
    <n v="11654"/>
    <n v="229501"/>
    <s v="4.57"/>
    <s v="0.00"/>
    <s v="95.43"/>
  </r>
  <r>
    <x v="9"/>
    <x v="10"/>
    <n v="534748"/>
    <n v="7132"/>
    <n v="467959"/>
    <s v="1.33"/>
    <s v="0.00"/>
    <s v="98.67"/>
  </r>
  <r>
    <x v="9"/>
    <x v="9"/>
    <n v="174276"/>
    <n v="1768"/>
    <n v="11482"/>
    <s v="1.01"/>
    <s v="0.00"/>
    <s v="98.99"/>
  </r>
  <r>
    <x v="9"/>
    <x v="8"/>
    <n v="840902"/>
    <n v="11380"/>
    <n v="127241"/>
    <s v="1.35"/>
    <s v="0.00"/>
    <s v="98.65"/>
  </r>
  <r>
    <x v="9"/>
    <x v="7"/>
    <n v="5291285"/>
    <n v="116010"/>
    <n v="2620675"/>
    <s v="2.19"/>
    <s v="0.00"/>
    <s v="97.81"/>
  </r>
  <r>
    <x v="9"/>
    <x v="6"/>
    <n v="64487"/>
    <n v="1713"/>
    <n v="21186"/>
    <s v="2.66"/>
    <s v="0.00"/>
    <s v="97.34"/>
  </r>
  <r>
    <x v="9"/>
    <x v="5"/>
    <n v="310629"/>
    <n v="6441"/>
    <n v="211653"/>
    <s v="2.07"/>
    <s v="0.00"/>
    <s v="97.93"/>
  </r>
  <r>
    <x v="9"/>
    <x v="4"/>
    <n v="186222"/>
    <n v="2937"/>
    <n v="11324"/>
    <s v="1.58"/>
    <s v="0.00"/>
    <s v="98.42"/>
  </r>
  <r>
    <x v="9"/>
    <x v="3"/>
    <n v="4069"/>
    <n v="102"/>
    <n v="3960"/>
    <s v="2.51"/>
    <s v="0.00"/>
    <s v="97.49"/>
  </r>
  <r>
    <x v="9"/>
    <x v="2"/>
    <n v="156307"/>
    <n v="7281"/>
    <n v="7881"/>
    <s v="4.66"/>
    <s v="0.00"/>
    <s v="95.34"/>
  </r>
  <r>
    <x v="9"/>
    <x v="1"/>
    <n v="740057"/>
    <n v="2137"/>
    <n v="112023"/>
    <s v="0.29"/>
    <s v="0.00"/>
    <s v="99.71"/>
  </r>
  <r>
    <x v="9"/>
    <x v="0"/>
    <n v="15516"/>
    <n v="130"/>
    <n v="3990"/>
    <s v="0.84"/>
    <s v="0.00"/>
    <s v="99.16"/>
  </r>
  <r>
    <x v="10"/>
    <x v="0"/>
    <n v="15516"/>
    <n v="130"/>
    <n v="9793"/>
    <s v="0.84"/>
    <s v="0.00"/>
    <s v="99.16"/>
  </r>
  <r>
    <x v="10"/>
    <x v="1"/>
    <n v="739983"/>
    <n v="2136"/>
    <n v="170830"/>
    <s v="0.29"/>
    <s v="0.00"/>
    <s v="99.71"/>
  </r>
  <r>
    <x v="10"/>
    <x v="2"/>
    <n v="156284"/>
    <n v="7281"/>
    <n v="115739"/>
    <s v="4.66"/>
    <s v="0.00"/>
    <s v="95.34"/>
  </r>
  <r>
    <x v="10"/>
    <x v="3"/>
    <n v="4062"/>
    <n v="102"/>
    <n v="1442"/>
    <s v="2.51"/>
    <s v="0.00"/>
    <s v="97.49"/>
  </r>
  <r>
    <x v="10"/>
    <x v="4"/>
    <n v="185497"/>
    <n v="2931"/>
    <n v="126024"/>
    <s v="1.58"/>
    <s v="0.00"/>
    <s v="98.42"/>
  </r>
  <r>
    <x v="10"/>
    <x v="5"/>
    <n v="309397"/>
    <n v="6379"/>
    <n v="127303"/>
    <s v="2.06"/>
    <s v="0.00"/>
    <s v="97.94"/>
  </r>
  <r>
    <x v="10"/>
    <x v="6"/>
    <n v="64458"/>
    <n v="1713"/>
    <n v="2386"/>
    <s v="2.66"/>
    <s v="0.00"/>
    <s v="97.34"/>
  </r>
  <r>
    <x v="10"/>
    <x v="7"/>
    <n v="5289945"/>
    <n v="115989"/>
    <n v="1285817"/>
    <s v="2.19"/>
    <s v="0.00"/>
    <s v="97.81"/>
  </r>
  <r>
    <x v="10"/>
    <x v="8"/>
    <n v="835504"/>
    <n v="11369"/>
    <n v="498017"/>
    <s v="1.36"/>
    <s v="0.00"/>
    <s v="98.64"/>
  </r>
  <r>
    <x v="10"/>
    <x v="9"/>
    <n v="173165"/>
    <n v="1756"/>
    <n v="148552"/>
    <s v="1.01"/>
    <s v="0.00"/>
    <s v="98.99"/>
  </r>
  <r>
    <x v="10"/>
    <x v="10"/>
    <n v="532570"/>
    <n v="7101"/>
    <n v="213714"/>
    <s v="1.33"/>
    <s v="0.00"/>
    <s v="98.67"/>
  </r>
  <r>
    <x v="10"/>
    <x v="11"/>
    <n v="254348"/>
    <n v="11607"/>
    <n v="46177"/>
    <s v="4.56"/>
    <s v="0.00"/>
    <s v="95.44"/>
  </r>
  <r>
    <x v="10"/>
    <x v="12"/>
    <n v="18023"/>
    <n v="156"/>
    <n v="10623"/>
    <s v="0.87"/>
    <s v="0.00"/>
    <s v="99.13"/>
  </r>
  <r>
    <x v="10"/>
    <x v="13"/>
    <n v="1569753"/>
    <n v="27870"/>
    <n v="48686"/>
    <s v="1.78"/>
    <s v="0.00"/>
    <s v="98.22"/>
  </r>
  <r>
    <x v="10"/>
    <x v="14"/>
    <n v="1360650"/>
    <n v="25994"/>
    <n v="176513"/>
    <s v="1.91"/>
    <s v="0.00"/>
    <s v="98.09"/>
  </r>
  <r>
    <x v="10"/>
    <x v="15"/>
    <n v="14793"/>
    <n v="214"/>
    <n v="12639"/>
    <s v="1.45"/>
    <s v="0.00"/>
    <s v="98.55"/>
  </r>
  <r>
    <x v="10"/>
    <x v="16"/>
    <n v="608499"/>
    <n v="24309"/>
    <n v="355842"/>
    <s v="3.99"/>
    <s v="0.00"/>
    <s v="96.01"/>
  </r>
  <r>
    <x v="10"/>
    <x v="17"/>
    <n v="276874"/>
    <n v="1393"/>
    <n v="271268"/>
    <s v="0.50"/>
    <s v="0.00"/>
    <s v="99.50"/>
  </r>
  <r>
    <x v="10"/>
    <x v="18"/>
    <n v="20078"/>
    <n v="38"/>
    <n v="15978"/>
    <s v="0.19"/>
    <s v="0.00"/>
    <s v="99.81"/>
  </r>
  <r>
    <x v="10"/>
    <x v="19"/>
    <n v="24749"/>
    <n v="161"/>
    <n v="9224"/>
    <s v="0.65"/>
    <s v="0.00"/>
    <s v="99.35"/>
  </r>
  <r>
    <x v="10"/>
    <x v="20"/>
    <n v="1659"/>
    <n v="6"/>
    <n v="924"/>
    <s v="0.36"/>
    <s v="0.00"/>
    <s v="99.64"/>
  </r>
  <r>
    <x v="10"/>
    <x v="21"/>
    <n v="13246"/>
    <n v="89"/>
    <n v="2874"/>
    <s v="0.67"/>
    <s v="0.00"/>
    <s v="99.33"/>
  </r>
  <r>
    <x v="10"/>
    <x v="22"/>
    <n v="513810"/>
    <n v="18928"/>
    <n v="479533"/>
    <s v="3.68"/>
    <s v="0.00"/>
    <s v="96.32"/>
  </r>
  <r>
    <x v="10"/>
    <x v="23"/>
    <n v="21814693"/>
    <n v="607922"/>
    <n v="5386171"/>
    <s v="2.79"/>
    <s v="0.00"/>
    <s v="97.21"/>
  </r>
  <r>
    <x v="10"/>
    <x v="24"/>
    <n v="22407"/>
    <n v="643"/>
    <n v="18399"/>
    <s v="2.87"/>
    <s v="0.00"/>
    <s v="97.13"/>
  </r>
  <r>
    <x v="10"/>
    <x v="25"/>
    <n v="2621"/>
    <n v="3"/>
    <n v="2597"/>
    <s v="0.11"/>
    <s v="0.00"/>
    <s v="99.89"/>
  </r>
  <r>
    <x v="10"/>
    <x v="26"/>
    <n v="187281"/>
    <n v="2407"/>
    <n v="31921"/>
    <s v="1.29"/>
    <s v="0.00"/>
    <s v="98.71"/>
  </r>
  <r>
    <x v="10"/>
    <x v="27"/>
    <n v="602058"/>
    <n v="4646"/>
    <n v="452592"/>
    <s v="0.77"/>
    <s v="0.00"/>
    <s v="99.23"/>
  </r>
  <r>
    <x v="10"/>
    <x v="28"/>
    <n v="27149"/>
    <n v="495"/>
    <n v="17180"/>
    <s v="1.82"/>
    <s v="0.00"/>
    <s v="98.18"/>
  </r>
  <r>
    <x v="10"/>
    <x v="29"/>
    <n v="1726732"/>
    <n v="29077"/>
    <n v="1438659"/>
    <s v="1.68"/>
    <s v="0.00"/>
    <s v="98.32"/>
  </r>
  <r>
    <x v="10"/>
    <x v="30"/>
    <n v="57565"/>
    <n v="1098"/>
    <n v="45359"/>
    <s v="1.91"/>
    <s v="0.00"/>
    <s v="98.09"/>
  </r>
  <r>
    <x v="10"/>
    <x v="31"/>
    <n v="11579"/>
    <n v="100"/>
    <n v="9417"/>
    <s v="0.86"/>
    <s v="0.00"/>
    <s v="99.14"/>
  </r>
  <r>
    <x v="10"/>
    <x v="32"/>
    <n v="17670"/>
    <n v="278"/>
    <n v="9129"/>
    <s v="1.57"/>
    <s v="0.00"/>
    <s v="98.43"/>
  </r>
  <r>
    <x v="10"/>
    <x v="33"/>
    <n v="877098"/>
    <n v="11242"/>
    <n v="769215"/>
    <s v="1.28"/>
    <s v="0.00"/>
    <s v="98.72"/>
  </r>
  <r>
    <x v="10"/>
    <x v="34"/>
    <n v="61311"/>
    <n v="696"/>
    <n v="58780"/>
    <s v="1.14"/>
    <s v="0.00"/>
    <s v="98.86"/>
  </r>
  <r>
    <x v="10"/>
    <x v="35"/>
    <n v="1696786"/>
    <n v="37777"/>
    <n v="1146527"/>
    <s v="2.23"/>
    <s v="0.00"/>
    <s v="97.77"/>
  </r>
  <r>
    <x v="10"/>
    <x v="36"/>
    <n v="102499"/>
    <n v="1686"/>
    <n v="32761"/>
    <s v="1.64"/>
    <s v="0.00"/>
    <s v="98.36"/>
  </r>
  <r>
    <x v="10"/>
    <x v="37"/>
    <n v="97314"/>
    <n v="4636"/>
    <n v="12360"/>
    <s v="4.76"/>
    <s v="0.00"/>
    <s v="95.24"/>
  </r>
  <r>
    <x v="10"/>
    <x v="38"/>
    <n v="5003977"/>
    <n v="127311"/>
    <n v="4355962"/>
    <s v="2.54"/>
    <s v="0.00"/>
    <s v="97.46"/>
  </r>
  <r>
    <x v="10"/>
    <x v="39"/>
    <n v="560563"/>
    <n v="7078"/>
    <n v="208112"/>
    <s v="1.26"/>
    <s v="0.00"/>
    <s v="98.74"/>
  </r>
  <r>
    <x v="10"/>
    <x v="40"/>
    <n v="952634"/>
    <n v="8240"/>
    <n v="738518"/>
    <s v="0.86"/>
    <s v="0.00"/>
    <s v="99.14"/>
  </r>
  <r>
    <x v="10"/>
    <x v="41"/>
    <n v="38218"/>
    <n v="349"/>
    <n v="14514"/>
    <s v="0.91"/>
    <s v="0.00"/>
    <s v="99.09"/>
  </r>
  <r>
    <x v="10"/>
    <x v="42"/>
    <n v="124444"/>
    <n v="575"/>
    <n v="59126"/>
    <s v="0.46"/>
    <s v="0.00"/>
    <s v="99.54"/>
  </r>
  <r>
    <x v="10"/>
    <x v="43"/>
    <n v="1765654"/>
    <n v="30775"/>
    <n v="166400"/>
    <s v="1.74"/>
    <s v="0.00"/>
    <s v="98.26"/>
  </r>
  <r>
    <x v="10"/>
    <x v="44"/>
    <n v="4619273"/>
    <n v="95838"/>
    <n v="826890"/>
    <s v="2.07"/>
    <s v="0.00"/>
    <s v="97.93"/>
  </r>
  <r>
    <x v="10"/>
    <x v="45"/>
    <n v="13482"/>
    <n v="181"/>
    <n v="8087"/>
    <s v="1.34"/>
    <s v="0.00"/>
    <s v="98.66"/>
  </r>
  <r>
    <x v="10"/>
    <x v="46"/>
    <n v="390050"/>
    <n v="2716"/>
    <n v="326646"/>
    <s v="0.70"/>
    <s v="0.00"/>
    <s v="99.30"/>
  </r>
  <r>
    <x v="10"/>
    <x v="47"/>
    <n v="4823"/>
    <n v="32"/>
    <n v="886"/>
    <s v="0.66"/>
    <s v="0.00"/>
    <s v="99.34"/>
  </r>
  <r>
    <x v="10"/>
    <x v="48"/>
    <n v="382476"/>
    <n v="4133"/>
    <n v="123844"/>
    <s v="1.08"/>
    <s v="0.00"/>
    <s v="98.92"/>
  </r>
  <r>
    <x v="10"/>
    <x v="49"/>
    <n v="206566"/>
    <n v="5924"/>
    <n v="120347"/>
    <s v="2.87"/>
    <s v="0.00"/>
    <s v="97.13"/>
  </r>
  <r>
    <x v="10"/>
    <x v="50"/>
    <n v="515859"/>
    <n v="32958"/>
    <n v="151026"/>
    <s v="6.39"/>
    <s v="0.00"/>
    <s v="93.61"/>
  </r>
  <r>
    <x v="10"/>
    <x v="51"/>
    <n v="195382"/>
    <n v="1540"/>
    <n v="192355"/>
    <s v="0.79"/>
    <s v="0.00"/>
    <s v="99.21"/>
  </r>
  <r>
    <x v="10"/>
    <x v="52"/>
    <n v="331968"/>
    <n v="18711"/>
    <n v="261755"/>
    <s v="5.64"/>
    <s v="0.00"/>
    <s v="94.36"/>
  </r>
  <r>
    <x v="10"/>
    <x v="53"/>
    <n v="6839"/>
    <n v="45"/>
    <n v="2790"/>
    <s v="0.66"/>
    <s v="0.00"/>
    <s v="99.34"/>
  </r>
  <r>
    <x v="10"/>
    <x v="54"/>
    <n v="5011148"/>
    <n v="87368"/>
    <n v="865489"/>
    <s v="1.74"/>
    <s v="0.00"/>
    <s v="98.26"/>
  </r>
  <r>
    <x v="10"/>
    <x v="55"/>
    <n v="365372"/>
    <n v="6467"/>
    <n v="39440"/>
    <s v="1.77"/>
    <s v="0.00"/>
    <s v="98.23"/>
  </r>
  <r>
    <x v="10"/>
    <x v="56"/>
    <n v="158991"/>
    <n v="1170"/>
    <n v="152936"/>
    <s v="0.74"/>
    <s v="0.00"/>
    <s v="99.26"/>
  </r>
  <r>
    <x v="10"/>
    <x v="57"/>
    <n v="52180"/>
    <n v="674"/>
    <n v="15936"/>
    <s v="1.29"/>
    <s v="0.00"/>
    <s v="98.71"/>
  </r>
  <r>
    <x v="10"/>
    <x v="58"/>
    <n v="2212"/>
    <n v="3"/>
    <n v="788"/>
    <s v="0.14"/>
    <s v="0.00"/>
    <s v="99.86"/>
  </r>
  <r>
    <x v="10"/>
    <x v="59"/>
    <n v="6990818"/>
    <n v="115303"/>
    <n v="2525513"/>
    <s v="1.65"/>
    <s v="0.00"/>
    <s v="98.35"/>
  </r>
  <r>
    <x v="10"/>
    <x v="60"/>
    <n v="35525"/>
    <n v="239"/>
    <n v="22497"/>
    <s v="0.67"/>
    <s v="0.00"/>
    <s v="99.33"/>
  </r>
  <r>
    <x v="10"/>
    <x v="61"/>
    <n v="9134444"/>
    <n v="141000"/>
    <n v="6914840"/>
    <s v="1.54"/>
    <s v="0.00"/>
    <s v="98.46"/>
  </r>
  <r>
    <x v="10"/>
    <x v="63"/>
    <n v="721388"/>
    <n v="10089"/>
    <n v="332449"/>
    <s v="1.40"/>
    <s v="0.00"/>
    <s v="98.60"/>
  </r>
  <r>
    <x v="10"/>
    <x v="62"/>
    <n v="5850"/>
    <n v="198"/>
    <n v="4728"/>
    <s v="3.38"/>
    <s v="0.00"/>
    <s v="96.62"/>
  </r>
  <r>
    <x v="10"/>
    <x v="64"/>
    <n v="44629"/>
    <n v="308"/>
    <n v="42943"/>
    <s v="0.69"/>
    <s v="0.00"/>
    <s v="99.31"/>
  </r>
  <r>
    <x v="10"/>
    <x v="65"/>
    <n v="130077"/>
    <n v="1175"/>
    <n v="114442"/>
    <s v="0.90"/>
    <s v="0.00"/>
    <s v="99.10"/>
  </r>
  <r>
    <x v="10"/>
    <x v="66"/>
    <n v="5997"/>
    <n v="98"/>
    <n v="1014"/>
    <s v="1.63"/>
    <s v="0.00"/>
    <s v="98.37"/>
  </r>
  <r>
    <x v="10"/>
    <x v="67"/>
    <n v="9967"/>
    <n v="340"/>
    <n v="631"/>
    <s v="3.41"/>
    <s v="0.00"/>
    <s v="96.59"/>
  </r>
  <r>
    <x v="10"/>
    <x v="68"/>
    <n v="30667"/>
    <n v="385"/>
    <n v="29515"/>
    <s v="1.26"/>
    <s v="0.00"/>
    <s v="98.74"/>
  </r>
  <r>
    <x v="10"/>
    <x v="69"/>
    <n v="54288"/>
    <n v="815"/>
    <n v="44583"/>
    <s v="1.50"/>
    <s v="0.00"/>
    <s v="98.50"/>
  </r>
  <r>
    <x v="10"/>
    <x v="70"/>
    <n v="13368"/>
    <n v="167"/>
    <n v="6058"/>
    <s v="1.25"/>
    <s v="0.00"/>
    <s v="98.75"/>
  </r>
  <r>
    <x v="10"/>
    <x v="71"/>
    <n v="747595"/>
    <n v="15990"/>
    <n v="38167"/>
    <s v="2.14"/>
    <s v="0.00"/>
    <s v="97.86"/>
  </r>
  <r>
    <x v="10"/>
    <x v="72"/>
    <n v="601657"/>
    <n v="15137"/>
    <n v="275290"/>
    <s v="2.52"/>
    <s v="0.00"/>
    <s v="97.48"/>
  </r>
  <r>
    <x v="10"/>
    <x v="73"/>
    <n v="6134"/>
    <n v="141"/>
    <n v="1208"/>
    <s v="2.30"/>
    <s v="0.00"/>
    <s v="97.70"/>
  </r>
  <r>
    <x v="10"/>
    <x v="74"/>
    <n v="35657"/>
    <n v="925"/>
    <n v="20615"/>
    <s v="2.59"/>
    <s v="0.00"/>
    <s v="97.41"/>
  </r>
  <r>
    <x v="10"/>
    <x v="75"/>
    <n v="12347"/>
    <n v="213"/>
    <n v="7573"/>
    <s v="1.73"/>
    <s v="0.00"/>
    <s v="98.27"/>
  </r>
  <r>
    <x v="10"/>
    <x v="76"/>
    <n v="375381"/>
    <n v="10239"/>
    <n v="146821"/>
    <s v="2.73"/>
    <s v="0.00"/>
    <s v="97.27"/>
  </r>
  <r>
    <x v="10"/>
    <x v="77"/>
    <n v="471474"/>
    <n v="9251"/>
    <n v="427645"/>
    <s v="1.96"/>
    <s v="0.00"/>
    <s v="98.04"/>
  </r>
  <r>
    <x v="10"/>
    <x v="78"/>
    <n v="23960"/>
    <n v="671"/>
    <n v="15429"/>
    <s v="2.80"/>
    <s v="0.00"/>
    <s v="97.20"/>
  </r>
  <r>
    <x v="10"/>
    <x v="79"/>
    <n v="874630"/>
    <n v="30881"/>
    <n v="81780"/>
    <s v="3.53"/>
    <s v="0.00"/>
    <s v="96.47"/>
  </r>
  <r>
    <x v="10"/>
    <x v="80"/>
    <n v="4244761"/>
    <n v="143423"/>
    <n v="3718267"/>
    <s v="3.38"/>
    <s v="0.00"/>
    <s v="96.62"/>
  </r>
  <r>
    <x v="10"/>
    <x v="81"/>
    <n v="448449"/>
    <n v="5436"/>
    <n v="257027"/>
    <s v="1.21"/>
    <s v="0.00"/>
    <s v="98.79"/>
  </r>
  <r>
    <x v="10"/>
    <x v="82"/>
    <n v="1328218"/>
    <n v="8103"/>
    <n v="656126"/>
    <s v="0.61"/>
    <s v="0.00"/>
    <s v="99.39"/>
  </r>
  <r>
    <x v="10"/>
    <x v="83"/>
    <n v="34296237"/>
    <n v="458880"/>
    <n v="5758493"/>
    <s v="1.34"/>
    <s v="0.00"/>
    <s v="98.66"/>
  </r>
  <r>
    <x v="10"/>
    <x v="84"/>
    <n v="2056401"/>
    <n v="23196"/>
    <n v="834090"/>
    <s v="1.13"/>
    <s v="0.00"/>
    <s v="98.87"/>
  </r>
  <r>
    <x v="10"/>
    <x v="85"/>
    <n v="5934495"/>
    <n v="126456"/>
    <n v="3864082"/>
    <s v="2.13"/>
    <s v="0.00"/>
    <s v="97.87"/>
  </r>
  <r>
    <x v="10"/>
    <x v="86"/>
    <n v="13739"/>
    <n v="33"/>
    <n v="13197"/>
    <s v="0.24"/>
    <s v="0.00"/>
    <s v="99.76"/>
  </r>
  <r>
    <x v="10"/>
    <x v="87"/>
    <n v="4774783"/>
    <n v="132120"/>
    <n v="1830785"/>
    <s v="2.77"/>
    <s v="0.00"/>
    <s v="97.23"/>
  </r>
  <r>
    <x v="10"/>
    <x v="88"/>
    <n v="89123"/>
    <n v="2243"/>
    <n v="9591"/>
    <s v="2.52"/>
    <s v="0.00"/>
    <s v="97.48"/>
  </r>
  <r>
    <x v="10"/>
    <x v="89"/>
    <n v="864661"/>
    <n v="11052"/>
    <n v="448359"/>
    <s v="1.28"/>
    <s v="0.00"/>
    <s v="98.72"/>
  </r>
  <r>
    <x v="10"/>
    <x v="90"/>
    <n v="1722427"/>
    <n v="18271"/>
    <n v="266240"/>
    <s v="1.06"/>
    <s v="0.00"/>
    <s v="98.94"/>
  </r>
  <r>
    <x v="10"/>
    <x v="91"/>
    <n v="253339"/>
    <n v="5281"/>
    <n v="11472"/>
    <s v="2.08"/>
    <s v="0.00"/>
    <s v="97.92"/>
  </r>
  <r>
    <x v="10"/>
    <x v="92"/>
    <n v="181327"/>
    <n v="2672"/>
    <n v="8947"/>
    <s v="1.47"/>
    <s v="0.00"/>
    <s v="98.53"/>
  </r>
  <r>
    <x v="10"/>
    <x v="94"/>
    <n v="2"/>
    <n v="0"/>
    <n v="2"/>
    <s v="0.00"/>
    <s v="0.00"/>
    <s v="100.00"/>
  </r>
  <r>
    <x v="10"/>
    <x v="93"/>
    <n v="118613"/>
    <n v="2794"/>
    <n v="114731"/>
    <s v="2.36"/>
    <s v="0.00"/>
    <s v="97.64"/>
  </r>
  <r>
    <x v="10"/>
    <x v="95"/>
    <n v="4266"/>
    <n v="147"/>
    <n v="481"/>
    <s v="3.45"/>
    <s v="0.00"/>
    <s v="96.55"/>
  </r>
  <r>
    <x v="10"/>
    <x v="96"/>
    <n v="2675"/>
    <n v="25"/>
    <n v="204"/>
    <s v="0.93"/>
    <s v="0.00"/>
    <s v="99.07"/>
  </r>
  <r>
    <x v="10"/>
    <x v="97"/>
    <n v="367974"/>
    <n v="2874"/>
    <n v="263989"/>
    <s v="0.78"/>
    <s v="0.00"/>
    <s v="99.22"/>
  </r>
  <r>
    <x v="10"/>
    <x v="98"/>
    <n v="412708"/>
    <n v="2462"/>
    <n v="95305"/>
    <s v="0.60"/>
    <s v="0.00"/>
    <s v="99.40"/>
  </r>
  <r>
    <x v="10"/>
    <x v="99"/>
    <n v="1021452"/>
    <n v="17150"/>
    <n v="723251"/>
    <s v="1.68"/>
    <s v="0.00"/>
    <s v="98.32"/>
  </r>
  <r>
    <x v="10"/>
    <x v="100"/>
    <n v="40956"/>
    <n v="67"/>
    <n v="19373"/>
    <s v="0.16"/>
    <s v="0.00"/>
    <s v="99.84"/>
  </r>
  <r>
    <x v="10"/>
    <x v="101"/>
    <n v="642225"/>
    <n v="8509"/>
    <n v="375026"/>
    <s v="1.32"/>
    <s v="0.00"/>
    <s v="98.68"/>
  </r>
  <r>
    <x v="10"/>
    <x v="102"/>
    <n v="12573"/>
    <n v="255"/>
    <n v="8709"/>
    <s v="2.03"/>
    <s v="0.00"/>
    <s v="97.97"/>
  </r>
  <r>
    <x v="10"/>
    <x v="103"/>
    <n v="3662"/>
    <n v="61"/>
    <n v="594"/>
    <s v="1.67"/>
    <s v="0.00"/>
    <s v="98.33"/>
  </r>
  <r>
    <x v="10"/>
    <x v="104"/>
    <n v="541639"/>
    <n v="13760"/>
    <n v="337586"/>
    <s v="2.54"/>
    <s v="0.00"/>
    <s v="97.46"/>
  </r>
  <r>
    <x v="10"/>
    <x v="105"/>
    <n v="5815"/>
    <n v="287"/>
    <n v="2358"/>
    <s v="4.94"/>
    <s v="0.00"/>
    <s v="95.06"/>
  </r>
  <r>
    <x v="10"/>
    <x v="106"/>
    <n v="21635"/>
    <n v="658"/>
    <n v="2680"/>
    <s v="3.04"/>
    <s v="0.00"/>
    <s v="96.96"/>
  </r>
  <r>
    <x v="10"/>
    <x v="107"/>
    <n v="410580"/>
    <n v="5913"/>
    <n v="330691"/>
    <s v="1.44"/>
    <s v="0.00"/>
    <s v="98.56"/>
  </r>
  <r>
    <x v="10"/>
    <x v="108"/>
    <n v="81683"/>
    <n v="843"/>
    <n v="70785"/>
    <s v="1.03"/>
    <s v="0.00"/>
    <s v="98.97"/>
  </r>
  <r>
    <x v="10"/>
    <x v="109"/>
    <n v="219911"/>
    <n v="3269"/>
    <n v="138638"/>
    <s v="1.49"/>
    <s v="0.00"/>
    <s v="98.51"/>
  </r>
  <r>
    <x v="10"/>
    <x v="110"/>
    <n v="357964"/>
    <n v="5122"/>
    <n v="117704"/>
    <s v="1.43"/>
    <s v="0.00"/>
    <s v="98.57"/>
  </r>
  <r>
    <x v="10"/>
    <x v="111"/>
    <n v="946283"/>
    <n v="14678"/>
    <n v="424506"/>
    <s v="1.55"/>
    <s v="0.00"/>
    <s v="98.45"/>
  </r>
  <r>
    <x v="10"/>
    <x v="112"/>
    <n v="3414"/>
    <n v="36"/>
    <n v="3233"/>
    <s v="1.05"/>
    <s v="0.00"/>
    <s v="98.95"/>
  </r>
  <r>
    <x v="10"/>
    <x v="113"/>
    <n v="339114"/>
    <n v="7828"/>
    <n v="291358"/>
    <s v="2.31"/>
    <s v="0.00"/>
    <s v="97.69"/>
  </r>
  <r>
    <x v="10"/>
    <x v="114"/>
    <n v="144692"/>
    <n v="2107"/>
    <n v="3042"/>
    <s v="1.46"/>
    <s v="0.00"/>
    <s v="98.54"/>
  </r>
  <r>
    <x v="10"/>
    <x v="115"/>
    <n v="3920"/>
    <n v="56"/>
    <n v="49"/>
    <s v="1.43"/>
    <s v="0.00"/>
    <s v="98.57"/>
  </r>
  <r>
    <x v="10"/>
    <x v="116"/>
    <n v="43626"/>
    <n v="963"/>
    <n v="23173"/>
    <s v="2.21"/>
    <s v="0.00"/>
    <s v="97.79"/>
  </r>
  <r>
    <x v="10"/>
    <x v="117"/>
    <n v="4"/>
    <n v="0"/>
    <n v="0"/>
    <s v="0.00"/>
    <s v="0.00"/>
    <s v="100.00"/>
  </r>
  <r>
    <x v="10"/>
    <x v="118"/>
    <n v="202705"/>
    <n v="7145"/>
    <n v="180857"/>
    <s v="3.52"/>
    <s v="0.00"/>
    <s v="96.48"/>
  </r>
  <r>
    <x v="10"/>
    <x v="119"/>
    <n v="16098"/>
    <n v="565"/>
    <n v="11466"/>
    <s v="3.51"/>
    <s v="0.00"/>
    <s v="96.49"/>
  </r>
  <r>
    <x v="10"/>
    <x v="120"/>
    <n v="500950"/>
    <n v="18714"/>
    <n v="239523"/>
    <s v="3.74"/>
    <s v="0.00"/>
    <s v="96.26"/>
  </r>
  <r>
    <x v="10"/>
    <x v="121"/>
    <n v="361338"/>
    <n v="1755"/>
    <n v="27635"/>
    <s v="0.49"/>
    <s v="0.00"/>
    <s v="99.51"/>
  </r>
  <r>
    <x v="10"/>
    <x v="122"/>
    <n v="77"/>
    <n v="0"/>
    <n v="71"/>
    <s v="0.00"/>
    <s v="0.00"/>
    <s v="100.00"/>
  </r>
  <r>
    <x v="10"/>
    <x v="123"/>
    <n v="43347"/>
    <n v="683"/>
    <n v="6714"/>
    <s v="1.58"/>
    <s v="0.00"/>
    <s v="98.42"/>
  </r>
  <r>
    <x v="10"/>
    <x v="124"/>
    <n v="37368"/>
    <n v="797"/>
    <n v="30268"/>
    <s v="2.13"/>
    <s v="0.00"/>
    <s v="97.87"/>
  </r>
  <r>
    <x v="10"/>
    <x v="125"/>
    <n v="37673"/>
    <n v="461"/>
    <n v="36988"/>
    <s v="1.22"/>
    <s v="0.00"/>
    <s v="98.78"/>
  </r>
  <r>
    <x v="10"/>
    <x v="126"/>
    <n v="17812"/>
    <n v="176"/>
    <n v="11123"/>
    <s v="0.99"/>
    <s v="0.00"/>
    <s v="99.01"/>
  </r>
  <r>
    <x v="10"/>
    <x v="127"/>
    <n v="87915"/>
    <n v="243"/>
    <n v="439"/>
    <s v="0.28"/>
    <s v="0.00"/>
    <s v="99.72"/>
  </r>
  <r>
    <x v="10"/>
    <x v="128"/>
    <n v="61800"/>
    <n v="2302"/>
    <n v="24162"/>
    <s v="3.72"/>
    <s v="0.00"/>
    <s v="96.28"/>
  </r>
  <r>
    <x v="10"/>
    <x v="129"/>
    <n v="3807211"/>
    <n v="288365"/>
    <n v="1064224"/>
    <s v="7.57"/>
    <s v="0.00"/>
    <s v="92.43"/>
  </r>
  <r>
    <x v="10"/>
    <x v="130"/>
    <n v="2476268"/>
    <n v="28975"/>
    <n v="1841063"/>
    <s v="1.17"/>
    <s v="0.00"/>
    <s v="98.83"/>
  </r>
  <r>
    <x v="10"/>
    <x v="131"/>
    <n v="151302"/>
    <n v="1931"/>
    <n v="17573"/>
    <s v="1.28"/>
    <s v="0.00"/>
    <s v="98.72"/>
  </r>
  <r>
    <x v="10"/>
    <x v="132"/>
    <n v="128938"/>
    <n v="3554"/>
    <n v="79292"/>
    <s v="2.76"/>
    <s v="0.00"/>
    <s v="97.24"/>
  </r>
  <r>
    <x v="10"/>
    <x v="133"/>
    <n v="10985"/>
    <n v="266"/>
    <n v="7782"/>
    <s v="2.42"/>
    <s v="0.00"/>
    <s v="97.58"/>
  </r>
  <r>
    <x v="10"/>
    <x v="134"/>
    <n v="6366"/>
    <n v="213"/>
    <n v="3981"/>
    <s v="3.35"/>
    <s v="0.00"/>
    <s v="96.65"/>
  </r>
  <r>
    <x v="10"/>
    <x v="135"/>
    <n v="212051"/>
    <n v="2898"/>
    <n v="93683"/>
    <s v="1.37"/>
    <s v="0.00"/>
    <s v="98.63"/>
  </r>
  <r>
    <x v="10"/>
    <x v="136"/>
    <n v="16422"/>
    <n v="208"/>
    <n v="14774"/>
    <s v="1.27"/>
    <s v="0.00"/>
    <s v="98.73"/>
  </r>
  <r>
    <x v="10"/>
    <x v="137"/>
    <n v="2179710"/>
    <n v="18862"/>
    <n v="1157639"/>
    <s v="0.87"/>
    <s v="0.00"/>
    <s v="99.13"/>
  </r>
  <r>
    <x v="10"/>
    <x v="138"/>
    <n v="208615"/>
    <n v="902"/>
    <n v="12467"/>
    <s v="0.43"/>
    <s v="0.00"/>
    <s v="99.57"/>
  </r>
  <r>
    <x v="10"/>
    <x v="139"/>
    <n v="813011"/>
    <n v="11416"/>
    <n v="404686"/>
    <s v="1.40"/>
    <s v="0.00"/>
    <s v="98.60"/>
  </r>
  <r>
    <x v="10"/>
    <x v="140"/>
    <n v="6724"/>
    <n v="28"/>
    <n v="1183"/>
    <s v="0.42"/>
    <s v="0.00"/>
    <s v="99.58"/>
  </r>
  <r>
    <x v="10"/>
    <x v="141"/>
    <n v="304299"/>
    <n v="4111"/>
    <n v="101081"/>
    <s v="1.35"/>
    <s v="0.00"/>
    <s v="98.65"/>
  </r>
  <r>
    <x v="10"/>
    <x v="142"/>
    <n v="472664"/>
    <n v="7315"/>
    <n v="109687"/>
    <s v="1.55"/>
    <s v="0.00"/>
    <s v="98.45"/>
  </r>
  <r>
    <x v="10"/>
    <x v="143"/>
    <n v="2202189"/>
    <n v="200276"/>
    <n v="1651816"/>
    <s v="9.09"/>
    <s v="0.00"/>
    <s v="90.91"/>
  </r>
  <r>
    <x v="10"/>
    <x v="144"/>
    <n v="45541"/>
    <n v="636"/>
    <n v="14883"/>
    <s v="1.40"/>
    <s v="0.00"/>
    <s v="98.60"/>
  </r>
  <r>
    <x v="10"/>
    <x v="145"/>
    <n v="29813"/>
    <n v="370"/>
    <n v="3438"/>
    <s v="1.24"/>
    <s v="0.00"/>
    <s v="98.76"/>
  </r>
  <r>
    <x v="10"/>
    <x v="146"/>
    <n v="2790375"/>
    <n v="43276"/>
    <n v="2260636"/>
    <s v="1.55"/>
    <s v="0.00"/>
    <s v="98.45"/>
  </r>
  <r>
    <x v="10"/>
    <x v="147"/>
    <n v="1274017"/>
    <n v="28466"/>
    <n v="137635"/>
    <s v="2.23"/>
    <s v="0.00"/>
    <s v="97.77"/>
  </r>
  <r>
    <x v="10"/>
    <x v="148"/>
    <n v="3030151"/>
    <n v="77012"/>
    <n v="893441"/>
    <s v="2.54"/>
    <s v="0.00"/>
    <s v="97.46"/>
  </r>
  <r>
    <x v="10"/>
    <x v="149"/>
    <n v="453782"/>
    <n v="4681"/>
    <n v="96222"/>
    <s v="1.03"/>
    <s v="0.00"/>
    <s v="98.97"/>
  </r>
  <r>
    <x v="10"/>
    <x v="150"/>
    <n v="1091142"/>
    <n v="18162"/>
    <n v="475136"/>
    <s v="1.66"/>
    <s v="0.00"/>
    <s v="98.34"/>
  </r>
  <r>
    <x v="10"/>
    <x v="151"/>
    <n v="8"/>
    <n v="0"/>
    <n v="2"/>
    <s v="0.00"/>
    <s v="0.00"/>
    <s v="100.00"/>
  </r>
  <r>
    <x v="10"/>
    <x v="152"/>
    <n v="461086"/>
    <n v="16249"/>
    <n v="285704"/>
    <s v="3.52"/>
    <s v="0.00"/>
    <s v="96.48"/>
  </r>
  <r>
    <x v="10"/>
    <x v="153"/>
    <n v="239374"/>
    <n v="611"/>
    <n v="66500"/>
    <s v="0.26"/>
    <s v="0.00"/>
    <s v="99.74"/>
  </r>
  <r>
    <x v="10"/>
    <x v="154"/>
    <n v="54668"/>
    <n v="374"/>
    <n v="37165"/>
    <s v="0.68"/>
    <s v="0.00"/>
    <s v="99.32"/>
  </r>
  <r>
    <x v="10"/>
    <x v="155"/>
    <n v="1655024"/>
    <n v="48073"/>
    <n v="235433"/>
    <s v="2.90"/>
    <s v="0.00"/>
    <s v="97.10"/>
  </r>
  <r>
    <x v="10"/>
    <x v="156"/>
    <n v="1148645"/>
    <n v="10018"/>
    <n v="848621"/>
    <s v="0.87"/>
    <s v="0.00"/>
    <s v="99.13"/>
  </r>
  <r>
    <x v="10"/>
    <x v="157"/>
    <n v="8417305"/>
    <n v="235318"/>
    <n v="1861012"/>
    <s v="2.80"/>
    <s v="0.00"/>
    <s v="97.20"/>
  </r>
  <r>
    <x v="10"/>
    <x v="158"/>
    <n v="99727"/>
    <n v="1332"/>
    <n v="59373"/>
    <s v="1.34"/>
    <s v="0.00"/>
    <s v="98.66"/>
  </r>
  <r>
    <x v="10"/>
    <x v="159"/>
    <n v="548666"/>
    <n v="8796"/>
    <n v="539779"/>
    <s v="1.60"/>
    <s v="0.00"/>
    <s v="98.40"/>
  </r>
  <r>
    <x v="10"/>
    <x v="160"/>
    <n v="20"/>
    <n v="0"/>
    <n v="5"/>
    <s v="0.00"/>
    <s v="0.00"/>
    <s v="100.00"/>
  </r>
  <r>
    <x v="10"/>
    <x v="161"/>
    <n v="22265"/>
    <n v="119"/>
    <n v="15137"/>
    <s v="0.53"/>
    <s v="0.00"/>
    <s v="99.47"/>
  </r>
  <r>
    <x v="10"/>
    <x v="162"/>
    <n v="40433"/>
    <n v="3099"/>
    <n v="5168"/>
    <s v="7.66"/>
    <s v="0.00"/>
    <s v="92.34"/>
  </r>
  <r>
    <x v="10"/>
    <x v="163"/>
    <n v="1171512"/>
    <n v="15025"/>
    <n v="742560"/>
    <s v="1.28"/>
    <s v="0.00"/>
    <s v="98.72"/>
  </r>
  <r>
    <x v="10"/>
    <x v="164"/>
    <n v="200844"/>
    <n v="421"/>
    <n v="42577"/>
    <s v="0.21"/>
    <s v="0.00"/>
    <s v="99.79"/>
  </r>
  <r>
    <x v="10"/>
    <x v="165"/>
    <n v="337108"/>
    <n v="4756"/>
    <n v="317426"/>
    <s v="1.41"/>
    <s v="0.00"/>
    <s v="98.59"/>
  </r>
  <r>
    <x v="10"/>
    <x v="166"/>
    <n v="485629"/>
    <n v="13045"/>
    <n v="188207"/>
    <s v="2.69"/>
    <s v="0.00"/>
    <s v="97.31"/>
  </r>
  <r>
    <x v="10"/>
    <x v="167"/>
    <n v="6398"/>
    <n v="121"/>
    <n v="4183"/>
    <s v="1.89"/>
    <s v="0.00"/>
    <s v="98.11"/>
  </r>
  <r>
    <x v="10"/>
    <x v="168"/>
    <n v="5547"/>
    <n v="92"/>
    <n v="1207"/>
    <s v="1.66"/>
    <s v="0.00"/>
    <s v="98.34"/>
  </r>
  <r>
    <x v="10"/>
    <x v="169"/>
    <n v="73920"/>
    <n v="1878"/>
    <n v="43867"/>
    <s v="2.54"/>
    <s v="0.00"/>
    <s v="97.46"/>
  </r>
  <r>
    <x v="10"/>
    <x v="170"/>
    <n v="21998"/>
    <n v="1208"/>
    <n v="11560"/>
    <s v="5.49"/>
    <s v="0.00"/>
    <s v="94.51"/>
  </r>
  <r>
    <x v="10"/>
    <x v="171"/>
    <n v="49019"/>
    <n v="1092"/>
    <n v="33988"/>
    <s v="2.23"/>
    <s v="0.00"/>
    <s v="97.77"/>
  </r>
  <r>
    <x v="10"/>
    <x v="172"/>
    <n v="12410"/>
    <n v="133"/>
    <n v="2849"/>
    <s v="1.07"/>
    <s v="0.00"/>
    <s v="98.93"/>
  </r>
  <r>
    <x v="10"/>
    <x v="173"/>
    <n v="3714"/>
    <n v="56"/>
    <n v="1237"/>
    <s v="1.51"/>
    <s v="0.00"/>
    <s v="98.49"/>
  </r>
  <r>
    <x v="10"/>
    <x v="174"/>
    <n v="113422"/>
    <n v="3638"/>
    <n v="10388"/>
    <s v="3.21"/>
    <s v="0.00"/>
    <s v="96.79"/>
  </r>
  <r>
    <x v="10"/>
    <x v="175"/>
    <n v="43666"/>
    <n v="2574"/>
    <n v="36516"/>
    <s v="5.89"/>
    <s v="0.00"/>
    <s v="94.11"/>
  </r>
  <r>
    <x v="10"/>
    <x v="176"/>
    <n v="46430"/>
    <n v="1242"/>
    <n v="18022"/>
    <s v="2.67"/>
    <s v="0.00"/>
    <s v="97.33"/>
  </r>
  <r>
    <x v="10"/>
    <x v="177"/>
    <n v="5105"/>
    <n v="175"/>
    <n v="1775"/>
    <s v="3.43"/>
    <s v="0.00"/>
    <s v="96.57"/>
  </r>
  <r>
    <x v="10"/>
    <x v="178"/>
    <n v="26079"/>
    <n v="242"/>
    <n v="14589"/>
    <s v="0.93"/>
    <s v="0.00"/>
    <s v="99.07"/>
  </r>
  <r>
    <x v="10"/>
    <x v="179"/>
    <n v="1920189"/>
    <n v="19260"/>
    <n v="1464076"/>
    <s v="1.00"/>
    <s v="0.00"/>
    <s v="99.00"/>
  </r>
  <r>
    <x v="10"/>
    <x v="180"/>
    <n v="17486"/>
    <n v="125"/>
    <n v="10147"/>
    <s v="0.71"/>
    <s v="0.00"/>
    <s v="99.29"/>
  </r>
  <r>
    <x v="10"/>
    <x v="181"/>
    <n v="19790"/>
    <n v="122"/>
    <n v="5501"/>
    <s v="0.62"/>
    <s v="0.00"/>
    <s v="99.38"/>
  </r>
  <r>
    <x v="10"/>
    <x v="182"/>
    <n v="712776"/>
    <n v="25244"/>
    <n v="161250"/>
    <s v="3.54"/>
    <s v="0.00"/>
    <s v="96.46"/>
  </r>
  <r>
    <x v="10"/>
    <x v="183"/>
    <n v="1"/>
    <n v="0"/>
    <n v="1"/>
    <s v="0.00"/>
    <s v="0.00"/>
    <s v="100.00"/>
  </r>
  <r>
    <x v="10"/>
    <x v="184"/>
    <n v="8061636"/>
    <n v="70828"/>
    <n v="6859632"/>
    <s v="0.88"/>
    <s v="0.00"/>
    <s v="99.12"/>
  </r>
  <r>
    <x v="10"/>
    <x v="185"/>
    <n v="57419"/>
    <n v="1709"/>
    <n v="38449"/>
    <s v="2.98"/>
    <s v="0.00"/>
    <s v="97.02"/>
  </r>
  <r>
    <x v="10"/>
    <x v="186"/>
    <n v="16417"/>
    <n v="847"/>
    <n v="8367"/>
    <s v="5.16"/>
    <s v="0.00"/>
    <s v="94.84"/>
  </r>
  <r>
    <x v="10"/>
    <x v="187"/>
    <n v="26154"/>
    <n v="725"/>
    <n v="17806"/>
    <s v="2.77"/>
    <s v="0.00"/>
    <s v="97.23"/>
  </r>
  <r>
    <x v="10"/>
    <x v="188"/>
    <n v="3073125"/>
    <n v="72402"/>
    <n v="569887"/>
    <s v="2.36"/>
    <s v="0.00"/>
    <s v="97.64"/>
  </r>
  <r>
    <x v="10"/>
    <x v="189"/>
    <n v="126236"/>
    <n v="3215"/>
    <n v="11198"/>
    <s v="2.55"/>
    <s v="0.00"/>
    <s v="97.45"/>
  </r>
  <r>
    <x v="10"/>
    <x v="190"/>
    <n v="46100496"/>
    <n v="747293"/>
    <n v="43979674"/>
    <s v="1.62"/>
    <s v="0.00"/>
    <s v="98.38"/>
  </r>
  <r>
    <x v="10"/>
    <x v="191"/>
    <n v="394053"/>
    <n v="6080"/>
    <n v="171234"/>
    <s v="1.54"/>
    <s v="0.00"/>
    <s v="98.46"/>
  </r>
  <r>
    <x v="10"/>
    <x v="192"/>
    <n v="186244"/>
    <n v="1325"/>
    <n v="127023"/>
    <s v="0.71"/>
    <s v="0.00"/>
    <s v="99.29"/>
  </r>
  <r>
    <x v="10"/>
    <x v="193"/>
    <n v="27"/>
    <n v="0"/>
    <n v="17"/>
    <s v="0.00"/>
    <s v="0.00"/>
    <s v="100.00"/>
  </r>
  <r>
    <x v="10"/>
    <x v="194"/>
    <n v="4995"/>
    <n v="68"/>
    <n v="275"/>
    <s v="1.36"/>
    <s v="0.00"/>
    <s v="98.64"/>
  </r>
  <r>
    <x v="10"/>
    <x v="195"/>
    <n v="407866"/>
    <n v="4902"/>
    <n v="380445"/>
    <s v="1.20"/>
    <s v="0.00"/>
    <s v="98.80"/>
  </r>
  <r>
    <x v="10"/>
    <x v="196"/>
    <n v="926720"/>
    <n v="22131"/>
    <n v="304325"/>
    <s v="2.39"/>
    <s v="0.00"/>
    <s v="97.61"/>
  </r>
  <r>
    <x v="10"/>
    <x v="197"/>
    <n v="6"/>
    <n v="1"/>
    <n v="3"/>
    <s v="16.67"/>
    <s v="0.00"/>
    <s v="83.33"/>
  </r>
  <r>
    <x v="10"/>
    <x v="198"/>
    <n v="3"/>
    <n v="0"/>
    <n v="3"/>
    <s v="0.00"/>
    <s v="0.00"/>
    <s v="100.00"/>
  </r>
  <r>
    <x v="10"/>
    <x v="199"/>
    <n v="160767"/>
    <n v="2977"/>
    <n v="47997"/>
    <s v="1.85"/>
    <s v="0.00"/>
    <s v="98.15"/>
  </r>
  <r>
    <x v="10"/>
    <x v="200"/>
    <n v="9799"/>
    <n v="1890"/>
    <n v="6947"/>
    <s v="19.29"/>
    <s v="0.00"/>
    <s v="80.71"/>
  </r>
  <r>
    <x v="10"/>
    <x v="201"/>
    <n v="20555"/>
    <n v="185"/>
    <n v="17138"/>
    <s v="0.90"/>
    <s v="0.00"/>
    <s v="99.10"/>
  </r>
  <r>
    <x v="10"/>
    <x v="202"/>
    <n v="2922222"/>
    <n v="89179"/>
    <n v="1341962"/>
    <s v="3.05"/>
    <s v="0.00"/>
    <s v="96.95"/>
  </r>
  <r>
    <x v="10"/>
    <x v="203"/>
    <n v="209739"/>
    <n v="3661"/>
    <n v="107981"/>
    <s v="1.75"/>
    <s v="0.00"/>
    <s v="98.25"/>
  </r>
  <r>
    <x v="10"/>
    <x v="204"/>
    <n v="133007"/>
    <n v="4679"/>
    <n v="84407"/>
    <s v="3.52"/>
    <s v="0.00"/>
    <s v="96.48"/>
  </r>
  <r>
    <x v="10"/>
    <x v="205"/>
    <n v="721"/>
    <n v="15"/>
    <n v="631"/>
    <s v="2.08"/>
    <s v="0.00"/>
    <s v="97.92"/>
  </r>
  <r>
    <x v="11"/>
    <x v="205"/>
    <n v="721"/>
    <n v="15"/>
    <n v="624"/>
    <s v="2.08"/>
    <s v="0.00"/>
    <s v="97.92"/>
  </r>
  <r>
    <x v="11"/>
    <x v="204"/>
    <n v="132977"/>
    <n v="4678"/>
    <n v="39915"/>
    <s v="3.52"/>
    <s v="0.00"/>
    <s v="96.48"/>
  </r>
  <r>
    <x v="11"/>
    <x v="203"/>
    <n v="209734"/>
    <n v="3661"/>
    <n v="24479"/>
    <s v="1.75"/>
    <s v="0.00"/>
    <s v="98.25"/>
  </r>
  <r>
    <x v="11"/>
    <x v="202"/>
    <n v="2922116"/>
    <n v="89177"/>
    <n v="667961"/>
    <s v="3.05"/>
    <s v="0.00"/>
    <s v="96.95"/>
  </r>
  <r>
    <x v="11"/>
    <x v="201"/>
    <n v="20555"/>
    <n v="185"/>
    <n v="18859"/>
    <s v="0.90"/>
    <s v="0.00"/>
    <s v="99.10"/>
  </r>
  <r>
    <x v="11"/>
    <x v="200"/>
    <n v="9791"/>
    <n v="1889"/>
    <n v="7011"/>
    <s v="19.29"/>
    <s v="0.00"/>
    <s v="80.71"/>
  </r>
  <r>
    <x v="11"/>
    <x v="199"/>
    <n v="160762"/>
    <n v="2977"/>
    <n v="105731"/>
    <s v="1.85"/>
    <s v="0.00"/>
    <s v="98.15"/>
  </r>
  <r>
    <x v="11"/>
    <x v="198"/>
    <n v="3"/>
    <n v="0"/>
    <n v="2"/>
    <s v="0.00"/>
    <s v="0.00"/>
    <s v="100.00"/>
  </r>
  <r>
    <x v="11"/>
    <x v="197"/>
    <n v="6"/>
    <n v="1"/>
    <n v="1"/>
    <s v="16.67"/>
    <s v="0.00"/>
    <s v="83.33"/>
  </r>
  <r>
    <x v="11"/>
    <x v="196"/>
    <n v="921122"/>
    <n v="22083"/>
    <n v="528986"/>
    <s v="2.40"/>
    <s v="0.00"/>
    <s v="97.60"/>
  </r>
  <r>
    <x v="11"/>
    <x v="195"/>
    <n v="407151"/>
    <n v="4891"/>
    <n v="21465"/>
    <s v="1.20"/>
    <s v="0.00"/>
    <s v="98.80"/>
  </r>
  <r>
    <x v="11"/>
    <x v="194"/>
    <n v="4995"/>
    <n v="68"/>
    <n v="3852"/>
    <s v="1.36"/>
    <s v="0.00"/>
    <s v="98.64"/>
  </r>
  <r>
    <x v="11"/>
    <x v="193"/>
    <n v="27"/>
    <n v="0"/>
    <n v="10"/>
    <s v="0.00"/>
    <s v="0.00"/>
    <s v="100.00"/>
  </r>
  <r>
    <x v="11"/>
    <x v="192"/>
    <n v="185963"/>
    <n v="1323"/>
    <n v="150722"/>
    <s v="0.71"/>
    <s v="0.00"/>
    <s v="99.29"/>
  </r>
  <r>
    <x v="11"/>
    <x v="191"/>
    <n v="393899"/>
    <n v="6078"/>
    <n v="200927"/>
    <s v="1.54"/>
    <s v="0.00"/>
    <s v="98.46"/>
  </r>
  <r>
    <x v="11"/>
    <x v="190"/>
    <n v="45984022"/>
    <n v="746068"/>
    <n v="28386326"/>
    <s v="1.62"/>
    <s v="0.00"/>
    <s v="98.38"/>
  </r>
  <r>
    <x v="11"/>
    <x v="189"/>
    <n v="126171"/>
    <n v="3215"/>
    <n v="3531"/>
    <s v="2.55"/>
    <s v="0.00"/>
    <s v="97.45"/>
  </r>
  <r>
    <x v="11"/>
    <x v="188"/>
    <n v="3058108"/>
    <n v="72073"/>
    <n v="900611"/>
    <s v="2.36"/>
    <s v="0.00"/>
    <s v="97.64"/>
  </r>
  <r>
    <x v="11"/>
    <x v="187"/>
    <n v="26154"/>
    <n v="725"/>
    <n v="18156"/>
    <s v="2.77"/>
    <s v="0.00"/>
    <s v="97.23"/>
  </r>
  <r>
    <x v="11"/>
    <x v="186"/>
    <n v="16412"/>
    <n v="847"/>
    <n v="11689"/>
    <s v="5.16"/>
    <s v="0.00"/>
    <s v="94.84"/>
  </r>
  <r>
    <x v="11"/>
    <x v="185"/>
    <n v="57329"/>
    <n v="1696"/>
    <n v="31556"/>
    <s v="2.96"/>
    <s v="0.00"/>
    <s v="97.04"/>
  </r>
  <r>
    <x v="11"/>
    <x v="184"/>
    <n v="8032958"/>
    <n v="70611"/>
    <n v="3614593"/>
    <s v="0.88"/>
    <s v="0.00"/>
    <s v="99.12"/>
  </r>
  <r>
    <x v="11"/>
    <x v="183"/>
    <n v="1"/>
    <n v="0"/>
    <n v="1"/>
    <s v="0.00"/>
    <s v="0.00"/>
    <s v="100.00"/>
  </r>
  <r>
    <x v="11"/>
    <x v="182"/>
    <n v="712747"/>
    <n v="25241"/>
    <n v="297368"/>
    <s v="3.54"/>
    <s v="0.00"/>
    <s v="96.46"/>
  </r>
  <r>
    <x v="11"/>
    <x v="181"/>
    <n v="19790"/>
    <n v="122"/>
    <n v="1071"/>
    <s v="0.62"/>
    <s v="0.00"/>
    <s v="99.38"/>
  </r>
  <r>
    <x v="11"/>
    <x v="180"/>
    <n v="17486"/>
    <n v="125"/>
    <n v="11197"/>
    <s v="0.71"/>
    <s v="0.00"/>
    <s v="99.29"/>
  </r>
  <r>
    <x v="11"/>
    <x v="179"/>
    <n v="1912024"/>
    <n v="19205"/>
    <n v="28416"/>
    <s v="1.00"/>
    <s v="0.00"/>
    <s v="99.00"/>
  </r>
  <r>
    <x v="11"/>
    <x v="178"/>
    <n v="26079"/>
    <n v="242"/>
    <n v="2143"/>
    <s v="0.93"/>
    <s v="0.00"/>
    <s v="99.07"/>
  </r>
  <r>
    <x v="11"/>
    <x v="177"/>
    <n v="5069"/>
    <n v="174"/>
    <n v="938"/>
    <s v="3.43"/>
    <s v="0.00"/>
    <s v="96.57"/>
  </r>
  <r>
    <x v="11"/>
    <x v="176"/>
    <n v="46421"/>
    <n v="1242"/>
    <n v="45061"/>
    <s v="2.68"/>
    <s v="0.00"/>
    <s v="97.32"/>
  </r>
  <r>
    <x v="11"/>
    <x v="175"/>
    <n v="43146"/>
    <n v="2558"/>
    <n v="39503"/>
    <s v="5.93"/>
    <s v="0.00"/>
    <s v="94.07"/>
  </r>
  <r>
    <x v="11"/>
    <x v="174"/>
    <n v="113422"/>
    <n v="3629"/>
    <n v="46715"/>
    <s v="3.20"/>
    <s v="0.00"/>
    <s v="96.80"/>
  </r>
  <r>
    <x v="11"/>
    <x v="173"/>
    <n v="3714"/>
    <n v="56"/>
    <n v="1251"/>
    <s v="1.51"/>
    <s v="0.00"/>
    <s v="98.49"/>
  </r>
  <r>
    <x v="11"/>
    <x v="172"/>
    <n v="12361"/>
    <n v="133"/>
    <n v="11292"/>
    <s v="1.08"/>
    <s v="0.00"/>
    <s v="98.92"/>
  </r>
  <r>
    <x v="11"/>
    <x v="171"/>
    <n v="49019"/>
    <n v="1092"/>
    <n v="5227"/>
    <s v="2.23"/>
    <s v="0.00"/>
    <s v="97.77"/>
  </r>
  <r>
    <x v="11"/>
    <x v="170"/>
    <n v="21998"/>
    <n v="1208"/>
    <n v="18766"/>
    <s v="5.49"/>
    <s v="0.00"/>
    <s v="94.51"/>
  </r>
  <r>
    <x v="11"/>
    <x v="169"/>
    <n v="73917"/>
    <n v="1878"/>
    <n v="58200"/>
    <s v="2.54"/>
    <s v="0.00"/>
    <s v="97.46"/>
  </r>
  <r>
    <x v="11"/>
    <x v="168"/>
    <n v="5547"/>
    <n v="92"/>
    <n v="3"/>
    <s v="1.66"/>
    <s v="0.00"/>
    <s v="98.34"/>
  </r>
  <r>
    <x v="11"/>
    <x v="167"/>
    <n v="6397"/>
    <n v="121"/>
    <n v="3114"/>
    <s v="1.89"/>
    <s v="0.00"/>
    <s v="98.11"/>
  </r>
  <r>
    <x v="11"/>
    <x v="166"/>
    <n v="483773"/>
    <n v="13034"/>
    <n v="167238"/>
    <s v="2.69"/>
    <s v="0.00"/>
    <s v="97.31"/>
  </r>
  <r>
    <x v="11"/>
    <x v="165"/>
    <n v="335850"/>
    <n v="4745"/>
    <n v="165719"/>
    <s v="1.41"/>
    <s v="0.00"/>
    <s v="98.59"/>
  </r>
  <r>
    <x v="11"/>
    <x v="164"/>
    <n v="198374"/>
    <n v="407"/>
    <n v="47290"/>
    <s v="0.21"/>
    <s v="0.00"/>
    <s v="99.79"/>
  </r>
  <r>
    <x v="11"/>
    <x v="163"/>
    <n v="1171512"/>
    <n v="15025"/>
    <n v="932898"/>
    <s v="1.28"/>
    <s v="0.00"/>
    <s v="98.72"/>
  </r>
  <r>
    <x v="11"/>
    <x v="162"/>
    <n v="40433"/>
    <n v="3099"/>
    <n v="16899"/>
    <s v="7.66"/>
    <s v="0.00"/>
    <s v="92.34"/>
  </r>
  <r>
    <x v="11"/>
    <x v="161"/>
    <n v="22243"/>
    <n v="119"/>
    <n v="14195"/>
    <s v="0.53"/>
    <s v="0.00"/>
    <s v="99.47"/>
  </r>
  <r>
    <x v="11"/>
    <x v="160"/>
    <n v="20"/>
    <n v="0"/>
    <n v="9"/>
    <s v="0.00"/>
    <s v="0.00"/>
    <s v="100.00"/>
  </r>
  <r>
    <x v="11"/>
    <x v="159"/>
    <n v="548617"/>
    <n v="8794"/>
    <n v="483197"/>
    <s v="1.60"/>
    <s v="0.00"/>
    <s v="98.40"/>
  </r>
  <r>
    <x v="11"/>
    <x v="158"/>
    <n v="99698"/>
    <n v="1331"/>
    <n v="40492"/>
    <s v="1.34"/>
    <s v="0.00"/>
    <s v="98.66"/>
  </r>
  <r>
    <x v="11"/>
    <x v="157"/>
    <n v="8377984"/>
    <n v="234194"/>
    <n v="3146781"/>
    <s v="2.80"/>
    <s v="0.00"/>
    <s v="97.20"/>
  </r>
  <r>
    <x v="11"/>
    <x v="156"/>
    <n v="1142749"/>
    <n v="9955"/>
    <n v="996203"/>
    <s v="0.87"/>
    <s v="0.00"/>
    <s v="99.13"/>
  </r>
  <r>
    <x v="11"/>
    <x v="155"/>
    <n v="1648031"/>
    <n v="47751"/>
    <n v="1027950"/>
    <s v="2.90"/>
    <s v="0.00"/>
    <s v="97.10"/>
  </r>
  <r>
    <x v="11"/>
    <x v="154"/>
    <n v="54668"/>
    <n v="374"/>
    <n v="33485"/>
    <s v="0.68"/>
    <s v="0.00"/>
    <s v="99.32"/>
  </r>
  <r>
    <x v="11"/>
    <x v="153"/>
    <n v="239247"/>
    <n v="610"/>
    <n v="233913"/>
    <s v="0.25"/>
    <s v="0.00"/>
    <s v="99.75"/>
  </r>
  <r>
    <x v="11"/>
    <x v="152"/>
    <n v="461006"/>
    <n v="16246"/>
    <n v="46666"/>
    <s v="3.52"/>
    <s v="0.00"/>
    <s v="96.48"/>
  </r>
  <r>
    <x v="11"/>
    <x v="151"/>
    <n v="8"/>
    <n v="0"/>
    <n v="5"/>
    <s v="0.00"/>
    <s v="0.00"/>
    <s v="100.00"/>
  </r>
  <r>
    <x v="11"/>
    <x v="150"/>
    <n v="1090651"/>
    <n v="18157"/>
    <n v="684708"/>
    <s v="1.66"/>
    <s v="0.00"/>
    <s v="98.34"/>
  </r>
  <r>
    <x v="11"/>
    <x v="149"/>
    <n v="452997"/>
    <n v="4663"/>
    <n v="315558"/>
    <s v="1.03"/>
    <s v="0.00"/>
    <s v="98.97"/>
  </r>
  <r>
    <x v="11"/>
    <x v="148"/>
    <n v="3025247"/>
    <n v="76999"/>
    <n v="1916712"/>
    <s v="2.55"/>
    <s v="0.00"/>
    <s v="97.45"/>
  </r>
  <r>
    <x v="11"/>
    <x v="147"/>
    <n v="1273560"/>
    <n v="28456"/>
    <n v="165289"/>
    <s v="2.23"/>
    <s v="0.00"/>
    <s v="97.77"/>
  </r>
  <r>
    <x v="11"/>
    <x v="146"/>
    <n v="2787276"/>
    <n v="43172"/>
    <n v="1280152"/>
    <s v="1.55"/>
    <s v="0.00"/>
    <s v="98.45"/>
  </r>
  <r>
    <x v="11"/>
    <x v="145"/>
    <n v="29715"/>
    <n v="370"/>
    <n v="27217"/>
    <s v="1.25"/>
    <s v="0.00"/>
    <s v="98.75"/>
  </r>
  <r>
    <x v="11"/>
    <x v="144"/>
    <n v="45541"/>
    <n v="636"/>
    <n v="9854"/>
    <s v="1.40"/>
    <s v="0.00"/>
    <s v="98.60"/>
  </r>
  <r>
    <x v="11"/>
    <x v="143"/>
    <n v="2201796"/>
    <n v="200246"/>
    <n v="66259"/>
    <s v="9.09"/>
    <s v="0.00"/>
    <s v="90.91"/>
  </r>
  <r>
    <x v="11"/>
    <x v="142"/>
    <n v="472664"/>
    <n v="7315"/>
    <n v="408368"/>
    <s v="1.55"/>
    <s v="0.00"/>
    <s v="98.45"/>
  </r>
  <r>
    <x v="11"/>
    <x v="141"/>
    <n v="304291"/>
    <n v="4111"/>
    <n v="16674"/>
    <s v="1.35"/>
    <s v="0.00"/>
    <s v="98.65"/>
  </r>
  <r>
    <x v="11"/>
    <x v="140"/>
    <n v="6595"/>
    <n v="28"/>
    <n v="1674"/>
    <s v="0.42"/>
    <s v="0.00"/>
    <s v="99.58"/>
  </r>
  <r>
    <x v="11"/>
    <x v="139"/>
    <n v="812570"/>
    <n v="11407"/>
    <n v="352940"/>
    <s v="1.40"/>
    <s v="0.00"/>
    <s v="98.60"/>
  </r>
  <r>
    <x v="11"/>
    <x v="138"/>
    <n v="207280"/>
    <n v="900"/>
    <n v="202923"/>
    <s v="0.43"/>
    <s v="0.00"/>
    <s v="99.57"/>
  </r>
  <r>
    <x v="11"/>
    <x v="137"/>
    <n v="2171990"/>
    <n v="18850"/>
    <n v="885029"/>
    <s v="0.87"/>
    <s v="0.00"/>
    <s v="99.13"/>
  </r>
  <r>
    <x v="11"/>
    <x v="136"/>
    <n v="16422"/>
    <n v="208"/>
    <n v="4505"/>
    <s v="1.27"/>
    <s v="0.00"/>
    <s v="98.73"/>
  </r>
  <r>
    <x v="11"/>
    <x v="135"/>
    <n v="211961"/>
    <n v="2896"/>
    <n v="190972"/>
    <s v="1.37"/>
    <s v="0.00"/>
    <s v="98.63"/>
  </r>
  <r>
    <x v="11"/>
    <x v="134"/>
    <n v="6366"/>
    <n v="213"/>
    <n v="5131"/>
    <s v="3.35"/>
    <s v="0.00"/>
    <s v="96.65"/>
  </r>
  <r>
    <x v="11"/>
    <x v="133"/>
    <n v="10968"/>
    <n v="265"/>
    <n v="3286"/>
    <s v="2.42"/>
    <s v="0.00"/>
    <s v="97.58"/>
  </r>
  <r>
    <x v="11"/>
    <x v="132"/>
    <n v="128927"/>
    <n v="3554"/>
    <n v="91882"/>
    <s v="2.76"/>
    <s v="0.00"/>
    <s v="97.24"/>
  </r>
  <r>
    <x v="11"/>
    <x v="131"/>
    <n v="151292"/>
    <n v="1930"/>
    <n v="16087"/>
    <s v="1.28"/>
    <s v="0.00"/>
    <s v="98.72"/>
  </r>
  <r>
    <x v="11"/>
    <x v="130"/>
    <n v="2471642"/>
    <n v="28912"/>
    <n v="1134630"/>
    <s v="1.17"/>
    <s v="0.00"/>
    <s v="98.83"/>
  </r>
  <r>
    <x v="11"/>
    <x v="129"/>
    <n v="3807211"/>
    <n v="288365"/>
    <n v="31154"/>
    <s v="7.57"/>
    <s v="0.00"/>
    <s v="92.43"/>
  </r>
  <r>
    <x v="11"/>
    <x v="128"/>
    <n v="61796"/>
    <n v="2301"/>
    <n v="23981"/>
    <s v="3.72"/>
    <s v="0.00"/>
    <s v="96.28"/>
  </r>
  <r>
    <x v="11"/>
    <x v="127"/>
    <n v="87638"/>
    <n v="243"/>
    <n v="86386"/>
    <s v="0.28"/>
    <s v="0.00"/>
    <s v="99.72"/>
  </r>
  <r>
    <x v="11"/>
    <x v="126"/>
    <n v="17698"/>
    <n v="166"/>
    <n v="1914"/>
    <s v="0.94"/>
    <s v="0.00"/>
    <s v="99.06"/>
  </r>
  <r>
    <x v="11"/>
    <x v="125"/>
    <n v="37653"/>
    <n v="461"/>
    <n v="5937"/>
    <s v="1.22"/>
    <s v="0.00"/>
    <s v="98.78"/>
  </r>
  <r>
    <x v="11"/>
    <x v="124"/>
    <n v="37320"/>
    <n v="797"/>
    <n v="31666"/>
    <s v="2.14"/>
    <s v="0.00"/>
    <s v="97.86"/>
  </r>
  <r>
    <x v="11"/>
    <x v="123"/>
    <n v="43183"/>
    <n v="681"/>
    <n v="34303"/>
    <s v="1.58"/>
    <s v="0.00"/>
    <s v="98.42"/>
  </r>
  <r>
    <x v="11"/>
    <x v="122"/>
    <n v="77"/>
    <n v="0"/>
    <n v="3"/>
    <s v="0.00"/>
    <s v="0.00"/>
    <s v="100.00"/>
  </r>
  <r>
    <x v="11"/>
    <x v="121"/>
    <n v="360317"/>
    <n v="1745"/>
    <n v="63010"/>
    <s v="0.48"/>
    <s v="0.00"/>
    <s v="99.52"/>
  </r>
  <r>
    <x v="11"/>
    <x v="120"/>
    <n v="500073"/>
    <n v="18697"/>
    <n v="239629"/>
    <s v="3.74"/>
    <s v="0.00"/>
    <s v="96.26"/>
  </r>
  <r>
    <x v="11"/>
    <x v="119"/>
    <n v="16073"/>
    <n v="563"/>
    <n v="3942"/>
    <s v="3.50"/>
    <s v="0.00"/>
    <s v="96.50"/>
  </r>
  <r>
    <x v="11"/>
    <x v="118"/>
    <n v="202552"/>
    <n v="7132"/>
    <n v="31190"/>
    <s v="3.52"/>
    <s v="0.00"/>
    <s v="96.48"/>
  </r>
  <r>
    <x v="11"/>
    <x v="117"/>
    <n v="4"/>
    <n v="0"/>
    <n v="0"/>
    <s v="0.00"/>
    <s v="0.00"/>
    <s v="100.00"/>
  </r>
  <r>
    <x v="11"/>
    <x v="116"/>
    <n v="43626"/>
    <n v="963"/>
    <n v="12805"/>
    <s v="2.21"/>
    <s v="0.00"/>
    <s v="97.79"/>
  </r>
  <r>
    <x v="11"/>
    <x v="115"/>
    <n v="3920"/>
    <n v="56"/>
    <n v="593"/>
    <s v="1.43"/>
    <s v="0.00"/>
    <s v="98.57"/>
  </r>
  <r>
    <x v="11"/>
    <x v="114"/>
    <n v="144314"/>
    <n v="2103"/>
    <n v="136208"/>
    <s v="1.46"/>
    <s v="0.00"/>
    <s v="98.54"/>
  </r>
  <r>
    <x v="11"/>
    <x v="113"/>
    <n v="337768"/>
    <n v="7790"/>
    <n v="300824"/>
    <s v="2.31"/>
    <s v="0.00"/>
    <s v="97.69"/>
  </r>
  <r>
    <x v="11"/>
    <x v="112"/>
    <n v="3414"/>
    <n v="36"/>
    <n v="2408"/>
    <s v="1.05"/>
    <s v="0.00"/>
    <s v="98.95"/>
  </r>
  <r>
    <x v="11"/>
    <x v="111"/>
    <n v="946145"/>
    <n v="14668"/>
    <n v="47236"/>
    <s v="1.55"/>
    <s v="0.00"/>
    <s v="98.45"/>
  </r>
  <r>
    <x v="11"/>
    <x v="110"/>
    <n v="357338"/>
    <n v="5099"/>
    <n v="274677"/>
    <s v="1.43"/>
    <s v="0.00"/>
    <s v="98.57"/>
  </r>
  <r>
    <x v="11"/>
    <x v="109"/>
    <n v="219139"/>
    <n v="3253"/>
    <n v="143816"/>
    <s v="1.48"/>
    <s v="0.00"/>
    <s v="98.52"/>
  </r>
  <r>
    <x v="11"/>
    <x v="108"/>
    <n v="81683"/>
    <n v="843"/>
    <n v="19108"/>
    <s v="1.03"/>
    <s v="0.00"/>
    <s v="98.97"/>
  </r>
  <r>
    <x v="11"/>
    <x v="107"/>
    <n v="408715"/>
    <n v="5873"/>
    <n v="288936"/>
    <s v="1.44"/>
    <s v="0.00"/>
    <s v="98.56"/>
  </r>
  <r>
    <x v="11"/>
    <x v="106"/>
    <n v="21635"/>
    <n v="658"/>
    <n v="10807"/>
    <s v="3.04"/>
    <s v="0.00"/>
    <s v="96.96"/>
  </r>
  <r>
    <x v="11"/>
    <x v="105"/>
    <n v="5812"/>
    <n v="287"/>
    <n v="793"/>
    <s v="4.94"/>
    <s v="0.00"/>
    <s v="95.06"/>
  </r>
  <r>
    <x v="11"/>
    <x v="104"/>
    <n v="541073"/>
    <n v="13743"/>
    <n v="437275"/>
    <s v="2.54"/>
    <s v="0.00"/>
    <s v="97.46"/>
  </r>
  <r>
    <x v="11"/>
    <x v="103"/>
    <n v="3662"/>
    <n v="61"/>
    <n v="2297"/>
    <s v="1.67"/>
    <s v="0.00"/>
    <s v="98.33"/>
  </r>
  <r>
    <x v="11"/>
    <x v="102"/>
    <n v="12559"/>
    <n v="255"/>
    <n v="9276"/>
    <s v="2.03"/>
    <s v="0.00"/>
    <s v="97.97"/>
  </r>
  <r>
    <x v="11"/>
    <x v="101"/>
    <n v="642024"/>
    <n v="8502"/>
    <n v="599288"/>
    <s v="1.32"/>
    <s v="0.00"/>
    <s v="98.68"/>
  </r>
  <r>
    <x v="11"/>
    <x v="100"/>
    <n v="40271"/>
    <n v="65"/>
    <n v="17831"/>
    <s v="0.16"/>
    <s v="0.00"/>
    <s v="99.84"/>
  </r>
  <r>
    <x v="11"/>
    <x v="99"/>
    <n v="1020264"/>
    <n v="17078"/>
    <n v="153470"/>
    <s v="1.67"/>
    <s v="0.00"/>
    <s v="98.33"/>
  </r>
  <r>
    <x v="11"/>
    <x v="98"/>
    <n v="412678"/>
    <n v="2461"/>
    <n v="111530"/>
    <s v="0.60"/>
    <s v="0.00"/>
    <s v="99.40"/>
  </r>
  <r>
    <x v="11"/>
    <x v="97"/>
    <n v="366386"/>
    <n v="2858"/>
    <n v="39204"/>
    <s v="0.78"/>
    <s v="0.00"/>
    <s v="99.22"/>
  </r>
  <r>
    <x v="11"/>
    <x v="96"/>
    <n v="2669"/>
    <n v="23"/>
    <n v="892"/>
    <s v="0.86"/>
    <s v="0.00"/>
    <s v="99.14"/>
  </r>
  <r>
    <x v="11"/>
    <x v="95"/>
    <n v="4259"/>
    <n v="147"/>
    <n v="1160"/>
    <s v="3.45"/>
    <s v="0.00"/>
    <s v="96.55"/>
  </r>
  <r>
    <x v="11"/>
    <x v="93"/>
    <n v="118522"/>
    <n v="2788"/>
    <n v="99086"/>
    <s v="2.35"/>
    <s v="0.00"/>
    <s v="97.65"/>
  </r>
  <r>
    <x v="11"/>
    <x v="94"/>
    <n v="2"/>
    <n v="0"/>
    <n v="1"/>
    <s v="0.00"/>
    <s v="0.00"/>
    <s v="100.00"/>
  </r>
  <r>
    <x v="11"/>
    <x v="92"/>
    <n v="181259"/>
    <n v="2671"/>
    <n v="84157"/>
    <s v="1.47"/>
    <s v="0.00"/>
    <s v="98.53"/>
  </r>
  <r>
    <x v="11"/>
    <x v="91"/>
    <n v="253310"/>
    <n v="5281"/>
    <n v="173122"/>
    <s v="2.08"/>
    <s v="0.00"/>
    <s v="97.92"/>
  </r>
  <r>
    <x v="11"/>
    <x v="90"/>
    <n v="1722343"/>
    <n v="18264"/>
    <n v="295890"/>
    <s v="1.06"/>
    <s v="0.00"/>
    <s v="98.94"/>
  </r>
  <r>
    <x v="11"/>
    <x v="89"/>
    <n v="862541"/>
    <n v="11038"/>
    <n v="156192"/>
    <s v="1.28"/>
    <s v="0.00"/>
    <s v="98.72"/>
  </r>
  <r>
    <x v="11"/>
    <x v="88"/>
    <n v="89014"/>
    <n v="2236"/>
    <n v="81231"/>
    <s v="2.51"/>
    <s v="0.00"/>
    <s v="97.49"/>
  </r>
  <r>
    <x v="11"/>
    <x v="87"/>
    <n v="4771965"/>
    <n v="132100"/>
    <n v="714507"/>
    <s v="2.77"/>
    <s v="0.00"/>
    <s v="97.23"/>
  </r>
  <r>
    <x v="11"/>
    <x v="86"/>
    <n v="13492"/>
    <n v="33"/>
    <n v="4539"/>
    <s v="0.24"/>
    <s v="0.00"/>
    <s v="99.76"/>
  </r>
  <r>
    <x v="11"/>
    <x v="85"/>
    <n v="5924638"/>
    <n v="126303"/>
    <n v="4683818"/>
    <s v="2.13"/>
    <s v="0.00"/>
    <s v="97.87"/>
  </r>
  <r>
    <x v="11"/>
    <x v="84"/>
    <n v="2055248"/>
    <n v="23170"/>
    <n v="1946906"/>
    <s v="1.13"/>
    <s v="0.00"/>
    <s v="98.87"/>
  </r>
  <r>
    <x v="11"/>
    <x v="83"/>
    <n v="34285814"/>
    <n v="458437"/>
    <n v="4353880"/>
    <s v="1.34"/>
    <s v="0.00"/>
    <s v="98.66"/>
  </r>
  <r>
    <x v="11"/>
    <x v="82"/>
    <n v="1327458"/>
    <n v="8100"/>
    <n v="225882"/>
    <s v="0.61"/>
    <s v="0.00"/>
    <s v="99.39"/>
  </r>
  <r>
    <x v="11"/>
    <x v="81"/>
    <n v="445594"/>
    <n v="5436"/>
    <n v="274758"/>
    <s v="1.22"/>
    <s v="0.00"/>
    <s v="98.78"/>
  </r>
  <r>
    <x v="11"/>
    <x v="80"/>
    <n v="4244358"/>
    <n v="143405"/>
    <n v="830033"/>
    <s v="3.38"/>
    <s v="0.00"/>
    <s v="96.62"/>
  </r>
  <r>
    <x v="11"/>
    <x v="79"/>
    <n v="863419"/>
    <n v="30729"/>
    <n v="377559"/>
    <s v="3.56"/>
    <s v="0.00"/>
    <s v="96.44"/>
  </r>
  <r>
    <x v="11"/>
    <x v="78"/>
    <n v="23960"/>
    <n v="671"/>
    <n v="16746"/>
    <s v="2.80"/>
    <s v="0.00"/>
    <s v="97.20"/>
  </r>
  <r>
    <x v="11"/>
    <x v="77"/>
    <n v="470348"/>
    <n v="9220"/>
    <n v="302258"/>
    <s v="1.96"/>
    <s v="0.00"/>
    <s v="98.04"/>
  </r>
  <r>
    <x v="11"/>
    <x v="76"/>
    <n v="375381"/>
    <n v="10239"/>
    <n v="269354"/>
    <s v="2.73"/>
    <s v="0.00"/>
    <s v="97.27"/>
  </r>
  <r>
    <x v="11"/>
    <x v="75"/>
    <n v="12346"/>
    <n v="213"/>
    <n v="4013"/>
    <s v="1.73"/>
    <s v="0.00"/>
    <s v="98.27"/>
  </r>
  <r>
    <x v="11"/>
    <x v="74"/>
    <n v="35548"/>
    <n v="913"/>
    <n v="32258"/>
    <s v="2.57"/>
    <s v="0.00"/>
    <s v="97.43"/>
  </r>
  <r>
    <x v="11"/>
    <x v="73"/>
    <n v="6134"/>
    <n v="141"/>
    <n v="5517"/>
    <s v="2.30"/>
    <s v="0.00"/>
    <s v="97.70"/>
  </r>
  <r>
    <x v="11"/>
    <x v="72"/>
    <n v="601572"/>
    <n v="15094"/>
    <n v="391883"/>
    <s v="2.51"/>
    <s v="0.00"/>
    <s v="97.49"/>
  </r>
  <r>
    <x v="11"/>
    <x v="71"/>
    <n v="742170"/>
    <n v="15938"/>
    <n v="499741"/>
    <s v="2.15"/>
    <s v="0.00"/>
    <s v="97.85"/>
  </r>
  <r>
    <x v="11"/>
    <x v="70"/>
    <n v="13368"/>
    <n v="167"/>
    <n v="12307"/>
    <s v="1.25"/>
    <s v="0.00"/>
    <s v="98.75"/>
  </r>
  <r>
    <x v="11"/>
    <x v="69"/>
    <n v="54288"/>
    <n v="815"/>
    <n v="28031"/>
    <s v="1.50"/>
    <s v="0.00"/>
    <s v="98.50"/>
  </r>
  <r>
    <x v="11"/>
    <x v="67"/>
    <n v="9965"/>
    <n v="340"/>
    <n v="6424"/>
    <s v="3.41"/>
    <s v="0.00"/>
    <s v="96.59"/>
  </r>
  <r>
    <x v="11"/>
    <x v="68"/>
    <n v="30653"/>
    <n v="385"/>
    <n v="22208"/>
    <s v="1.26"/>
    <s v="0.00"/>
    <s v="98.74"/>
  </r>
  <r>
    <x v="11"/>
    <x v="66"/>
    <n v="5992"/>
    <n v="98"/>
    <n v="4441"/>
    <s v="1.64"/>
    <s v="0.00"/>
    <s v="98.36"/>
  </r>
  <r>
    <x v="11"/>
    <x v="65"/>
    <n v="130077"/>
    <n v="1175"/>
    <n v="19357"/>
    <s v="0.90"/>
    <s v="0.00"/>
    <s v="99.10"/>
  </r>
  <r>
    <x v="11"/>
    <x v="64"/>
    <n v="44554"/>
    <n v="306"/>
    <n v="32321"/>
    <s v="0.69"/>
    <s v="0.00"/>
    <s v="99.31"/>
  </r>
  <r>
    <x v="11"/>
    <x v="62"/>
    <n v="5840"/>
    <n v="198"/>
    <n v="3723"/>
    <s v="3.39"/>
    <s v="0.00"/>
    <s v="96.61"/>
  </r>
  <r>
    <x v="11"/>
    <x v="63"/>
    <n v="719247"/>
    <n v="10045"/>
    <n v="583541"/>
    <s v="1.40"/>
    <s v="0.00"/>
    <s v="98.60"/>
  </r>
  <r>
    <x v="11"/>
    <x v="61"/>
    <n v="9094450"/>
    <n v="140957"/>
    <n v="3984679"/>
    <s v="1.55"/>
    <s v="0.00"/>
    <s v="98.45"/>
  </r>
  <r>
    <x v="11"/>
    <x v="60"/>
    <n v="35525"/>
    <n v="239"/>
    <n v="7148"/>
    <s v="0.67"/>
    <s v="0.00"/>
    <s v="99.33"/>
  </r>
  <r>
    <x v="11"/>
    <x v="59"/>
    <n v="6989191"/>
    <n v="115301"/>
    <n v="5466919"/>
    <s v="1.65"/>
    <s v="0.00"/>
    <s v="98.35"/>
  </r>
  <r>
    <x v="11"/>
    <x v="58"/>
    <n v="2145"/>
    <n v="2"/>
    <n v="1723"/>
    <s v="0.09"/>
    <s v="0.00"/>
    <s v="99.91"/>
  </r>
  <r>
    <x v="11"/>
    <x v="57"/>
    <n v="52141"/>
    <n v="674"/>
    <n v="22331"/>
    <s v="1.29"/>
    <s v="0.00"/>
    <s v="98.71"/>
  </r>
  <r>
    <x v="11"/>
    <x v="56"/>
    <n v="157531"/>
    <n v="1158"/>
    <n v="23036"/>
    <s v="0.74"/>
    <s v="0.00"/>
    <s v="99.26"/>
  </r>
  <r>
    <x v="11"/>
    <x v="55"/>
    <n v="365167"/>
    <n v="6459"/>
    <n v="296034"/>
    <s v="1.77"/>
    <s v="0.00"/>
    <s v="98.23"/>
  </r>
  <r>
    <x v="11"/>
    <x v="54"/>
    <n v="5011148"/>
    <n v="87368"/>
    <n v="4799185"/>
    <s v="1.74"/>
    <s v="0.00"/>
    <s v="98.26"/>
  </r>
  <r>
    <x v="11"/>
    <x v="53"/>
    <n v="6834"/>
    <n v="45"/>
    <n v="1234"/>
    <s v="0.66"/>
    <s v="0.00"/>
    <s v="99.34"/>
  </r>
  <r>
    <x v="11"/>
    <x v="52"/>
    <n v="331017"/>
    <n v="18651"/>
    <n v="27232"/>
    <s v="5.63"/>
    <s v="0.00"/>
    <s v="94.37"/>
  </r>
  <r>
    <x v="11"/>
    <x v="51"/>
    <n v="193969"/>
    <n v="1531"/>
    <n v="84260"/>
    <s v="0.79"/>
    <s v="0.00"/>
    <s v="99.21"/>
  </r>
  <r>
    <x v="11"/>
    <x v="50"/>
    <n v="515859"/>
    <n v="32958"/>
    <n v="468928"/>
    <s v="6.39"/>
    <s v="0.00"/>
    <s v="93.61"/>
  </r>
  <r>
    <x v="11"/>
    <x v="49"/>
    <n v="206452"/>
    <n v="5920"/>
    <n v="184522"/>
    <s v="2.87"/>
    <s v="0.00"/>
    <s v="97.13"/>
  </r>
  <r>
    <x v="11"/>
    <x v="48"/>
    <n v="381667"/>
    <n v="4130"/>
    <n v="70604"/>
    <s v="1.08"/>
    <s v="0.00"/>
    <s v="98.92"/>
  </r>
  <r>
    <x v="11"/>
    <x v="47"/>
    <n v="4823"/>
    <n v="32"/>
    <n v="3564"/>
    <s v="0.66"/>
    <s v="0.00"/>
    <s v="99.34"/>
  </r>
  <r>
    <x v="11"/>
    <x v="46"/>
    <n v="388582"/>
    <n v="2714"/>
    <n v="313687"/>
    <s v="0.70"/>
    <s v="0.00"/>
    <s v="99.30"/>
  </r>
  <r>
    <x v="11"/>
    <x v="45"/>
    <n v="13478"/>
    <n v="181"/>
    <n v="6939"/>
    <s v="1.34"/>
    <s v="0.00"/>
    <s v="98.66"/>
  </r>
  <r>
    <x v="11"/>
    <x v="44"/>
    <n v="4607958"/>
    <n v="95735"/>
    <n v="2285684"/>
    <s v="2.08"/>
    <s v="0.00"/>
    <s v="97.92"/>
  </r>
  <r>
    <x v="11"/>
    <x v="43"/>
    <n v="1762902"/>
    <n v="30753"/>
    <n v="243548"/>
    <s v="1.74"/>
    <s v="0.00"/>
    <s v="98.26"/>
  </r>
  <r>
    <x v="11"/>
    <x v="42"/>
    <n v="124017"/>
    <n v="575"/>
    <n v="115266"/>
    <s v="0.46"/>
    <s v="0.00"/>
    <s v="99.54"/>
  </r>
  <r>
    <x v="11"/>
    <x v="41"/>
    <n v="38215"/>
    <n v="349"/>
    <n v="19500"/>
    <s v="0.91"/>
    <s v="0.00"/>
    <s v="99.09"/>
  </r>
  <r>
    <x v="11"/>
    <x v="40"/>
    <n v="952001"/>
    <n v="8236"/>
    <n v="531939"/>
    <s v="0.87"/>
    <s v="0.00"/>
    <s v="99.13"/>
  </r>
  <r>
    <x v="11"/>
    <x v="39"/>
    <n v="559698"/>
    <n v="7029"/>
    <n v="44593"/>
    <s v="1.26"/>
    <s v="0.00"/>
    <s v="98.74"/>
  </r>
  <r>
    <x v="11"/>
    <x v="38"/>
    <n v="5002387"/>
    <n v="127281"/>
    <n v="641331"/>
    <s v="2.54"/>
    <s v="0.00"/>
    <s v="97.46"/>
  </r>
  <r>
    <x v="11"/>
    <x v="37"/>
    <n v="97243"/>
    <n v="4636"/>
    <n v="23346"/>
    <s v="4.77"/>
    <s v="0.00"/>
    <s v="95.23"/>
  </r>
  <r>
    <x v="11"/>
    <x v="36"/>
    <n v="102499"/>
    <n v="1686"/>
    <n v="92206"/>
    <s v="1.64"/>
    <s v="0.00"/>
    <s v="98.36"/>
  </r>
  <r>
    <x v="11"/>
    <x v="35"/>
    <n v="1695048"/>
    <n v="37757"/>
    <n v="179481"/>
    <s v="2.23"/>
    <s v="0.00"/>
    <s v="97.77"/>
  </r>
  <r>
    <x v="11"/>
    <x v="34"/>
    <n v="61297"/>
    <n v="695"/>
    <n v="8292"/>
    <s v="1.13"/>
    <s v="0.00"/>
    <s v="98.87"/>
  </r>
  <r>
    <x v="11"/>
    <x v="33"/>
    <n v="872558"/>
    <n v="11234"/>
    <n v="544430"/>
    <s v="1.29"/>
    <s v="0.00"/>
    <s v="98.71"/>
  </r>
  <r>
    <x v="11"/>
    <x v="32"/>
    <n v="17323"/>
    <n v="258"/>
    <n v="14531"/>
    <s v="1.49"/>
    <s v="0.00"/>
    <s v="98.51"/>
  </r>
  <r>
    <x v="11"/>
    <x v="31"/>
    <n v="11518"/>
    <n v="100"/>
    <n v="591"/>
    <s v="0.87"/>
    <s v="0.00"/>
    <s v="99.13"/>
  </r>
  <r>
    <x v="11"/>
    <x v="30"/>
    <n v="57470"/>
    <n v="1091"/>
    <n v="39045"/>
    <s v="1.90"/>
    <s v="0.00"/>
    <s v="98.10"/>
  </r>
  <r>
    <x v="11"/>
    <x v="29"/>
    <n v="1723506"/>
    <n v="29022"/>
    <n v="685097"/>
    <s v="1.68"/>
    <s v="0.00"/>
    <s v="98.32"/>
  </r>
  <r>
    <x v="11"/>
    <x v="28"/>
    <n v="26798"/>
    <n v="491"/>
    <n v="7383"/>
    <s v="1.83"/>
    <s v="0.00"/>
    <s v="98.17"/>
  </r>
  <r>
    <x v="11"/>
    <x v="27"/>
    <n v="600168"/>
    <n v="4631"/>
    <n v="590616"/>
    <s v="0.77"/>
    <s v="0.00"/>
    <s v="99.23"/>
  </r>
  <r>
    <x v="11"/>
    <x v="26"/>
    <n v="186594"/>
    <n v="2406"/>
    <n v="66969"/>
    <s v="1.29"/>
    <s v="0.00"/>
    <s v="98.71"/>
  </r>
  <r>
    <x v="11"/>
    <x v="25"/>
    <n v="2621"/>
    <n v="3"/>
    <n v="1466"/>
    <s v="0.11"/>
    <s v="0.00"/>
    <s v="99.89"/>
  </r>
  <r>
    <x v="11"/>
    <x v="24"/>
    <n v="22351"/>
    <n v="643"/>
    <n v="11058"/>
    <s v="2.88"/>
    <s v="0.00"/>
    <s v="97.12"/>
  </r>
  <r>
    <x v="11"/>
    <x v="23"/>
    <n v="21810855"/>
    <n v="607824"/>
    <n v="10011867"/>
    <s v="2.79"/>
    <s v="0.00"/>
    <s v="97.21"/>
  </r>
  <r>
    <x v="11"/>
    <x v="22"/>
    <n v="513584"/>
    <n v="18925"/>
    <n v="222819"/>
    <s v="3.68"/>
    <s v="0.00"/>
    <s v="96.32"/>
  </r>
  <r>
    <x v="11"/>
    <x v="21"/>
    <n v="13130"/>
    <n v="88"/>
    <n v="7765"/>
    <s v="0.67"/>
    <s v="0.00"/>
    <s v="99.33"/>
  </r>
  <r>
    <x v="11"/>
    <x v="20"/>
    <n v="1659"/>
    <n v="6"/>
    <n v="215"/>
    <s v="0.36"/>
    <s v="0.00"/>
    <s v="99.64"/>
  </r>
  <r>
    <x v="11"/>
    <x v="19"/>
    <n v="24749"/>
    <n v="161"/>
    <n v="13296"/>
    <s v="0.65"/>
    <s v="0.00"/>
    <s v="99.35"/>
  </r>
  <r>
    <x v="11"/>
    <x v="18"/>
    <n v="20039"/>
    <n v="38"/>
    <n v="16920"/>
    <s v="0.19"/>
    <s v="0.00"/>
    <s v="99.81"/>
  </r>
  <r>
    <x v="11"/>
    <x v="17"/>
    <n v="276829"/>
    <n v="1393"/>
    <n v="102223"/>
    <s v="0.50"/>
    <s v="0.00"/>
    <s v="99.50"/>
  </r>
  <r>
    <x v="11"/>
    <x v="16"/>
    <n v="602492"/>
    <n v="23999"/>
    <n v="395882"/>
    <s v="3.98"/>
    <s v="0.00"/>
    <s v="96.02"/>
  </r>
  <r>
    <x v="11"/>
    <x v="15"/>
    <n v="14793"/>
    <n v="214"/>
    <n v="12251"/>
    <s v="1.45"/>
    <s v="0.00"/>
    <s v="98.55"/>
  </r>
  <r>
    <x v="11"/>
    <x v="14"/>
    <n v="1360650"/>
    <n v="25994"/>
    <n v="1246470"/>
    <s v="1.91"/>
    <s v="0.00"/>
    <s v="98.09"/>
  </r>
  <r>
    <x v="11"/>
    <x v="13"/>
    <n v="1569539"/>
    <n v="27868"/>
    <n v="1138244"/>
    <s v="1.78"/>
    <s v="0.00"/>
    <s v="98.22"/>
  </r>
  <r>
    <x v="11"/>
    <x v="12"/>
    <n v="17763"/>
    <n v="153"/>
    <n v="986"/>
    <s v="0.86"/>
    <s v="0.00"/>
    <s v="99.14"/>
  </r>
  <r>
    <x v="11"/>
    <x v="11"/>
    <n v="252758"/>
    <n v="11495"/>
    <n v="201583"/>
    <s v="4.55"/>
    <s v="0.00"/>
    <s v="95.45"/>
  </r>
  <r>
    <x v="11"/>
    <x v="10"/>
    <n v="531370"/>
    <n v="7074"/>
    <n v="303155"/>
    <s v="1.33"/>
    <s v="0.00"/>
    <s v="98.67"/>
  </r>
  <r>
    <x v="11"/>
    <x v="9"/>
    <n v="172030"/>
    <n v="1743"/>
    <n v="13003"/>
    <s v="1.01"/>
    <s v="0.00"/>
    <s v="98.99"/>
  </r>
  <r>
    <x v="11"/>
    <x v="8"/>
    <n v="830981"/>
    <n v="11357"/>
    <n v="157842"/>
    <s v="1.37"/>
    <s v="0.00"/>
    <s v="98.63"/>
  </r>
  <r>
    <x v="11"/>
    <x v="7"/>
    <n v="5288807"/>
    <n v="115950"/>
    <n v="721195"/>
    <s v="2.19"/>
    <s v="0.00"/>
    <s v="97.81"/>
  </r>
  <r>
    <x v="11"/>
    <x v="6"/>
    <n v="64433"/>
    <n v="1710"/>
    <n v="31714"/>
    <s v="2.65"/>
    <s v="0.00"/>
    <s v="97.35"/>
  </r>
  <r>
    <x v="11"/>
    <x v="5"/>
    <n v="308326"/>
    <n v="6328"/>
    <n v="80893"/>
    <s v="2.05"/>
    <s v="0.00"/>
    <s v="97.95"/>
  </r>
  <r>
    <x v="11"/>
    <x v="4"/>
    <n v="185300"/>
    <n v="2924"/>
    <n v="99719"/>
    <s v="1.58"/>
    <s v="0.00"/>
    <s v="98.42"/>
  </r>
  <r>
    <x v="11"/>
    <x v="3"/>
    <n v="4058"/>
    <n v="102"/>
    <n v="3101"/>
    <s v="2.51"/>
    <s v="0.00"/>
    <s v="97.49"/>
  </r>
  <r>
    <x v="11"/>
    <x v="2"/>
    <n v="156250"/>
    <n v="7280"/>
    <n v="5700"/>
    <s v="4.66"/>
    <s v="0.00"/>
    <s v="95.34"/>
  </r>
  <r>
    <x v="11"/>
    <x v="1"/>
    <n v="739905"/>
    <n v="2136"/>
    <n v="133704"/>
    <s v="0.29"/>
    <s v="0.00"/>
    <s v="99.71"/>
  </r>
  <r>
    <x v="11"/>
    <x v="0"/>
    <n v="15516"/>
    <n v="130"/>
    <n v="9408"/>
    <s v="0.84"/>
    <s v="0.00"/>
    <s v="99.16"/>
  </r>
  <r>
    <x v="12"/>
    <x v="0"/>
    <n v="15516"/>
    <n v="130"/>
    <n v="2603"/>
    <s v="0.84"/>
    <s v="0.00"/>
    <s v="99.16"/>
  </r>
  <r>
    <x v="12"/>
    <x v="1"/>
    <n v="739824"/>
    <n v="2136"/>
    <n v="61288"/>
    <s v="0.29"/>
    <s v="0.00"/>
    <s v="99.71"/>
  </r>
  <r>
    <x v="12"/>
    <x v="2"/>
    <n v="156210"/>
    <n v="7272"/>
    <n v="27288"/>
    <s v="4.66"/>
    <s v="0.00"/>
    <s v="95.34"/>
  </r>
  <r>
    <x v="12"/>
    <x v="3"/>
    <n v="4058"/>
    <n v="102"/>
    <n v="1016"/>
    <s v="2.51"/>
    <s v="0.00"/>
    <s v="97.49"/>
  </r>
  <r>
    <x v="12"/>
    <x v="4"/>
    <n v="184887"/>
    <n v="2916"/>
    <n v="59024"/>
    <s v="1.58"/>
    <s v="0.00"/>
    <s v="98.42"/>
  </r>
  <r>
    <x v="12"/>
    <x v="5"/>
    <n v="306739"/>
    <n v="6284"/>
    <n v="192818"/>
    <s v="2.05"/>
    <s v="0.00"/>
    <s v="97.95"/>
  </r>
  <r>
    <x v="12"/>
    <x v="6"/>
    <n v="64374"/>
    <n v="1708"/>
    <n v="40386"/>
    <s v="2.65"/>
    <s v="0.00"/>
    <s v="97.35"/>
  </r>
  <r>
    <x v="12"/>
    <x v="7"/>
    <n v="5288259"/>
    <n v="115942"/>
    <n v="3866874"/>
    <s v="2.19"/>
    <s v="0.00"/>
    <s v="97.81"/>
  </r>
  <r>
    <x v="12"/>
    <x v="8"/>
    <n v="825297"/>
    <n v="11345"/>
    <n v="19991"/>
    <s v="1.37"/>
    <s v="0.00"/>
    <s v="98.63"/>
  </r>
  <r>
    <x v="12"/>
    <x v="9"/>
    <n v="170564"/>
    <n v="1735"/>
    <n v="35336"/>
    <s v="1.02"/>
    <s v="0.00"/>
    <s v="98.98"/>
  </r>
  <r>
    <x v="12"/>
    <x v="10"/>
    <n v="529109"/>
    <n v="7049"/>
    <n v="32124"/>
    <s v="1.33"/>
    <s v="0.00"/>
    <s v="98.67"/>
  </r>
  <r>
    <x v="12"/>
    <x v="11"/>
    <n v="252758"/>
    <n v="11495"/>
    <n v="118225"/>
    <s v="4.55"/>
    <s v="0.00"/>
    <s v="95.45"/>
  </r>
  <r>
    <x v="12"/>
    <x v="12"/>
    <n v="17465"/>
    <n v="152"/>
    <n v="15067"/>
    <s v="0.87"/>
    <s v="0.00"/>
    <s v="99.13"/>
  </r>
  <r>
    <x v="12"/>
    <x v="13"/>
    <n v="1569328"/>
    <n v="27862"/>
    <n v="349479"/>
    <s v="1.78"/>
    <s v="0.00"/>
    <s v="98.22"/>
  </r>
  <r>
    <x v="12"/>
    <x v="14"/>
    <n v="1360650"/>
    <n v="25994"/>
    <n v="396518"/>
    <s v="1.91"/>
    <s v="0.00"/>
    <s v="98.09"/>
  </r>
  <r>
    <x v="12"/>
    <x v="15"/>
    <n v="14793"/>
    <n v="214"/>
    <n v="13086"/>
    <s v="1.45"/>
    <s v="0.00"/>
    <s v="98.55"/>
  </r>
  <r>
    <x v="12"/>
    <x v="16"/>
    <n v="601035"/>
    <n v="23918"/>
    <n v="161915"/>
    <s v="3.98"/>
    <s v="0.00"/>
    <s v="96.02"/>
  </r>
  <r>
    <x v="12"/>
    <x v="17"/>
    <n v="276794"/>
    <n v="1393"/>
    <n v="66848"/>
    <s v="0.50"/>
    <s v="0.00"/>
    <s v="99.50"/>
  </r>
  <r>
    <x v="12"/>
    <x v="18"/>
    <n v="20039"/>
    <n v="38"/>
    <n v="3529"/>
    <s v="0.19"/>
    <s v="0.00"/>
    <s v="99.81"/>
  </r>
  <r>
    <x v="12"/>
    <x v="19"/>
    <n v="24749"/>
    <n v="161"/>
    <n v="6540"/>
    <s v="0.65"/>
    <s v="0.00"/>
    <s v="99.35"/>
  </r>
  <r>
    <x v="12"/>
    <x v="20"/>
    <n v="1659"/>
    <n v="6"/>
    <n v="125"/>
    <s v="0.36"/>
    <s v="0.00"/>
    <s v="99.64"/>
  </r>
  <r>
    <x v="12"/>
    <x v="21"/>
    <n v="13065"/>
    <n v="87"/>
    <n v="9820"/>
    <s v="0.67"/>
    <s v="0.00"/>
    <s v="99.33"/>
  </r>
  <r>
    <x v="12"/>
    <x v="22"/>
    <n v="513584"/>
    <n v="18925"/>
    <n v="41864"/>
    <s v="3.68"/>
    <s v="0.00"/>
    <s v="96.32"/>
  </r>
  <r>
    <x v="12"/>
    <x v="23"/>
    <n v="21804094"/>
    <n v="607694"/>
    <n v="12488865"/>
    <s v="2.79"/>
    <s v="0.00"/>
    <s v="97.21"/>
  </r>
  <r>
    <x v="12"/>
    <x v="24"/>
    <n v="22351"/>
    <n v="643"/>
    <n v="6951"/>
    <s v="2.88"/>
    <s v="0.00"/>
    <s v="97.12"/>
  </r>
  <r>
    <x v="12"/>
    <x v="25"/>
    <n v="2621"/>
    <n v="3"/>
    <n v="1122"/>
    <s v="0.11"/>
    <s v="0.00"/>
    <s v="99.89"/>
  </r>
  <r>
    <x v="12"/>
    <x v="26"/>
    <n v="186594"/>
    <n v="2406"/>
    <n v="1136"/>
    <s v="1.29"/>
    <s v="0.00"/>
    <s v="98.71"/>
  </r>
  <r>
    <x v="12"/>
    <x v="27"/>
    <n v="598183"/>
    <n v="4614"/>
    <n v="93320"/>
    <s v="0.77"/>
    <s v="0.00"/>
    <s v="99.23"/>
  </r>
  <r>
    <x v="12"/>
    <x v="28"/>
    <n v="26798"/>
    <n v="491"/>
    <n v="21329"/>
    <s v="1.83"/>
    <s v="0.00"/>
    <s v="98.17"/>
  </r>
  <r>
    <x v="12"/>
    <x v="29"/>
    <n v="1721987"/>
    <n v="29016"/>
    <n v="603827"/>
    <s v="1.69"/>
    <s v="0.00"/>
    <s v="98.31"/>
  </r>
  <r>
    <x v="12"/>
    <x v="30"/>
    <n v="57470"/>
    <n v="1091"/>
    <n v="6382"/>
    <s v="1.90"/>
    <s v="0.00"/>
    <s v="98.10"/>
  </r>
  <r>
    <x v="12"/>
    <x v="31"/>
    <n v="11518"/>
    <n v="100"/>
    <n v="8678"/>
    <s v="0.87"/>
    <s v="0.00"/>
    <s v="99.13"/>
  </r>
  <r>
    <x v="12"/>
    <x v="32"/>
    <n v="17323"/>
    <n v="258"/>
    <n v="5295"/>
    <s v="1.49"/>
    <s v="0.00"/>
    <s v="98.51"/>
  </r>
  <r>
    <x v="12"/>
    <x v="33"/>
    <n v="872558"/>
    <n v="11233"/>
    <n v="332243"/>
    <s v="1.29"/>
    <s v="0.00"/>
    <s v="98.71"/>
  </r>
  <r>
    <x v="12"/>
    <x v="34"/>
    <n v="61292"/>
    <n v="695"/>
    <n v="40501"/>
    <s v="1.13"/>
    <s v="0.00"/>
    <s v="98.87"/>
  </r>
  <r>
    <x v="12"/>
    <x v="35"/>
    <n v="1692877"/>
    <n v="37743"/>
    <n v="1071042"/>
    <s v="2.23"/>
    <s v="0.00"/>
    <s v="97.77"/>
  </r>
  <r>
    <x v="12"/>
    <x v="36"/>
    <n v="102499"/>
    <n v="1686"/>
    <n v="79441"/>
    <s v="1.64"/>
    <s v="0.00"/>
    <s v="98.36"/>
  </r>
  <r>
    <x v="12"/>
    <x v="37"/>
    <n v="97152"/>
    <n v="4636"/>
    <n v="65097"/>
    <s v="4.77"/>
    <s v="0.00"/>
    <s v="95.23"/>
  </r>
  <r>
    <x v="12"/>
    <x v="38"/>
    <n v="5000677"/>
    <n v="127258"/>
    <n v="2222667"/>
    <s v="2.54"/>
    <s v="0.00"/>
    <s v="97.46"/>
  </r>
  <r>
    <x v="12"/>
    <x v="39"/>
    <n v="559698"/>
    <n v="7029"/>
    <n v="285242"/>
    <s v="1.26"/>
    <s v="0.00"/>
    <s v="98.74"/>
  </r>
  <r>
    <x v="12"/>
    <x v="40"/>
    <n v="951325"/>
    <n v="8230"/>
    <n v="324395"/>
    <s v="0.87"/>
    <s v="0.00"/>
    <s v="99.13"/>
  </r>
  <r>
    <x v="12"/>
    <x v="41"/>
    <n v="38207"/>
    <n v="349"/>
    <n v="3029"/>
    <s v="0.91"/>
    <s v="0.00"/>
    <s v="99.09"/>
  </r>
  <r>
    <x v="12"/>
    <x v="42"/>
    <n v="124017"/>
    <n v="575"/>
    <n v="86258"/>
    <s v="0.46"/>
    <s v="0.00"/>
    <s v="99.54"/>
  </r>
  <r>
    <x v="12"/>
    <x v="43"/>
    <n v="1757821"/>
    <n v="30736"/>
    <n v="800614"/>
    <s v="1.75"/>
    <s v="0.00"/>
    <s v="98.25"/>
  </r>
  <r>
    <x v="12"/>
    <x v="44"/>
    <n v="4608512"/>
    <n v="95734"/>
    <n v="2566880"/>
    <s v="2.08"/>
    <s v="0.00"/>
    <s v="97.92"/>
  </r>
  <r>
    <x v="12"/>
    <x v="45"/>
    <n v="13478"/>
    <n v="181"/>
    <n v="12262"/>
    <s v="1.34"/>
    <s v="0.00"/>
    <s v="98.66"/>
  </r>
  <r>
    <x v="12"/>
    <x v="46"/>
    <n v="387050"/>
    <n v="2713"/>
    <n v="215171"/>
    <s v="0.70"/>
    <s v="0.00"/>
    <s v="99.30"/>
  </r>
  <r>
    <x v="12"/>
    <x v="47"/>
    <n v="4783"/>
    <n v="32"/>
    <n v="1084"/>
    <s v="0.67"/>
    <s v="0.00"/>
    <s v="99.33"/>
  </r>
  <r>
    <x v="12"/>
    <x v="48"/>
    <n v="380974"/>
    <n v="4129"/>
    <n v="196492"/>
    <s v="1.08"/>
    <s v="0.00"/>
    <s v="98.92"/>
  </r>
  <r>
    <x v="12"/>
    <x v="49"/>
    <n v="206358"/>
    <n v="5918"/>
    <n v="121440"/>
    <s v="2.87"/>
    <s v="0.00"/>
    <s v="97.13"/>
  </r>
  <r>
    <x v="12"/>
    <x v="50"/>
    <n v="515859"/>
    <n v="32958"/>
    <n v="381166"/>
    <s v="6.39"/>
    <s v="0.00"/>
    <s v="93.61"/>
  </r>
  <r>
    <x v="12"/>
    <x v="51"/>
    <n v="192092"/>
    <n v="1516"/>
    <n v="83486"/>
    <s v="0.79"/>
    <s v="0.00"/>
    <s v="99.21"/>
  </r>
  <r>
    <x v="12"/>
    <x v="52"/>
    <n v="330084"/>
    <n v="18592"/>
    <n v="123266"/>
    <s v="5.63"/>
    <s v="0.00"/>
    <s v="94.37"/>
  </r>
  <r>
    <x v="12"/>
    <x v="53"/>
    <n v="6831"/>
    <n v="45"/>
    <n v="2942"/>
    <s v="0.66"/>
    <s v="0.00"/>
    <s v="99.34"/>
  </r>
  <r>
    <x v="12"/>
    <x v="54"/>
    <n v="5011148"/>
    <n v="87368"/>
    <n v="3088371"/>
    <s v="1.74"/>
    <s v="0.00"/>
    <s v="98.26"/>
  </r>
  <r>
    <x v="12"/>
    <x v="55"/>
    <n v="364960"/>
    <n v="6451"/>
    <n v="213840"/>
    <s v="1.77"/>
    <s v="0.00"/>
    <s v="98.23"/>
  </r>
  <r>
    <x v="12"/>
    <x v="56"/>
    <n v="157531"/>
    <n v="1158"/>
    <n v="134715"/>
    <s v="0.74"/>
    <s v="0.00"/>
    <s v="99.26"/>
  </r>
  <r>
    <x v="12"/>
    <x v="57"/>
    <n v="52141"/>
    <n v="674"/>
    <n v="21086"/>
    <s v="1.29"/>
    <s v="0.00"/>
    <s v="98.71"/>
  </r>
  <r>
    <x v="12"/>
    <x v="58"/>
    <n v="2082"/>
    <n v="2"/>
    <n v="1286"/>
    <s v="0.10"/>
    <s v="0.00"/>
    <s v="99.90"/>
  </r>
  <r>
    <x v="12"/>
    <x v="59"/>
    <n v="6982862"/>
    <n v="115289"/>
    <n v="2601693"/>
    <s v="1.65"/>
    <s v="0.00"/>
    <s v="98.35"/>
  </r>
  <r>
    <x v="12"/>
    <x v="60"/>
    <n v="35525"/>
    <n v="239"/>
    <n v="6328"/>
    <s v="0.67"/>
    <s v="0.00"/>
    <s v="99.33"/>
  </r>
  <r>
    <x v="12"/>
    <x v="61"/>
    <n v="9056736"/>
    <n v="140883"/>
    <n v="200467"/>
    <s v="1.56"/>
    <s v="0.00"/>
    <s v="98.44"/>
  </r>
  <r>
    <x v="12"/>
    <x v="63"/>
    <n v="715865"/>
    <n v="10003"/>
    <n v="243557"/>
    <s v="1.40"/>
    <s v="0.00"/>
    <s v="98.60"/>
  </r>
  <r>
    <x v="12"/>
    <x v="62"/>
    <n v="5840"/>
    <n v="198"/>
    <n v="2116"/>
    <s v="3.39"/>
    <s v="0.00"/>
    <s v="96.61"/>
  </r>
  <r>
    <x v="12"/>
    <x v="64"/>
    <n v="44554"/>
    <n v="306"/>
    <n v="7915"/>
    <s v="0.69"/>
    <s v="0.00"/>
    <s v="99.31"/>
  </r>
  <r>
    <x v="12"/>
    <x v="65"/>
    <n v="130077"/>
    <n v="1175"/>
    <n v="124737"/>
    <s v="0.90"/>
    <s v="0.00"/>
    <s v="99.10"/>
  </r>
  <r>
    <x v="12"/>
    <x v="66"/>
    <n v="5974"/>
    <n v="98"/>
    <n v="1822"/>
    <s v="1.64"/>
    <s v="0.00"/>
    <s v="98.36"/>
  </r>
  <r>
    <x v="12"/>
    <x v="68"/>
    <n v="30653"/>
    <n v="385"/>
    <n v="1098"/>
    <s v="1.26"/>
    <s v="0.00"/>
    <s v="98.74"/>
  </r>
  <r>
    <x v="12"/>
    <x v="67"/>
    <n v="9965"/>
    <n v="340"/>
    <n v="2054"/>
    <s v="3.41"/>
    <s v="0.00"/>
    <s v="96.59"/>
  </r>
  <r>
    <x v="12"/>
    <x v="69"/>
    <n v="54288"/>
    <n v="815"/>
    <n v="5537"/>
    <s v="1.50"/>
    <s v="0.00"/>
    <s v="98.50"/>
  </r>
  <r>
    <x v="12"/>
    <x v="70"/>
    <n v="13368"/>
    <n v="167"/>
    <n v="9257"/>
    <s v="1.25"/>
    <s v="0.00"/>
    <s v="98.75"/>
  </r>
  <r>
    <x v="12"/>
    <x v="71"/>
    <n v="739448"/>
    <n v="15894"/>
    <n v="236167"/>
    <s v="2.15"/>
    <s v="0.00"/>
    <s v="97.85"/>
  </r>
  <r>
    <x v="12"/>
    <x v="72"/>
    <n v="601402"/>
    <n v="15050"/>
    <n v="356104"/>
    <s v="2.50"/>
    <s v="0.00"/>
    <s v="97.50"/>
  </r>
  <r>
    <x v="12"/>
    <x v="73"/>
    <n v="6133"/>
    <n v="141"/>
    <n v="2471"/>
    <s v="2.30"/>
    <s v="0.00"/>
    <s v="97.70"/>
  </r>
  <r>
    <x v="12"/>
    <x v="74"/>
    <n v="35548"/>
    <n v="913"/>
    <n v="5197"/>
    <s v="2.57"/>
    <s v="0.00"/>
    <s v="97.43"/>
  </r>
  <r>
    <x v="12"/>
    <x v="75"/>
    <n v="12345"/>
    <n v="213"/>
    <n v="1168"/>
    <s v="1.73"/>
    <s v="0.00"/>
    <s v="98.27"/>
  </r>
  <r>
    <x v="12"/>
    <x v="76"/>
    <n v="375381"/>
    <n v="10239"/>
    <n v="56599"/>
    <s v="2.73"/>
    <s v="0.00"/>
    <s v="97.27"/>
  </r>
  <r>
    <x v="12"/>
    <x v="77"/>
    <n v="467029"/>
    <n v="9198"/>
    <n v="67607"/>
    <s v="1.97"/>
    <s v="0.00"/>
    <s v="98.03"/>
  </r>
  <r>
    <x v="12"/>
    <x v="78"/>
    <n v="23960"/>
    <n v="671"/>
    <n v="22897"/>
    <s v="2.80"/>
    <s v="0.00"/>
    <s v="97.20"/>
  </r>
  <r>
    <x v="12"/>
    <x v="79"/>
    <n v="863419"/>
    <n v="30729"/>
    <n v="340448"/>
    <s v="3.56"/>
    <s v="0.00"/>
    <s v="96.44"/>
  </r>
  <r>
    <x v="12"/>
    <x v="80"/>
    <n v="4243835"/>
    <n v="143388"/>
    <n v="1475063"/>
    <s v="3.38"/>
    <s v="0.00"/>
    <s v="96.62"/>
  </r>
  <r>
    <x v="12"/>
    <x v="81"/>
    <n v="443631"/>
    <n v="5436"/>
    <n v="137985"/>
    <s v="1.23"/>
    <s v="0.00"/>
    <s v="98.77"/>
  </r>
  <r>
    <x v="12"/>
    <x v="82"/>
    <n v="1327126"/>
    <n v="8085"/>
    <n v="170584"/>
    <s v="0.61"/>
    <s v="0.00"/>
    <s v="99.39"/>
  </r>
  <r>
    <x v="12"/>
    <x v="83"/>
    <n v="34273300"/>
    <n v="458186"/>
    <n v="5608652"/>
    <s v="1.34"/>
    <s v="0.00"/>
    <s v="98.66"/>
  </r>
  <r>
    <x v="12"/>
    <x v="84"/>
    <n v="2054202"/>
    <n v="23138"/>
    <n v="394901"/>
    <s v="1.13"/>
    <s v="0.00"/>
    <s v="98.87"/>
  </r>
  <r>
    <x v="12"/>
    <x v="85"/>
    <n v="5916211"/>
    <n v="126126"/>
    <n v="5777988"/>
    <s v="2.13"/>
    <s v="0.00"/>
    <s v="97.87"/>
  </r>
  <r>
    <x v="12"/>
    <x v="86"/>
    <n v="13492"/>
    <n v="33"/>
    <n v="11693"/>
    <s v="0.24"/>
    <s v="0.00"/>
    <s v="99.76"/>
  </r>
  <r>
    <x v="12"/>
    <x v="87"/>
    <n v="4767440"/>
    <n v="132074"/>
    <n v="2922404"/>
    <s v="2.77"/>
    <s v="0.00"/>
    <s v="97.23"/>
  </r>
  <r>
    <x v="12"/>
    <x v="88"/>
    <n v="88907"/>
    <n v="2229"/>
    <n v="28033"/>
    <s v="2.51"/>
    <s v="0.00"/>
    <s v="97.49"/>
  </r>
  <r>
    <x v="12"/>
    <x v="89"/>
    <n v="860818"/>
    <n v="11028"/>
    <n v="262506"/>
    <s v="1.28"/>
    <s v="0.00"/>
    <s v="98.72"/>
  </r>
  <r>
    <x v="12"/>
    <x v="90"/>
    <n v="1722115"/>
    <n v="18257"/>
    <n v="594092"/>
    <s v="1.06"/>
    <s v="0.00"/>
    <s v="98.94"/>
  </r>
  <r>
    <x v="12"/>
    <x v="91"/>
    <n v="253293"/>
    <n v="5276"/>
    <n v="186422"/>
    <s v="2.08"/>
    <s v="0.00"/>
    <s v="97.92"/>
  </r>
  <r>
    <x v="12"/>
    <x v="92"/>
    <n v="181186"/>
    <n v="2668"/>
    <n v="125875"/>
    <s v="1.47"/>
    <s v="0.00"/>
    <s v="98.53"/>
  </r>
  <r>
    <x v="12"/>
    <x v="94"/>
    <n v="2"/>
    <n v="0"/>
    <n v="0"/>
    <s v="0.00"/>
    <s v="0.00"/>
    <s v="100.00"/>
  </r>
  <r>
    <x v="12"/>
    <x v="93"/>
    <n v="118427"/>
    <n v="2781"/>
    <n v="86007"/>
    <s v="2.35"/>
    <s v="0.00"/>
    <s v="97.65"/>
  </r>
  <r>
    <x v="12"/>
    <x v="95"/>
    <n v="4239"/>
    <n v="147"/>
    <n v="3023"/>
    <s v="3.47"/>
    <s v="0.00"/>
    <s v="96.53"/>
  </r>
  <r>
    <x v="12"/>
    <x v="96"/>
    <n v="2669"/>
    <n v="23"/>
    <n v="1691"/>
    <s v="0.86"/>
    <s v="0.00"/>
    <s v="99.14"/>
  </r>
  <r>
    <x v="12"/>
    <x v="97"/>
    <n v="364700"/>
    <n v="2849"/>
    <n v="327137"/>
    <s v="0.78"/>
    <s v="0.00"/>
    <s v="99.22"/>
  </r>
  <r>
    <x v="12"/>
    <x v="98"/>
    <n v="412653"/>
    <n v="2461"/>
    <n v="195944"/>
    <s v="0.60"/>
    <s v="0.00"/>
    <s v="99.40"/>
  </r>
  <r>
    <x v="12"/>
    <x v="99"/>
    <n v="1018841"/>
    <n v="17078"/>
    <n v="792613"/>
    <s v="1.68"/>
    <s v="0.00"/>
    <s v="98.32"/>
  </r>
  <r>
    <x v="12"/>
    <x v="100"/>
    <n v="39586"/>
    <n v="62"/>
    <n v="22195"/>
    <s v="0.16"/>
    <s v="0.00"/>
    <s v="99.84"/>
  </r>
  <r>
    <x v="12"/>
    <x v="101"/>
    <n v="641339"/>
    <n v="8495"/>
    <n v="159520"/>
    <s v="1.32"/>
    <s v="0.00"/>
    <s v="98.68"/>
  </r>
  <r>
    <x v="12"/>
    <x v="102"/>
    <n v="12559"/>
    <n v="255"/>
    <n v="3768"/>
    <s v="2.03"/>
    <s v="0.00"/>
    <s v="97.97"/>
  </r>
  <r>
    <x v="12"/>
    <x v="103"/>
    <n v="3662"/>
    <n v="61"/>
    <n v="3545"/>
    <s v="1.67"/>
    <s v="0.00"/>
    <s v="98.33"/>
  </r>
  <r>
    <x v="12"/>
    <x v="104"/>
    <n v="539981"/>
    <n v="13725"/>
    <n v="273899"/>
    <s v="2.54"/>
    <s v="0.00"/>
    <s v="97.46"/>
  </r>
  <r>
    <x v="12"/>
    <x v="105"/>
    <n v="5812"/>
    <n v="287"/>
    <n v="3703"/>
    <s v="4.94"/>
    <s v="0.00"/>
    <s v="95.06"/>
  </r>
  <r>
    <x v="12"/>
    <x v="106"/>
    <n v="21634"/>
    <n v="658"/>
    <n v="8908"/>
    <s v="3.04"/>
    <s v="0.00"/>
    <s v="96.96"/>
  </r>
  <r>
    <x v="12"/>
    <x v="107"/>
    <n v="406095"/>
    <n v="5833"/>
    <n v="324688"/>
    <s v="1.44"/>
    <s v="0.00"/>
    <s v="98.56"/>
  </r>
  <r>
    <x v="12"/>
    <x v="108"/>
    <n v="81683"/>
    <n v="843"/>
    <n v="61794"/>
    <s v="1.03"/>
    <s v="0.00"/>
    <s v="98.97"/>
  </r>
  <r>
    <x v="12"/>
    <x v="109"/>
    <n v="217339"/>
    <n v="3237"/>
    <n v="4854"/>
    <s v="1.49"/>
    <s v="0.00"/>
    <s v="98.51"/>
  </r>
  <r>
    <x v="12"/>
    <x v="110"/>
    <n v="356655"/>
    <n v="5078"/>
    <n v="185300"/>
    <s v="1.42"/>
    <s v="0.00"/>
    <s v="98.58"/>
  </r>
  <r>
    <x v="12"/>
    <x v="111"/>
    <n v="945960"/>
    <n v="14667"/>
    <n v="802283"/>
    <s v="1.55"/>
    <s v="0.00"/>
    <s v="98.45"/>
  </r>
  <r>
    <x v="12"/>
    <x v="112"/>
    <n v="3414"/>
    <n v="36"/>
    <n v="2594"/>
    <s v="1.05"/>
    <s v="0.00"/>
    <s v="98.95"/>
  </r>
  <r>
    <x v="12"/>
    <x v="113"/>
    <n v="337115"/>
    <n v="7751"/>
    <n v="210090"/>
    <s v="2.30"/>
    <s v="0.00"/>
    <s v="97.70"/>
  </r>
  <r>
    <x v="12"/>
    <x v="114"/>
    <n v="143785"/>
    <n v="2100"/>
    <n v="49960"/>
    <s v="1.46"/>
    <s v="0.00"/>
    <s v="98.54"/>
  </r>
  <r>
    <x v="12"/>
    <x v="115"/>
    <n v="3920"/>
    <n v="56"/>
    <n v="3093"/>
    <s v="1.43"/>
    <s v="0.00"/>
    <s v="98.57"/>
  </r>
  <r>
    <x v="12"/>
    <x v="116"/>
    <n v="43626"/>
    <n v="963"/>
    <n v="3243"/>
    <s v="2.21"/>
    <s v="0.00"/>
    <s v="97.79"/>
  </r>
  <r>
    <x v="12"/>
    <x v="117"/>
    <n v="4"/>
    <n v="0"/>
    <n v="2"/>
    <s v="0.00"/>
    <s v="0.00"/>
    <s v="100.00"/>
  </r>
  <r>
    <x v="12"/>
    <x v="118"/>
    <n v="202203"/>
    <n v="7121"/>
    <n v="45601"/>
    <s v="3.52"/>
    <s v="0.00"/>
    <s v="96.48"/>
  </r>
  <r>
    <x v="12"/>
    <x v="119"/>
    <n v="16038"/>
    <n v="563"/>
    <n v="9609"/>
    <s v="3.51"/>
    <s v="0.00"/>
    <s v="96.49"/>
  </r>
  <r>
    <x v="12"/>
    <x v="120"/>
    <n v="499321"/>
    <n v="18664"/>
    <n v="446022"/>
    <s v="3.74"/>
    <s v="0.00"/>
    <s v="96.26"/>
  </r>
  <r>
    <x v="12"/>
    <x v="121"/>
    <n v="359396"/>
    <n v="1734"/>
    <n v="68678"/>
    <s v="0.48"/>
    <s v="0.00"/>
    <s v="99.52"/>
  </r>
  <r>
    <x v="12"/>
    <x v="122"/>
    <n v="77"/>
    <n v="0"/>
    <n v="52"/>
    <s v="0.00"/>
    <s v="0.00"/>
    <s v="100.00"/>
  </r>
  <r>
    <x v="12"/>
    <x v="123"/>
    <n v="43183"/>
    <n v="681"/>
    <n v="16874"/>
    <s v="1.58"/>
    <s v="0.00"/>
    <s v="98.42"/>
  </r>
  <r>
    <x v="12"/>
    <x v="124"/>
    <n v="37275"/>
    <n v="795"/>
    <n v="7"/>
    <s v="2.13"/>
    <s v="0.00"/>
    <s v="97.87"/>
  </r>
  <r>
    <x v="12"/>
    <x v="125"/>
    <n v="37637"/>
    <n v="461"/>
    <n v="21419"/>
    <s v="1.22"/>
    <s v="0.00"/>
    <s v="98.78"/>
  </r>
  <r>
    <x v="12"/>
    <x v="126"/>
    <n v="17698"/>
    <n v="166"/>
    <n v="12252"/>
    <s v="0.94"/>
    <s v="0.00"/>
    <s v="99.06"/>
  </r>
  <r>
    <x v="12"/>
    <x v="127"/>
    <n v="87487"/>
    <n v="243"/>
    <n v="67986"/>
    <s v="0.28"/>
    <s v="0.00"/>
    <s v="99.72"/>
  </r>
  <r>
    <x v="12"/>
    <x v="128"/>
    <n v="61794"/>
    <n v="2300"/>
    <n v="22744"/>
    <s v="3.72"/>
    <s v="0.00"/>
    <s v="96.28"/>
  </r>
  <r>
    <x v="12"/>
    <x v="129"/>
    <n v="3805765"/>
    <n v="288276"/>
    <n v="469720"/>
    <s v="7.57"/>
    <s v="0.00"/>
    <s v="92.43"/>
  </r>
  <r>
    <x v="12"/>
    <x v="130"/>
    <n v="2466663"/>
    <n v="28876"/>
    <n v="764945"/>
    <s v="1.17"/>
    <s v="0.00"/>
    <s v="98.83"/>
  </r>
  <r>
    <x v="12"/>
    <x v="131"/>
    <n v="151270"/>
    <n v="1930"/>
    <n v="78769"/>
    <s v="1.28"/>
    <s v="0.00"/>
    <s v="98.72"/>
  </r>
  <r>
    <x v="12"/>
    <x v="132"/>
    <n v="128906"/>
    <n v="3552"/>
    <n v="76035"/>
    <s v="2.76"/>
    <s v="0.00"/>
    <s v="97.24"/>
  </r>
  <r>
    <x v="12"/>
    <x v="133"/>
    <n v="10948"/>
    <n v="264"/>
    <n v="6915"/>
    <s v="2.41"/>
    <s v="0.00"/>
    <s v="97.59"/>
  </r>
  <r>
    <x v="12"/>
    <x v="134"/>
    <n v="6339"/>
    <n v="212"/>
    <n v="3511"/>
    <s v="3.34"/>
    <s v="0.00"/>
    <s v="96.66"/>
  </r>
  <r>
    <x v="12"/>
    <x v="135"/>
    <n v="211887"/>
    <n v="2895"/>
    <n v="127872"/>
    <s v="1.37"/>
    <s v="0.00"/>
    <s v="98.63"/>
  </r>
  <r>
    <x v="12"/>
    <x v="136"/>
    <n v="16422"/>
    <n v="208"/>
    <n v="5658"/>
    <s v="1.27"/>
    <s v="0.00"/>
    <s v="98.73"/>
  </r>
  <r>
    <x v="12"/>
    <x v="137"/>
    <n v="2163794"/>
    <n v="18836"/>
    <n v="1655230"/>
    <s v="0.87"/>
    <s v="0.00"/>
    <s v="99.13"/>
  </r>
  <r>
    <x v="12"/>
    <x v="138"/>
    <n v="206653"/>
    <n v="900"/>
    <n v="177973"/>
    <s v="0.44"/>
    <s v="0.00"/>
    <s v="99.56"/>
  </r>
  <r>
    <x v="12"/>
    <x v="139"/>
    <n v="812194"/>
    <n v="11399"/>
    <n v="80490"/>
    <s v="1.40"/>
    <s v="0.00"/>
    <s v="98.60"/>
  </r>
  <r>
    <x v="12"/>
    <x v="140"/>
    <n v="6429"/>
    <n v="28"/>
    <n v="439"/>
    <s v="0.44"/>
    <s v="0.00"/>
    <s v="99.56"/>
  </r>
  <r>
    <x v="12"/>
    <x v="141"/>
    <n v="304241"/>
    <n v="4111"/>
    <n v="33919"/>
    <s v="1.35"/>
    <s v="0.00"/>
    <s v="98.65"/>
  </r>
  <r>
    <x v="12"/>
    <x v="142"/>
    <n v="472534"/>
    <n v="7315"/>
    <n v="331266"/>
    <s v="1.55"/>
    <s v="0.00"/>
    <s v="98.45"/>
  </r>
  <r>
    <x v="12"/>
    <x v="143"/>
    <n v="2200908"/>
    <n v="200217"/>
    <n v="1177555"/>
    <s v="9.10"/>
    <s v="0.00"/>
    <s v="90.90"/>
  </r>
  <r>
    <x v="12"/>
    <x v="144"/>
    <n v="45541"/>
    <n v="636"/>
    <n v="32912"/>
    <s v="1.40"/>
    <s v="0.00"/>
    <s v="98.60"/>
  </r>
  <r>
    <x v="12"/>
    <x v="145"/>
    <n v="29108"/>
    <n v="367"/>
    <n v="15036"/>
    <s v="1.26"/>
    <s v="0.00"/>
    <s v="98.74"/>
  </r>
  <r>
    <x v="12"/>
    <x v="146"/>
    <n v="2783896"/>
    <n v="43044"/>
    <n v="2061550"/>
    <s v="1.55"/>
    <s v="0.00"/>
    <s v="98.45"/>
  </r>
  <r>
    <x v="12"/>
    <x v="147"/>
    <n v="1273078"/>
    <n v="28449"/>
    <n v="889920"/>
    <s v="2.23"/>
    <s v="0.00"/>
    <s v="97.77"/>
  </r>
  <r>
    <x v="12"/>
    <x v="148"/>
    <n v="3018100"/>
    <n v="76990"/>
    <n v="2074804"/>
    <s v="2.55"/>
    <s v="0.00"/>
    <s v="97.45"/>
  </r>
  <r>
    <x v="12"/>
    <x v="149"/>
    <n v="452997"/>
    <n v="4663"/>
    <n v="215739"/>
    <s v="1.03"/>
    <s v="0.00"/>
    <s v="98.97"/>
  </r>
  <r>
    <x v="12"/>
    <x v="150"/>
    <n v="1089888"/>
    <n v="18156"/>
    <n v="290458"/>
    <s v="1.67"/>
    <s v="0.00"/>
    <s v="98.33"/>
  </r>
  <r>
    <x v="12"/>
    <x v="151"/>
    <n v="8"/>
    <n v="0"/>
    <n v="2"/>
    <s v="0.00"/>
    <s v="0.00"/>
    <s v="100.00"/>
  </r>
  <r>
    <x v="12"/>
    <x v="152"/>
    <n v="460974"/>
    <n v="16245"/>
    <n v="170781"/>
    <s v="3.52"/>
    <s v="0.00"/>
    <s v="96.48"/>
  </r>
  <r>
    <x v="12"/>
    <x v="153"/>
    <n v="239143"/>
    <n v="610"/>
    <n v="80536"/>
    <s v="0.26"/>
    <s v="0.00"/>
    <s v="99.74"/>
  </r>
  <r>
    <x v="12"/>
    <x v="154"/>
    <n v="54668"/>
    <n v="374"/>
    <n v="25566"/>
    <s v="0.68"/>
    <s v="0.00"/>
    <s v="99.32"/>
  </r>
  <r>
    <x v="12"/>
    <x v="155"/>
    <n v="1640607"/>
    <n v="47324"/>
    <n v="1230097"/>
    <s v="2.88"/>
    <s v="0.00"/>
    <s v="97.12"/>
  </r>
  <r>
    <x v="12"/>
    <x v="156"/>
    <n v="1137820"/>
    <n v="9890"/>
    <n v="865159"/>
    <s v="0.87"/>
    <s v="0.00"/>
    <s v="99.13"/>
  </r>
  <r>
    <x v="12"/>
    <x v="157"/>
    <n v="8338053"/>
    <n v="233063"/>
    <n v="496665"/>
    <s v="2.80"/>
    <s v="0.00"/>
    <s v="97.20"/>
  </r>
  <r>
    <x v="12"/>
    <x v="158"/>
    <n v="99681"/>
    <n v="1328"/>
    <n v="87825"/>
    <s v="1.33"/>
    <s v="0.00"/>
    <s v="98.67"/>
  </r>
  <r>
    <x v="12"/>
    <x v="159"/>
    <n v="548571"/>
    <n v="8793"/>
    <n v="460250"/>
    <s v="1.60"/>
    <s v="0.00"/>
    <s v="98.40"/>
  </r>
  <r>
    <x v="12"/>
    <x v="160"/>
    <n v="20"/>
    <n v="0"/>
    <n v="19"/>
    <s v="0.00"/>
    <s v="0.00"/>
    <s v="100.00"/>
  </r>
  <r>
    <x v="12"/>
    <x v="161"/>
    <n v="22243"/>
    <n v="119"/>
    <n v="6443"/>
    <s v="0.53"/>
    <s v="0.00"/>
    <s v="99.47"/>
  </r>
  <r>
    <x v="12"/>
    <x v="162"/>
    <n v="40433"/>
    <n v="3099"/>
    <n v="33539"/>
    <s v="7.66"/>
    <s v="0.00"/>
    <s v="92.34"/>
  </r>
  <r>
    <x v="12"/>
    <x v="163"/>
    <n v="1171512"/>
    <n v="15025"/>
    <n v="333497"/>
    <s v="1.28"/>
    <s v="0.00"/>
    <s v="98.72"/>
  </r>
  <r>
    <x v="12"/>
    <x v="164"/>
    <n v="195211"/>
    <n v="394"/>
    <n v="121897"/>
    <s v="0.20"/>
    <s v="0.00"/>
    <s v="99.80"/>
  </r>
  <r>
    <x v="12"/>
    <x v="165"/>
    <n v="334188"/>
    <n v="4739"/>
    <n v="283874"/>
    <s v="1.42"/>
    <s v="0.00"/>
    <s v="98.58"/>
  </r>
  <r>
    <x v="12"/>
    <x v="166"/>
    <n v="479737"/>
    <n v="13018"/>
    <n v="434941"/>
    <s v="2.71"/>
    <s v="0.00"/>
    <s v="97.29"/>
  </r>
  <r>
    <x v="12"/>
    <x v="167"/>
    <n v="6397"/>
    <n v="121"/>
    <n v="4667"/>
    <s v="1.89"/>
    <s v="0.00"/>
    <s v="98.11"/>
  </r>
  <r>
    <x v="12"/>
    <x v="168"/>
    <n v="5547"/>
    <n v="92"/>
    <n v="1253"/>
    <s v="1.66"/>
    <s v="0.00"/>
    <s v="98.34"/>
  </r>
  <r>
    <x v="12"/>
    <x v="169"/>
    <n v="73917"/>
    <n v="1878"/>
    <n v="15952"/>
    <s v="2.54"/>
    <s v="0.00"/>
    <s v="97.46"/>
  </r>
  <r>
    <x v="12"/>
    <x v="170"/>
    <n v="21998"/>
    <n v="1208"/>
    <n v="11158"/>
    <s v="5.49"/>
    <s v="0.00"/>
    <s v="94.51"/>
  </r>
  <r>
    <x v="12"/>
    <x v="171"/>
    <n v="48964"/>
    <n v="1090"/>
    <n v="8781"/>
    <s v="2.23"/>
    <s v="0.00"/>
    <s v="97.77"/>
  </r>
  <r>
    <x v="12"/>
    <x v="172"/>
    <n v="12361"/>
    <n v="133"/>
    <n v="2369"/>
    <s v="1.08"/>
    <s v="0.00"/>
    <s v="98.92"/>
  </r>
  <r>
    <x v="12"/>
    <x v="173"/>
    <n v="3712"/>
    <n v="56"/>
    <n v="896"/>
    <s v="1.51"/>
    <s v="0.00"/>
    <s v="98.49"/>
  </r>
  <r>
    <x v="12"/>
    <x v="174"/>
    <n v="113422"/>
    <n v="3622"/>
    <n v="57187"/>
    <s v="3.19"/>
    <s v="0.00"/>
    <s v="96.81"/>
  </r>
  <r>
    <x v="12"/>
    <x v="175"/>
    <n v="43146"/>
    <n v="2558"/>
    <n v="12597"/>
    <s v="5.93"/>
    <s v="0.00"/>
    <s v="94.07"/>
  </r>
  <r>
    <x v="12"/>
    <x v="176"/>
    <n v="46413"/>
    <n v="1242"/>
    <n v="16647"/>
    <s v="2.68"/>
    <s v="0.00"/>
    <s v="97.32"/>
  </r>
  <r>
    <x v="12"/>
    <x v="177"/>
    <n v="5069"/>
    <n v="174"/>
    <n v="1384"/>
    <s v="3.43"/>
    <s v="0.00"/>
    <s v="96.57"/>
  </r>
  <r>
    <x v="12"/>
    <x v="178"/>
    <n v="26068"/>
    <n v="242"/>
    <n v="6332"/>
    <s v="0.93"/>
    <s v="0.00"/>
    <s v="99.07"/>
  </r>
  <r>
    <x v="12"/>
    <x v="179"/>
    <n v="1903165"/>
    <n v="19158"/>
    <n v="611141"/>
    <s v="1.01"/>
    <s v="0.00"/>
    <s v="98.99"/>
  </r>
  <r>
    <x v="12"/>
    <x v="180"/>
    <n v="17486"/>
    <n v="125"/>
    <n v="16187"/>
    <s v="0.71"/>
    <s v="0.00"/>
    <s v="99.29"/>
  </r>
  <r>
    <x v="12"/>
    <x v="181"/>
    <n v="19789"/>
    <n v="122"/>
    <n v="17669"/>
    <s v="0.62"/>
    <s v="0.00"/>
    <s v="99.38"/>
  </r>
  <r>
    <x v="12"/>
    <x v="182"/>
    <n v="712318"/>
    <n v="25231"/>
    <n v="541777"/>
    <s v="3.54"/>
    <s v="0.00"/>
    <s v="96.46"/>
  </r>
  <r>
    <x v="12"/>
    <x v="183"/>
    <n v="1"/>
    <n v="0"/>
    <n v="0"/>
    <s v="0.00"/>
    <s v="0.00"/>
    <s v="100.00"/>
  </r>
  <r>
    <x v="12"/>
    <x v="184"/>
    <n v="8009010"/>
    <n v="70410"/>
    <n v="2493966"/>
    <s v="0.88"/>
    <s v="0.00"/>
    <s v="99.12"/>
  </r>
  <r>
    <x v="12"/>
    <x v="185"/>
    <n v="57121"/>
    <n v="1682"/>
    <n v="8474"/>
    <s v="2.94"/>
    <s v="0.00"/>
    <s v="97.06"/>
  </r>
  <r>
    <x v="12"/>
    <x v="186"/>
    <n v="16406"/>
    <n v="847"/>
    <n v="10063"/>
    <s v="5.16"/>
    <s v="0.00"/>
    <s v="94.84"/>
  </r>
  <r>
    <x v="12"/>
    <x v="187"/>
    <n v="26154"/>
    <n v="725"/>
    <n v="22729"/>
    <s v="2.77"/>
    <s v="0.00"/>
    <s v="97.23"/>
  </r>
  <r>
    <x v="12"/>
    <x v="188"/>
    <n v="3039616"/>
    <n v="71710"/>
    <n v="776877"/>
    <s v="2.36"/>
    <s v="0.00"/>
    <s v="97.64"/>
  </r>
  <r>
    <x v="12"/>
    <x v="189"/>
    <n v="126075"/>
    <n v="3215"/>
    <n v="40491"/>
    <s v="2.55"/>
    <s v="0.00"/>
    <s v="97.45"/>
  </r>
  <r>
    <x v="12"/>
    <x v="190"/>
    <n v="45953186"/>
    <n v="745904"/>
    <n v="12432777"/>
    <s v="1.62"/>
    <s v="0.00"/>
    <s v="98.38"/>
  </r>
  <r>
    <x v="12"/>
    <x v="191"/>
    <n v="393718"/>
    <n v="6077"/>
    <n v="168718"/>
    <s v="1.54"/>
    <s v="0.00"/>
    <s v="98.46"/>
  </r>
  <r>
    <x v="12"/>
    <x v="192"/>
    <n v="185647"/>
    <n v="1321"/>
    <n v="149060"/>
    <s v="0.71"/>
    <s v="0.00"/>
    <s v="99.29"/>
  </r>
  <r>
    <x v="12"/>
    <x v="193"/>
    <n v="27"/>
    <n v="0"/>
    <n v="0"/>
    <s v="0.00"/>
    <s v="0.00"/>
    <s v="100.00"/>
  </r>
  <r>
    <x v="12"/>
    <x v="194"/>
    <n v="4951"/>
    <n v="66"/>
    <n v="2618"/>
    <s v="1.33"/>
    <s v="0.00"/>
    <s v="98.67"/>
  </r>
  <r>
    <x v="12"/>
    <x v="195"/>
    <n v="406239"/>
    <n v="4884"/>
    <n v="8883"/>
    <s v="1.20"/>
    <s v="0.00"/>
    <s v="98.80"/>
  </r>
  <r>
    <x v="12"/>
    <x v="196"/>
    <n v="915603"/>
    <n v="22030"/>
    <n v="726802"/>
    <s v="2.41"/>
    <s v="0.00"/>
    <s v="97.59"/>
  </r>
  <r>
    <x v="12"/>
    <x v="197"/>
    <n v="6"/>
    <n v="1"/>
    <n v="1"/>
    <s v="16.67"/>
    <s v="0.00"/>
    <s v="83.33"/>
  </r>
  <r>
    <x v="12"/>
    <x v="198"/>
    <n v="3"/>
    <n v="0"/>
    <n v="1"/>
    <s v="0.00"/>
    <s v="0.00"/>
    <s v="100.00"/>
  </r>
  <r>
    <x v="12"/>
    <x v="199"/>
    <n v="160749"/>
    <n v="2976"/>
    <n v="156662"/>
    <s v="1.85"/>
    <s v="0.00"/>
    <s v="98.15"/>
  </r>
  <r>
    <x v="12"/>
    <x v="200"/>
    <n v="9779"/>
    <n v="1880"/>
    <n v="5762"/>
    <s v="19.22"/>
    <s v="0.00"/>
    <s v="80.78"/>
  </r>
  <r>
    <x v="12"/>
    <x v="201"/>
    <n v="20555"/>
    <n v="185"/>
    <n v="8819"/>
    <s v="0.90"/>
    <s v="0.00"/>
    <s v="99.10"/>
  </r>
  <r>
    <x v="12"/>
    <x v="202"/>
    <n v="2921886"/>
    <n v="89163"/>
    <n v="1545323"/>
    <s v="3.05"/>
    <s v="0.00"/>
    <s v="96.95"/>
  </r>
  <r>
    <x v="12"/>
    <x v="203"/>
    <n v="209722"/>
    <n v="3661"/>
    <n v="91989"/>
    <s v="1.75"/>
    <s v="0.00"/>
    <s v="98.25"/>
  </r>
  <r>
    <x v="12"/>
    <x v="204"/>
    <n v="132926"/>
    <n v="4675"/>
    <n v="46276"/>
    <s v="3.52"/>
    <s v="0.00"/>
    <s v="96.48"/>
  </r>
  <r>
    <x v="12"/>
    <x v="205"/>
    <n v="721"/>
    <n v="15"/>
    <n v="73"/>
    <s v="2.08"/>
    <s v="0.00"/>
    <s v="97.92"/>
  </r>
  <r>
    <x v="13"/>
    <x v="205"/>
    <n v="721"/>
    <n v="15"/>
    <n v="408"/>
    <s v="2.08"/>
    <s v="0.00"/>
    <s v="97.92"/>
  </r>
  <r>
    <x v="13"/>
    <x v="204"/>
    <n v="132926"/>
    <n v="4675"/>
    <n v="95680"/>
    <s v="3.52"/>
    <s v="0.00"/>
    <s v="96.48"/>
  </r>
  <r>
    <x v="13"/>
    <x v="203"/>
    <n v="209702"/>
    <n v="3660"/>
    <n v="57208"/>
    <s v="1.75"/>
    <s v="0.00"/>
    <s v="98.25"/>
  </r>
  <r>
    <x v="13"/>
    <x v="202"/>
    <n v="2921589"/>
    <n v="89151"/>
    <n v="422014"/>
    <s v="3.05"/>
    <s v="0.00"/>
    <s v="96.95"/>
  </r>
  <r>
    <x v="13"/>
    <x v="201"/>
    <n v="20555"/>
    <n v="185"/>
    <n v="6580"/>
    <s v="0.90"/>
    <s v="0.00"/>
    <s v="99.10"/>
  </r>
  <r>
    <x v="13"/>
    <x v="200"/>
    <n v="9773"/>
    <n v="1877"/>
    <n v="6492"/>
    <s v="19.21"/>
    <s v="0.00"/>
    <s v="80.79"/>
  </r>
  <r>
    <x v="13"/>
    <x v="199"/>
    <n v="160724"/>
    <n v="2976"/>
    <n v="113587"/>
    <s v="1.85"/>
    <s v="0.00"/>
    <s v="98.15"/>
  </r>
  <r>
    <x v="13"/>
    <x v="198"/>
    <n v="3"/>
    <n v="0"/>
    <n v="1"/>
    <s v="0.00"/>
    <s v="0.00"/>
    <s v="100.00"/>
  </r>
  <r>
    <x v="13"/>
    <x v="197"/>
    <n v="6"/>
    <n v="1"/>
    <n v="5"/>
    <s v="16.67"/>
    <s v="0.00"/>
    <s v="83.33"/>
  </r>
  <r>
    <x v="13"/>
    <x v="196"/>
    <n v="910376"/>
    <n v="21966"/>
    <n v="581747"/>
    <s v="2.41"/>
    <s v="0.00"/>
    <s v="97.59"/>
  </r>
  <r>
    <x v="13"/>
    <x v="195"/>
    <n v="404387"/>
    <n v="4860"/>
    <n v="358852"/>
    <s v="1.20"/>
    <s v="0.00"/>
    <s v="98.80"/>
  </r>
  <r>
    <x v="13"/>
    <x v="194"/>
    <n v="4951"/>
    <n v="66"/>
    <n v="3937"/>
    <s v="1.33"/>
    <s v="0.00"/>
    <s v="98.67"/>
  </r>
  <r>
    <x v="13"/>
    <x v="193"/>
    <n v="27"/>
    <n v="0"/>
    <n v="23"/>
    <s v="0.00"/>
    <s v="0.00"/>
    <s v="100.00"/>
  </r>
  <r>
    <x v="13"/>
    <x v="192"/>
    <n v="185295"/>
    <n v="1318"/>
    <n v="157882"/>
    <s v="0.71"/>
    <s v="0.00"/>
    <s v="99.29"/>
  </r>
  <r>
    <x v="13"/>
    <x v="191"/>
    <n v="393454"/>
    <n v="6077"/>
    <n v="31657"/>
    <s v="1.54"/>
    <s v="0.00"/>
    <s v="98.46"/>
  </r>
  <r>
    <x v="13"/>
    <x v="190"/>
    <n v="45923884"/>
    <n v="745377"/>
    <n v="12523653"/>
    <s v="1.62"/>
    <s v="0.00"/>
    <s v="98.38"/>
  </r>
  <r>
    <x v="13"/>
    <x v="189"/>
    <n v="126000"/>
    <n v="3210"/>
    <n v="47444"/>
    <s v="2.55"/>
    <s v="0.00"/>
    <s v="97.45"/>
  </r>
  <r>
    <x v="13"/>
    <x v="188"/>
    <n v="3012370"/>
    <n v="71141"/>
    <n v="953480"/>
    <s v="2.36"/>
    <s v="0.00"/>
    <s v="97.64"/>
  </r>
  <r>
    <x v="13"/>
    <x v="187"/>
    <n v="26154"/>
    <n v="725"/>
    <n v="5560"/>
    <s v="2.77"/>
    <s v="0.00"/>
    <s v="97.23"/>
  </r>
  <r>
    <x v="13"/>
    <x v="186"/>
    <n v="16399"/>
    <n v="847"/>
    <n v="1816"/>
    <s v="5.16"/>
    <s v="0.00"/>
    <s v="94.84"/>
  </r>
  <r>
    <x v="13"/>
    <x v="185"/>
    <n v="56831"/>
    <n v="1674"/>
    <n v="36236"/>
    <s v="2.95"/>
    <s v="0.00"/>
    <s v="97.05"/>
  </r>
  <r>
    <x v="13"/>
    <x v="184"/>
    <n v="7985914"/>
    <n v="70207"/>
    <n v="1789174"/>
    <s v="0.88"/>
    <s v="0.00"/>
    <s v="99.12"/>
  </r>
  <r>
    <x v="13"/>
    <x v="183"/>
    <n v="1"/>
    <n v="0"/>
    <n v="0"/>
    <s v="0.00"/>
    <s v="0.00"/>
    <s v="100.00"/>
  </r>
  <r>
    <x v="13"/>
    <x v="182"/>
    <n v="712318"/>
    <n v="25231"/>
    <n v="370442"/>
    <s v="3.54"/>
    <s v="0.00"/>
    <s v="96.46"/>
  </r>
  <r>
    <x v="13"/>
    <x v="181"/>
    <n v="19787"/>
    <n v="122"/>
    <n v="5221"/>
    <s v="0.62"/>
    <s v="0.00"/>
    <s v="99.38"/>
  </r>
  <r>
    <x v="13"/>
    <x v="180"/>
    <n v="17486"/>
    <n v="125"/>
    <n v="14685"/>
    <s v="0.71"/>
    <s v="0.00"/>
    <s v="99.29"/>
  </r>
  <r>
    <x v="13"/>
    <x v="179"/>
    <n v="1893941"/>
    <n v="19070"/>
    <n v="362546"/>
    <s v="1.01"/>
    <s v="0.00"/>
    <s v="98.99"/>
  </r>
  <r>
    <x v="13"/>
    <x v="178"/>
    <n v="26054"/>
    <n v="242"/>
    <n v="7717"/>
    <s v="0.93"/>
    <s v="0.00"/>
    <s v="99.07"/>
  </r>
  <r>
    <x v="13"/>
    <x v="177"/>
    <n v="5069"/>
    <n v="174"/>
    <n v="456"/>
    <s v="3.43"/>
    <s v="0.00"/>
    <s v="96.57"/>
  </r>
  <r>
    <x v="13"/>
    <x v="176"/>
    <n v="46403"/>
    <n v="1242"/>
    <n v="25312"/>
    <s v="2.68"/>
    <s v="0.00"/>
    <s v="97.32"/>
  </r>
  <r>
    <x v="13"/>
    <x v="175"/>
    <n v="42886"/>
    <n v="2550"/>
    <n v="3514"/>
    <s v="5.95"/>
    <s v="0.00"/>
    <s v="94.05"/>
  </r>
  <r>
    <x v="13"/>
    <x v="174"/>
    <n v="113422"/>
    <n v="3613"/>
    <n v="92172"/>
    <s v="3.19"/>
    <s v="0.00"/>
    <s v="96.81"/>
  </r>
  <r>
    <x v="13"/>
    <x v="172"/>
    <n v="12361"/>
    <n v="133"/>
    <n v="7126"/>
    <s v="1.08"/>
    <s v="0.00"/>
    <s v="98.92"/>
  </r>
  <r>
    <x v="13"/>
    <x v="173"/>
    <n v="3710"/>
    <n v="56"/>
    <n v="3044"/>
    <s v="1.51"/>
    <s v="0.00"/>
    <s v="98.49"/>
  </r>
  <r>
    <x v="13"/>
    <x v="171"/>
    <n v="48899"/>
    <n v="1082"/>
    <n v="18823"/>
    <s v="2.21"/>
    <s v="0.00"/>
    <s v="97.79"/>
  </r>
  <r>
    <x v="13"/>
    <x v="170"/>
    <n v="21998"/>
    <n v="1208"/>
    <n v="5857"/>
    <s v="5.49"/>
    <s v="0.00"/>
    <s v="94.51"/>
  </r>
  <r>
    <x v="13"/>
    <x v="169"/>
    <n v="73909"/>
    <n v="1878"/>
    <n v="67236"/>
    <s v="2.54"/>
    <s v="0.00"/>
    <s v="97.46"/>
  </r>
  <r>
    <x v="13"/>
    <x v="168"/>
    <n v="5547"/>
    <n v="92"/>
    <n v="2371"/>
    <s v="1.66"/>
    <s v="0.00"/>
    <s v="98.34"/>
  </r>
  <r>
    <x v="13"/>
    <x v="167"/>
    <n v="6397"/>
    <n v="121"/>
    <n v="548"/>
    <s v="1.89"/>
    <s v="0.00"/>
    <s v="98.11"/>
  </r>
  <r>
    <x v="13"/>
    <x v="166"/>
    <n v="474595"/>
    <n v="13000"/>
    <n v="381445"/>
    <s v="2.74"/>
    <s v="0.00"/>
    <s v="97.26"/>
  </r>
  <r>
    <x v="13"/>
    <x v="165"/>
    <n v="331206"/>
    <n v="4730"/>
    <n v="110666"/>
    <s v="1.43"/>
    <s v="0.00"/>
    <s v="98.57"/>
  </r>
  <r>
    <x v="13"/>
    <x v="164"/>
    <n v="192099"/>
    <n v="380"/>
    <n v="86338"/>
    <s v="0.20"/>
    <s v="0.00"/>
    <s v="99.80"/>
  </r>
  <r>
    <x v="13"/>
    <x v="163"/>
    <n v="1171512"/>
    <n v="15025"/>
    <n v="209632"/>
    <s v="1.28"/>
    <s v="0.00"/>
    <s v="98.72"/>
  </r>
  <r>
    <x v="13"/>
    <x v="162"/>
    <n v="40433"/>
    <n v="3099"/>
    <n v="17529"/>
    <s v="7.66"/>
    <s v="0.00"/>
    <s v="92.34"/>
  </r>
  <r>
    <x v="13"/>
    <x v="161"/>
    <n v="22243"/>
    <n v="119"/>
    <n v="11953"/>
    <s v="0.53"/>
    <s v="0.00"/>
    <s v="99.47"/>
  </r>
  <r>
    <x v="13"/>
    <x v="160"/>
    <n v="20"/>
    <n v="0"/>
    <n v="7"/>
    <s v="0.00"/>
    <s v="0.00"/>
    <s v="100.00"/>
  </r>
  <r>
    <x v="13"/>
    <x v="159"/>
    <n v="548530"/>
    <n v="8790"/>
    <n v="481256"/>
    <s v="1.60"/>
    <s v="0.00"/>
    <s v="98.40"/>
  </r>
  <r>
    <x v="13"/>
    <x v="158"/>
    <n v="99628"/>
    <n v="1328"/>
    <n v="39419"/>
    <s v="1.33"/>
    <s v="0.00"/>
    <s v="98.67"/>
  </r>
  <r>
    <x v="13"/>
    <x v="157"/>
    <n v="8298850"/>
    <n v="231931"/>
    <n v="3126887"/>
    <s v="2.79"/>
    <s v="0.00"/>
    <s v="97.21"/>
  </r>
  <r>
    <x v="13"/>
    <x v="156"/>
    <n v="1131819"/>
    <n v="9826"/>
    <n v="790106"/>
    <s v="0.87"/>
    <s v="0.00"/>
    <s v="99.13"/>
  </r>
  <r>
    <x v="13"/>
    <x v="155"/>
    <n v="1628501"/>
    <n v="46911"/>
    <n v="783801"/>
    <s v="2.88"/>
    <s v="0.00"/>
    <s v="97.12"/>
  </r>
  <r>
    <x v="13"/>
    <x v="154"/>
    <n v="54668"/>
    <n v="374"/>
    <n v="36688"/>
    <s v="0.68"/>
    <s v="0.00"/>
    <s v="99.32"/>
  </r>
  <r>
    <x v="13"/>
    <x v="153"/>
    <n v="239051"/>
    <n v="610"/>
    <n v="132170"/>
    <s v="0.26"/>
    <s v="0.00"/>
    <s v="99.74"/>
  </r>
  <r>
    <x v="13"/>
    <x v="152"/>
    <n v="460944"/>
    <n v="16243"/>
    <n v="135709"/>
    <s v="3.52"/>
    <s v="0.00"/>
    <s v="96.48"/>
  </r>
  <r>
    <x v="13"/>
    <x v="151"/>
    <n v="8"/>
    <n v="0"/>
    <n v="5"/>
    <s v="0.00"/>
    <s v="0.00"/>
    <s v="100.00"/>
  </r>
  <r>
    <x v="13"/>
    <x v="150"/>
    <n v="1088977"/>
    <n v="18153"/>
    <n v="771426"/>
    <s v="1.67"/>
    <s v="0.00"/>
    <s v="98.33"/>
  </r>
  <r>
    <x v="13"/>
    <x v="149"/>
    <n v="452997"/>
    <n v="4663"/>
    <n v="88324"/>
    <s v="1.03"/>
    <s v="0.00"/>
    <s v="98.97"/>
  </r>
  <r>
    <x v="13"/>
    <x v="148"/>
    <n v="3008294"/>
    <n v="76875"/>
    <n v="2476141"/>
    <s v="2.56"/>
    <s v="0.00"/>
    <s v="97.44"/>
  </r>
  <r>
    <x v="13"/>
    <x v="147"/>
    <n v="1272345"/>
    <n v="28439"/>
    <n v="825258"/>
    <s v="2.24"/>
    <s v="0.00"/>
    <s v="97.76"/>
  </r>
  <r>
    <x v="13"/>
    <x v="146"/>
    <n v="2779943"/>
    <n v="42621"/>
    <n v="330115"/>
    <s v="1.53"/>
    <s v="0.00"/>
    <s v="98.47"/>
  </r>
  <r>
    <x v="13"/>
    <x v="145"/>
    <n v="29108"/>
    <n v="367"/>
    <n v="7805"/>
    <s v="1.26"/>
    <s v="0.00"/>
    <s v="98.74"/>
  </r>
  <r>
    <x v="13"/>
    <x v="144"/>
    <n v="45541"/>
    <n v="636"/>
    <n v="22778"/>
    <s v="1.40"/>
    <s v="0.00"/>
    <s v="98.60"/>
  </r>
  <r>
    <x v="13"/>
    <x v="143"/>
    <n v="2199876"/>
    <n v="200197"/>
    <n v="893969"/>
    <s v="9.10"/>
    <s v="0.00"/>
    <s v="90.90"/>
  </r>
  <r>
    <x v="13"/>
    <x v="142"/>
    <n v="472398"/>
    <n v="7315"/>
    <n v="20764"/>
    <s v="1.55"/>
    <s v="0.00"/>
    <s v="98.45"/>
  </r>
  <r>
    <x v="13"/>
    <x v="141"/>
    <n v="304241"/>
    <n v="4111"/>
    <n v="144645"/>
    <s v="1.35"/>
    <s v="0.00"/>
    <s v="98.65"/>
  </r>
  <r>
    <x v="13"/>
    <x v="140"/>
    <n v="6286"/>
    <n v="28"/>
    <n v="5361"/>
    <s v="0.45"/>
    <s v="0.00"/>
    <s v="99.55"/>
  </r>
  <r>
    <x v="13"/>
    <x v="139"/>
    <n v="811897"/>
    <n v="11388"/>
    <n v="32057"/>
    <s v="1.40"/>
    <s v="0.00"/>
    <s v="98.60"/>
  </r>
  <r>
    <x v="13"/>
    <x v="138"/>
    <n v="205855"/>
    <n v="900"/>
    <n v="155346"/>
    <s v="0.44"/>
    <s v="0.00"/>
    <s v="99.56"/>
  </r>
  <r>
    <x v="13"/>
    <x v="137"/>
    <n v="2155810"/>
    <n v="18823"/>
    <n v="1839274"/>
    <s v="0.87"/>
    <s v="0.00"/>
    <s v="99.13"/>
  </r>
  <r>
    <x v="13"/>
    <x v="136"/>
    <n v="16422"/>
    <n v="208"/>
    <n v="10350"/>
    <s v="1.27"/>
    <s v="0.00"/>
    <s v="98.73"/>
  </r>
  <r>
    <x v="13"/>
    <x v="135"/>
    <n v="211798"/>
    <n v="2895"/>
    <n v="171658"/>
    <s v="1.37"/>
    <s v="0.00"/>
    <s v="98.63"/>
  </r>
  <r>
    <x v="13"/>
    <x v="134"/>
    <n v="6311"/>
    <n v="212"/>
    <n v="6080"/>
    <s v="3.36"/>
    <s v="0.00"/>
    <s v="96.64"/>
  </r>
  <r>
    <x v="13"/>
    <x v="133"/>
    <n v="10909"/>
    <n v="264"/>
    <n v="1754"/>
    <s v="2.42"/>
    <s v="0.00"/>
    <s v="97.58"/>
  </r>
  <r>
    <x v="13"/>
    <x v="132"/>
    <n v="128886"/>
    <n v="3552"/>
    <n v="26557"/>
    <s v="2.76"/>
    <s v="0.00"/>
    <s v="97.24"/>
  </r>
  <r>
    <x v="13"/>
    <x v="131"/>
    <n v="151270"/>
    <n v="1929"/>
    <n v="80300"/>
    <s v="1.28"/>
    <s v="0.00"/>
    <s v="98.72"/>
  </r>
  <r>
    <x v="13"/>
    <x v="130"/>
    <n v="2460809"/>
    <n v="28832"/>
    <n v="120085"/>
    <s v="1.17"/>
    <s v="0.00"/>
    <s v="98.83"/>
  </r>
  <r>
    <x v="13"/>
    <x v="129"/>
    <n v="3802287"/>
    <n v="287951"/>
    <n v="229916"/>
    <s v="7.57"/>
    <s v="0.00"/>
    <s v="92.43"/>
  </r>
  <r>
    <x v="13"/>
    <x v="128"/>
    <n v="61789"/>
    <n v="2299"/>
    <n v="11821"/>
    <s v="3.72"/>
    <s v="0.00"/>
    <s v="96.28"/>
  </r>
  <r>
    <x v="13"/>
    <x v="127"/>
    <n v="87487"/>
    <n v="243"/>
    <n v="45226"/>
    <s v="0.28"/>
    <s v="0.00"/>
    <s v="99.72"/>
  </r>
  <r>
    <x v="13"/>
    <x v="126"/>
    <n v="17698"/>
    <n v="166"/>
    <n v="11423"/>
    <s v="0.94"/>
    <s v="0.00"/>
    <s v="99.06"/>
  </r>
  <r>
    <x v="13"/>
    <x v="125"/>
    <n v="37618"/>
    <n v="461"/>
    <n v="19534"/>
    <s v="1.23"/>
    <s v="0.00"/>
    <s v="98.77"/>
  </r>
  <r>
    <x v="13"/>
    <x v="124"/>
    <n v="37222"/>
    <n v="794"/>
    <n v="35715"/>
    <s v="2.13"/>
    <s v="0.00"/>
    <s v="97.87"/>
  </r>
  <r>
    <x v="13"/>
    <x v="123"/>
    <n v="43183"/>
    <n v="681"/>
    <n v="42449"/>
    <s v="1.58"/>
    <s v="0.00"/>
    <s v="98.42"/>
  </r>
  <r>
    <x v="13"/>
    <x v="122"/>
    <n v="77"/>
    <n v="0"/>
    <n v="42"/>
    <s v="0.00"/>
    <s v="0.00"/>
    <s v="100.00"/>
  </r>
  <r>
    <x v="13"/>
    <x v="121"/>
    <n v="358208"/>
    <n v="1722"/>
    <n v="294696"/>
    <s v="0.48"/>
    <s v="0.00"/>
    <s v="99.52"/>
  </r>
  <r>
    <x v="13"/>
    <x v="120"/>
    <n v="498605"/>
    <n v="18644"/>
    <n v="343453"/>
    <s v="3.74"/>
    <s v="0.00"/>
    <s v="96.26"/>
  </r>
  <r>
    <x v="13"/>
    <x v="119"/>
    <n v="15978"/>
    <n v="563"/>
    <n v="13510"/>
    <s v="3.52"/>
    <s v="0.00"/>
    <s v="96.48"/>
  </r>
  <r>
    <x v="13"/>
    <x v="118"/>
    <n v="201708"/>
    <n v="7108"/>
    <n v="144083"/>
    <s v="3.52"/>
    <s v="0.00"/>
    <s v="96.48"/>
  </r>
  <r>
    <x v="13"/>
    <x v="117"/>
    <n v="4"/>
    <n v="0"/>
    <n v="2"/>
    <s v="0.00"/>
    <s v="0.00"/>
    <s v="100.00"/>
  </r>
  <r>
    <x v="13"/>
    <x v="116"/>
    <n v="43626"/>
    <n v="963"/>
    <n v="28644"/>
    <s v="2.21"/>
    <s v="0.00"/>
    <s v="97.79"/>
  </r>
  <r>
    <x v="13"/>
    <x v="115"/>
    <n v="3920"/>
    <n v="56"/>
    <n v="2177"/>
    <s v="1.43"/>
    <s v="0.00"/>
    <s v="98.57"/>
  </r>
  <r>
    <x v="13"/>
    <x v="114"/>
    <n v="143322"/>
    <n v="2095"/>
    <n v="81849"/>
    <s v="1.46"/>
    <s v="0.00"/>
    <s v="98.54"/>
  </r>
  <r>
    <x v="13"/>
    <x v="113"/>
    <n v="335860"/>
    <n v="7665"/>
    <n v="26888"/>
    <s v="2.28"/>
    <s v="0.00"/>
    <s v="97.72"/>
  </r>
  <r>
    <x v="13"/>
    <x v="112"/>
    <n v="3414"/>
    <n v="36"/>
    <n v="1598"/>
    <s v="1.05"/>
    <s v="0.00"/>
    <s v="98.95"/>
  </r>
  <r>
    <x v="13"/>
    <x v="111"/>
    <n v="945720"/>
    <n v="14660"/>
    <n v="925978"/>
    <s v="1.55"/>
    <s v="0.00"/>
    <s v="98.45"/>
  </r>
  <r>
    <x v="13"/>
    <x v="110"/>
    <n v="356655"/>
    <n v="5078"/>
    <n v="70010"/>
    <s v="1.42"/>
    <s v="0.00"/>
    <s v="98.58"/>
  </r>
  <r>
    <x v="13"/>
    <x v="109"/>
    <n v="214460"/>
    <n v="3198"/>
    <n v="153186"/>
    <s v="1.49"/>
    <s v="0.00"/>
    <s v="98.51"/>
  </r>
  <r>
    <x v="13"/>
    <x v="108"/>
    <n v="81683"/>
    <n v="843"/>
    <n v="80085"/>
    <s v="1.03"/>
    <s v="0.00"/>
    <s v="98.97"/>
  </r>
  <r>
    <x v="13"/>
    <x v="107"/>
    <n v="403051"/>
    <n v="5800"/>
    <n v="195005"/>
    <s v="1.44"/>
    <s v="0.00"/>
    <s v="98.56"/>
  </r>
  <r>
    <x v="13"/>
    <x v="106"/>
    <n v="21628"/>
    <n v="658"/>
    <n v="10482"/>
    <s v="3.04"/>
    <s v="0.00"/>
    <s v="96.96"/>
  </r>
  <r>
    <x v="13"/>
    <x v="105"/>
    <n v="5812"/>
    <n v="287"/>
    <n v="5402"/>
    <s v="4.94"/>
    <s v="0.00"/>
    <s v="95.06"/>
  </r>
  <r>
    <x v="13"/>
    <x v="104"/>
    <n v="539416"/>
    <n v="13706"/>
    <n v="170657"/>
    <s v="2.54"/>
    <s v="0.00"/>
    <s v="97.46"/>
  </r>
  <r>
    <x v="13"/>
    <x v="103"/>
    <n v="3662"/>
    <n v="61"/>
    <n v="3112"/>
    <s v="1.67"/>
    <s v="0.00"/>
    <s v="98.33"/>
  </r>
  <r>
    <x v="13"/>
    <x v="102"/>
    <n v="12536"/>
    <n v="254"/>
    <n v="12013"/>
    <s v="2.03"/>
    <s v="0.00"/>
    <s v="97.97"/>
  </r>
  <r>
    <x v="13"/>
    <x v="101"/>
    <n v="640675"/>
    <n v="8488"/>
    <n v="65384"/>
    <s v="1.32"/>
    <s v="0.00"/>
    <s v="98.68"/>
  </r>
  <r>
    <x v="13"/>
    <x v="100"/>
    <n v="38728"/>
    <n v="61"/>
    <n v="9068"/>
    <s v="0.16"/>
    <s v="0.00"/>
    <s v="99.84"/>
  </r>
  <r>
    <x v="13"/>
    <x v="99"/>
    <n v="1017181"/>
    <n v="17078"/>
    <n v="875059"/>
    <s v="1.68"/>
    <s v="0.00"/>
    <s v="98.32"/>
  </r>
  <r>
    <x v="13"/>
    <x v="98"/>
    <n v="412641"/>
    <n v="2461"/>
    <n v="36355"/>
    <s v="0.60"/>
    <s v="0.00"/>
    <s v="99.40"/>
  </r>
  <r>
    <x v="13"/>
    <x v="97"/>
    <n v="362639"/>
    <n v="2830"/>
    <n v="215176"/>
    <s v="0.78"/>
    <s v="0.00"/>
    <s v="99.22"/>
  </r>
  <r>
    <x v="13"/>
    <x v="96"/>
    <n v="2668"/>
    <n v="23"/>
    <n v="411"/>
    <s v="0.86"/>
    <s v="0.00"/>
    <s v="99.14"/>
  </r>
  <r>
    <x v="13"/>
    <x v="95"/>
    <n v="4239"/>
    <n v="147"/>
    <n v="336"/>
    <s v="3.47"/>
    <s v="0.00"/>
    <s v="96.53"/>
  </r>
  <r>
    <x v="13"/>
    <x v="93"/>
    <n v="118321"/>
    <n v="2773"/>
    <n v="12245"/>
    <s v="2.34"/>
    <s v="0.00"/>
    <s v="97.66"/>
  </r>
  <r>
    <x v="13"/>
    <x v="94"/>
    <n v="2"/>
    <n v="0"/>
    <n v="1"/>
    <s v="0.00"/>
    <s v="0.00"/>
    <s v="100.00"/>
  </r>
  <r>
    <x v="13"/>
    <x v="92"/>
    <n v="181105"/>
    <n v="2666"/>
    <n v="87681"/>
    <s v="1.47"/>
    <s v="0.00"/>
    <s v="98.53"/>
  </r>
  <r>
    <x v="13"/>
    <x v="91"/>
    <n v="253151"/>
    <n v="5273"/>
    <n v="126095"/>
    <s v="2.08"/>
    <s v="0.00"/>
    <s v="97.92"/>
  </r>
  <r>
    <x v="13"/>
    <x v="90"/>
    <n v="1719043"/>
    <n v="18261"/>
    <n v="583648"/>
    <s v="1.06"/>
    <s v="0.00"/>
    <s v="98.94"/>
  </r>
  <r>
    <x v="13"/>
    <x v="89"/>
    <n v="859796"/>
    <n v="11016"/>
    <n v="34006"/>
    <s v="1.28"/>
    <s v="0.00"/>
    <s v="98.72"/>
  </r>
  <r>
    <x v="13"/>
    <x v="88"/>
    <n v="88775"/>
    <n v="2217"/>
    <n v="62210"/>
    <s v="2.50"/>
    <s v="0.00"/>
    <s v="97.50"/>
  </r>
  <r>
    <x v="13"/>
    <x v="87"/>
    <n v="4762563"/>
    <n v="132037"/>
    <n v="2876156"/>
    <s v="2.77"/>
    <s v="0.00"/>
    <s v="97.23"/>
  </r>
  <r>
    <x v="13"/>
    <x v="86"/>
    <n v="13492"/>
    <n v="33"/>
    <n v="12801"/>
    <s v="0.24"/>
    <s v="0.00"/>
    <s v="99.76"/>
  </r>
  <r>
    <x v="13"/>
    <x v="85"/>
    <n v="5909402"/>
    <n v="125998"/>
    <n v="53301"/>
    <s v="2.13"/>
    <s v="0.00"/>
    <s v="97.87"/>
  </r>
  <r>
    <x v="13"/>
    <x v="84"/>
    <n v="2053520"/>
    <n v="23111"/>
    <n v="1007099"/>
    <s v="1.13"/>
    <s v="0.00"/>
    <s v="98.87"/>
  </r>
  <r>
    <x v="13"/>
    <x v="83"/>
    <n v="34260470"/>
    <n v="457740"/>
    <n v="1257775"/>
    <s v="1.34"/>
    <s v="0.00"/>
    <s v="98.66"/>
  </r>
  <r>
    <x v="13"/>
    <x v="82"/>
    <n v="1326742"/>
    <n v="8085"/>
    <n v="406531"/>
    <s v="0.61"/>
    <s v="0.00"/>
    <s v="99.39"/>
  </r>
  <r>
    <x v="13"/>
    <x v="81"/>
    <n v="440665"/>
    <n v="5436"/>
    <n v="274485"/>
    <s v="1.23"/>
    <s v="0.00"/>
    <s v="98.77"/>
  </r>
  <r>
    <x v="13"/>
    <x v="80"/>
    <n v="4243215"/>
    <n v="143361"/>
    <n v="1464429"/>
    <s v="3.38"/>
    <s v="0.00"/>
    <s v="96.62"/>
  </r>
  <r>
    <x v="13"/>
    <x v="79"/>
    <n v="863419"/>
    <n v="30729"/>
    <n v="360941"/>
    <s v="3.56"/>
    <s v="0.00"/>
    <s v="96.44"/>
  </r>
  <r>
    <x v="13"/>
    <x v="78"/>
    <n v="23823"/>
    <n v="662"/>
    <n v="7483"/>
    <s v="2.78"/>
    <s v="0.00"/>
    <s v="97.22"/>
  </r>
  <r>
    <x v="13"/>
    <x v="77"/>
    <n v="462482"/>
    <n v="9168"/>
    <n v="399326"/>
    <s v="1.98"/>
    <s v="0.00"/>
    <s v="98.02"/>
  </r>
  <r>
    <x v="13"/>
    <x v="76"/>
    <n v="375213"/>
    <n v="10235"/>
    <n v="195512"/>
    <s v="2.73"/>
    <s v="0.00"/>
    <s v="97.27"/>
  </r>
  <r>
    <x v="13"/>
    <x v="75"/>
    <n v="12342"/>
    <n v="213"/>
    <n v="3117"/>
    <s v="1.73"/>
    <s v="0.00"/>
    <s v="98.27"/>
  </r>
  <r>
    <x v="13"/>
    <x v="74"/>
    <n v="35444"/>
    <n v="910"/>
    <n v="25631"/>
    <s v="2.57"/>
    <s v="0.00"/>
    <s v="97.43"/>
  </r>
  <r>
    <x v="13"/>
    <x v="73"/>
    <n v="6133"/>
    <n v="141"/>
    <n v="1022"/>
    <s v="2.30"/>
    <s v="0.00"/>
    <s v="97.70"/>
  </r>
  <r>
    <x v="13"/>
    <x v="72"/>
    <n v="600419"/>
    <n v="14993"/>
    <n v="23145"/>
    <s v="2.50"/>
    <s v="0.00"/>
    <s v="97.50"/>
  </r>
  <r>
    <x v="13"/>
    <x v="71"/>
    <n v="734778"/>
    <n v="15856"/>
    <n v="21975"/>
    <s v="2.16"/>
    <s v="0.00"/>
    <s v="97.84"/>
  </r>
  <r>
    <x v="13"/>
    <x v="70"/>
    <n v="13304"/>
    <n v="166"/>
    <n v="12460"/>
    <s v="1.25"/>
    <s v="0.00"/>
    <s v="98.75"/>
  </r>
  <r>
    <x v="13"/>
    <x v="69"/>
    <n v="54288"/>
    <n v="815"/>
    <n v="46552"/>
    <s v="1.50"/>
    <s v="0.00"/>
    <s v="98.50"/>
  </r>
  <r>
    <x v="13"/>
    <x v="67"/>
    <n v="9965"/>
    <n v="340"/>
    <n v="9088"/>
    <s v="3.41"/>
    <s v="0.00"/>
    <s v="96.59"/>
  </r>
  <r>
    <x v="13"/>
    <x v="68"/>
    <n v="30653"/>
    <n v="385"/>
    <n v="24822"/>
    <s v="1.26"/>
    <s v="0.00"/>
    <s v="98.74"/>
  </r>
  <r>
    <x v="13"/>
    <x v="66"/>
    <n v="5959"/>
    <n v="98"/>
    <n v="5198"/>
    <s v="1.64"/>
    <s v="0.00"/>
    <s v="98.36"/>
  </r>
  <r>
    <x v="13"/>
    <x v="65"/>
    <n v="130077"/>
    <n v="1175"/>
    <n v="128243"/>
    <s v="0.90"/>
    <s v="0.00"/>
    <s v="99.10"/>
  </r>
  <r>
    <x v="13"/>
    <x v="64"/>
    <n v="44554"/>
    <n v="306"/>
    <n v="19348"/>
    <s v="0.69"/>
    <s v="0.00"/>
    <s v="99.31"/>
  </r>
  <r>
    <x v="13"/>
    <x v="62"/>
    <n v="5839"/>
    <n v="198"/>
    <n v="58"/>
    <s v="3.39"/>
    <s v="0.00"/>
    <s v="96.61"/>
  </r>
  <r>
    <x v="13"/>
    <x v="63"/>
    <n v="711255"/>
    <n v="9961"/>
    <n v="29544"/>
    <s v="1.40"/>
    <s v="0.00"/>
    <s v="98.60"/>
  </r>
  <r>
    <x v="13"/>
    <x v="61"/>
    <n v="9015742"/>
    <n v="140717"/>
    <n v="8241090"/>
    <s v="1.56"/>
    <s v="0.00"/>
    <s v="98.44"/>
  </r>
  <r>
    <x v="13"/>
    <x v="60"/>
    <n v="35525"/>
    <n v="239"/>
    <n v="24489"/>
    <s v="0.67"/>
    <s v="0.00"/>
    <s v="99.33"/>
  </r>
  <r>
    <x v="13"/>
    <x v="59"/>
    <n v="6975502"/>
    <n v="115267"/>
    <n v="3078365"/>
    <s v="1.65"/>
    <s v="0.00"/>
    <s v="98.35"/>
  </r>
  <r>
    <x v="13"/>
    <x v="58"/>
    <n v="2011"/>
    <n v="2"/>
    <n v="292"/>
    <s v="0.10"/>
    <s v="0.00"/>
    <s v="99.90"/>
  </r>
  <r>
    <x v="13"/>
    <x v="57"/>
    <n v="52141"/>
    <n v="674"/>
    <n v="42172"/>
    <s v="1.29"/>
    <s v="0.00"/>
    <s v="98.71"/>
  </r>
  <r>
    <x v="13"/>
    <x v="56"/>
    <n v="157531"/>
    <n v="1158"/>
    <n v="2280"/>
    <s v="0.74"/>
    <s v="0.00"/>
    <s v="99.26"/>
  </r>
  <r>
    <x v="13"/>
    <x v="55"/>
    <n v="364576"/>
    <n v="6437"/>
    <n v="297037"/>
    <s v="1.77"/>
    <s v="0.00"/>
    <s v="98.23"/>
  </r>
  <r>
    <x v="13"/>
    <x v="54"/>
    <n v="5011148"/>
    <n v="87368"/>
    <n v="303512"/>
    <s v="1.74"/>
    <s v="0.00"/>
    <s v="98.26"/>
  </r>
  <r>
    <x v="13"/>
    <x v="53"/>
    <n v="6816"/>
    <n v="45"/>
    <n v="4926"/>
    <s v="0.66"/>
    <s v="0.00"/>
    <s v="99.34"/>
  </r>
  <r>
    <x v="13"/>
    <x v="52"/>
    <n v="329136"/>
    <n v="18535"/>
    <n v="187679"/>
    <s v="5.63"/>
    <s v="0.00"/>
    <s v="94.37"/>
  </r>
  <r>
    <x v="13"/>
    <x v="51"/>
    <n v="190201"/>
    <n v="1502"/>
    <n v="77203"/>
    <s v="0.79"/>
    <s v="0.00"/>
    <s v="99.21"/>
  </r>
  <r>
    <x v="13"/>
    <x v="50"/>
    <n v="515859"/>
    <n v="32958"/>
    <n v="185405"/>
    <s v="6.39"/>
    <s v="0.00"/>
    <s v="93.61"/>
  </r>
  <r>
    <x v="13"/>
    <x v="49"/>
    <n v="206270"/>
    <n v="5913"/>
    <n v="4258"/>
    <s v="2.87"/>
    <s v="0.00"/>
    <s v="97.13"/>
  </r>
  <r>
    <x v="13"/>
    <x v="48"/>
    <n v="380215"/>
    <n v="4126"/>
    <n v="150914"/>
    <s v="1.09"/>
    <s v="0.00"/>
    <s v="98.91"/>
  </r>
  <r>
    <x v="13"/>
    <x v="47"/>
    <n v="4783"/>
    <n v="32"/>
    <n v="2833"/>
    <s v="0.67"/>
    <s v="0.00"/>
    <s v="99.33"/>
  </r>
  <r>
    <x v="13"/>
    <x v="46"/>
    <n v="385379"/>
    <n v="2709"/>
    <n v="75468"/>
    <s v="0.70"/>
    <s v="0.00"/>
    <s v="99.30"/>
  </r>
  <r>
    <x v="13"/>
    <x v="45"/>
    <n v="13478"/>
    <n v="181"/>
    <n v="1979"/>
    <s v="1.34"/>
    <s v="0.00"/>
    <s v="98.66"/>
  </r>
  <r>
    <x v="13"/>
    <x v="44"/>
    <n v="4591264"/>
    <n v="95701"/>
    <n v="3052603"/>
    <s v="2.08"/>
    <s v="0.00"/>
    <s v="97.92"/>
  </r>
  <r>
    <x v="13"/>
    <x v="43"/>
    <n v="1752086"/>
    <n v="30705"/>
    <n v="74407"/>
    <s v="1.75"/>
    <s v="0.00"/>
    <s v="98.25"/>
  </r>
  <r>
    <x v="13"/>
    <x v="42"/>
    <n v="124017"/>
    <n v="572"/>
    <n v="34703"/>
    <s v="0.46"/>
    <s v="0.00"/>
    <s v="99.54"/>
  </r>
  <r>
    <x v="13"/>
    <x v="41"/>
    <n v="38197"/>
    <n v="349"/>
    <n v="33004"/>
    <s v="0.91"/>
    <s v="0.00"/>
    <s v="99.09"/>
  </r>
  <r>
    <x v="13"/>
    <x v="40"/>
    <n v="950613"/>
    <n v="8223"/>
    <n v="753366"/>
    <s v="0.87"/>
    <s v="0.00"/>
    <s v="99.13"/>
  </r>
  <r>
    <x v="13"/>
    <x v="39"/>
    <n v="559698"/>
    <n v="7029"/>
    <n v="497972"/>
    <s v="1.26"/>
    <s v="0.00"/>
    <s v="98.74"/>
  </r>
  <r>
    <x v="13"/>
    <x v="38"/>
    <n v="4999048"/>
    <n v="127225"/>
    <n v="1087561"/>
    <s v="2.54"/>
    <s v="0.00"/>
    <s v="97.46"/>
  </r>
  <r>
    <x v="13"/>
    <x v="37"/>
    <n v="97080"/>
    <n v="4636"/>
    <n v="65092"/>
    <s v="4.78"/>
    <s v="0.00"/>
    <s v="95.22"/>
  </r>
  <r>
    <x v="13"/>
    <x v="36"/>
    <n v="102499"/>
    <n v="1686"/>
    <n v="100703"/>
    <s v="1.64"/>
    <s v="0.00"/>
    <s v="98.36"/>
  </r>
  <r>
    <x v="13"/>
    <x v="35"/>
    <n v="1690735"/>
    <n v="37729"/>
    <n v="416843"/>
    <s v="2.23"/>
    <s v="0.00"/>
    <s v="97.77"/>
  </r>
  <r>
    <x v="13"/>
    <x v="34"/>
    <n v="61271"/>
    <n v="692"/>
    <n v="9666"/>
    <s v="1.13"/>
    <s v="0.00"/>
    <s v="98.87"/>
  </r>
  <r>
    <x v="13"/>
    <x v="33"/>
    <n v="872558"/>
    <n v="11233"/>
    <n v="465150"/>
    <s v="1.29"/>
    <s v="0.00"/>
    <s v="98.71"/>
  </r>
  <r>
    <x v="13"/>
    <x v="32"/>
    <n v="17323"/>
    <n v="258"/>
    <n v="2713"/>
    <s v="1.49"/>
    <s v="0.00"/>
    <s v="98.51"/>
  </r>
  <r>
    <x v="13"/>
    <x v="31"/>
    <n v="11518"/>
    <n v="100"/>
    <n v="6516"/>
    <s v="0.87"/>
    <s v="0.00"/>
    <s v="99.13"/>
  </r>
  <r>
    <x v="13"/>
    <x v="30"/>
    <n v="57470"/>
    <n v="1091"/>
    <n v="43069"/>
    <s v="1.90"/>
    <s v="0.00"/>
    <s v="98.10"/>
  </r>
  <r>
    <x v="13"/>
    <x v="29"/>
    <n v="1720340"/>
    <n v="29005"/>
    <n v="31996"/>
    <s v="1.69"/>
    <s v="0.00"/>
    <s v="98.31"/>
  </r>
  <r>
    <x v="13"/>
    <x v="28"/>
    <n v="26798"/>
    <n v="491"/>
    <n v="17312"/>
    <s v="1.83"/>
    <s v="0.00"/>
    <s v="98.17"/>
  </r>
  <r>
    <x v="13"/>
    <x v="27"/>
    <n v="596191"/>
    <n v="4596"/>
    <n v="176740"/>
    <s v="0.77"/>
    <s v="0.00"/>
    <s v="99.23"/>
  </r>
  <r>
    <x v="13"/>
    <x v="26"/>
    <n v="186594"/>
    <n v="2406"/>
    <n v="132137"/>
    <s v="1.29"/>
    <s v="0.00"/>
    <s v="98.71"/>
  </r>
  <r>
    <x v="13"/>
    <x v="25"/>
    <n v="2621"/>
    <n v="3"/>
    <n v="2442"/>
    <s v="0.11"/>
    <s v="0.00"/>
    <s v="99.89"/>
  </r>
  <r>
    <x v="13"/>
    <x v="24"/>
    <n v="22351"/>
    <n v="643"/>
    <n v="13146"/>
    <s v="2.88"/>
    <s v="0.00"/>
    <s v="97.12"/>
  </r>
  <r>
    <x v="13"/>
    <x v="23"/>
    <n v="21793401"/>
    <n v="607462"/>
    <n v="5897048"/>
    <s v="2.79"/>
    <s v="0.00"/>
    <s v="97.21"/>
  </r>
  <r>
    <x v="13"/>
    <x v="22"/>
    <n v="512460"/>
    <n v="18915"/>
    <n v="152136"/>
    <s v="3.69"/>
    <s v="0.00"/>
    <s v="96.31"/>
  </r>
  <r>
    <x v="13"/>
    <x v="21"/>
    <n v="12955"/>
    <n v="86"/>
    <n v="5193"/>
    <s v="0.66"/>
    <s v="0.00"/>
    <s v="99.34"/>
  </r>
  <r>
    <x v="13"/>
    <x v="20"/>
    <n v="1659"/>
    <n v="6"/>
    <n v="1550"/>
    <s v="0.36"/>
    <s v="0.00"/>
    <s v="99.64"/>
  </r>
  <r>
    <x v="13"/>
    <x v="19"/>
    <n v="24749"/>
    <n v="161"/>
    <n v="6682"/>
    <s v="0.65"/>
    <s v="0.00"/>
    <s v="99.35"/>
  </r>
  <r>
    <x v="13"/>
    <x v="18"/>
    <n v="20039"/>
    <n v="38"/>
    <n v="8676"/>
    <s v="0.19"/>
    <s v="0.00"/>
    <s v="99.81"/>
  </r>
  <r>
    <x v="13"/>
    <x v="17"/>
    <n v="276749"/>
    <n v="1393"/>
    <n v="79507"/>
    <s v="0.50"/>
    <s v="0.00"/>
    <s v="99.50"/>
  </r>
  <r>
    <x v="13"/>
    <x v="16"/>
    <n v="598199"/>
    <n v="23872"/>
    <n v="184498"/>
    <s v="3.99"/>
    <s v="0.00"/>
    <s v="96.01"/>
  </r>
  <r>
    <x v="13"/>
    <x v="15"/>
    <n v="14793"/>
    <n v="214"/>
    <n v="4986"/>
    <s v="1.45"/>
    <s v="0.00"/>
    <s v="98.55"/>
  </r>
  <r>
    <x v="13"/>
    <x v="14"/>
    <n v="1360650"/>
    <n v="25994"/>
    <n v="1304583"/>
    <s v="1.91"/>
    <s v="0.00"/>
    <s v="98.09"/>
  </r>
  <r>
    <x v="13"/>
    <x v="13"/>
    <n v="1569162"/>
    <n v="27854"/>
    <n v="1219889"/>
    <s v="1.78"/>
    <s v="0.00"/>
    <s v="98.22"/>
  </r>
  <r>
    <x v="13"/>
    <x v="12"/>
    <n v="17151"/>
    <n v="151"/>
    <n v="13924"/>
    <s v="0.88"/>
    <s v="0.00"/>
    <s v="99.12"/>
  </r>
  <r>
    <x v="13"/>
    <x v="11"/>
    <n v="252758"/>
    <n v="11495"/>
    <n v="36020"/>
    <s v="4.55"/>
    <s v="0.00"/>
    <s v="95.45"/>
  </r>
  <r>
    <x v="13"/>
    <x v="10"/>
    <n v="526920"/>
    <n v="7021"/>
    <n v="426210"/>
    <s v="1.33"/>
    <s v="0.00"/>
    <s v="98.67"/>
  </r>
  <r>
    <x v="13"/>
    <x v="9"/>
    <n v="169379"/>
    <n v="1722"/>
    <n v="121579"/>
    <s v="1.02"/>
    <s v="0.00"/>
    <s v="98.98"/>
  </r>
  <r>
    <x v="13"/>
    <x v="8"/>
    <n v="819195"/>
    <n v="11333"/>
    <n v="784305"/>
    <s v="1.38"/>
    <s v="0.00"/>
    <s v="98.62"/>
  </r>
  <r>
    <x v="13"/>
    <x v="7"/>
    <n v="5287447"/>
    <n v="115935"/>
    <n v="1996750"/>
    <s v="2.19"/>
    <s v="0.00"/>
    <s v="97.81"/>
  </r>
  <r>
    <x v="13"/>
    <x v="6"/>
    <n v="64301"/>
    <n v="1707"/>
    <n v="61062"/>
    <s v="2.65"/>
    <s v="0.00"/>
    <s v="97.35"/>
  </r>
  <r>
    <x v="13"/>
    <x v="5"/>
    <n v="304546"/>
    <n v="6232"/>
    <n v="173115"/>
    <s v="2.05"/>
    <s v="0.00"/>
    <s v="97.95"/>
  </r>
  <r>
    <x v="13"/>
    <x v="4"/>
    <n v="184340"/>
    <n v="2909"/>
    <n v="85773"/>
    <s v="1.58"/>
    <s v="0.00"/>
    <s v="98.42"/>
  </r>
  <r>
    <x v="13"/>
    <x v="3"/>
    <n v="4040"/>
    <n v="102"/>
    <n v="3157"/>
    <s v="2.52"/>
    <s v="0.00"/>
    <s v="97.48"/>
  </r>
  <r>
    <x v="13"/>
    <x v="2"/>
    <n v="156196"/>
    <n v="7269"/>
    <n v="142649"/>
    <s v="4.65"/>
    <s v="0.00"/>
    <s v="95.35"/>
  </r>
  <r>
    <x v="13"/>
    <x v="1"/>
    <n v="739736"/>
    <n v="2136"/>
    <n v="471023"/>
    <s v="0.29"/>
    <s v="0.00"/>
    <s v="99.71"/>
  </r>
  <r>
    <x v="13"/>
    <x v="0"/>
    <n v="15516"/>
    <n v="130"/>
    <n v="7657"/>
    <s v="0.84"/>
    <s v="0.00"/>
    <s v="99.16"/>
  </r>
  <r>
    <x v="14"/>
    <x v="0"/>
    <n v="15505"/>
    <n v="130"/>
    <n v="8693"/>
    <s v="0.84"/>
    <s v="0.00"/>
    <s v="99.16"/>
  </r>
  <r>
    <x v="14"/>
    <x v="1"/>
    <n v="739654"/>
    <n v="2135"/>
    <n v="520087"/>
    <s v="0.29"/>
    <s v="0.00"/>
    <s v="99.71"/>
  </r>
  <r>
    <x v="14"/>
    <x v="2"/>
    <n v="156166"/>
    <n v="7268"/>
    <n v="92015"/>
    <s v="4.65"/>
    <s v="0.00"/>
    <s v="95.35"/>
  </r>
  <r>
    <x v="14"/>
    <x v="3"/>
    <n v="4040"/>
    <n v="102"/>
    <n v="1987"/>
    <s v="2.52"/>
    <s v="0.00"/>
    <s v="97.48"/>
  </r>
  <r>
    <x v="14"/>
    <x v="4"/>
    <n v="183873"/>
    <n v="2902"/>
    <n v="179820"/>
    <s v="1.58"/>
    <s v="0.00"/>
    <s v="98.42"/>
  </r>
  <r>
    <x v="14"/>
    <x v="5"/>
    <n v="302450"/>
    <n v="6189"/>
    <n v="62957"/>
    <s v="2.05"/>
    <s v="0.00"/>
    <s v="97.95"/>
  </r>
  <r>
    <x v="14"/>
    <x v="6"/>
    <n v="64226"/>
    <n v="1705"/>
    <n v="5756"/>
    <s v="2.65"/>
    <s v="0.00"/>
    <s v="97.35"/>
  </r>
  <r>
    <x v="14"/>
    <x v="7"/>
    <n v="5286074"/>
    <n v="115916"/>
    <n v="3350076"/>
    <s v="2.19"/>
    <s v="0.00"/>
    <s v="97.81"/>
  </r>
  <r>
    <x v="14"/>
    <x v="8"/>
    <n v="813334"/>
    <n v="11316"/>
    <n v="186021"/>
    <s v="1.39"/>
    <s v="0.00"/>
    <s v="98.61"/>
  </r>
  <r>
    <x v="14"/>
    <x v="9"/>
    <n v="167790"/>
    <n v="1708"/>
    <n v="105464"/>
    <s v="1.02"/>
    <s v="0.00"/>
    <s v="98.98"/>
  </r>
  <r>
    <x v="14"/>
    <x v="10"/>
    <n v="524788"/>
    <n v="6995"/>
    <n v="58162"/>
    <s v="1.33"/>
    <s v="0.00"/>
    <s v="98.67"/>
  </r>
  <r>
    <x v="14"/>
    <x v="11"/>
    <n v="252083"/>
    <n v="11477"/>
    <n v="225579"/>
    <s v="4.55"/>
    <s v="0.00"/>
    <s v="95.45"/>
  </r>
  <r>
    <x v="14"/>
    <x v="12"/>
    <n v="16782"/>
    <n v="151"/>
    <n v="9346"/>
    <s v="0.90"/>
    <s v="0.00"/>
    <s v="99.10"/>
  </r>
  <r>
    <x v="14"/>
    <x v="13"/>
    <n v="1568857"/>
    <n v="27847"/>
    <n v="864394"/>
    <s v="1.77"/>
    <s v="0.00"/>
    <s v="98.23"/>
  </r>
  <r>
    <x v="14"/>
    <x v="14"/>
    <n v="1351913"/>
    <n v="25976"/>
    <n v="500994"/>
    <s v="1.92"/>
    <s v="0.00"/>
    <s v="98.08"/>
  </r>
  <r>
    <x v="14"/>
    <x v="15"/>
    <n v="14793"/>
    <n v="214"/>
    <n v="8725"/>
    <s v="1.45"/>
    <s v="0.00"/>
    <s v="98.55"/>
  </r>
  <r>
    <x v="14"/>
    <x v="16"/>
    <n v="592943"/>
    <n v="23718"/>
    <n v="368698"/>
    <s v="4.00"/>
    <s v="0.00"/>
    <s v="96.00"/>
  </r>
  <r>
    <x v="14"/>
    <x v="17"/>
    <n v="276718"/>
    <n v="1393"/>
    <n v="127834"/>
    <s v="0.50"/>
    <s v="0.00"/>
    <s v="99.50"/>
  </r>
  <r>
    <x v="14"/>
    <x v="18"/>
    <n v="20016"/>
    <n v="38"/>
    <n v="7820"/>
    <s v="0.19"/>
    <s v="0.00"/>
    <s v="99.81"/>
  </r>
  <r>
    <x v="14"/>
    <x v="19"/>
    <n v="24749"/>
    <n v="161"/>
    <n v="7571"/>
    <s v="0.65"/>
    <s v="0.00"/>
    <s v="99.35"/>
  </r>
  <r>
    <x v="14"/>
    <x v="20"/>
    <n v="1659"/>
    <n v="6"/>
    <n v="968"/>
    <s v="0.36"/>
    <s v="0.00"/>
    <s v="99.64"/>
  </r>
  <r>
    <x v="14"/>
    <x v="21"/>
    <n v="12823"/>
    <n v="83"/>
    <n v="6060"/>
    <s v="0.65"/>
    <s v="0.00"/>
    <s v="99.35"/>
  </r>
  <r>
    <x v="14"/>
    <x v="22"/>
    <n v="511854"/>
    <n v="18911"/>
    <n v="327463"/>
    <s v="3.69"/>
    <s v="0.00"/>
    <s v="96.31"/>
  </r>
  <r>
    <x v="14"/>
    <x v="23"/>
    <n v="21781436"/>
    <n v="607068"/>
    <n v="7492216"/>
    <s v="2.79"/>
    <s v="0.00"/>
    <s v="97.21"/>
  </r>
  <r>
    <x v="14"/>
    <x v="24"/>
    <n v="22351"/>
    <n v="643"/>
    <n v="14854"/>
    <s v="2.88"/>
    <s v="0.00"/>
    <s v="97.12"/>
  </r>
  <r>
    <x v="14"/>
    <x v="25"/>
    <n v="2621"/>
    <n v="3"/>
    <n v="908"/>
    <s v="0.11"/>
    <s v="0.00"/>
    <s v="99.89"/>
  </r>
  <r>
    <x v="14"/>
    <x v="26"/>
    <n v="186594"/>
    <n v="2406"/>
    <n v="173951"/>
    <s v="1.29"/>
    <s v="0.00"/>
    <s v="98.71"/>
  </r>
  <r>
    <x v="14"/>
    <x v="27"/>
    <n v="594203"/>
    <n v="4580"/>
    <n v="7816"/>
    <s v="0.77"/>
    <s v="0.00"/>
    <s v="99.23"/>
  </r>
  <r>
    <x v="14"/>
    <x v="28"/>
    <n v="26625"/>
    <n v="491"/>
    <n v="21749"/>
    <s v="1.84"/>
    <s v="0.00"/>
    <s v="98.16"/>
  </r>
  <r>
    <x v="14"/>
    <x v="29"/>
    <n v="1717762"/>
    <n v="28981"/>
    <n v="456383"/>
    <s v="1.69"/>
    <s v="0.00"/>
    <s v="98.31"/>
  </r>
  <r>
    <x v="14"/>
    <x v="30"/>
    <n v="57470"/>
    <n v="1091"/>
    <n v="43624"/>
    <s v="1.90"/>
    <s v="0.00"/>
    <s v="98.10"/>
  </r>
  <r>
    <x v="14"/>
    <x v="31"/>
    <n v="11518"/>
    <n v="100"/>
    <n v="2286"/>
    <s v="0.87"/>
    <s v="0.00"/>
    <s v="99.13"/>
  </r>
  <r>
    <x v="14"/>
    <x v="32"/>
    <n v="17323"/>
    <n v="258"/>
    <n v="15947"/>
    <s v="1.49"/>
    <s v="0.00"/>
    <s v="98.51"/>
  </r>
  <r>
    <x v="14"/>
    <x v="33"/>
    <n v="870837"/>
    <n v="11219"/>
    <n v="382162"/>
    <s v="1.29"/>
    <s v="0.00"/>
    <s v="98.71"/>
  </r>
  <r>
    <x v="14"/>
    <x v="34"/>
    <n v="61267"/>
    <n v="691"/>
    <n v="39558"/>
    <s v="1.13"/>
    <s v="0.00"/>
    <s v="98.87"/>
  </r>
  <r>
    <x v="14"/>
    <x v="35"/>
    <n v="1688454"/>
    <n v="37719"/>
    <n v="839769"/>
    <s v="2.23"/>
    <s v="0.00"/>
    <s v="97.77"/>
  </r>
  <r>
    <x v="14"/>
    <x v="36"/>
    <n v="102499"/>
    <n v="1686"/>
    <n v="60832"/>
    <s v="1.64"/>
    <s v="0.00"/>
    <s v="98.36"/>
  </r>
  <r>
    <x v="14"/>
    <x v="37"/>
    <n v="97002"/>
    <n v="4636"/>
    <n v="19414"/>
    <s v="4.78"/>
    <s v="0.00"/>
    <s v="95.22"/>
  </r>
  <r>
    <x v="14"/>
    <x v="38"/>
    <n v="4997444"/>
    <n v="127195"/>
    <n v="1016091"/>
    <s v="2.55"/>
    <s v="0.00"/>
    <s v="97.45"/>
  </r>
  <r>
    <x v="14"/>
    <x v="39"/>
    <n v="559250"/>
    <n v="7021"/>
    <n v="281449"/>
    <s v="1.26"/>
    <s v="0.00"/>
    <s v="98.74"/>
  </r>
  <r>
    <x v="14"/>
    <x v="40"/>
    <n v="949747"/>
    <n v="8219"/>
    <n v="876428"/>
    <s v="0.87"/>
    <s v="0.00"/>
    <s v="99.13"/>
  </r>
  <r>
    <x v="14"/>
    <x v="41"/>
    <n v="38181"/>
    <n v="349"/>
    <n v="26547"/>
    <s v="0.91"/>
    <s v="0.00"/>
    <s v="99.09"/>
  </r>
  <r>
    <x v="14"/>
    <x v="42"/>
    <n v="123908"/>
    <n v="572"/>
    <n v="5943"/>
    <s v="0.46"/>
    <s v="0.00"/>
    <s v="99.54"/>
  </r>
  <r>
    <x v="14"/>
    <x v="43"/>
    <n v="1747701"/>
    <n v="30689"/>
    <n v="827512"/>
    <s v="1.76"/>
    <s v="0.00"/>
    <s v="98.24"/>
  </r>
  <r>
    <x v="14"/>
    <x v="44"/>
    <n v="4553744"/>
    <n v="95522"/>
    <n v="3895079"/>
    <s v="2.10"/>
    <s v="0.00"/>
    <s v="97.90"/>
  </r>
  <r>
    <x v="14"/>
    <x v="45"/>
    <n v="13472"/>
    <n v="181"/>
    <n v="8466"/>
    <s v="1.34"/>
    <s v="0.00"/>
    <s v="98.66"/>
  </r>
  <r>
    <x v="14"/>
    <x v="46"/>
    <n v="383583"/>
    <n v="2709"/>
    <n v="114702"/>
    <s v="0.71"/>
    <s v="0.00"/>
    <s v="99.29"/>
  </r>
  <r>
    <x v="14"/>
    <x v="47"/>
    <n v="4742"/>
    <n v="31"/>
    <n v="1318"/>
    <s v="0.65"/>
    <s v="0.00"/>
    <s v="99.35"/>
  </r>
  <r>
    <x v="14"/>
    <x v="48"/>
    <n v="379336"/>
    <n v="4124"/>
    <n v="204482"/>
    <s v="1.09"/>
    <s v="0.00"/>
    <s v="98.91"/>
  </r>
  <r>
    <x v="14"/>
    <x v="49"/>
    <n v="206160"/>
    <n v="5907"/>
    <n v="13870"/>
    <s v="2.87"/>
    <s v="0.00"/>
    <s v="97.13"/>
  </r>
  <r>
    <x v="14"/>
    <x v="50"/>
    <n v="515859"/>
    <n v="32958"/>
    <n v="204180"/>
    <s v="6.39"/>
    <s v="0.00"/>
    <s v="93.61"/>
  </r>
  <r>
    <x v="14"/>
    <x v="51"/>
    <n v="188522"/>
    <n v="1491"/>
    <n v="66388"/>
    <s v="0.79"/>
    <s v="0.00"/>
    <s v="99.21"/>
  </r>
  <r>
    <x v="14"/>
    <x v="52"/>
    <n v="328209"/>
    <n v="18483"/>
    <n v="117538"/>
    <s v="5.63"/>
    <s v="0.00"/>
    <s v="94.37"/>
  </r>
  <r>
    <x v="14"/>
    <x v="53"/>
    <n v="6806"/>
    <n v="45"/>
    <n v="1563"/>
    <s v="0.66"/>
    <s v="0.00"/>
    <s v="99.34"/>
  </r>
  <r>
    <x v="14"/>
    <x v="54"/>
    <n v="5008887"/>
    <n v="87322"/>
    <n v="603141"/>
    <s v="1.74"/>
    <s v="0.00"/>
    <s v="98.26"/>
  </r>
  <r>
    <x v="14"/>
    <x v="55"/>
    <n v="364098"/>
    <n v="6428"/>
    <n v="297307"/>
    <s v="1.77"/>
    <s v="0.00"/>
    <s v="98.23"/>
  </r>
  <r>
    <x v="14"/>
    <x v="56"/>
    <n v="156959"/>
    <n v="1154"/>
    <n v="97366"/>
    <s v="0.74"/>
    <s v="0.00"/>
    <s v="99.26"/>
  </r>
  <r>
    <x v="14"/>
    <x v="57"/>
    <n v="52079"/>
    <n v="673"/>
    <n v="44153"/>
    <s v="1.29"/>
    <s v="0.00"/>
    <s v="98.71"/>
  </r>
  <r>
    <x v="14"/>
    <x v="58"/>
    <n v="1930"/>
    <n v="2"/>
    <n v="1875"/>
    <s v="0.10"/>
    <s v="0.00"/>
    <s v="99.90"/>
  </r>
  <r>
    <x v="14"/>
    <x v="59"/>
    <n v="6969404"/>
    <n v="115250"/>
    <n v="2602359"/>
    <s v="1.65"/>
    <s v="0.00"/>
    <s v="98.35"/>
  </r>
  <r>
    <x v="14"/>
    <x v="60"/>
    <n v="35252"/>
    <n v="235"/>
    <n v="2702"/>
    <s v="0.67"/>
    <s v="0.00"/>
    <s v="99.33"/>
  </r>
  <r>
    <x v="14"/>
    <x v="61"/>
    <n v="8972500"/>
    <n v="140530"/>
    <n v="8083156"/>
    <s v="1.57"/>
    <s v="0.00"/>
    <s v="98.43"/>
  </r>
  <r>
    <x v="14"/>
    <x v="63"/>
    <n v="707290"/>
    <n v="9918"/>
    <n v="562357"/>
    <s v="1.40"/>
    <s v="0.00"/>
    <s v="98.60"/>
  </r>
  <r>
    <x v="14"/>
    <x v="62"/>
    <n v="5834"/>
    <n v="197"/>
    <n v="4721"/>
    <s v="3.38"/>
    <s v="0.00"/>
    <s v="96.62"/>
  </r>
  <r>
    <x v="14"/>
    <x v="64"/>
    <n v="44438"/>
    <n v="304"/>
    <n v="8794"/>
    <s v="0.68"/>
    <s v="0.00"/>
    <s v="99.32"/>
  </r>
  <r>
    <x v="14"/>
    <x v="65"/>
    <n v="130077"/>
    <n v="1175"/>
    <n v="76320"/>
    <s v="0.90"/>
    <s v="0.00"/>
    <s v="99.10"/>
  </r>
  <r>
    <x v="14"/>
    <x v="66"/>
    <n v="5943"/>
    <n v="98"/>
    <n v="3920"/>
    <s v="1.65"/>
    <s v="0.00"/>
    <s v="98.35"/>
  </r>
  <r>
    <x v="14"/>
    <x v="68"/>
    <n v="30653"/>
    <n v="385"/>
    <n v="10387"/>
    <s v="1.26"/>
    <s v="0.00"/>
    <s v="98.74"/>
  </r>
  <r>
    <x v="14"/>
    <x v="67"/>
    <n v="9963"/>
    <n v="340"/>
    <n v="6261"/>
    <s v="3.41"/>
    <s v="0.00"/>
    <s v="96.59"/>
  </r>
  <r>
    <x v="14"/>
    <x v="69"/>
    <n v="54288"/>
    <n v="815"/>
    <n v="53036"/>
    <s v="1.50"/>
    <s v="0.00"/>
    <s v="98.50"/>
  </r>
  <r>
    <x v="14"/>
    <x v="70"/>
    <n v="13236"/>
    <n v="163"/>
    <n v="2251"/>
    <s v="1.23"/>
    <s v="0.00"/>
    <s v="98.77"/>
  </r>
  <r>
    <x v="14"/>
    <x v="71"/>
    <n v="731167"/>
    <n v="15801"/>
    <n v="409736"/>
    <s v="2.16"/>
    <s v="0.00"/>
    <s v="97.84"/>
  </r>
  <r>
    <x v="14"/>
    <x v="72"/>
    <n v="599042"/>
    <n v="14928"/>
    <n v="8211"/>
    <s v="2.49"/>
    <s v="0.00"/>
    <s v="97.51"/>
  </r>
  <r>
    <x v="14"/>
    <x v="73"/>
    <n v="6133"/>
    <n v="141"/>
    <n v="2260"/>
    <s v="2.30"/>
    <s v="0.00"/>
    <s v="97.70"/>
  </r>
  <r>
    <x v="14"/>
    <x v="74"/>
    <n v="35350"/>
    <n v="904"/>
    <n v="25445"/>
    <s v="2.56"/>
    <s v="0.00"/>
    <s v="97.44"/>
  </r>
  <r>
    <x v="14"/>
    <x v="75"/>
    <n v="12337"/>
    <n v="213"/>
    <n v="4881"/>
    <s v="1.73"/>
    <s v="0.00"/>
    <s v="98.27"/>
  </r>
  <r>
    <x v="14"/>
    <x v="76"/>
    <n v="375213"/>
    <n v="10235"/>
    <n v="27506"/>
    <s v="2.73"/>
    <s v="0.00"/>
    <s v="97.27"/>
  </r>
  <r>
    <x v="14"/>
    <x v="77"/>
    <n v="458090"/>
    <n v="9142"/>
    <n v="337424"/>
    <s v="2.00"/>
    <s v="0.00"/>
    <s v="98.00"/>
  </r>
  <r>
    <x v="14"/>
    <x v="78"/>
    <n v="23823"/>
    <n v="662"/>
    <n v="8411"/>
    <s v="2.78"/>
    <s v="0.00"/>
    <s v="97.22"/>
  </r>
  <r>
    <x v="14"/>
    <x v="79"/>
    <n v="859378"/>
    <n v="30692"/>
    <n v="515153"/>
    <s v="3.57"/>
    <s v="0.00"/>
    <s v="96.43"/>
  </r>
  <r>
    <x v="14"/>
    <x v="80"/>
    <n v="4242532"/>
    <n v="143333"/>
    <n v="2065795"/>
    <s v="3.38"/>
    <s v="0.00"/>
    <s v="96.62"/>
  </r>
  <r>
    <x v="14"/>
    <x v="81"/>
    <n v="438124"/>
    <n v="5436"/>
    <n v="226020"/>
    <s v="1.24"/>
    <s v="0.00"/>
    <s v="98.76"/>
  </r>
  <r>
    <x v="14"/>
    <x v="82"/>
    <n v="1326171"/>
    <n v="8081"/>
    <n v="134535"/>
    <s v="0.61"/>
    <s v="0.00"/>
    <s v="99.39"/>
  </r>
  <r>
    <x v="14"/>
    <x v="83"/>
    <n v="34246157"/>
    <n v="457191"/>
    <n v="26562366"/>
    <s v="1.34"/>
    <s v="0.00"/>
    <s v="98.66"/>
  </r>
  <r>
    <x v="14"/>
    <x v="84"/>
    <n v="2052123"/>
    <n v="23083"/>
    <n v="1425302"/>
    <s v="1.12"/>
    <s v="0.00"/>
    <s v="98.88"/>
  </r>
  <r>
    <x v="14"/>
    <x v="85"/>
    <n v="5899509"/>
    <n v="125875"/>
    <n v="2605280"/>
    <s v="2.13"/>
    <s v="0.00"/>
    <s v="97.87"/>
  </r>
  <r>
    <x v="14"/>
    <x v="86"/>
    <n v="13413"/>
    <n v="33"/>
    <n v="11749"/>
    <s v="0.25"/>
    <s v="0.00"/>
    <s v="99.75"/>
  </r>
  <r>
    <x v="14"/>
    <x v="87"/>
    <n v="4757231"/>
    <n v="132004"/>
    <n v="1216687"/>
    <s v="2.77"/>
    <s v="0.00"/>
    <s v="97.23"/>
  </r>
  <r>
    <x v="14"/>
    <x v="88"/>
    <n v="88666"/>
    <n v="2199"/>
    <n v="26855"/>
    <s v="2.48"/>
    <s v="0.00"/>
    <s v="97.52"/>
  </r>
  <r>
    <x v="14"/>
    <x v="89"/>
    <n v="858342"/>
    <n v="11000"/>
    <n v="94976"/>
    <s v="1.28"/>
    <s v="0.00"/>
    <s v="98.72"/>
  </r>
  <r>
    <x v="14"/>
    <x v="90"/>
    <n v="1718764"/>
    <n v="18245"/>
    <n v="563540"/>
    <s v="1.06"/>
    <s v="0.00"/>
    <s v="98.94"/>
  </r>
  <r>
    <x v="14"/>
    <x v="91"/>
    <n v="253018"/>
    <n v="5270"/>
    <n v="142423"/>
    <s v="2.08"/>
    <s v="0.00"/>
    <s v="97.92"/>
  </r>
  <r>
    <x v="14"/>
    <x v="92"/>
    <n v="180989"/>
    <n v="2664"/>
    <n v="33777"/>
    <s v="1.47"/>
    <s v="0.00"/>
    <s v="98.53"/>
  </r>
  <r>
    <x v="14"/>
    <x v="94"/>
    <n v="2"/>
    <n v="0"/>
    <n v="1"/>
    <s v="0.00"/>
    <s v="0.00"/>
    <s v="100.00"/>
  </r>
  <r>
    <x v="14"/>
    <x v="93"/>
    <n v="118220"/>
    <n v="2766"/>
    <n v="108830"/>
    <s v="2.34"/>
    <s v="0.00"/>
    <s v="97.66"/>
  </r>
  <r>
    <x v="14"/>
    <x v="95"/>
    <n v="4239"/>
    <n v="147"/>
    <n v="1183"/>
    <s v="3.47"/>
    <s v="0.00"/>
    <s v="96.53"/>
  </r>
  <r>
    <x v="14"/>
    <x v="96"/>
    <n v="2664"/>
    <n v="21"/>
    <n v="722"/>
    <s v="0.79"/>
    <s v="0.00"/>
    <s v="99.21"/>
  </r>
  <r>
    <x v="14"/>
    <x v="97"/>
    <n v="360536"/>
    <n v="2817"/>
    <n v="32680"/>
    <s v="0.78"/>
    <s v="0.00"/>
    <s v="99.22"/>
  </r>
  <r>
    <x v="14"/>
    <x v="98"/>
    <n v="412619"/>
    <n v="2461"/>
    <n v="399293"/>
    <s v="0.60"/>
    <s v="0.00"/>
    <s v="99.40"/>
  </r>
  <r>
    <x v="14"/>
    <x v="99"/>
    <n v="1015439"/>
    <n v="17050"/>
    <n v="157634"/>
    <s v="1.68"/>
    <s v="0.00"/>
    <s v="98.32"/>
  </r>
  <r>
    <x v="14"/>
    <x v="100"/>
    <n v="38281"/>
    <n v="59"/>
    <n v="16336"/>
    <s v="0.15"/>
    <s v="0.00"/>
    <s v="99.85"/>
  </r>
  <r>
    <x v="14"/>
    <x v="101"/>
    <n v="639995"/>
    <n v="8480"/>
    <n v="7254"/>
    <s v="1.33"/>
    <s v="0.00"/>
    <s v="98.67"/>
  </r>
  <r>
    <x v="14"/>
    <x v="102"/>
    <n v="12517"/>
    <n v="253"/>
    <n v="873"/>
    <s v="2.02"/>
    <s v="0.00"/>
    <s v="97.98"/>
  </r>
  <r>
    <x v="14"/>
    <x v="103"/>
    <n v="3653"/>
    <n v="61"/>
    <n v="348"/>
    <s v="1.67"/>
    <s v="0.00"/>
    <s v="98.33"/>
  </r>
  <r>
    <x v="14"/>
    <x v="104"/>
    <n v="538860"/>
    <n v="13696"/>
    <n v="91117"/>
    <s v="2.54"/>
    <s v="0.00"/>
    <s v="97.46"/>
  </r>
  <r>
    <x v="14"/>
    <x v="105"/>
    <n v="5812"/>
    <n v="287"/>
    <n v="242"/>
    <s v="4.94"/>
    <s v="0.00"/>
    <s v="95.06"/>
  </r>
  <r>
    <x v="14"/>
    <x v="106"/>
    <n v="21624"/>
    <n v="657"/>
    <n v="15238"/>
    <s v="3.04"/>
    <s v="0.00"/>
    <s v="96.96"/>
  </r>
  <r>
    <x v="14"/>
    <x v="107"/>
    <n v="399532"/>
    <n v="5766"/>
    <n v="379399"/>
    <s v="1.44"/>
    <s v="0.00"/>
    <s v="98.56"/>
  </r>
  <r>
    <x v="14"/>
    <x v="108"/>
    <n v="81501"/>
    <n v="843"/>
    <n v="53877"/>
    <s v="1.03"/>
    <s v="0.00"/>
    <s v="98.97"/>
  </r>
  <r>
    <x v="14"/>
    <x v="109"/>
    <n v="211702"/>
    <n v="3173"/>
    <n v="172272"/>
    <s v="1.50"/>
    <s v="0.00"/>
    <s v="98.50"/>
  </r>
  <r>
    <x v="14"/>
    <x v="110"/>
    <n v="356086"/>
    <n v="5061"/>
    <n v="110439"/>
    <s v="1.42"/>
    <s v="0.00"/>
    <s v="98.58"/>
  </r>
  <r>
    <x v="14"/>
    <x v="111"/>
    <n v="945504"/>
    <n v="14654"/>
    <n v="402185"/>
    <s v="1.55"/>
    <s v="0.00"/>
    <s v="98.45"/>
  </r>
  <r>
    <x v="14"/>
    <x v="112"/>
    <n v="3407"/>
    <n v="36"/>
    <n v="2259"/>
    <s v="1.06"/>
    <s v="0.00"/>
    <s v="98.94"/>
  </r>
  <r>
    <x v="14"/>
    <x v="113"/>
    <n v="334287"/>
    <n v="7665"/>
    <n v="182548"/>
    <s v="2.29"/>
    <s v="0.00"/>
    <s v="97.71"/>
  </r>
  <r>
    <x v="14"/>
    <x v="114"/>
    <n v="142807"/>
    <n v="2087"/>
    <n v="8831"/>
    <s v="1.46"/>
    <s v="0.00"/>
    <s v="98.54"/>
  </r>
  <r>
    <x v="14"/>
    <x v="115"/>
    <n v="3920"/>
    <n v="55"/>
    <n v="3257"/>
    <s v="1.40"/>
    <s v="0.00"/>
    <s v="98.60"/>
  </r>
  <r>
    <x v="14"/>
    <x v="116"/>
    <n v="43626"/>
    <n v="963"/>
    <n v="5559"/>
    <s v="2.21"/>
    <s v="0.00"/>
    <s v="97.79"/>
  </r>
  <r>
    <x v="14"/>
    <x v="117"/>
    <n v="4"/>
    <n v="0"/>
    <n v="3"/>
    <s v="0.00"/>
    <s v="0.00"/>
    <s v="100.00"/>
  </r>
  <r>
    <x v="14"/>
    <x v="118"/>
    <n v="201292"/>
    <n v="7098"/>
    <n v="170553"/>
    <s v="3.53"/>
    <s v="0.00"/>
    <s v="96.47"/>
  </r>
  <r>
    <x v="14"/>
    <x v="119"/>
    <n v="15947"/>
    <n v="562"/>
    <n v="2548"/>
    <s v="3.52"/>
    <s v="0.00"/>
    <s v="96.48"/>
  </r>
  <r>
    <x v="14"/>
    <x v="120"/>
    <n v="497700"/>
    <n v="18622"/>
    <n v="347994"/>
    <s v="3.74"/>
    <s v="0.00"/>
    <s v="96.26"/>
  </r>
  <r>
    <x v="14"/>
    <x v="121"/>
    <n v="356765"/>
    <n v="1711"/>
    <n v="269838"/>
    <s v="0.48"/>
    <s v="0.00"/>
    <s v="99.52"/>
  </r>
  <r>
    <x v="14"/>
    <x v="122"/>
    <n v="77"/>
    <n v="0"/>
    <n v="18"/>
    <s v="0.00"/>
    <s v="0.00"/>
    <s v="100.00"/>
  </r>
  <r>
    <x v="14"/>
    <x v="123"/>
    <n v="43022"/>
    <n v="675"/>
    <n v="18215"/>
    <s v="1.57"/>
    <s v="0.00"/>
    <s v="98.43"/>
  </r>
  <r>
    <x v="14"/>
    <x v="124"/>
    <n v="37155"/>
    <n v="794"/>
    <n v="22340"/>
    <s v="2.14"/>
    <s v="0.00"/>
    <s v="97.86"/>
  </r>
  <r>
    <x v="14"/>
    <x v="125"/>
    <n v="37610"/>
    <n v="460"/>
    <n v="863"/>
    <s v="1.22"/>
    <s v="0.00"/>
    <s v="98.78"/>
  </r>
  <r>
    <x v="14"/>
    <x v="126"/>
    <n v="17586"/>
    <n v="164"/>
    <n v="8886"/>
    <s v="0.93"/>
    <s v="0.00"/>
    <s v="99.07"/>
  </r>
  <r>
    <x v="14"/>
    <x v="127"/>
    <n v="87487"/>
    <n v="243"/>
    <n v="39901"/>
    <s v="0.28"/>
    <s v="0.00"/>
    <s v="99.72"/>
  </r>
  <r>
    <x v="14"/>
    <x v="128"/>
    <n v="61782"/>
    <n v="2298"/>
    <n v="37264"/>
    <s v="3.72"/>
    <s v="0.00"/>
    <s v="96.28"/>
  </r>
  <r>
    <x v="14"/>
    <x v="129"/>
    <n v="3798286"/>
    <n v="287631"/>
    <n v="3323963"/>
    <s v="7.57"/>
    <s v="0.00"/>
    <s v="92.43"/>
  </r>
  <r>
    <x v="14"/>
    <x v="130"/>
    <n v="2454749"/>
    <n v="28769"/>
    <n v="189803"/>
    <s v="1.17"/>
    <s v="0.00"/>
    <s v="98.83"/>
  </r>
  <r>
    <x v="14"/>
    <x v="131"/>
    <n v="151260"/>
    <n v="1929"/>
    <n v="55710"/>
    <s v="1.28"/>
    <s v="0.00"/>
    <s v="98.72"/>
  </r>
  <r>
    <x v="14"/>
    <x v="132"/>
    <n v="128880"/>
    <n v="3550"/>
    <n v="115734"/>
    <s v="2.75"/>
    <s v="0.00"/>
    <s v="97.25"/>
  </r>
  <r>
    <x v="14"/>
    <x v="133"/>
    <n v="10848"/>
    <n v="264"/>
    <n v="8454"/>
    <s v="2.43"/>
    <s v="0.00"/>
    <s v="97.57"/>
  </r>
  <r>
    <x v="14"/>
    <x v="134"/>
    <n v="6300"/>
    <n v="211"/>
    <n v="1005"/>
    <s v="3.35"/>
    <s v="0.00"/>
    <s v="96.65"/>
  </r>
  <r>
    <x v="14"/>
    <x v="135"/>
    <n v="211678"/>
    <n v="2892"/>
    <n v="195032"/>
    <s v="1.37"/>
    <s v="0.00"/>
    <s v="98.63"/>
  </r>
  <r>
    <x v="14"/>
    <x v="136"/>
    <n v="16422"/>
    <n v="208"/>
    <n v="6102"/>
    <s v="1.27"/>
    <s v="0.00"/>
    <s v="98.73"/>
  </r>
  <r>
    <x v="14"/>
    <x v="137"/>
    <n v="2148383"/>
    <n v="18810"/>
    <n v="649524"/>
    <s v="0.88"/>
    <s v="0.00"/>
    <s v="99.12"/>
  </r>
  <r>
    <x v="14"/>
    <x v="138"/>
    <n v="204730"/>
    <n v="900"/>
    <n v="102140"/>
    <s v="0.44"/>
    <s v="0.00"/>
    <s v="99.56"/>
  </r>
  <r>
    <x v="14"/>
    <x v="139"/>
    <n v="811407"/>
    <n v="11382"/>
    <n v="492690"/>
    <s v="1.40"/>
    <s v="0.00"/>
    <s v="98.60"/>
  </r>
  <r>
    <x v="14"/>
    <x v="140"/>
    <n v="6125"/>
    <n v="28"/>
    <n v="812"/>
    <s v="0.46"/>
    <s v="0.00"/>
    <s v="99.54"/>
  </r>
  <r>
    <x v="14"/>
    <x v="141"/>
    <n v="304241"/>
    <n v="4111"/>
    <n v="290703"/>
    <s v="1.35"/>
    <s v="0.00"/>
    <s v="98.65"/>
  </r>
  <r>
    <x v="14"/>
    <x v="142"/>
    <n v="472197"/>
    <n v="7314"/>
    <n v="275799"/>
    <s v="1.55"/>
    <s v="0.00"/>
    <s v="98.45"/>
  </r>
  <r>
    <x v="14"/>
    <x v="143"/>
    <n v="2199036"/>
    <n v="200179"/>
    <n v="1343286"/>
    <s v="9.10"/>
    <s v="0.00"/>
    <s v="90.90"/>
  </r>
  <r>
    <x v="14"/>
    <x v="144"/>
    <n v="45541"/>
    <n v="636"/>
    <n v="9400"/>
    <s v="1.40"/>
    <s v="0.00"/>
    <s v="98.60"/>
  </r>
  <r>
    <x v="14"/>
    <x v="145"/>
    <n v="28823"/>
    <n v="345"/>
    <n v="6889"/>
    <s v="1.20"/>
    <s v="0.00"/>
    <s v="98.80"/>
  </r>
  <r>
    <x v="14"/>
    <x v="146"/>
    <n v="2768849"/>
    <n v="42348"/>
    <n v="371622"/>
    <s v="1.53"/>
    <s v="0.00"/>
    <s v="98.47"/>
  </r>
  <r>
    <x v="14"/>
    <x v="147"/>
    <n v="1271687"/>
    <n v="28431"/>
    <n v="661341"/>
    <s v="2.24"/>
    <s v="0.00"/>
    <s v="97.76"/>
  </r>
  <r>
    <x v="14"/>
    <x v="148"/>
    <n v="2998891"/>
    <n v="76773"/>
    <n v="440480"/>
    <s v="2.56"/>
    <s v="0.00"/>
    <s v="97.44"/>
  </r>
  <r>
    <x v="14"/>
    <x v="149"/>
    <n v="452642"/>
    <n v="4657"/>
    <n v="222049"/>
    <s v="1.03"/>
    <s v="0.00"/>
    <s v="98.97"/>
  </r>
  <r>
    <x v="14"/>
    <x v="150"/>
    <n v="1088133"/>
    <n v="18149"/>
    <n v="251102"/>
    <s v="1.67"/>
    <s v="0.00"/>
    <s v="98.33"/>
  </r>
  <r>
    <x v="14"/>
    <x v="151"/>
    <n v="8"/>
    <n v="0"/>
    <n v="1"/>
    <s v="0.00"/>
    <s v="0.00"/>
    <s v="100.00"/>
  </r>
  <r>
    <x v="14"/>
    <x v="152"/>
    <n v="460944"/>
    <n v="16243"/>
    <n v="167614"/>
    <s v="3.52"/>
    <s v="0.00"/>
    <s v="96.48"/>
  </r>
  <r>
    <x v="14"/>
    <x v="153"/>
    <n v="238950"/>
    <n v="609"/>
    <n v="130904"/>
    <s v="0.25"/>
    <s v="0.00"/>
    <s v="99.75"/>
  </r>
  <r>
    <x v="14"/>
    <x v="154"/>
    <n v="54668"/>
    <n v="374"/>
    <n v="9899"/>
    <s v="0.68"/>
    <s v="0.00"/>
    <s v="99.32"/>
  </r>
  <r>
    <x v="14"/>
    <x v="155"/>
    <n v="1616027"/>
    <n v="46430"/>
    <n v="1435386"/>
    <s v="2.87"/>
    <s v="0.00"/>
    <s v="97.13"/>
  </r>
  <r>
    <x v="14"/>
    <x v="156"/>
    <n v="1125602"/>
    <n v="9761"/>
    <n v="449411"/>
    <s v="0.87"/>
    <s v="0.00"/>
    <s v="99.13"/>
  </r>
  <r>
    <x v="14"/>
    <x v="157"/>
    <n v="8260045"/>
    <n v="230786"/>
    <n v="3823006"/>
    <s v="2.79"/>
    <s v="0.00"/>
    <s v="97.21"/>
  </r>
  <r>
    <x v="14"/>
    <x v="158"/>
    <n v="99565"/>
    <n v="1327"/>
    <n v="60786"/>
    <s v="1.33"/>
    <s v="0.00"/>
    <s v="98.67"/>
  </r>
  <r>
    <x v="14"/>
    <x v="159"/>
    <n v="548474"/>
    <n v="8788"/>
    <n v="515931"/>
    <s v="1.60"/>
    <s v="0.00"/>
    <s v="98.40"/>
  </r>
  <r>
    <x v="14"/>
    <x v="160"/>
    <n v="20"/>
    <n v="0"/>
    <n v="7"/>
    <s v="0.00"/>
    <s v="0.00"/>
    <s v="100.00"/>
  </r>
  <r>
    <x v="14"/>
    <x v="161"/>
    <n v="22213"/>
    <n v="119"/>
    <n v="14162"/>
    <s v="0.54"/>
    <s v="0.00"/>
    <s v="99.46"/>
  </r>
  <r>
    <x v="14"/>
    <x v="162"/>
    <n v="40433"/>
    <n v="3099"/>
    <n v="22181"/>
    <s v="7.66"/>
    <s v="0.00"/>
    <s v="92.34"/>
  </r>
  <r>
    <x v="14"/>
    <x v="163"/>
    <n v="1170422"/>
    <n v="15018"/>
    <n v="501329"/>
    <s v="1.28"/>
    <s v="0.00"/>
    <s v="98.72"/>
  </r>
  <r>
    <x v="14"/>
    <x v="164"/>
    <n v="187851"/>
    <n v="364"/>
    <n v="161857"/>
    <s v="0.19"/>
    <s v="0.00"/>
    <s v="99.81"/>
  </r>
  <r>
    <x v="14"/>
    <x v="165"/>
    <n v="328729"/>
    <n v="4723"/>
    <n v="253790"/>
    <s v="1.44"/>
    <s v="0.00"/>
    <s v="98.56"/>
  </r>
  <r>
    <x v="14"/>
    <x v="166"/>
    <n v="470008"/>
    <n v="12977"/>
    <n v="339991"/>
    <s v="2.76"/>
    <s v="0.00"/>
    <s v="97.24"/>
  </r>
  <r>
    <x v="14"/>
    <x v="167"/>
    <n v="6397"/>
    <n v="121"/>
    <n v="3939"/>
    <s v="1.89"/>
    <s v="0.00"/>
    <s v="98.11"/>
  </r>
  <r>
    <x v="14"/>
    <x v="168"/>
    <n v="5540"/>
    <n v="92"/>
    <n v="2472"/>
    <s v="1.66"/>
    <s v="0.00"/>
    <s v="98.34"/>
  </r>
  <r>
    <x v="14"/>
    <x v="169"/>
    <n v="73904"/>
    <n v="1878"/>
    <n v="3644"/>
    <s v="2.54"/>
    <s v="0.00"/>
    <s v="97.46"/>
  </r>
  <r>
    <x v="14"/>
    <x v="170"/>
    <n v="21998"/>
    <n v="1208"/>
    <n v="1904"/>
    <s v="5.49"/>
    <s v="0.00"/>
    <s v="94.51"/>
  </r>
  <r>
    <x v="14"/>
    <x v="171"/>
    <n v="48785"/>
    <n v="1082"/>
    <n v="32699"/>
    <s v="2.22"/>
    <s v="0.00"/>
    <s v="97.78"/>
  </r>
  <r>
    <x v="14"/>
    <x v="173"/>
    <n v="3705"/>
    <n v="56"/>
    <n v="3552"/>
    <s v="1.51"/>
    <s v="0.00"/>
    <s v="98.49"/>
  </r>
  <r>
    <x v="14"/>
    <x v="172"/>
    <n v="12348"/>
    <n v="133"/>
    <n v="9440"/>
    <s v="1.08"/>
    <s v="0.00"/>
    <s v="98.92"/>
  </r>
  <r>
    <x v="14"/>
    <x v="174"/>
    <n v="113422"/>
    <n v="3604"/>
    <n v="99996"/>
    <s v="3.18"/>
    <s v="0.00"/>
    <s v="96.82"/>
  </r>
  <r>
    <x v="14"/>
    <x v="175"/>
    <n v="42621"/>
    <n v="2542"/>
    <n v="11935"/>
    <s v="5.96"/>
    <s v="0.00"/>
    <s v="94.04"/>
  </r>
  <r>
    <x v="14"/>
    <x v="176"/>
    <n v="46396"/>
    <n v="1242"/>
    <n v="19960"/>
    <s v="2.68"/>
    <s v="0.00"/>
    <s v="97.32"/>
  </r>
  <r>
    <x v="14"/>
    <x v="177"/>
    <n v="5069"/>
    <n v="174"/>
    <n v="2313"/>
    <s v="3.43"/>
    <s v="0.00"/>
    <s v="96.57"/>
  </r>
  <r>
    <x v="14"/>
    <x v="178"/>
    <n v="26036"/>
    <n v="242"/>
    <n v="17062"/>
    <s v="0.93"/>
    <s v="0.00"/>
    <s v="99.07"/>
  </r>
  <r>
    <x v="14"/>
    <x v="179"/>
    <n v="1884973"/>
    <n v="19006"/>
    <n v="196105"/>
    <s v="1.01"/>
    <s v="0.00"/>
    <s v="98.99"/>
  </r>
  <r>
    <x v="14"/>
    <x v="180"/>
    <n v="17486"/>
    <n v="125"/>
    <n v="2410"/>
    <s v="0.71"/>
    <s v="0.00"/>
    <s v="99.29"/>
  </r>
  <r>
    <x v="14"/>
    <x v="181"/>
    <n v="19785"/>
    <n v="122"/>
    <n v="14478"/>
    <s v="0.62"/>
    <s v="0.00"/>
    <s v="99.38"/>
  </r>
  <r>
    <x v="14"/>
    <x v="182"/>
    <n v="712230"/>
    <n v="25227"/>
    <n v="424638"/>
    <s v="3.54"/>
    <s v="0.00"/>
    <s v="96.46"/>
  </r>
  <r>
    <x v="14"/>
    <x v="183"/>
    <n v="0"/>
    <n v="0"/>
    <n v="0"/>
    <s v="0.00"/>
    <s v="0.00"/>
    <s v="0.00"/>
  </r>
  <r>
    <x v="14"/>
    <x v="184"/>
    <n v="7961505"/>
    <n v="69998"/>
    <n v="877329"/>
    <s v="0.88"/>
    <s v="0.00"/>
    <s v="99.12"/>
  </r>
  <r>
    <x v="14"/>
    <x v="185"/>
    <n v="56546"/>
    <n v="1668"/>
    <n v="51910"/>
    <s v="2.95"/>
    <s v="0.00"/>
    <s v="97.05"/>
  </r>
  <r>
    <x v="14"/>
    <x v="186"/>
    <n v="16394"/>
    <n v="847"/>
    <n v="12459"/>
    <s v="5.17"/>
    <s v="0.00"/>
    <s v="94.83"/>
  </r>
  <r>
    <x v="14"/>
    <x v="187"/>
    <n v="26154"/>
    <n v="725"/>
    <n v="24992"/>
    <s v="2.77"/>
    <s v="0.00"/>
    <s v="97.23"/>
  </r>
  <r>
    <x v="14"/>
    <x v="188"/>
    <n v="2984456"/>
    <n v="70475"/>
    <n v="1483341"/>
    <s v="2.36"/>
    <s v="0.00"/>
    <s v="97.64"/>
  </r>
  <r>
    <x v="14"/>
    <x v="189"/>
    <n v="125920"/>
    <n v="3209"/>
    <n v="119200"/>
    <s v="2.55"/>
    <s v="0.00"/>
    <s v="97.45"/>
  </r>
  <r>
    <x v="14"/>
    <x v="190"/>
    <n v="45826523"/>
    <n v="743721"/>
    <n v="32516314"/>
    <s v="1.62"/>
    <s v="0.00"/>
    <s v="98.38"/>
  </r>
  <r>
    <x v="14"/>
    <x v="191"/>
    <n v="393139"/>
    <n v="6076"/>
    <n v="175906"/>
    <s v="1.55"/>
    <s v="0.00"/>
    <s v="98.45"/>
  </r>
  <r>
    <x v="14"/>
    <x v="192"/>
    <n v="184905"/>
    <n v="1316"/>
    <n v="5576"/>
    <s v="0.71"/>
    <s v="0.00"/>
    <s v="99.29"/>
  </r>
  <r>
    <x v="14"/>
    <x v="193"/>
    <n v="27"/>
    <n v="0"/>
    <n v="3"/>
    <s v="0.00"/>
    <s v="0.00"/>
    <s v="100.00"/>
  </r>
  <r>
    <x v="14"/>
    <x v="194"/>
    <n v="4941"/>
    <n v="65"/>
    <n v="2281"/>
    <s v="1.32"/>
    <s v="0.00"/>
    <s v="98.68"/>
  </r>
  <r>
    <x v="14"/>
    <x v="195"/>
    <n v="403318"/>
    <n v="4848"/>
    <n v="99333"/>
    <s v="1.20"/>
    <s v="0.00"/>
    <s v="98.80"/>
  </r>
  <r>
    <x v="14"/>
    <x v="196"/>
    <n v="905477"/>
    <n v="21910"/>
    <n v="555260"/>
    <s v="2.42"/>
    <s v="0.00"/>
    <s v="97.58"/>
  </r>
  <r>
    <x v="14"/>
    <x v="197"/>
    <n v="6"/>
    <n v="1"/>
    <n v="3"/>
    <s v="16.67"/>
    <s v="0.00"/>
    <s v="83.33"/>
  </r>
  <r>
    <x v="14"/>
    <x v="198"/>
    <n v="3"/>
    <n v="0"/>
    <n v="3"/>
    <s v="0.00"/>
    <s v="0.00"/>
    <s v="100.00"/>
  </r>
  <r>
    <x v="14"/>
    <x v="199"/>
    <n v="160696"/>
    <n v="2976"/>
    <n v="63356"/>
    <s v="1.85"/>
    <s v="0.00"/>
    <s v="98.15"/>
  </r>
  <r>
    <x v="14"/>
    <x v="200"/>
    <n v="9751"/>
    <n v="1874"/>
    <n v="7652"/>
    <s v="19.22"/>
    <s v="0.00"/>
    <s v="80.78"/>
  </r>
  <r>
    <x v="14"/>
    <x v="201"/>
    <n v="20497"/>
    <n v="182"/>
    <n v="11801"/>
    <s v="0.89"/>
    <s v="0.00"/>
    <s v="99.11"/>
  </r>
  <r>
    <x v="14"/>
    <x v="202"/>
    <n v="2921114"/>
    <n v="89104"/>
    <n v="1871776"/>
    <s v="3.05"/>
    <s v="0.00"/>
    <s v="96.95"/>
  </r>
  <r>
    <x v="14"/>
    <x v="203"/>
    <n v="209672"/>
    <n v="3660"/>
    <n v="134661"/>
    <s v="1.75"/>
    <s v="0.00"/>
    <s v="98.25"/>
  </r>
  <r>
    <x v="14"/>
    <x v="204"/>
    <n v="132880"/>
    <n v="4675"/>
    <n v="42659"/>
    <s v="3.52"/>
    <s v="0.00"/>
    <s v="96.48"/>
  </r>
  <r>
    <x v="14"/>
    <x v="205"/>
    <n v="721"/>
    <n v="15"/>
    <n v="641"/>
    <s v="2.08"/>
    <s v="0.00"/>
    <s v="97.92"/>
  </r>
  <r>
    <x v="15"/>
    <x v="205"/>
    <n v="721"/>
    <n v="15"/>
    <n v="445"/>
    <s v="2.08"/>
    <s v="0.00"/>
    <s v="97.92"/>
  </r>
  <r>
    <x v="15"/>
    <x v="204"/>
    <n v="132808"/>
    <n v="4675"/>
    <n v="125814"/>
    <s v="3.52"/>
    <s v="0.00"/>
    <s v="96.48"/>
  </r>
  <r>
    <x v="15"/>
    <x v="203"/>
    <n v="209657"/>
    <n v="3660"/>
    <n v="64768"/>
    <s v="1.75"/>
    <s v="0.00"/>
    <s v="98.25"/>
  </r>
  <r>
    <x v="15"/>
    <x v="202"/>
    <n v="2920581"/>
    <n v="89049"/>
    <n v="1724788"/>
    <s v="3.05"/>
    <s v="0.00"/>
    <s v="96.95"/>
  </r>
  <r>
    <x v="15"/>
    <x v="201"/>
    <n v="20497"/>
    <n v="182"/>
    <n v="10223"/>
    <s v="0.89"/>
    <s v="0.00"/>
    <s v="99.11"/>
  </r>
  <r>
    <x v="15"/>
    <x v="200"/>
    <n v="9728"/>
    <n v="1868"/>
    <n v="4822"/>
    <s v="19.20"/>
    <s v="0.00"/>
    <s v="80.80"/>
  </r>
  <r>
    <x v="15"/>
    <x v="199"/>
    <n v="160680"/>
    <n v="2976"/>
    <n v="136119"/>
    <s v="1.85"/>
    <s v="0.00"/>
    <s v="98.15"/>
  </r>
  <r>
    <x v="15"/>
    <x v="198"/>
    <n v="3"/>
    <n v="0"/>
    <n v="0"/>
    <s v="0.00"/>
    <s v="0.00"/>
    <s v="100.00"/>
  </r>
  <r>
    <x v="15"/>
    <x v="197"/>
    <n v="6"/>
    <n v="1"/>
    <n v="2"/>
    <s v="16.67"/>
    <s v="0.00"/>
    <s v="83.33"/>
  </r>
  <r>
    <x v="15"/>
    <x v="196"/>
    <n v="900585"/>
    <n v="21856"/>
    <n v="319333"/>
    <s v="2.43"/>
    <s v="0.00"/>
    <s v="97.57"/>
  </r>
  <r>
    <x v="15"/>
    <x v="195"/>
    <n v="402407"/>
    <n v="4836"/>
    <n v="15788"/>
    <s v="1.20"/>
    <s v="0.00"/>
    <s v="98.80"/>
  </r>
  <r>
    <x v="15"/>
    <x v="194"/>
    <n v="4905"/>
    <n v="64"/>
    <n v="2996"/>
    <s v="1.30"/>
    <s v="0.00"/>
    <s v="98.70"/>
  </r>
  <r>
    <x v="15"/>
    <x v="193"/>
    <n v="27"/>
    <n v="0"/>
    <n v="19"/>
    <s v="0.00"/>
    <s v="0.00"/>
    <s v="100.00"/>
  </r>
  <r>
    <x v="15"/>
    <x v="192"/>
    <n v="184563"/>
    <n v="1312"/>
    <n v="113177"/>
    <s v="0.71"/>
    <s v="0.00"/>
    <s v="99.29"/>
  </r>
  <r>
    <x v="15"/>
    <x v="191"/>
    <n v="392879"/>
    <n v="6076"/>
    <n v="335323"/>
    <s v="1.55"/>
    <s v="0.00"/>
    <s v="98.45"/>
  </r>
  <r>
    <x v="15"/>
    <x v="190"/>
    <n v="45748395"/>
    <n v="741945"/>
    <n v="41896404"/>
    <s v="1.62"/>
    <s v="0.00"/>
    <s v="98.38"/>
  </r>
  <r>
    <x v="15"/>
    <x v="189"/>
    <n v="125861"/>
    <n v="3204"/>
    <n v="66403"/>
    <s v="2.55"/>
    <s v="0.00"/>
    <s v="97.45"/>
  </r>
  <r>
    <x v="15"/>
    <x v="188"/>
    <n v="2957359"/>
    <n v="69854"/>
    <n v="903174"/>
    <s v="2.36"/>
    <s v="0.00"/>
    <s v="97.64"/>
  </r>
  <r>
    <x v="15"/>
    <x v="187"/>
    <n v="26154"/>
    <n v="725"/>
    <n v="13116"/>
    <s v="2.77"/>
    <s v="0.00"/>
    <s v="97.23"/>
  </r>
  <r>
    <x v="15"/>
    <x v="186"/>
    <n v="16388"/>
    <n v="847"/>
    <n v="8805"/>
    <s v="5.17"/>
    <s v="0.00"/>
    <s v="94.83"/>
  </r>
  <r>
    <x v="15"/>
    <x v="185"/>
    <n v="56160"/>
    <n v="1658"/>
    <n v="47558"/>
    <s v="2.95"/>
    <s v="0.00"/>
    <s v="97.05"/>
  </r>
  <r>
    <x v="15"/>
    <x v="184"/>
    <n v="7935977"/>
    <n v="69769"/>
    <n v="4897709"/>
    <s v="0.88"/>
    <s v="0.00"/>
    <s v="99.12"/>
  </r>
  <r>
    <x v="15"/>
    <x v="183"/>
    <n v="0"/>
    <n v="0"/>
    <n v="0"/>
    <s v="0.00"/>
    <s v="0.00"/>
    <s v="0.00"/>
  </r>
  <r>
    <x v="15"/>
    <x v="182"/>
    <n v="712139"/>
    <n v="25221"/>
    <n v="97026"/>
    <s v="3.54"/>
    <s v="0.00"/>
    <s v="96.46"/>
  </r>
  <r>
    <x v="15"/>
    <x v="181"/>
    <n v="19785"/>
    <n v="121"/>
    <n v="1951"/>
    <s v="0.61"/>
    <s v="0.00"/>
    <s v="99.39"/>
  </r>
  <r>
    <x v="15"/>
    <x v="180"/>
    <n v="17486"/>
    <n v="125"/>
    <n v="8302"/>
    <s v="0.71"/>
    <s v="0.00"/>
    <s v="99.29"/>
  </r>
  <r>
    <x v="15"/>
    <x v="179"/>
    <n v="1875315"/>
    <n v="18922"/>
    <n v="1010353"/>
    <s v="1.01"/>
    <s v="0.00"/>
    <s v="98.99"/>
  </r>
  <r>
    <x v="15"/>
    <x v="178"/>
    <n v="26024"/>
    <n v="242"/>
    <n v="4271"/>
    <s v="0.93"/>
    <s v="0.00"/>
    <s v="99.07"/>
  </r>
  <r>
    <x v="15"/>
    <x v="177"/>
    <n v="5069"/>
    <n v="174"/>
    <n v="2520"/>
    <s v="3.43"/>
    <s v="0.00"/>
    <s v="96.57"/>
  </r>
  <r>
    <x v="15"/>
    <x v="176"/>
    <n v="46393"/>
    <n v="1242"/>
    <n v="34913"/>
    <s v="2.68"/>
    <s v="0.00"/>
    <s v="97.32"/>
  </r>
  <r>
    <x v="15"/>
    <x v="175"/>
    <n v="42351"/>
    <n v="2534"/>
    <n v="23997"/>
    <s v="5.98"/>
    <s v="0.00"/>
    <s v="94.02"/>
  </r>
  <r>
    <x v="15"/>
    <x v="174"/>
    <n v="113422"/>
    <n v="3596"/>
    <n v="39263"/>
    <s v="3.17"/>
    <s v="0.00"/>
    <s v="96.83"/>
  </r>
  <r>
    <x v="15"/>
    <x v="172"/>
    <n v="12327"/>
    <n v="133"/>
    <n v="9188"/>
    <s v="1.08"/>
    <s v="0.00"/>
    <s v="98.92"/>
  </r>
  <r>
    <x v="15"/>
    <x v="173"/>
    <n v="3705"/>
    <n v="56"/>
    <n v="3546"/>
    <s v="1.51"/>
    <s v="0.00"/>
    <s v="98.49"/>
  </r>
  <r>
    <x v="15"/>
    <x v="171"/>
    <n v="48670"/>
    <n v="1074"/>
    <n v="4841"/>
    <s v="2.21"/>
    <s v="0.00"/>
    <s v="97.79"/>
  </r>
  <r>
    <x v="15"/>
    <x v="170"/>
    <n v="21998"/>
    <n v="1208"/>
    <n v="539"/>
    <s v="5.49"/>
    <s v="0.00"/>
    <s v="94.51"/>
  </r>
  <r>
    <x v="15"/>
    <x v="169"/>
    <n v="73902"/>
    <n v="1878"/>
    <n v="14564"/>
    <s v="2.54"/>
    <s v="0.00"/>
    <s v="97.46"/>
  </r>
  <r>
    <x v="15"/>
    <x v="168"/>
    <n v="5534"/>
    <n v="92"/>
    <n v="689"/>
    <s v="1.66"/>
    <s v="0.00"/>
    <s v="98.34"/>
  </r>
  <r>
    <x v="15"/>
    <x v="167"/>
    <n v="6397"/>
    <n v="121"/>
    <n v="4897"/>
    <s v="1.89"/>
    <s v="0.00"/>
    <s v="98.11"/>
  </r>
  <r>
    <x v="15"/>
    <x v="166"/>
    <n v="465027"/>
    <n v="12957"/>
    <n v="95471"/>
    <s v="2.79"/>
    <s v="0.00"/>
    <s v="97.21"/>
  </r>
  <r>
    <x v="15"/>
    <x v="165"/>
    <n v="326083"/>
    <n v="4713"/>
    <n v="253041"/>
    <s v="1.45"/>
    <s v="0.00"/>
    <s v="98.55"/>
  </r>
  <r>
    <x v="15"/>
    <x v="164"/>
    <n v="184419"/>
    <n v="349"/>
    <n v="52228"/>
    <s v="0.19"/>
    <s v="0.00"/>
    <s v="99.81"/>
  </r>
  <r>
    <x v="15"/>
    <x v="163"/>
    <n v="1169530"/>
    <n v="15016"/>
    <n v="256640"/>
    <s v="1.28"/>
    <s v="0.00"/>
    <s v="98.72"/>
  </r>
  <r>
    <x v="15"/>
    <x v="162"/>
    <n v="40433"/>
    <n v="3099"/>
    <n v="15324"/>
    <s v="7.66"/>
    <s v="0.00"/>
    <s v="92.34"/>
  </r>
  <r>
    <x v="15"/>
    <x v="161"/>
    <n v="22174"/>
    <n v="119"/>
    <n v="20526"/>
    <s v="0.54"/>
    <s v="0.00"/>
    <s v="99.46"/>
  </r>
  <r>
    <x v="15"/>
    <x v="160"/>
    <n v="20"/>
    <n v="0"/>
    <n v="14"/>
    <s v="0.00"/>
    <s v="0.00"/>
    <s v="100.00"/>
  </r>
  <r>
    <x v="15"/>
    <x v="159"/>
    <n v="548423"/>
    <n v="8785"/>
    <n v="459357"/>
    <s v="1.60"/>
    <s v="0.00"/>
    <s v="98.40"/>
  </r>
  <r>
    <x v="15"/>
    <x v="158"/>
    <n v="99514"/>
    <n v="1322"/>
    <n v="45413"/>
    <s v="1.33"/>
    <s v="0.00"/>
    <s v="98.67"/>
  </r>
  <r>
    <x v="15"/>
    <x v="157"/>
    <n v="8220975"/>
    <n v="229672"/>
    <n v="2146280"/>
    <s v="2.79"/>
    <s v="0.00"/>
    <s v="97.21"/>
  </r>
  <r>
    <x v="15"/>
    <x v="156"/>
    <n v="1118905"/>
    <n v="9698"/>
    <n v="502579"/>
    <s v="0.87"/>
    <s v="0.00"/>
    <s v="99.13"/>
  </r>
  <r>
    <x v="15"/>
    <x v="155"/>
    <n v="1602830"/>
    <n v="46015"/>
    <n v="529640"/>
    <s v="2.87"/>
    <s v="0.00"/>
    <s v="97.13"/>
  </r>
  <r>
    <x v="15"/>
    <x v="154"/>
    <n v="54668"/>
    <n v="374"/>
    <n v="6725"/>
    <s v="0.68"/>
    <s v="0.00"/>
    <s v="99.32"/>
  </r>
  <r>
    <x v="15"/>
    <x v="153"/>
    <n v="238845"/>
    <n v="609"/>
    <n v="107841"/>
    <s v="0.25"/>
    <s v="0.00"/>
    <s v="99.75"/>
  </r>
  <r>
    <x v="15"/>
    <x v="152"/>
    <n v="460894"/>
    <n v="16238"/>
    <n v="251092"/>
    <s v="3.52"/>
    <s v="0.00"/>
    <s v="96.48"/>
  </r>
  <r>
    <x v="15"/>
    <x v="151"/>
    <n v="8"/>
    <n v="0"/>
    <n v="6"/>
    <s v="0.00"/>
    <s v="0.00"/>
    <s v="100.00"/>
  </r>
  <r>
    <x v="15"/>
    <x v="150"/>
    <n v="1087245"/>
    <n v="18144"/>
    <n v="527379"/>
    <s v="1.67"/>
    <s v="0.00"/>
    <s v="98.33"/>
  </r>
  <r>
    <x v="15"/>
    <x v="149"/>
    <n v="452272"/>
    <n v="4651"/>
    <n v="132899"/>
    <s v="1.03"/>
    <s v="0.00"/>
    <s v="98.97"/>
  </r>
  <r>
    <x v="15"/>
    <x v="148"/>
    <n v="2990509"/>
    <n v="76672"/>
    <n v="1972698"/>
    <s v="2.56"/>
    <s v="0.00"/>
    <s v="97.44"/>
  </r>
  <r>
    <x v="15"/>
    <x v="147"/>
    <n v="1271027"/>
    <n v="28414"/>
    <n v="508255"/>
    <s v="2.24"/>
    <s v="0.00"/>
    <s v="97.76"/>
  </r>
  <r>
    <x v="15"/>
    <x v="146"/>
    <n v="2768849"/>
    <n v="42348"/>
    <n v="2348652"/>
    <s v="1.53"/>
    <s v="0.00"/>
    <s v="98.47"/>
  </r>
  <r>
    <x v="15"/>
    <x v="145"/>
    <n v="28487"/>
    <n v="335"/>
    <n v="2354"/>
    <s v="1.18"/>
    <s v="0.00"/>
    <s v="98.82"/>
  </r>
  <r>
    <x v="15"/>
    <x v="144"/>
    <n v="45506"/>
    <n v="636"/>
    <n v="30252"/>
    <s v="1.40"/>
    <s v="0.00"/>
    <s v="98.60"/>
  </r>
  <r>
    <x v="15"/>
    <x v="143"/>
    <n v="2198038"/>
    <n v="200149"/>
    <n v="67111"/>
    <s v="9.11"/>
    <s v="0.00"/>
    <s v="90.89"/>
  </r>
  <r>
    <x v="15"/>
    <x v="142"/>
    <n v="472057"/>
    <n v="7314"/>
    <n v="17507"/>
    <s v="1.55"/>
    <s v="0.00"/>
    <s v="98.45"/>
  </r>
  <r>
    <x v="15"/>
    <x v="141"/>
    <n v="304219"/>
    <n v="4111"/>
    <n v="212857"/>
    <s v="1.35"/>
    <s v="0.00"/>
    <s v="98.65"/>
  </r>
  <r>
    <x v="15"/>
    <x v="140"/>
    <n v="5996"/>
    <n v="28"/>
    <n v="5219"/>
    <s v="0.47"/>
    <s v="0.00"/>
    <s v="99.53"/>
  </r>
  <r>
    <x v="15"/>
    <x v="139"/>
    <n v="810880"/>
    <n v="11380"/>
    <n v="226995"/>
    <s v="1.40"/>
    <s v="0.00"/>
    <s v="98.60"/>
  </r>
  <r>
    <x v="15"/>
    <x v="138"/>
    <n v="203734"/>
    <n v="900"/>
    <n v="144338"/>
    <s v="0.44"/>
    <s v="0.00"/>
    <s v="99.56"/>
  </r>
  <r>
    <x v="15"/>
    <x v="137"/>
    <n v="2140671"/>
    <n v="18795"/>
    <n v="1105093"/>
    <s v="0.88"/>
    <s v="0.00"/>
    <s v="99.12"/>
  </r>
  <r>
    <x v="15"/>
    <x v="136"/>
    <n v="16422"/>
    <n v="208"/>
    <n v="10321"/>
    <s v="1.27"/>
    <s v="0.00"/>
    <s v="98.73"/>
  </r>
  <r>
    <x v="15"/>
    <x v="135"/>
    <n v="211496"/>
    <n v="2886"/>
    <n v="40405"/>
    <s v="1.36"/>
    <s v="0.00"/>
    <s v="98.64"/>
  </r>
  <r>
    <x v="15"/>
    <x v="134"/>
    <n v="6300"/>
    <n v="211"/>
    <n v="623"/>
    <s v="3.35"/>
    <s v="0.00"/>
    <s v="96.65"/>
  </r>
  <r>
    <x v="15"/>
    <x v="133"/>
    <n v="10768"/>
    <n v="263"/>
    <n v="3214"/>
    <s v="2.44"/>
    <s v="0.00"/>
    <s v="97.56"/>
  </r>
  <r>
    <x v="15"/>
    <x v="132"/>
    <n v="128868"/>
    <n v="3550"/>
    <n v="39316"/>
    <s v="2.75"/>
    <s v="0.00"/>
    <s v="97.25"/>
  </r>
  <r>
    <x v="15"/>
    <x v="131"/>
    <n v="151253"/>
    <n v="1929"/>
    <n v="83495"/>
    <s v="1.28"/>
    <s v="0.00"/>
    <s v="98.72"/>
  </r>
  <r>
    <x v="15"/>
    <x v="130"/>
    <n v="2448372"/>
    <n v="28674"/>
    <n v="1127272"/>
    <s v="1.17"/>
    <s v="0.00"/>
    <s v="98.83"/>
  </r>
  <r>
    <x v="15"/>
    <x v="129"/>
    <n v="3788986"/>
    <n v="286888"/>
    <n v="2062041"/>
    <s v="7.57"/>
    <s v="0.00"/>
    <s v="92.43"/>
  </r>
  <r>
    <x v="15"/>
    <x v="128"/>
    <n v="61774"/>
    <n v="2297"/>
    <n v="24291"/>
    <s v="3.72"/>
    <s v="0.00"/>
    <s v="96.28"/>
  </r>
  <r>
    <x v="15"/>
    <x v="127"/>
    <n v="87359"/>
    <n v="242"/>
    <n v="43263"/>
    <s v="0.28"/>
    <s v="0.00"/>
    <s v="99.72"/>
  </r>
  <r>
    <x v="15"/>
    <x v="126"/>
    <n v="17416"/>
    <n v="160"/>
    <n v="12669"/>
    <s v="0.92"/>
    <s v="0.00"/>
    <s v="99.08"/>
  </r>
  <r>
    <x v="15"/>
    <x v="125"/>
    <n v="37595"/>
    <n v="460"/>
    <n v="20373"/>
    <s v="1.22"/>
    <s v="0.00"/>
    <s v="98.78"/>
  </r>
  <r>
    <x v="15"/>
    <x v="124"/>
    <n v="37094"/>
    <n v="792"/>
    <n v="17231"/>
    <s v="2.14"/>
    <s v="0.00"/>
    <s v="97.86"/>
  </r>
  <r>
    <x v="15"/>
    <x v="123"/>
    <n v="43022"/>
    <n v="675"/>
    <n v="35752"/>
    <s v="1.57"/>
    <s v="0.00"/>
    <s v="98.43"/>
  </r>
  <r>
    <x v="15"/>
    <x v="122"/>
    <n v="77"/>
    <n v="0"/>
    <n v="7"/>
    <s v="0.00"/>
    <s v="0.00"/>
    <s v="100.00"/>
  </r>
  <r>
    <x v="15"/>
    <x v="121"/>
    <n v="355129"/>
    <n v="1699"/>
    <n v="324674"/>
    <s v="0.48"/>
    <s v="0.00"/>
    <s v="99.52"/>
  </r>
  <r>
    <x v="15"/>
    <x v="120"/>
    <n v="496901"/>
    <n v="18603"/>
    <n v="408313"/>
    <s v="3.74"/>
    <s v="0.00"/>
    <s v="96.26"/>
  </r>
  <r>
    <x v="15"/>
    <x v="119"/>
    <n v="15924"/>
    <n v="561"/>
    <n v="2017"/>
    <s v="3.52"/>
    <s v="0.00"/>
    <s v="96.48"/>
  </r>
  <r>
    <x v="15"/>
    <x v="118"/>
    <n v="200856"/>
    <n v="7087"/>
    <n v="13071"/>
    <s v="3.53"/>
    <s v="0.00"/>
    <s v="96.47"/>
  </r>
  <r>
    <x v="15"/>
    <x v="117"/>
    <n v="4"/>
    <n v="0"/>
    <n v="1"/>
    <s v="0.00"/>
    <s v="0.00"/>
    <s v="100.00"/>
  </r>
  <r>
    <x v="15"/>
    <x v="116"/>
    <n v="43626"/>
    <n v="963"/>
    <n v="12080"/>
    <s v="2.21"/>
    <s v="0.00"/>
    <s v="97.79"/>
  </r>
  <r>
    <x v="15"/>
    <x v="115"/>
    <n v="3920"/>
    <n v="55"/>
    <n v="2564"/>
    <s v="1.40"/>
    <s v="0.00"/>
    <s v="98.60"/>
  </r>
  <r>
    <x v="15"/>
    <x v="114"/>
    <n v="142308"/>
    <n v="2082"/>
    <n v="131182"/>
    <s v="1.46"/>
    <s v="0.00"/>
    <s v="98.54"/>
  </r>
  <r>
    <x v="15"/>
    <x v="113"/>
    <n v="332625"/>
    <n v="7619"/>
    <n v="103568"/>
    <s v="2.29"/>
    <s v="0.00"/>
    <s v="97.71"/>
  </r>
  <r>
    <x v="15"/>
    <x v="112"/>
    <n v="3399"/>
    <n v="36"/>
    <n v="3257"/>
    <s v="1.06"/>
    <s v="0.00"/>
    <s v="98.94"/>
  </r>
  <r>
    <x v="15"/>
    <x v="111"/>
    <n v="945201"/>
    <n v="14647"/>
    <n v="771577"/>
    <s v="1.55"/>
    <s v="0.00"/>
    <s v="98.45"/>
  </r>
  <r>
    <x v="15"/>
    <x v="110"/>
    <n v="355490"/>
    <n v="5048"/>
    <n v="70912"/>
    <s v="1.42"/>
    <s v="0.00"/>
    <s v="98.58"/>
  </r>
  <r>
    <x v="15"/>
    <x v="109"/>
    <n v="208783"/>
    <n v="3109"/>
    <n v="202688"/>
    <s v="1.49"/>
    <s v="0.00"/>
    <s v="98.51"/>
  </r>
  <r>
    <x v="15"/>
    <x v="108"/>
    <n v="81363"/>
    <n v="843"/>
    <n v="33041"/>
    <s v="1.04"/>
    <s v="0.00"/>
    <s v="98.96"/>
  </r>
  <r>
    <x v="15"/>
    <x v="107"/>
    <n v="396047"/>
    <n v="5720"/>
    <n v="322772"/>
    <s v="1.44"/>
    <s v="0.00"/>
    <s v="98.56"/>
  </r>
  <r>
    <x v="15"/>
    <x v="106"/>
    <n v="21600"/>
    <n v="657"/>
    <n v="8213"/>
    <s v="3.04"/>
    <s v="0.00"/>
    <s v="96.96"/>
  </r>
  <r>
    <x v="15"/>
    <x v="105"/>
    <n v="5812"/>
    <n v="287"/>
    <n v="3865"/>
    <s v="4.94"/>
    <s v="0.00"/>
    <s v="95.06"/>
  </r>
  <r>
    <x v="15"/>
    <x v="104"/>
    <n v="538320"/>
    <n v="13674"/>
    <n v="462642"/>
    <s v="2.54"/>
    <s v="0.00"/>
    <s v="97.46"/>
  </r>
  <r>
    <x v="15"/>
    <x v="103"/>
    <n v="3652"/>
    <n v="61"/>
    <n v="2662"/>
    <s v="1.67"/>
    <s v="0.00"/>
    <s v="98.33"/>
  </r>
  <r>
    <x v="15"/>
    <x v="102"/>
    <n v="12486"/>
    <n v="253"/>
    <n v="3550"/>
    <s v="2.03"/>
    <s v="0.00"/>
    <s v="97.97"/>
  </r>
  <r>
    <x v="15"/>
    <x v="101"/>
    <n v="639332"/>
    <n v="8472"/>
    <n v="371800"/>
    <s v="1.33"/>
    <s v="0.00"/>
    <s v="98.67"/>
  </r>
  <r>
    <x v="15"/>
    <x v="100"/>
    <n v="37751"/>
    <n v="59"/>
    <n v="16099"/>
    <s v="0.16"/>
    <s v="0.00"/>
    <s v="99.84"/>
  </r>
  <r>
    <x v="15"/>
    <x v="99"/>
    <n v="1013503"/>
    <n v="17021"/>
    <n v="92898"/>
    <s v="1.68"/>
    <s v="0.00"/>
    <s v="98.32"/>
  </r>
  <r>
    <x v="15"/>
    <x v="98"/>
    <n v="412594"/>
    <n v="2461"/>
    <n v="394022"/>
    <s v="0.60"/>
    <s v="0.00"/>
    <s v="99.40"/>
  </r>
  <r>
    <x v="15"/>
    <x v="97"/>
    <n v="358412"/>
    <n v="2808"/>
    <n v="21863"/>
    <s v="0.78"/>
    <s v="0.00"/>
    <s v="99.22"/>
  </r>
  <r>
    <x v="15"/>
    <x v="96"/>
    <n v="2657"/>
    <n v="21"/>
    <n v="2443"/>
    <s v="0.79"/>
    <s v="0.00"/>
    <s v="99.21"/>
  </r>
  <r>
    <x v="15"/>
    <x v="95"/>
    <n v="4233"/>
    <n v="147"/>
    <n v="3167"/>
    <s v="3.47"/>
    <s v="0.00"/>
    <s v="96.53"/>
  </r>
  <r>
    <x v="15"/>
    <x v="93"/>
    <n v="118111"/>
    <n v="2758"/>
    <n v="17950"/>
    <s v="2.34"/>
    <s v="0.00"/>
    <s v="97.66"/>
  </r>
  <r>
    <x v="15"/>
    <x v="94"/>
    <n v="2"/>
    <n v="0"/>
    <n v="2"/>
    <s v="0.00"/>
    <s v="0.00"/>
    <s v="100.00"/>
  </r>
  <r>
    <x v="15"/>
    <x v="92"/>
    <n v="180865"/>
    <n v="2661"/>
    <n v="15645"/>
    <s v="1.47"/>
    <s v="0.00"/>
    <s v="98.53"/>
  </r>
  <r>
    <x v="15"/>
    <x v="91"/>
    <n v="252938"/>
    <n v="5266"/>
    <n v="226365"/>
    <s v="2.08"/>
    <s v="0.00"/>
    <s v="97.92"/>
  </r>
  <r>
    <x v="15"/>
    <x v="90"/>
    <n v="1718486"/>
    <n v="18236"/>
    <n v="167023"/>
    <s v="1.06"/>
    <s v="0.00"/>
    <s v="98.94"/>
  </r>
  <r>
    <x v="15"/>
    <x v="89"/>
    <n v="856450"/>
    <n v="10983"/>
    <n v="206408"/>
    <s v="1.28"/>
    <s v="0.00"/>
    <s v="98.72"/>
  </r>
  <r>
    <x v="15"/>
    <x v="88"/>
    <n v="88530"/>
    <n v="2192"/>
    <n v="14827"/>
    <s v="2.48"/>
    <s v="0.00"/>
    <s v="97.52"/>
  </r>
  <r>
    <x v="15"/>
    <x v="87"/>
    <n v="4752368"/>
    <n v="131954"/>
    <n v="4364141"/>
    <s v="2.78"/>
    <s v="0.00"/>
    <s v="97.22"/>
  </r>
  <r>
    <x v="15"/>
    <x v="86"/>
    <n v="13313"/>
    <n v="33"/>
    <n v="6913"/>
    <s v="0.25"/>
    <s v="0.00"/>
    <s v="99.75"/>
  </r>
  <r>
    <x v="15"/>
    <x v="85"/>
    <n v="5888100"/>
    <n v="125716"/>
    <n v="3771441"/>
    <s v="2.14"/>
    <s v="0.00"/>
    <s v="97.86"/>
  </r>
  <r>
    <x v="15"/>
    <x v="84"/>
    <n v="2050652"/>
    <n v="23061"/>
    <n v="621987"/>
    <s v="1.12"/>
    <s v="0.00"/>
    <s v="98.88"/>
  </r>
  <r>
    <x v="15"/>
    <x v="83"/>
    <n v="34231809"/>
    <n v="456386"/>
    <n v="16858032"/>
    <s v="1.33"/>
    <s v="0.00"/>
    <s v="98.67"/>
  </r>
  <r>
    <x v="15"/>
    <x v="82"/>
    <n v="1325496"/>
    <n v="8073"/>
    <n v="291104"/>
    <s v="0.61"/>
    <s v="0.00"/>
    <s v="99.39"/>
  </r>
  <r>
    <x v="15"/>
    <x v="81"/>
    <n v="435526"/>
    <n v="5436"/>
    <n v="44286"/>
    <s v="1.25"/>
    <s v="0.00"/>
    <s v="98.75"/>
  </r>
  <r>
    <x v="15"/>
    <x v="80"/>
    <n v="4241809"/>
    <n v="143299"/>
    <n v="3131784"/>
    <s v="3.38"/>
    <s v="0.00"/>
    <s v="96.62"/>
  </r>
  <r>
    <x v="15"/>
    <x v="79"/>
    <n v="855339"/>
    <n v="30647"/>
    <n v="422429"/>
    <s v="3.58"/>
    <s v="0.00"/>
    <s v="96.42"/>
  </r>
  <r>
    <x v="15"/>
    <x v="78"/>
    <n v="23773"/>
    <n v="662"/>
    <n v="16206"/>
    <s v="2.78"/>
    <s v="0.00"/>
    <s v="97.22"/>
  </r>
  <r>
    <x v="15"/>
    <x v="77"/>
    <n v="453936"/>
    <n v="9116"/>
    <n v="195337"/>
    <s v="2.01"/>
    <s v="0.00"/>
    <s v="97.99"/>
  </r>
  <r>
    <x v="15"/>
    <x v="76"/>
    <n v="374783"/>
    <n v="10210"/>
    <n v="141302"/>
    <s v="2.72"/>
    <s v="0.00"/>
    <s v="97.28"/>
  </r>
  <r>
    <x v="15"/>
    <x v="75"/>
    <n v="12335"/>
    <n v="213"/>
    <n v="5339"/>
    <s v="1.73"/>
    <s v="0.00"/>
    <s v="98.27"/>
  </r>
  <r>
    <x v="15"/>
    <x v="74"/>
    <n v="35252"/>
    <n v="900"/>
    <n v="25962"/>
    <s v="2.55"/>
    <s v="0.00"/>
    <s v="97.45"/>
  </r>
  <r>
    <x v="15"/>
    <x v="73"/>
    <n v="6133"/>
    <n v="141"/>
    <n v="1824"/>
    <s v="2.30"/>
    <s v="0.00"/>
    <s v="97.70"/>
  </r>
  <r>
    <x v="15"/>
    <x v="72"/>
    <n v="597768"/>
    <n v="14862"/>
    <n v="33781"/>
    <s v="2.49"/>
    <s v="0.00"/>
    <s v="97.51"/>
  </r>
  <r>
    <x v="15"/>
    <x v="71"/>
    <n v="728210"/>
    <n v="15770"/>
    <n v="553759"/>
    <s v="2.17"/>
    <s v="0.00"/>
    <s v="97.83"/>
  </r>
  <r>
    <x v="15"/>
    <x v="70"/>
    <n v="13236"/>
    <n v="163"/>
    <n v="12472"/>
    <s v="1.23"/>
    <s v="0.00"/>
    <s v="98.77"/>
  </r>
  <r>
    <x v="15"/>
    <x v="69"/>
    <n v="54288"/>
    <n v="815"/>
    <n v="38436"/>
    <s v="1.50"/>
    <s v="0.00"/>
    <s v="98.50"/>
  </r>
  <r>
    <x v="15"/>
    <x v="67"/>
    <n v="9963"/>
    <n v="340"/>
    <n v="5430"/>
    <s v="3.41"/>
    <s v="0.00"/>
    <s v="96.59"/>
  </r>
  <r>
    <x v="15"/>
    <x v="68"/>
    <n v="30647"/>
    <n v="385"/>
    <n v="17158"/>
    <s v="1.26"/>
    <s v="0.00"/>
    <s v="98.74"/>
  </r>
  <r>
    <x v="15"/>
    <x v="66"/>
    <n v="5919"/>
    <n v="98"/>
    <n v="1254"/>
    <s v="1.66"/>
    <s v="0.00"/>
    <s v="98.34"/>
  </r>
  <r>
    <x v="15"/>
    <x v="65"/>
    <n v="130041"/>
    <n v="1174"/>
    <n v="6277"/>
    <s v="0.90"/>
    <s v="0.00"/>
    <s v="99.10"/>
  </r>
  <r>
    <x v="15"/>
    <x v="64"/>
    <n v="44347"/>
    <n v="302"/>
    <n v="12671"/>
    <s v="0.68"/>
    <s v="0.00"/>
    <s v="99.32"/>
  </r>
  <r>
    <x v="15"/>
    <x v="62"/>
    <n v="5830"/>
    <n v="197"/>
    <n v="3217"/>
    <s v="3.38"/>
    <s v="0.00"/>
    <s v="96.62"/>
  </r>
  <r>
    <x v="15"/>
    <x v="63"/>
    <n v="703281"/>
    <n v="9873"/>
    <n v="619690"/>
    <s v="1.40"/>
    <s v="0.00"/>
    <s v="98.60"/>
  </r>
  <r>
    <x v="15"/>
    <x v="61"/>
    <n v="8933046"/>
    <n v="140364"/>
    <n v="1181468"/>
    <s v="1.57"/>
    <s v="0.00"/>
    <s v="98.43"/>
  </r>
  <r>
    <x v="15"/>
    <x v="60"/>
    <n v="35252"/>
    <n v="235"/>
    <n v="7338"/>
    <s v="0.67"/>
    <s v="0.00"/>
    <s v="99.33"/>
  </r>
  <r>
    <x v="15"/>
    <x v="59"/>
    <n v="6963505"/>
    <n v="115222"/>
    <n v="660935"/>
    <s v="1.65"/>
    <s v="0.00"/>
    <s v="98.35"/>
  </r>
  <r>
    <x v="15"/>
    <x v="58"/>
    <n v="1778"/>
    <n v="2"/>
    <n v="51"/>
    <s v="0.11"/>
    <s v="0.00"/>
    <s v="99.89"/>
  </r>
  <r>
    <x v="15"/>
    <x v="57"/>
    <n v="52079"/>
    <n v="673"/>
    <n v="47777"/>
    <s v="1.29"/>
    <s v="0.00"/>
    <s v="98.71"/>
  </r>
  <r>
    <x v="15"/>
    <x v="56"/>
    <n v="156286"/>
    <n v="1150"/>
    <n v="49826"/>
    <s v="0.74"/>
    <s v="0.00"/>
    <s v="99.26"/>
  </r>
  <r>
    <x v="15"/>
    <x v="55"/>
    <n v="363712"/>
    <n v="6412"/>
    <n v="177798"/>
    <s v="1.76"/>
    <s v="0.00"/>
    <s v="98.24"/>
  </r>
  <r>
    <x v="15"/>
    <x v="54"/>
    <n v="5006675"/>
    <n v="87289"/>
    <n v="30216"/>
    <s v="1.74"/>
    <s v="0.00"/>
    <s v="98.26"/>
  </r>
  <r>
    <x v="15"/>
    <x v="53"/>
    <n v="6800"/>
    <n v="45"/>
    <n v="136"/>
    <s v="0.66"/>
    <s v="0.00"/>
    <s v="99.34"/>
  </r>
  <r>
    <x v="15"/>
    <x v="52"/>
    <n v="327286"/>
    <n v="18428"/>
    <n v="263132"/>
    <s v="5.63"/>
    <s v="0.00"/>
    <s v="94.37"/>
  </r>
  <r>
    <x v="15"/>
    <x v="51"/>
    <n v="186530"/>
    <n v="1483"/>
    <n v="116949"/>
    <s v="0.80"/>
    <s v="0.00"/>
    <s v="99.20"/>
  </r>
  <r>
    <x v="15"/>
    <x v="50"/>
    <n v="515859"/>
    <n v="32958"/>
    <n v="200001"/>
    <s v="6.39"/>
    <s v="0.00"/>
    <s v="93.61"/>
  </r>
  <r>
    <x v="15"/>
    <x v="49"/>
    <n v="206069"/>
    <n v="5904"/>
    <n v="98922"/>
    <s v="2.87"/>
    <s v="0.00"/>
    <s v="97.13"/>
  </r>
  <r>
    <x v="15"/>
    <x v="48"/>
    <n v="378234"/>
    <n v="4118"/>
    <n v="186337"/>
    <s v="1.09"/>
    <s v="0.00"/>
    <s v="98.91"/>
  </r>
  <r>
    <x v="15"/>
    <x v="47"/>
    <n v="4691"/>
    <n v="31"/>
    <n v="2400"/>
    <s v="0.66"/>
    <s v="0.00"/>
    <s v="99.34"/>
  </r>
  <r>
    <x v="15"/>
    <x v="46"/>
    <n v="381728"/>
    <n v="2708"/>
    <n v="299100"/>
    <s v="0.71"/>
    <s v="0.00"/>
    <s v="99.29"/>
  </r>
  <r>
    <x v="15"/>
    <x v="45"/>
    <n v="13461"/>
    <n v="181"/>
    <n v="1332"/>
    <s v="1.34"/>
    <s v="0.00"/>
    <s v="98.66"/>
  </r>
  <r>
    <x v="15"/>
    <x v="44"/>
    <n v="4545665"/>
    <n v="95489"/>
    <n v="3276119"/>
    <s v="2.10"/>
    <s v="0.00"/>
    <s v="97.90"/>
  </r>
  <r>
    <x v="15"/>
    <x v="43"/>
    <n v="1741859"/>
    <n v="30667"/>
    <n v="1164559"/>
    <s v="1.76"/>
    <s v="0.00"/>
    <s v="98.24"/>
  </r>
  <r>
    <x v="15"/>
    <x v="42"/>
    <n v="123708"/>
    <n v="572"/>
    <n v="24707"/>
    <s v="0.46"/>
    <s v="0.00"/>
    <s v="99.54"/>
  </r>
  <r>
    <x v="15"/>
    <x v="41"/>
    <n v="38169"/>
    <n v="349"/>
    <n v="24149"/>
    <s v="0.91"/>
    <s v="0.00"/>
    <s v="99.09"/>
  </r>
  <r>
    <x v="15"/>
    <x v="40"/>
    <n v="948847"/>
    <n v="8210"/>
    <n v="470374"/>
    <s v="0.87"/>
    <s v="0.00"/>
    <s v="99.13"/>
  </r>
  <r>
    <x v="15"/>
    <x v="39"/>
    <n v="558654"/>
    <n v="7008"/>
    <n v="157758"/>
    <s v="1.25"/>
    <s v="0.00"/>
    <s v="98.75"/>
  </r>
  <r>
    <x v="15"/>
    <x v="38"/>
    <n v="4995694"/>
    <n v="127159"/>
    <n v="1958473"/>
    <s v="2.55"/>
    <s v="0.00"/>
    <s v="97.45"/>
  </r>
  <r>
    <x v="15"/>
    <x v="37"/>
    <n v="96938"/>
    <n v="4636"/>
    <n v="79861"/>
    <s v="4.78"/>
    <s v="0.00"/>
    <s v="95.22"/>
  </r>
  <r>
    <x v="15"/>
    <x v="36"/>
    <n v="102499"/>
    <n v="1686"/>
    <n v="36413"/>
    <s v="1.64"/>
    <s v="0.00"/>
    <s v="98.36"/>
  </r>
  <r>
    <x v="15"/>
    <x v="35"/>
    <n v="1686318"/>
    <n v="37697"/>
    <n v="294362"/>
    <s v="2.24"/>
    <s v="0.00"/>
    <s v="97.76"/>
  </r>
  <r>
    <x v="15"/>
    <x v="34"/>
    <n v="61252"/>
    <n v="691"/>
    <n v="11700"/>
    <s v="1.13"/>
    <s v="0.00"/>
    <s v="98.87"/>
  </r>
  <r>
    <x v="15"/>
    <x v="33"/>
    <n v="869044"/>
    <n v="11207"/>
    <n v="605179"/>
    <s v="1.29"/>
    <s v="0.00"/>
    <s v="98.71"/>
  </r>
  <r>
    <x v="15"/>
    <x v="32"/>
    <n v="16868"/>
    <n v="249"/>
    <n v="6776"/>
    <s v="1.48"/>
    <s v="0.00"/>
    <s v="98.52"/>
  </r>
  <r>
    <x v="15"/>
    <x v="31"/>
    <n v="11518"/>
    <n v="100"/>
    <n v="622"/>
    <s v="0.87"/>
    <s v="0.00"/>
    <s v="99.13"/>
  </r>
  <r>
    <x v="15"/>
    <x v="30"/>
    <n v="57470"/>
    <n v="1091"/>
    <n v="17359"/>
    <s v="1.90"/>
    <s v="0.00"/>
    <s v="98.10"/>
  </r>
  <r>
    <x v="15"/>
    <x v="29"/>
    <n v="1715122"/>
    <n v="28934"/>
    <n v="1315980"/>
    <s v="1.69"/>
    <s v="0.00"/>
    <s v="98.31"/>
  </r>
  <r>
    <x v="15"/>
    <x v="28"/>
    <n v="26426"/>
    <n v="489"/>
    <n v="15360"/>
    <s v="1.85"/>
    <s v="0.00"/>
    <s v="98.15"/>
  </r>
  <r>
    <x v="15"/>
    <x v="27"/>
    <n v="592224"/>
    <n v="4563"/>
    <n v="51258"/>
    <s v="0.77"/>
    <s v="0.00"/>
    <s v="99.23"/>
  </r>
  <r>
    <x v="15"/>
    <x v="26"/>
    <n v="185985"/>
    <n v="2402"/>
    <n v="68634"/>
    <s v="1.29"/>
    <s v="0.00"/>
    <s v="98.71"/>
  </r>
  <r>
    <x v="15"/>
    <x v="25"/>
    <n v="2620"/>
    <n v="3"/>
    <n v="1807"/>
    <s v="0.11"/>
    <s v="0.00"/>
    <s v="99.89"/>
  </r>
  <r>
    <x v="15"/>
    <x v="24"/>
    <n v="22259"/>
    <n v="642"/>
    <n v="15200"/>
    <s v="2.88"/>
    <s v="0.00"/>
    <s v="97.12"/>
  </r>
  <r>
    <x v="15"/>
    <x v="23"/>
    <n v="21766168"/>
    <n v="606679"/>
    <n v="19092095"/>
    <s v="2.79"/>
    <s v="0.00"/>
    <s v="97.21"/>
  </r>
  <r>
    <x v="15"/>
    <x v="22"/>
    <n v="511854"/>
    <n v="18911"/>
    <n v="192538"/>
    <s v="3.69"/>
    <s v="0.00"/>
    <s v="96.31"/>
  </r>
  <r>
    <x v="15"/>
    <x v="21"/>
    <n v="12710"/>
    <n v="82"/>
    <n v="9099"/>
    <s v="0.65"/>
    <s v="0.00"/>
    <s v="99.35"/>
  </r>
  <r>
    <x v="15"/>
    <x v="20"/>
    <n v="1659"/>
    <n v="6"/>
    <n v="564"/>
    <s v="0.36"/>
    <s v="0.00"/>
    <s v="99.64"/>
  </r>
  <r>
    <x v="15"/>
    <x v="19"/>
    <n v="24749"/>
    <n v="161"/>
    <n v="4660"/>
    <s v="0.65"/>
    <s v="0.00"/>
    <s v="99.35"/>
  </r>
  <r>
    <x v="15"/>
    <x v="18"/>
    <n v="19988"/>
    <n v="38"/>
    <n v="1971"/>
    <s v="0.19"/>
    <s v="0.00"/>
    <s v="99.81"/>
  </r>
  <r>
    <x v="15"/>
    <x v="17"/>
    <n v="276685"/>
    <n v="1393"/>
    <n v="94723"/>
    <s v="0.50"/>
    <s v="0.00"/>
    <s v="99.50"/>
  </r>
  <r>
    <x v="15"/>
    <x v="16"/>
    <n v="587765"/>
    <n v="23594"/>
    <n v="322361"/>
    <s v="4.01"/>
    <s v="0.00"/>
    <s v="95.99"/>
  </r>
  <r>
    <x v="15"/>
    <x v="15"/>
    <n v="14793"/>
    <n v="214"/>
    <n v="7062"/>
    <s v="1.45"/>
    <s v="0.00"/>
    <s v="98.55"/>
  </r>
  <r>
    <x v="15"/>
    <x v="14"/>
    <n v="1342718"/>
    <n v="25946"/>
    <n v="972358"/>
    <s v="1.93"/>
    <s v="0.00"/>
    <s v="98.07"/>
  </r>
  <r>
    <x v="15"/>
    <x v="13"/>
    <n v="1568563"/>
    <n v="27841"/>
    <n v="315271"/>
    <s v="1.77"/>
    <s v="0.00"/>
    <s v="98.23"/>
  </r>
  <r>
    <x v="15"/>
    <x v="12"/>
    <n v="16424"/>
    <n v="149"/>
    <n v="1008"/>
    <s v="0.91"/>
    <s v="0.00"/>
    <s v="99.09"/>
  </r>
  <r>
    <x v="15"/>
    <x v="11"/>
    <n v="251264"/>
    <n v="11450"/>
    <n v="126074"/>
    <s v="4.56"/>
    <s v="0.00"/>
    <s v="95.44"/>
  </r>
  <r>
    <x v="15"/>
    <x v="10"/>
    <n v="522368"/>
    <n v="6966"/>
    <n v="471161"/>
    <s v="1.33"/>
    <s v="0.00"/>
    <s v="98.67"/>
  </r>
  <r>
    <x v="15"/>
    <x v="9"/>
    <n v="165904"/>
    <n v="1696"/>
    <n v="53657"/>
    <s v="1.02"/>
    <s v="0.00"/>
    <s v="98.98"/>
  </r>
  <r>
    <x v="15"/>
    <x v="8"/>
    <n v="809086"/>
    <n v="11289"/>
    <n v="397244"/>
    <s v="1.40"/>
    <s v="0.00"/>
    <s v="98.60"/>
  </r>
  <r>
    <x v="15"/>
    <x v="7"/>
    <n v="5284485"/>
    <n v="115889"/>
    <n v="2503158"/>
    <s v="2.19"/>
    <s v="0.00"/>
    <s v="97.81"/>
  </r>
  <r>
    <x v="15"/>
    <x v="6"/>
    <n v="64126"/>
    <n v="1703"/>
    <n v="52613"/>
    <s v="2.66"/>
    <s v="0.00"/>
    <s v="97.34"/>
  </r>
  <r>
    <x v="15"/>
    <x v="5"/>
    <n v="300143"/>
    <n v="6151"/>
    <n v="149875"/>
    <s v="2.05"/>
    <s v="0.00"/>
    <s v="97.95"/>
  </r>
  <r>
    <x v="15"/>
    <x v="4"/>
    <n v="183282"/>
    <n v="2893"/>
    <n v="118318"/>
    <s v="1.58"/>
    <s v="0.00"/>
    <s v="98.42"/>
  </r>
  <r>
    <x v="15"/>
    <x v="3"/>
    <n v="4036"/>
    <n v="102"/>
    <n v="540"/>
    <s v="2.53"/>
    <s v="0.00"/>
    <s v="97.47"/>
  </r>
  <r>
    <x v="15"/>
    <x v="2"/>
    <n v="156124"/>
    <n v="7266"/>
    <n v="147958"/>
    <s v="4.65"/>
    <s v="0.00"/>
    <s v="95.35"/>
  </r>
  <r>
    <x v="15"/>
    <x v="1"/>
    <n v="739566"/>
    <n v="2135"/>
    <n v="198824"/>
    <s v="0.29"/>
    <s v="0.00"/>
    <s v="99.71"/>
  </r>
  <r>
    <x v="15"/>
    <x v="0"/>
    <n v="15462"/>
    <n v="130"/>
    <n v="5006"/>
    <s v="0.84"/>
    <s v="0.00"/>
    <s v="99.16"/>
  </r>
  <r>
    <x v="16"/>
    <x v="0"/>
    <n v="15425"/>
    <n v="130"/>
    <n v="7725"/>
    <s v="0.84"/>
    <s v="0.00"/>
    <s v="99.16"/>
  </r>
  <r>
    <x v="16"/>
    <x v="1"/>
    <n v="739471"/>
    <n v="2134"/>
    <n v="195174"/>
    <s v="0.29"/>
    <s v="0.00"/>
    <s v="99.71"/>
  </r>
  <r>
    <x v="16"/>
    <x v="2"/>
    <n v="156071"/>
    <n v="7262"/>
    <n v="148465"/>
    <s v="4.65"/>
    <s v="0.00"/>
    <s v="95.35"/>
  </r>
  <r>
    <x v="16"/>
    <x v="3"/>
    <n v="4031"/>
    <n v="99"/>
    <n v="3637"/>
    <s v="2.46"/>
    <s v="0.00"/>
    <s v="97.54"/>
  </r>
  <r>
    <x v="16"/>
    <x v="4"/>
    <n v="182610"/>
    <n v="2888"/>
    <n v="62916"/>
    <s v="1.58"/>
    <s v="0.00"/>
    <s v="98.42"/>
  </r>
  <r>
    <x v="16"/>
    <x v="5"/>
    <n v="298069"/>
    <n v="6112"/>
    <n v="35504"/>
    <s v="2.05"/>
    <s v="0.00"/>
    <s v="97.95"/>
  </r>
  <r>
    <x v="16"/>
    <x v="6"/>
    <n v="64033"/>
    <n v="1702"/>
    <n v="22126"/>
    <s v="2.66"/>
    <s v="0.00"/>
    <s v="97.34"/>
  </r>
  <r>
    <x v="16"/>
    <x v="7"/>
    <n v="5283000"/>
    <n v="115866"/>
    <n v="4251520"/>
    <s v="2.19"/>
    <s v="0.00"/>
    <s v="97.81"/>
  </r>
  <r>
    <x v="16"/>
    <x v="8"/>
    <n v="804825"/>
    <n v="11279"/>
    <n v="575868"/>
    <s v="1.40"/>
    <s v="0.00"/>
    <s v="98.60"/>
  </r>
  <r>
    <x v="16"/>
    <x v="9"/>
    <n v="163866"/>
    <n v="1669"/>
    <n v="17479"/>
    <s v="1.02"/>
    <s v="0.00"/>
    <s v="98.98"/>
  </r>
  <r>
    <x v="16"/>
    <x v="10"/>
    <n v="520068"/>
    <n v="6939"/>
    <n v="455270"/>
    <s v="1.33"/>
    <s v="0.00"/>
    <s v="98.67"/>
  </r>
  <r>
    <x v="16"/>
    <x v="11"/>
    <n v="250165"/>
    <n v="11423"/>
    <n v="86216"/>
    <s v="4.57"/>
    <s v="0.00"/>
    <s v="95.43"/>
  </r>
  <r>
    <x v="16"/>
    <x v="12"/>
    <n v="16033"/>
    <n v="143"/>
    <n v="15054"/>
    <s v="0.89"/>
    <s v="0.00"/>
    <s v="99.11"/>
  </r>
  <r>
    <x v="16"/>
    <x v="13"/>
    <n v="1568257"/>
    <n v="27834"/>
    <n v="177151"/>
    <s v="1.77"/>
    <s v="0.00"/>
    <s v="98.23"/>
  </r>
  <r>
    <x v="16"/>
    <x v="14"/>
    <n v="1333947"/>
    <n v="25914"/>
    <n v="406145"/>
    <s v="1.94"/>
    <s v="0.00"/>
    <s v="98.06"/>
  </r>
  <r>
    <x v="16"/>
    <x v="15"/>
    <n v="14793"/>
    <n v="214"/>
    <n v="2497"/>
    <s v="1.45"/>
    <s v="0.00"/>
    <s v="98.55"/>
  </r>
  <r>
    <x v="16"/>
    <x v="16"/>
    <n v="582122"/>
    <n v="23440"/>
    <n v="507600"/>
    <s v="4.03"/>
    <s v="0.00"/>
    <s v="95.97"/>
  </r>
  <r>
    <x v="16"/>
    <x v="17"/>
    <n v="276635"/>
    <n v="1393"/>
    <n v="243403"/>
    <s v="0.50"/>
    <s v="0.00"/>
    <s v="99.50"/>
  </r>
  <r>
    <x v="16"/>
    <x v="18"/>
    <n v="19954"/>
    <n v="38"/>
    <n v="7653"/>
    <s v="0.19"/>
    <s v="0.00"/>
    <s v="99.81"/>
  </r>
  <r>
    <x v="16"/>
    <x v="19"/>
    <n v="24678"/>
    <n v="161"/>
    <n v="16337"/>
    <s v="0.65"/>
    <s v="0.00"/>
    <s v="99.35"/>
  </r>
  <r>
    <x v="16"/>
    <x v="20"/>
    <n v="1659"/>
    <n v="6"/>
    <n v="1565"/>
    <s v="0.36"/>
    <s v="0.00"/>
    <s v="99.64"/>
  </r>
  <r>
    <x v="16"/>
    <x v="21"/>
    <n v="12595"/>
    <n v="82"/>
    <n v="6804"/>
    <s v="0.65"/>
    <s v="0.00"/>
    <s v="99.35"/>
  </r>
  <r>
    <x v="16"/>
    <x v="22"/>
    <n v="510470"/>
    <n v="18903"/>
    <n v="427300"/>
    <s v="3.70"/>
    <s v="0.00"/>
    <s v="96.30"/>
  </r>
  <r>
    <x v="16"/>
    <x v="23"/>
    <n v="21748984"/>
    <n v="606246"/>
    <n v="2531171"/>
    <s v="2.79"/>
    <s v="0.00"/>
    <s v="97.21"/>
  </r>
  <r>
    <x v="16"/>
    <x v="24"/>
    <n v="22259"/>
    <n v="642"/>
    <n v="3157"/>
    <s v="2.88"/>
    <s v="0.00"/>
    <s v="97.12"/>
  </r>
  <r>
    <x v="16"/>
    <x v="25"/>
    <n v="2617"/>
    <n v="3"/>
    <n v="513"/>
    <s v="0.11"/>
    <s v="0.00"/>
    <s v="99.89"/>
  </r>
  <r>
    <x v="16"/>
    <x v="26"/>
    <n v="185985"/>
    <n v="2402"/>
    <n v="9888"/>
    <s v="1.29"/>
    <s v="0.00"/>
    <s v="98.71"/>
  </r>
  <r>
    <x v="16"/>
    <x v="27"/>
    <n v="590226"/>
    <n v="4546"/>
    <n v="283089"/>
    <s v="0.77"/>
    <s v="0.00"/>
    <s v="99.23"/>
  </r>
  <r>
    <x v="16"/>
    <x v="28"/>
    <n v="26152"/>
    <n v="482"/>
    <n v="2087"/>
    <s v="1.84"/>
    <s v="0.00"/>
    <s v="98.16"/>
  </r>
  <r>
    <x v="16"/>
    <x v="29"/>
    <n v="1712581"/>
    <n v="28894"/>
    <n v="378517"/>
    <s v="1.69"/>
    <s v="0.00"/>
    <s v="98.31"/>
  </r>
  <r>
    <x v="16"/>
    <x v="30"/>
    <n v="57453"/>
    <n v="1091"/>
    <n v="47803"/>
    <s v="1.90"/>
    <s v="0.00"/>
    <s v="98.10"/>
  </r>
  <r>
    <x v="16"/>
    <x v="31"/>
    <n v="11518"/>
    <n v="100"/>
    <n v="1388"/>
    <s v="0.87"/>
    <s v="0.00"/>
    <s v="99.13"/>
  </r>
  <r>
    <x v="16"/>
    <x v="32"/>
    <n v="16868"/>
    <n v="249"/>
    <n v="10132"/>
    <s v="1.48"/>
    <s v="0.00"/>
    <s v="98.52"/>
  </r>
  <r>
    <x v="16"/>
    <x v="33"/>
    <n v="865708"/>
    <n v="11204"/>
    <n v="642192"/>
    <s v="1.29"/>
    <s v="0.00"/>
    <s v="98.71"/>
  </r>
  <r>
    <x v="16"/>
    <x v="34"/>
    <n v="61221"/>
    <n v="691"/>
    <n v="24055"/>
    <s v="1.13"/>
    <s v="0.00"/>
    <s v="98.87"/>
  </r>
  <r>
    <x v="16"/>
    <x v="35"/>
    <n v="1684608"/>
    <n v="37691"/>
    <n v="470097"/>
    <s v="2.24"/>
    <s v="0.00"/>
    <s v="97.76"/>
  </r>
  <r>
    <x v="16"/>
    <x v="36"/>
    <n v="100289"/>
    <n v="1600"/>
    <n v="59084"/>
    <s v="1.60"/>
    <s v="0.00"/>
    <s v="98.40"/>
  </r>
  <r>
    <x v="16"/>
    <x v="37"/>
    <n v="96899"/>
    <n v="4636"/>
    <n v="6722"/>
    <s v="4.78"/>
    <s v="0.00"/>
    <s v="95.22"/>
  </r>
  <r>
    <x v="16"/>
    <x v="38"/>
    <n v="4994014"/>
    <n v="127133"/>
    <n v="4308203"/>
    <s v="2.55"/>
    <s v="0.00"/>
    <s v="97.45"/>
  </r>
  <r>
    <x v="16"/>
    <x v="39"/>
    <n v="557922"/>
    <n v="6997"/>
    <n v="107377"/>
    <s v="1.25"/>
    <s v="0.00"/>
    <s v="98.75"/>
  </r>
  <r>
    <x v="16"/>
    <x v="40"/>
    <n v="947935"/>
    <n v="8201"/>
    <n v="855740"/>
    <s v="0.87"/>
    <s v="0.00"/>
    <s v="99.13"/>
  </r>
  <r>
    <x v="16"/>
    <x v="41"/>
    <n v="38151"/>
    <n v="349"/>
    <n v="33397"/>
    <s v="0.91"/>
    <s v="0.00"/>
    <s v="99.09"/>
  </r>
  <r>
    <x v="16"/>
    <x v="42"/>
    <n v="123546"/>
    <n v="571"/>
    <n v="75433"/>
    <s v="0.46"/>
    <s v="0.00"/>
    <s v="99.54"/>
  </r>
  <r>
    <x v="16"/>
    <x v="43"/>
    <n v="1735552"/>
    <n v="30648"/>
    <n v="255222"/>
    <s v="1.77"/>
    <s v="0.00"/>
    <s v="98.23"/>
  </r>
  <r>
    <x v="16"/>
    <x v="44"/>
    <n v="4516839"/>
    <n v="95365"/>
    <n v="1252140"/>
    <s v="2.11"/>
    <s v="0.00"/>
    <s v="97.89"/>
  </r>
  <r>
    <x v="16"/>
    <x v="45"/>
    <n v="13461"/>
    <n v="181"/>
    <n v="211"/>
    <s v="1.34"/>
    <s v="0.00"/>
    <s v="98.66"/>
  </r>
  <r>
    <x v="16"/>
    <x v="46"/>
    <n v="379850"/>
    <n v="2703"/>
    <n v="219159"/>
    <s v="0.71"/>
    <s v="0.00"/>
    <s v="99.29"/>
  </r>
  <r>
    <x v="16"/>
    <x v="47"/>
    <n v="4659"/>
    <n v="30"/>
    <n v="4090"/>
    <s v="0.64"/>
    <s v="0.00"/>
    <s v="99.36"/>
  </r>
  <r>
    <x v="16"/>
    <x v="48"/>
    <n v="377385"/>
    <n v="4114"/>
    <n v="120634"/>
    <s v="1.09"/>
    <s v="0.00"/>
    <s v="98.91"/>
  </r>
  <r>
    <x v="16"/>
    <x v="49"/>
    <n v="205990"/>
    <n v="5899"/>
    <n v="162290"/>
    <s v="2.86"/>
    <s v="0.00"/>
    <s v="97.14"/>
  </r>
  <r>
    <x v="16"/>
    <x v="50"/>
    <n v="515659"/>
    <n v="32953"/>
    <n v="154932"/>
    <s v="6.39"/>
    <s v="0.00"/>
    <s v="93.61"/>
  </r>
  <r>
    <x v="16"/>
    <x v="51"/>
    <n v="184509"/>
    <n v="1477"/>
    <n v="71349"/>
    <s v="0.80"/>
    <s v="0.00"/>
    <s v="99.20"/>
  </r>
  <r>
    <x v="16"/>
    <x v="52"/>
    <n v="326379"/>
    <n v="18375"/>
    <n v="26381"/>
    <s v="5.63"/>
    <s v="0.00"/>
    <s v="94.37"/>
  </r>
  <r>
    <x v="16"/>
    <x v="53"/>
    <n v="6798"/>
    <n v="45"/>
    <n v="5210"/>
    <s v="0.66"/>
    <s v="0.00"/>
    <s v="99.34"/>
  </r>
  <r>
    <x v="16"/>
    <x v="54"/>
    <n v="5004143"/>
    <n v="87238"/>
    <n v="3760151"/>
    <s v="1.74"/>
    <s v="0.00"/>
    <s v="98.26"/>
  </r>
  <r>
    <x v="16"/>
    <x v="55"/>
    <n v="363240"/>
    <n v="6393"/>
    <n v="204081"/>
    <s v="1.76"/>
    <s v="0.00"/>
    <s v="98.24"/>
  </r>
  <r>
    <x v="16"/>
    <x v="56"/>
    <n v="155547"/>
    <n v="1149"/>
    <n v="19444"/>
    <s v="0.74"/>
    <s v="0.00"/>
    <s v="99.26"/>
  </r>
  <r>
    <x v="16"/>
    <x v="57"/>
    <n v="52028"/>
    <n v="673"/>
    <n v="13893"/>
    <s v="1.29"/>
    <s v="0.00"/>
    <s v="98.71"/>
  </r>
  <r>
    <x v="16"/>
    <x v="58"/>
    <n v="1714"/>
    <n v="2"/>
    <n v="69"/>
    <s v="0.12"/>
    <s v="0.00"/>
    <s v="99.88"/>
  </r>
  <r>
    <x v="16"/>
    <x v="59"/>
    <n v="6956977"/>
    <n v="115189"/>
    <n v="3761911"/>
    <s v="1.66"/>
    <s v="0.00"/>
    <s v="98.34"/>
  </r>
  <r>
    <x v="16"/>
    <x v="60"/>
    <n v="34898"/>
    <n v="230"/>
    <n v="25194"/>
    <s v="0.66"/>
    <s v="0.00"/>
    <s v="99.34"/>
  </r>
  <r>
    <x v="16"/>
    <x v="61"/>
    <n v="8888939"/>
    <n v="140155"/>
    <n v="7724529"/>
    <s v="1.58"/>
    <s v="0.00"/>
    <s v="98.42"/>
  </r>
  <r>
    <x v="16"/>
    <x v="63"/>
    <n v="698944"/>
    <n v="9831"/>
    <n v="545357"/>
    <s v="1.41"/>
    <s v="0.00"/>
    <s v="98.59"/>
  </r>
  <r>
    <x v="16"/>
    <x v="62"/>
    <n v="5824"/>
    <n v="197"/>
    <n v="4050"/>
    <s v="3.38"/>
    <s v="0.00"/>
    <s v="96.62"/>
  </r>
  <r>
    <x v="16"/>
    <x v="64"/>
    <n v="44225"/>
    <n v="302"/>
    <n v="39356"/>
    <s v="0.68"/>
    <s v="0.00"/>
    <s v="99.32"/>
  </r>
  <r>
    <x v="16"/>
    <x v="65"/>
    <n v="130008"/>
    <n v="1174"/>
    <n v="13196"/>
    <s v="0.90"/>
    <s v="0.00"/>
    <s v="99.10"/>
  </r>
  <r>
    <x v="16"/>
    <x v="66"/>
    <n v="5904"/>
    <n v="98"/>
    <n v="1029"/>
    <s v="1.66"/>
    <s v="0.00"/>
    <s v="98.34"/>
  </r>
  <r>
    <x v="16"/>
    <x v="68"/>
    <n v="30645"/>
    <n v="385"/>
    <n v="16602"/>
    <s v="1.26"/>
    <s v="0.00"/>
    <s v="98.74"/>
  </r>
  <r>
    <x v="16"/>
    <x v="67"/>
    <n v="9959"/>
    <n v="340"/>
    <n v="5932"/>
    <s v="3.41"/>
    <s v="0.00"/>
    <s v="96.59"/>
  </r>
  <r>
    <x v="16"/>
    <x v="69"/>
    <n v="54288"/>
    <n v="815"/>
    <n v="42082"/>
    <s v="1.50"/>
    <s v="0.00"/>
    <s v="98.50"/>
  </r>
  <r>
    <x v="16"/>
    <x v="70"/>
    <n v="13236"/>
    <n v="163"/>
    <n v="8627"/>
    <s v="1.23"/>
    <s v="0.00"/>
    <s v="98.77"/>
  </r>
  <r>
    <x v="16"/>
    <x v="71"/>
    <n v="724571"/>
    <n v="15707"/>
    <n v="489939"/>
    <s v="2.17"/>
    <s v="0.00"/>
    <s v="97.83"/>
  </r>
  <r>
    <x v="16"/>
    <x v="72"/>
    <n v="596417"/>
    <n v="14797"/>
    <n v="424662"/>
    <s v="2.48"/>
    <s v="0.00"/>
    <s v="97.52"/>
  </r>
  <r>
    <x v="16"/>
    <x v="73"/>
    <n v="6133"/>
    <n v="141"/>
    <n v="2337"/>
    <s v="2.30"/>
    <s v="0.00"/>
    <s v="97.70"/>
  </r>
  <r>
    <x v="16"/>
    <x v="74"/>
    <n v="35170"/>
    <n v="899"/>
    <n v="23492"/>
    <s v="2.56"/>
    <s v="0.00"/>
    <s v="97.44"/>
  </r>
  <r>
    <x v="16"/>
    <x v="75"/>
    <n v="12330"/>
    <n v="213"/>
    <n v="293"/>
    <s v="1.73"/>
    <s v="0.00"/>
    <s v="98.27"/>
  </r>
  <r>
    <x v="16"/>
    <x v="76"/>
    <n v="374783"/>
    <n v="10210"/>
    <n v="313086"/>
    <s v="2.72"/>
    <s v="0.00"/>
    <s v="97.28"/>
  </r>
  <r>
    <x v="16"/>
    <x v="77"/>
    <n v="449365"/>
    <n v="9090"/>
    <n v="128928"/>
    <s v="2.02"/>
    <s v="0.00"/>
    <s v="97.98"/>
  </r>
  <r>
    <x v="16"/>
    <x v="78"/>
    <n v="23619"/>
    <n v="662"/>
    <n v="4248"/>
    <s v="2.80"/>
    <s v="0.00"/>
    <s v="97.20"/>
  </r>
  <r>
    <x v="16"/>
    <x v="79"/>
    <n v="852214"/>
    <n v="30611"/>
    <n v="430240"/>
    <s v="3.59"/>
    <s v="0.00"/>
    <s v="96.41"/>
  </r>
  <r>
    <x v="16"/>
    <x v="80"/>
    <n v="4241090"/>
    <n v="143270"/>
    <n v="412583"/>
    <s v="3.38"/>
    <s v="0.00"/>
    <s v="96.62"/>
  </r>
  <r>
    <x v="16"/>
    <x v="81"/>
    <n v="433902"/>
    <n v="5369"/>
    <n v="144747"/>
    <s v="1.24"/>
    <s v="0.00"/>
    <s v="98.76"/>
  </r>
  <r>
    <x v="16"/>
    <x v="82"/>
    <n v="1324897"/>
    <n v="8063"/>
    <n v="1183207"/>
    <s v="0.61"/>
    <s v="0.00"/>
    <s v="99.39"/>
  </r>
  <r>
    <x v="16"/>
    <x v="83"/>
    <n v="34215653"/>
    <n v="455653"/>
    <n v="30372689"/>
    <s v="1.33"/>
    <s v="0.00"/>
    <s v="98.67"/>
  </r>
  <r>
    <x v="16"/>
    <x v="84"/>
    <n v="2049240"/>
    <n v="23024"/>
    <n v="1016524"/>
    <s v="1.12"/>
    <s v="0.00"/>
    <s v="98.88"/>
  </r>
  <r>
    <x v="16"/>
    <x v="85"/>
    <n v="5877456"/>
    <n v="125519"/>
    <n v="3931839"/>
    <s v="2.14"/>
    <s v="0.00"/>
    <s v="97.86"/>
  </r>
  <r>
    <x v="16"/>
    <x v="86"/>
    <n v="13236"/>
    <n v="33"/>
    <n v="12672"/>
    <s v="0.25"/>
    <s v="0.00"/>
    <s v="99.75"/>
  </r>
  <r>
    <x v="16"/>
    <x v="87"/>
    <n v="4747773"/>
    <n v="131904"/>
    <n v="2848060"/>
    <s v="2.78"/>
    <s v="0.00"/>
    <s v="97.22"/>
  </r>
  <r>
    <x v="16"/>
    <x v="88"/>
    <n v="88480"/>
    <n v="2184"/>
    <n v="32839"/>
    <s v="2.47"/>
    <s v="0.00"/>
    <s v="97.53"/>
  </r>
  <r>
    <x v="16"/>
    <x v="89"/>
    <n v="854758"/>
    <n v="10976"/>
    <n v="564411"/>
    <s v="1.28"/>
    <s v="0.00"/>
    <s v="98.72"/>
  </r>
  <r>
    <x v="16"/>
    <x v="90"/>
    <n v="1718165"/>
    <n v="18229"/>
    <n v="1379770"/>
    <s v="1.06"/>
    <s v="0.00"/>
    <s v="98.94"/>
  </r>
  <r>
    <x v="16"/>
    <x v="91"/>
    <n v="252839"/>
    <n v="5263"/>
    <n v="199789"/>
    <s v="2.08"/>
    <s v="0.00"/>
    <s v="97.92"/>
  </r>
  <r>
    <x v="16"/>
    <x v="92"/>
    <n v="180741"/>
    <n v="2658"/>
    <n v="160624"/>
    <s v="1.47"/>
    <s v="0.00"/>
    <s v="98.53"/>
  </r>
  <r>
    <x v="16"/>
    <x v="94"/>
    <n v="2"/>
    <n v="0"/>
    <n v="0"/>
    <s v="0.00"/>
    <s v="0.00"/>
    <s v="100.00"/>
  </r>
  <r>
    <x v="16"/>
    <x v="93"/>
    <n v="118000"/>
    <n v="2751"/>
    <n v="113347"/>
    <s v="2.33"/>
    <s v="0.00"/>
    <s v="97.67"/>
  </r>
  <r>
    <x v="16"/>
    <x v="95"/>
    <n v="4233"/>
    <n v="147"/>
    <n v="987"/>
    <s v="3.47"/>
    <s v="0.00"/>
    <s v="96.53"/>
  </r>
  <r>
    <x v="16"/>
    <x v="96"/>
    <n v="2637"/>
    <n v="21"/>
    <n v="2019"/>
    <s v="0.80"/>
    <s v="0.00"/>
    <s v="99.20"/>
  </r>
  <r>
    <x v="16"/>
    <x v="97"/>
    <n v="356305"/>
    <n v="2797"/>
    <n v="150581"/>
    <s v="0.79"/>
    <s v="0.00"/>
    <s v="99.21"/>
  </r>
  <r>
    <x v="16"/>
    <x v="98"/>
    <n v="412578"/>
    <n v="2461"/>
    <n v="4861"/>
    <s v="0.60"/>
    <s v="0.00"/>
    <s v="99.40"/>
  </r>
  <r>
    <x v="16"/>
    <x v="99"/>
    <n v="1011656"/>
    <n v="16991"/>
    <n v="79188"/>
    <s v="1.68"/>
    <s v="0.00"/>
    <s v="98.32"/>
  </r>
  <r>
    <x v="16"/>
    <x v="100"/>
    <n v="37018"/>
    <n v="56"/>
    <n v="14173"/>
    <s v="0.15"/>
    <s v="0.00"/>
    <s v="99.85"/>
  </r>
  <r>
    <x v="16"/>
    <x v="101"/>
    <n v="638581"/>
    <n v="8465"/>
    <n v="184898"/>
    <s v="1.33"/>
    <s v="0.00"/>
    <s v="98.67"/>
  </r>
  <r>
    <x v="16"/>
    <x v="102"/>
    <n v="12465"/>
    <n v="250"/>
    <n v="84"/>
    <s v="2.01"/>
    <s v="0.00"/>
    <s v="97.99"/>
  </r>
  <r>
    <x v="16"/>
    <x v="103"/>
    <n v="3645"/>
    <n v="61"/>
    <n v="2933"/>
    <s v="1.67"/>
    <s v="0.00"/>
    <s v="98.33"/>
  </r>
  <r>
    <x v="16"/>
    <x v="104"/>
    <n v="537201"/>
    <n v="13654"/>
    <n v="496259"/>
    <s v="2.54"/>
    <s v="0.00"/>
    <s v="97.46"/>
  </r>
  <r>
    <x v="16"/>
    <x v="105"/>
    <n v="5812"/>
    <n v="287"/>
    <n v="5104"/>
    <s v="4.94"/>
    <s v="0.00"/>
    <s v="95.06"/>
  </r>
  <r>
    <x v="16"/>
    <x v="106"/>
    <n v="21598"/>
    <n v="657"/>
    <n v="19008"/>
    <s v="3.04"/>
    <s v="0.00"/>
    <s v="96.96"/>
  </r>
  <r>
    <x v="16"/>
    <x v="107"/>
    <n v="392425"/>
    <n v="5693"/>
    <n v="182350"/>
    <s v="1.45"/>
    <s v="0.00"/>
    <s v="98.55"/>
  </r>
  <r>
    <x v="16"/>
    <x v="108"/>
    <n v="81124"/>
    <n v="842"/>
    <n v="64161"/>
    <s v="1.04"/>
    <s v="0.00"/>
    <s v="98.96"/>
  </r>
  <r>
    <x v="16"/>
    <x v="109"/>
    <n v="205577"/>
    <n v="3076"/>
    <n v="98271"/>
    <s v="1.50"/>
    <s v="0.00"/>
    <s v="98.50"/>
  </r>
  <r>
    <x v="16"/>
    <x v="110"/>
    <n v="354866"/>
    <n v="5033"/>
    <n v="233634"/>
    <s v="1.42"/>
    <s v="0.00"/>
    <s v="98.58"/>
  </r>
  <r>
    <x v="16"/>
    <x v="111"/>
    <n v="944803"/>
    <n v="14636"/>
    <n v="901575"/>
    <s v="1.55"/>
    <s v="0.00"/>
    <s v="98.45"/>
  </r>
  <r>
    <x v="16"/>
    <x v="112"/>
    <n v="3399"/>
    <n v="36"/>
    <n v="2799"/>
    <s v="1.06"/>
    <s v="0.00"/>
    <s v="98.94"/>
  </r>
  <r>
    <x v="16"/>
    <x v="113"/>
    <n v="330799"/>
    <n v="7576"/>
    <n v="103848"/>
    <s v="2.29"/>
    <s v="0.00"/>
    <s v="97.71"/>
  </r>
  <r>
    <x v="16"/>
    <x v="114"/>
    <n v="141834"/>
    <n v="2075"/>
    <n v="4341"/>
    <s v="1.46"/>
    <s v="0.00"/>
    <s v="98.54"/>
  </r>
  <r>
    <x v="16"/>
    <x v="115"/>
    <n v="3920"/>
    <n v="55"/>
    <n v="1726"/>
    <s v="1.40"/>
    <s v="0.00"/>
    <s v="98.60"/>
  </r>
  <r>
    <x v="16"/>
    <x v="116"/>
    <n v="43626"/>
    <n v="963"/>
    <n v="33892"/>
    <s v="2.21"/>
    <s v="0.00"/>
    <s v="97.79"/>
  </r>
  <r>
    <x v="16"/>
    <x v="117"/>
    <n v="4"/>
    <n v="0"/>
    <n v="0"/>
    <s v="0.00"/>
    <s v="0.00"/>
    <s v="100.00"/>
  </r>
  <r>
    <x v="16"/>
    <x v="118"/>
    <n v="200412"/>
    <n v="7072"/>
    <n v="71199"/>
    <s v="3.53"/>
    <s v="0.00"/>
    <s v="96.47"/>
  </r>
  <r>
    <x v="16"/>
    <x v="119"/>
    <n v="15879"/>
    <n v="559"/>
    <n v="10395"/>
    <s v="3.52"/>
    <s v="0.00"/>
    <s v="96.48"/>
  </r>
  <r>
    <x v="16"/>
    <x v="120"/>
    <n v="495898"/>
    <n v="18582"/>
    <n v="445949"/>
    <s v="3.75"/>
    <s v="0.00"/>
    <s v="96.25"/>
  </r>
  <r>
    <x v="16"/>
    <x v="121"/>
    <n v="353504"/>
    <n v="1689"/>
    <n v="307401"/>
    <s v="0.48"/>
    <s v="0.00"/>
    <s v="99.52"/>
  </r>
  <r>
    <x v="16"/>
    <x v="122"/>
    <n v="77"/>
    <n v="0"/>
    <n v="27"/>
    <s v="0.00"/>
    <s v="0.00"/>
    <s v="100.00"/>
  </r>
  <r>
    <x v="16"/>
    <x v="123"/>
    <n v="42903"/>
    <n v="673"/>
    <n v="9736"/>
    <s v="1.57"/>
    <s v="0.00"/>
    <s v="98.43"/>
  </r>
  <r>
    <x v="16"/>
    <x v="124"/>
    <n v="37032"/>
    <n v="792"/>
    <n v="24602"/>
    <s v="2.14"/>
    <s v="0.00"/>
    <s v="97.86"/>
  </r>
  <r>
    <x v="16"/>
    <x v="125"/>
    <n v="37580"/>
    <n v="460"/>
    <n v="4930"/>
    <s v="1.22"/>
    <s v="0.00"/>
    <s v="98.78"/>
  </r>
  <r>
    <x v="16"/>
    <x v="126"/>
    <n v="17416"/>
    <n v="160"/>
    <n v="1144"/>
    <s v="0.92"/>
    <s v="0.00"/>
    <s v="99.08"/>
  </r>
  <r>
    <x v="16"/>
    <x v="127"/>
    <n v="87186"/>
    <n v="242"/>
    <n v="32381"/>
    <s v="0.28"/>
    <s v="0.00"/>
    <s v="99.72"/>
  </r>
  <r>
    <x v="16"/>
    <x v="128"/>
    <n v="61766"/>
    <n v="2296"/>
    <n v="49858"/>
    <s v="3.72"/>
    <s v="0.00"/>
    <s v="96.28"/>
  </r>
  <r>
    <x v="16"/>
    <x v="129"/>
    <n v="3784448"/>
    <n v="286496"/>
    <n v="3387350"/>
    <s v="7.57"/>
    <s v="0.00"/>
    <s v="92.43"/>
  </r>
  <r>
    <x v="16"/>
    <x v="130"/>
    <n v="2442224"/>
    <n v="28576"/>
    <n v="308974"/>
    <s v="1.17"/>
    <s v="0.00"/>
    <s v="98.83"/>
  </r>
  <r>
    <x v="16"/>
    <x v="131"/>
    <n v="151243"/>
    <n v="1929"/>
    <n v="83055"/>
    <s v="1.28"/>
    <s v="0.00"/>
    <s v="98.72"/>
  </r>
  <r>
    <x v="16"/>
    <x v="132"/>
    <n v="128859"/>
    <n v="3550"/>
    <n v="48121"/>
    <s v="2.75"/>
    <s v="0.00"/>
    <s v="97.25"/>
  </r>
  <r>
    <x v="16"/>
    <x v="133"/>
    <n v="10687"/>
    <n v="261"/>
    <n v="8198"/>
    <s v="2.44"/>
    <s v="0.00"/>
    <s v="97.56"/>
  </r>
  <r>
    <x v="16"/>
    <x v="134"/>
    <n v="6260"/>
    <n v="208"/>
    <n v="4225"/>
    <s v="3.32"/>
    <s v="0.00"/>
    <s v="96.68"/>
  </r>
  <r>
    <x v="16"/>
    <x v="135"/>
    <n v="211330"/>
    <n v="2884"/>
    <n v="47603"/>
    <s v="1.36"/>
    <s v="0.00"/>
    <s v="98.64"/>
  </r>
  <r>
    <x v="16"/>
    <x v="136"/>
    <n v="16422"/>
    <n v="207"/>
    <n v="11019"/>
    <s v="1.26"/>
    <s v="0.00"/>
    <s v="98.74"/>
  </r>
  <r>
    <x v="16"/>
    <x v="137"/>
    <n v="2133367"/>
    <n v="18778"/>
    <n v="80305"/>
    <s v="0.88"/>
    <s v="0.00"/>
    <s v="99.12"/>
  </r>
  <r>
    <x v="16"/>
    <x v="138"/>
    <n v="202554"/>
    <n v="895"/>
    <n v="107367"/>
    <s v="0.44"/>
    <s v="0.00"/>
    <s v="99.56"/>
  </r>
  <r>
    <x v="16"/>
    <x v="139"/>
    <n v="810298"/>
    <n v="11372"/>
    <n v="135114"/>
    <s v="1.40"/>
    <s v="0.00"/>
    <s v="98.60"/>
  </r>
  <r>
    <x v="16"/>
    <x v="140"/>
    <n v="5900"/>
    <n v="28"/>
    <n v="2195"/>
    <s v="0.47"/>
    <s v="0.00"/>
    <s v="99.53"/>
  </r>
  <r>
    <x v="16"/>
    <x v="141"/>
    <n v="304205"/>
    <n v="4111"/>
    <n v="225786"/>
    <s v="1.35"/>
    <s v="0.00"/>
    <s v="98.65"/>
  </r>
  <r>
    <x v="16"/>
    <x v="142"/>
    <n v="471884"/>
    <n v="7314"/>
    <n v="377338"/>
    <s v="1.55"/>
    <s v="0.00"/>
    <s v="98.45"/>
  </r>
  <r>
    <x v="16"/>
    <x v="143"/>
    <n v="2197052"/>
    <n v="200118"/>
    <n v="43723"/>
    <s v="9.11"/>
    <s v="0.00"/>
    <s v="90.89"/>
  </r>
  <r>
    <x v="16"/>
    <x v="144"/>
    <n v="45506"/>
    <n v="635"/>
    <n v="18278"/>
    <s v="1.40"/>
    <s v="0.00"/>
    <s v="98.60"/>
  </r>
  <r>
    <x v="16"/>
    <x v="145"/>
    <n v="28209"/>
    <n v="335"/>
    <n v="24074"/>
    <s v="1.19"/>
    <s v="0.00"/>
    <s v="98.81"/>
  </r>
  <r>
    <x v="16"/>
    <x v="146"/>
    <n v="2765672"/>
    <n v="42077"/>
    <n v="2261755"/>
    <s v="1.52"/>
    <s v="0.00"/>
    <s v="98.48"/>
  </r>
  <r>
    <x v="16"/>
    <x v="147"/>
    <n v="1270322"/>
    <n v="28405"/>
    <n v="67553"/>
    <s v="2.24"/>
    <s v="0.00"/>
    <s v="97.76"/>
  </r>
  <r>
    <x v="16"/>
    <x v="148"/>
    <n v="2982143"/>
    <n v="76540"/>
    <n v="353093"/>
    <s v="2.57"/>
    <s v="0.00"/>
    <s v="97.43"/>
  </r>
  <r>
    <x v="16"/>
    <x v="149"/>
    <n v="451897"/>
    <n v="4644"/>
    <n v="87331"/>
    <s v="1.03"/>
    <s v="0.00"/>
    <s v="98.97"/>
  </r>
  <r>
    <x v="16"/>
    <x v="150"/>
    <n v="1086280"/>
    <n v="18141"/>
    <n v="84728"/>
    <s v="1.67"/>
    <s v="0.00"/>
    <s v="98.33"/>
  </r>
  <r>
    <x v="16"/>
    <x v="151"/>
    <n v="8"/>
    <n v="0"/>
    <n v="8"/>
    <s v="0.00"/>
    <s v="0.00"/>
    <s v="100.00"/>
  </r>
  <r>
    <x v="16"/>
    <x v="152"/>
    <n v="460815"/>
    <n v="16233"/>
    <n v="325845"/>
    <s v="3.52"/>
    <s v="0.00"/>
    <s v="96.48"/>
  </r>
  <r>
    <x v="16"/>
    <x v="153"/>
    <n v="238742"/>
    <n v="609"/>
    <n v="75627"/>
    <s v="0.26"/>
    <s v="0.00"/>
    <s v="99.74"/>
  </r>
  <r>
    <x v="16"/>
    <x v="154"/>
    <n v="54438"/>
    <n v="372"/>
    <n v="35383"/>
    <s v="0.68"/>
    <s v="0.00"/>
    <s v="99.32"/>
  </r>
  <r>
    <x v="16"/>
    <x v="155"/>
    <n v="1587880"/>
    <n v="45503"/>
    <n v="1154738"/>
    <s v="2.87"/>
    <s v="0.00"/>
    <s v="97.13"/>
  </r>
  <r>
    <x v="16"/>
    <x v="156"/>
    <n v="1111957"/>
    <n v="9634"/>
    <n v="499556"/>
    <s v="0.87"/>
    <s v="0.00"/>
    <s v="99.13"/>
  </r>
  <r>
    <x v="16"/>
    <x v="157"/>
    <n v="8185400"/>
    <n v="228581"/>
    <n v="1442102"/>
    <s v="2.79"/>
    <s v="0.00"/>
    <s v="97.21"/>
  </r>
  <r>
    <x v="16"/>
    <x v="158"/>
    <n v="99474"/>
    <n v="1321"/>
    <n v="96296"/>
    <s v="1.33"/>
    <s v="0.00"/>
    <s v="98.67"/>
  </r>
  <r>
    <x v="16"/>
    <x v="159"/>
    <n v="548368"/>
    <n v="8782"/>
    <n v="239886"/>
    <s v="1.60"/>
    <s v="0.00"/>
    <s v="98.40"/>
  </r>
  <r>
    <x v="16"/>
    <x v="160"/>
    <n v="20"/>
    <n v="0"/>
    <n v="6"/>
    <s v="0.00"/>
    <s v="0.00"/>
    <s v="100.00"/>
  </r>
  <r>
    <x v="16"/>
    <x v="161"/>
    <n v="22150"/>
    <n v="119"/>
    <n v="15535"/>
    <s v="0.54"/>
    <s v="0.00"/>
    <s v="99.46"/>
  </r>
  <r>
    <x v="16"/>
    <x v="162"/>
    <n v="40433"/>
    <n v="3099"/>
    <n v="1189"/>
    <s v="7.66"/>
    <s v="0.00"/>
    <s v="92.34"/>
  </r>
  <r>
    <x v="16"/>
    <x v="163"/>
    <n v="1168271"/>
    <n v="15002"/>
    <n v="476608"/>
    <s v="1.28"/>
    <s v="0.00"/>
    <s v="98.72"/>
  </r>
  <r>
    <x v="16"/>
    <x v="164"/>
    <n v="179095"/>
    <n v="339"/>
    <n v="138938"/>
    <s v="0.19"/>
    <s v="0.00"/>
    <s v="99.81"/>
  </r>
  <r>
    <x v="16"/>
    <x v="165"/>
    <n v="322914"/>
    <n v="4704"/>
    <n v="191492"/>
    <s v="1.46"/>
    <s v="0.00"/>
    <s v="98.54"/>
  </r>
  <r>
    <x v="16"/>
    <x v="166"/>
    <n v="460281"/>
    <n v="12935"/>
    <n v="21367"/>
    <s v="2.81"/>
    <s v="0.00"/>
    <s v="97.19"/>
  </r>
  <r>
    <x v="16"/>
    <x v="167"/>
    <n v="6397"/>
    <n v="121"/>
    <n v="6269"/>
    <s v="1.89"/>
    <s v="0.00"/>
    <s v="98.11"/>
  </r>
  <r>
    <x v="16"/>
    <x v="168"/>
    <n v="5521"/>
    <n v="92"/>
    <n v="3645"/>
    <s v="1.67"/>
    <s v="0.00"/>
    <s v="98.33"/>
  </r>
  <r>
    <x v="16"/>
    <x v="169"/>
    <n v="73897"/>
    <n v="1878"/>
    <n v="62274"/>
    <s v="2.54"/>
    <s v="0.00"/>
    <s v="97.46"/>
  </r>
  <r>
    <x v="16"/>
    <x v="170"/>
    <n v="21998"/>
    <n v="1208"/>
    <n v="2399"/>
    <s v="5.49"/>
    <s v="0.00"/>
    <s v="94.51"/>
  </r>
  <r>
    <x v="16"/>
    <x v="171"/>
    <n v="48548"/>
    <n v="1069"/>
    <n v="12093"/>
    <s v="2.20"/>
    <s v="0.00"/>
    <s v="97.80"/>
  </r>
  <r>
    <x v="16"/>
    <x v="173"/>
    <n v="3705"/>
    <n v="56"/>
    <n v="3405"/>
    <s v="1.51"/>
    <s v="0.00"/>
    <s v="98.49"/>
  </r>
  <r>
    <x v="16"/>
    <x v="172"/>
    <n v="12299"/>
    <n v="133"/>
    <n v="11703"/>
    <s v="1.08"/>
    <s v="0.00"/>
    <s v="98.92"/>
  </r>
  <r>
    <x v="16"/>
    <x v="174"/>
    <n v="113422"/>
    <n v="3586"/>
    <n v="94072"/>
    <s v="3.16"/>
    <s v="0.00"/>
    <s v="96.84"/>
  </r>
  <r>
    <x v="16"/>
    <x v="175"/>
    <n v="42076"/>
    <n v="2526"/>
    <n v="5010"/>
    <s v="6.00"/>
    <s v="0.00"/>
    <s v="94.00"/>
  </r>
  <r>
    <x v="16"/>
    <x v="176"/>
    <n v="46390"/>
    <n v="1242"/>
    <n v="41414"/>
    <s v="2.68"/>
    <s v="0.00"/>
    <s v="97.32"/>
  </r>
  <r>
    <x v="16"/>
    <x v="177"/>
    <n v="5069"/>
    <n v="174"/>
    <n v="1664"/>
    <s v="3.43"/>
    <s v="0.00"/>
    <s v="96.57"/>
  </r>
  <r>
    <x v="16"/>
    <x v="178"/>
    <n v="26011"/>
    <n v="242"/>
    <n v="23818"/>
    <s v="0.93"/>
    <s v="0.00"/>
    <s v="99.07"/>
  </r>
  <r>
    <x v="16"/>
    <x v="179"/>
    <n v="1866863"/>
    <n v="18865"/>
    <n v="1347992"/>
    <s v="1.01"/>
    <s v="0.00"/>
    <s v="98.99"/>
  </r>
  <r>
    <x v="16"/>
    <x v="180"/>
    <n v="17486"/>
    <n v="125"/>
    <n v="6778"/>
    <s v="0.71"/>
    <s v="0.00"/>
    <s v="99.29"/>
  </r>
  <r>
    <x v="16"/>
    <x v="181"/>
    <n v="19778"/>
    <n v="121"/>
    <n v="13273"/>
    <s v="0.61"/>
    <s v="0.00"/>
    <s v="99.39"/>
  </r>
  <r>
    <x v="16"/>
    <x v="182"/>
    <n v="712013"/>
    <n v="25213"/>
    <n v="168105"/>
    <s v="3.54"/>
    <s v="0.00"/>
    <s v="96.46"/>
  </r>
  <r>
    <x v="16"/>
    <x v="183"/>
    <n v="0"/>
    <n v="0"/>
    <n v="0"/>
    <s v="0.00"/>
    <s v="0.00"/>
    <s v="0.00"/>
  </r>
  <r>
    <x v="16"/>
    <x v="184"/>
    <n v="7909081"/>
    <n v="69559"/>
    <n v="617564"/>
    <s v="0.88"/>
    <s v="0.00"/>
    <s v="99.12"/>
  </r>
  <r>
    <x v="16"/>
    <x v="185"/>
    <n v="56013"/>
    <n v="1655"/>
    <n v="14741"/>
    <s v="2.95"/>
    <s v="0.00"/>
    <s v="97.05"/>
  </r>
  <r>
    <x v="16"/>
    <x v="186"/>
    <n v="16380"/>
    <n v="847"/>
    <n v="11634"/>
    <s v="5.17"/>
    <s v="0.00"/>
    <s v="94.83"/>
  </r>
  <r>
    <x v="16"/>
    <x v="187"/>
    <n v="26115"/>
    <n v="725"/>
    <n v="7871"/>
    <s v="2.78"/>
    <s v="0.00"/>
    <s v="97.22"/>
  </r>
  <r>
    <x v="16"/>
    <x v="188"/>
    <n v="2933778"/>
    <n v="69130"/>
    <n v="97870"/>
    <s v="2.36"/>
    <s v="0.00"/>
    <s v="97.64"/>
  </r>
  <r>
    <x v="16"/>
    <x v="189"/>
    <n v="125788"/>
    <n v="3200"/>
    <n v="55282"/>
    <s v="2.54"/>
    <s v="0.00"/>
    <s v="97.46"/>
  </r>
  <r>
    <x v="16"/>
    <x v="190"/>
    <n v="45648701"/>
    <n v="739453"/>
    <n v="13852028"/>
    <s v="1.62"/>
    <s v="0.00"/>
    <s v="98.38"/>
  </r>
  <r>
    <x v="16"/>
    <x v="191"/>
    <n v="392585"/>
    <n v="6074"/>
    <n v="178630"/>
    <s v="1.55"/>
    <s v="0.00"/>
    <s v="98.45"/>
  </r>
  <r>
    <x v="16"/>
    <x v="192"/>
    <n v="184233"/>
    <n v="1309"/>
    <n v="22625"/>
    <s v="0.71"/>
    <s v="0.00"/>
    <s v="99.29"/>
  </r>
  <r>
    <x v="16"/>
    <x v="193"/>
    <n v="27"/>
    <n v="0"/>
    <n v="26"/>
    <s v="0.00"/>
    <s v="0.00"/>
    <s v="100.00"/>
  </r>
  <r>
    <x v="16"/>
    <x v="194"/>
    <n v="4860"/>
    <n v="63"/>
    <n v="3428"/>
    <s v="1.30"/>
    <s v="0.00"/>
    <s v="98.70"/>
  </r>
  <r>
    <x v="16"/>
    <x v="195"/>
    <n v="401259"/>
    <n v="4822"/>
    <n v="325492"/>
    <s v="1.20"/>
    <s v="0.00"/>
    <s v="98.80"/>
  </r>
  <r>
    <x v="16"/>
    <x v="196"/>
    <n v="896174"/>
    <n v="21802"/>
    <n v="146661"/>
    <s v="2.43"/>
    <s v="0.00"/>
    <s v="97.57"/>
  </r>
  <r>
    <x v="16"/>
    <x v="197"/>
    <n v="4"/>
    <n v="1"/>
    <n v="0"/>
    <s v="25.00"/>
    <s v="0.00"/>
    <s v="75.00"/>
  </r>
  <r>
    <x v="16"/>
    <x v="198"/>
    <n v="3"/>
    <n v="0"/>
    <n v="1"/>
    <s v="0.00"/>
    <s v="0.00"/>
    <s v="100.00"/>
  </r>
  <r>
    <x v="16"/>
    <x v="199"/>
    <n v="160658"/>
    <n v="2975"/>
    <n v="144486"/>
    <s v="1.85"/>
    <s v="0.00"/>
    <s v="98.15"/>
  </r>
  <r>
    <x v="16"/>
    <x v="200"/>
    <n v="9711"/>
    <n v="1858"/>
    <n v="3303"/>
    <s v="19.13"/>
    <s v="0.00"/>
    <s v="80.87"/>
  </r>
  <r>
    <x v="16"/>
    <x v="201"/>
    <n v="20497"/>
    <n v="182"/>
    <n v="15424"/>
    <s v="0.89"/>
    <s v="0.00"/>
    <s v="99.11"/>
  </r>
  <r>
    <x v="16"/>
    <x v="202"/>
    <n v="2920109"/>
    <n v="88987"/>
    <n v="602459"/>
    <s v="3.05"/>
    <s v="0.00"/>
    <s v="96.95"/>
  </r>
  <r>
    <x v="16"/>
    <x v="203"/>
    <n v="209648"/>
    <n v="3660"/>
    <n v="87706"/>
    <s v="1.75"/>
    <s v="0.00"/>
    <s v="98.25"/>
  </r>
  <r>
    <x v="16"/>
    <x v="204"/>
    <n v="132724"/>
    <n v="4674"/>
    <n v="59871"/>
    <s v="3.52"/>
    <s v="0.00"/>
    <s v="96.48"/>
  </r>
  <r>
    <x v="16"/>
    <x v="205"/>
    <n v="721"/>
    <n v="15"/>
    <n v="589"/>
    <s v="2.08"/>
    <s v="0.00"/>
    <s v="97.92"/>
  </r>
  <r>
    <x v="17"/>
    <x v="205"/>
    <n v="721"/>
    <n v="15"/>
    <n v="246"/>
    <s v="2.08"/>
    <s v="0.00"/>
    <s v="97.92"/>
  </r>
  <r>
    <x v="17"/>
    <x v="204"/>
    <n v="132688"/>
    <n v="4673"/>
    <n v="78306"/>
    <s v="3.52"/>
    <s v="0.00"/>
    <s v="96.48"/>
  </r>
  <r>
    <x v="17"/>
    <x v="203"/>
    <n v="209639"/>
    <n v="3659"/>
    <n v="41165"/>
    <s v="1.75"/>
    <s v="0.00"/>
    <s v="98.25"/>
  </r>
  <r>
    <x v="17"/>
    <x v="202"/>
    <n v="2919778"/>
    <n v="88934"/>
    <n v="2565275"/>
    <s v="3.05"/>
    <s v="0.00"/>
    <s v="96.95"/>
  </r>
  <r>
    <x v="17"/>
    <x v="201"/>
    <n v="20497"/>
    <n v="182"/>
    <n v="4358"/>
    <s v="0.89"/>
    <s v="0.00"/>
    <s v="99.11"/>
  </r>
  <r>
    <x v="17"/>
    <x v="200"/>
    <n v="9694"/>
    <n v="1850"/>
    <n v="2244"/>
    <s v="19.08"/>
    <s v="0.00"/>
    <s v="80.92"/>
  </r>
  <r>
    <x v="17"/>
    <x v="199"/>
    <n v="160638"/>
    <n v="2975"/>
    <n v="46183"/>
    <s v="1.85"/>
    <s v="0.00"/>
    <s v="98.15"/>
  </r>
  <r>
    <x v="17"/>
    <x v="198"/>
    <n v="3"/>
    <n v="0"/>
    <n v="2"/>
    <s v="0.00"/>
    <s v="0.00"/>
    <s v="100.00"/>
  </r>
  <r>
    <x v="17"/>
    <x v="197"/>
    <n v="4"/>
    <n v="1"/>
    <n v="1"/>
    <s v="25.00"/>
    <s v="0.00"/>
    <s v="75.00"/>
  </r>
  <r>
    <x v="17"/>
    <x v="196"/>
    <n v="892579"/>
    <n v="21738"/>
    <n v="704911"/>
    <s v="2.44"/>
    <s v="0.00"/>
    <s v="97.56"/>
  </r>
  <r>
    <x v="17"/>
    <x v="195"/>
    <n v="401259"/>
    <n v="4822"/>
    <n v="176424"/>
    <s v="1.20"/>
    <s v="0.00"/>
    <s v="98.80"/>
  </r>
  <r>
    <x v="17"/>
    <x v="193"/>
    <n v="27"/>
    <n v="0"/>
    <n v="7"/>
    <s v="0.00"/>
    <s v="0.00"/>
    <s v="100.00"/>
  </r>
  <r>
    <x v="17"/>
    <x v="194"/>
    <n v="4860"/>
    <n v="63"/>
    <n v="4102"/>
    <s v="1.30"/>
    <s v="0.00"/>
    <s v="98.70"/>
  </r>
  <r>
    <x v="17"/>
    <x v="192"/>
    <n v="183928"/>
    <n v="1306"/>
    <n v="142580"/>
    <s v="0.71"/>
    <s v="0.00"/>
    <s v="99.29"/>
  </r>
  <r>
    <x v="17"/>
    <x v="191"/>
    <n v="392319"/>
    <n v="6073"/>
    <n v="142215"/>
    <s v="1.55"/>
    <s v="0.00"/>
    <s v="98.45"/>
  </r>
  <r>
    <x v="17"/>
    <x v="190"/>
    <n v="45568730"/>
    <n v="737914"/>
    <n v="29755544"/>
    <s v="1.62"/>
    <s v="0.00"/>
    <s v="98.38"/>
  </r>
  <r>
    <x v="17"/>
    <x v="189"/>
    <n v="125758"/>
    <n v="3200"/>
    <n v="4967"/>
    <s v="2.54"/>
    <s v="0.00"/>
    <s v="97.46"/>
  </r>
  <r>
    <x v="17"/>
    <x v="188"/>
    <n v="2913666"/>
    <n v="68365"/>
    <n v="2746538"/>
    <s v="2.35"/>
    <s v="0.00"/>
    <s v="97.65"/>
  </r>
  <r>
    <x v="17"/>
    <x v="187"/>
    <n v="26115"/>
    <n v="725"/>
    <n v="3796"/>
    <s v="2.78"/>
    <s v="0.00"/>
    <s v="97.22"/>
  </r>
  <r>
    <x v="17"/>
    <x v="186"/>
    <n v="16376"/>
    <n v="847"/>
    <n v="236"/>
    <s v="5.17"/>
    <s v="0.00"/>
    <s v="94.83"/>
  </r>
  <r>
    <x v="17"/>
    <x v="185"/>
    <n v="55798"/>
    <n v="1650"/>
    <n v="21238"/>
    <s v="2.96"/>
    <s v="0.00"/>
    <s v="97.04"/>
  </r>
  <r>
    <x v="17"/>
    <x v="184"/>
    <n v="7879438"/>
    <n v="69344"/>
    <n v="4435168"/>
    <s v="0.88"/>
    <s v="0.00"/>
    <s v="99.12"/>
  </r>
  <r>
    <x v="17"/>
    <x v="182"/>
    <n v="711821"/>
    <n v="25155"/>
    <n v="360060"/>
    <s v="3.53"/>
    <s v="0.00"/>
    <s v="96.47"/>
  </r>
  <r>
    <x v="17"/>
    <x v="181"/>
    <n v="19774"/>
    <n v="121"/>
    <n v="2772"/>
    <s v="0.61"/>
    <s v="0.00"/>
    <s v="99.39"/>
  </r>
  <r>
    <x v="17"/>
    <x v="180"/>
    <n v="17486"/>
    <n v="125"/>
    <n v="375"/>
    <s v="0.71"/>
    <s v="0.00"/>
    <s v="99.29"/>
  </r>
  <r>
    <x v="17"/>
    <x v="179"/>
    <n v="1859157"/>
    <n v="18799"/>
    <n v="1822598"/>
    <s v="1.01"/>
    <s v="0.00"/>
    <s v="98.99"/>
  </r>
  <r>
    <x v="17"/>
    <x v="178"/>
    <n v="26000"/>
    <n v="242"/>
    <n v="13559"/>
    <s v="0.93"/>
    <s v="0.00"/>
    <s v="99.07"/>
  </r>
  <r>
    <x v="17"/>
    <x v="177"/>
    <n v="5069"/>
    <n v="174"/>
    <n v="1495"/>
    <s v="3.43"/>
    <s v="0.00"/>
    <s v="96.57"/>
  </r>
  <r>
    <x v="17"/>
    <x v="176"/>
    <n v="46387"/>
    <n v="1242"/>
    <n v="12266"/>
    <s v="2.68"/>
    <s v="0.00"/>
    <s v="97.32"/>
  </r>
  <r>
    <x v="17"/>
    <x v="175"/>
    <n v="41799"/>
    <n v="2517"/>
    <n v="33131"/>
    <s v="6.02"/>
    <s v="0.00"/>
    <s v="93.98"/>
  </r>
  <r>
    <x v="17"/>
    <x v="174"/>
    <n v="112290"/>
    <n v="3575"/>
    <n v="98180"/>
    <s v="3.18"/>
    <s v="0.00"/>
    <s v="96.82"/>
  </r>
  <r>
    <x v="17"/>
    <x v="172"/>
    <n v="12293"/>
    <n v="133"/>
    <n v="918"/>
    <s v="1.08"/>
    <s v="0.00"/>
    <s v="98.92"/>
  </r>
  <r>
    <x v="17"/>
    <x v="173"/>
    <n v="3697"/>
    <n v="56"/>
    <n v="2285"/>
    <s v="1.51"/>
    <s v="0.00"/>
    <s v="98.49"/>
  </r>
  <r>
    <x v="17"/>
    <x v="171"/>
    <n v="48334"/>
    <n v="1064"/>
    <n v="31755"/>
    <s v="2.20"/>
    <s v="0.00"/>
    <s v="97.80"/>
  </r>
  <r>
    <x v="17"/>
    <x v="170"/>
    <n v="21998"/>
    <n v="1208"/>
    <n v="20442"/>
    <s v="5.49"/>
    <s v="0.00"/>
    <s v="94.51"/>
  </r>
  <r>
    <x v="17"/>
    <x v="169"/>
    <n v="73896"/>
    <n v="1878"/>
    <n v="19519"/>
    <s v="2.54"/>
    <s v="0.00"/>
    <s v="97.46"/>
  </r>
  <r>
    <x v="17"/>
    <x v="168"/>
    <n v="5509"/>
    <n v="92"/>
    <n v="259"/>
    <s v="1.67"/>
    <s v="0.00"/>
    <s v="98.33"/>
  </r>
  <r>
    <x v="17"/>
    <x v="167"/>
    <n v="6397"/>
    <n v="121"/>
    <n v="4948"/>
    <s v="1.89"/>
    <s v="0.00"/>
    <s v="98.11"/>
  </r>
  <r>
    <x v="17"/>
    <x v="166"/>
    <n v="457431"/>
    <n v="12917"/>
    <n v="254863"/>
    <s v="2.82"/>
    <s v="0.00"/>
    <s v="97.18"/>
  </r>
  <r>
    <x v="17"/>
    <x v="165"/>
    <n v="320620"/>
    <n v="4693"/>
    <n v="194621"/>
    <s v="1.46"/>
    <s v="0.00"/>
    <s v="98.54"/>
  </r>
  <r>
    <x v="17"/>
    <x v="164"/>
    <n v="175818"/>
    <n v="329"/>
    <n v="151745"/>
    <s v="0.19"/>
    <s v="0.00"/>
    <s v="99.81"/>
  </r>
  <r>
    <x v="17"/>
    <x v="163"/>
    <n v="1165996"/>
    <n v="14993"/>
    <n v="919920"/>
    <s v="1.29"/>
    <s v="0.00"/>
    <s v="98.71"/>
  </r>
  <r>
    <x v="17"/>
    <x v="162"/>
    <n v="40433"/>
    <n v="3099"/>
    <n v="19013"/>
    <s v="7.66"/>
    <s v="0.00"/>
    <s v="92.34"/>
  </r>
  <r>
    <x v="17"/>
    <x v="161"/>
    <n v="22135"/>
    <n v="119"/>
    <n v="20721"/>
    <s v="0.54"/>
    <s v="0.00"/>
    <s v="99.46"/>
  </r>
  <r>
    <x v="17"/>
    <x v="160"/>
    <n v="20"/>
    <n v="0"/>
    <n v="5"/>
    <s v="0.00"/>
    <s v="0.00"/>
    <s v="100.00"/>
  </r>
  <r>
    <x v="17"/>
    <x v="159"/>
    <n v="548303"/>
    <n v="8780"/>
    <n v="226490"/>
    <s v="1.60"/>
    <s v="0.00"/>
    <s v="98.40"/>
  </r>
  <r>
    <x v="17"/>
    <x v="158"/>
    <n v="99431"/>
    <n v="1320"/>
    <n v="82609"/>
    <s v="1.33"/>
    <s v="0.00"/>
    <s v="98.67"/>
  </r>
  <r>
    <x v="17"/>
    <x v="157"/>
    <n v="8149946"/>
    <n v="227506"/>
    <n v="1229602"/>
    <s v="2.79"/>
    <s v="0.00"/>
    <s v="97.21"/>
  </r>
  <r>
    <x v="17"/>
    <x v="156"/>
    <n v="1104117"/>
    <n v="9571"/>
    <n v="805454"/>
    <s v="0.87"/>
    <s v="0.00"/>
    <s v="99.13"/>
  </r>
  <r>
    <x v="17"/>
    <x v="155"/>
    <n v="1571115"/>
    <n v="44980"/>
    <n v="578952"/>
    <s v="2.86"/>
    <s v="0.00"/>
    <s v="97.14"/>
  </r>
  <r>
    <x v="17"/>
    <x v="154"/>
    <n v="54438"/>
    <n v="372"/>
    <n v="31478"/>
    <s v="0.68"/>
    <s v="0.00"/>
    <s v="99.32"/>
  </r>
  <r>
    <x v="17"/>
    <x v="153"/>
    <n v="238640"/>
    <n v="609"/>
    <n v="120771"/>
    <s v="0.26"/>
    <s v="0.00"/>
    <s v="99.74"/>
  </r>
  <r>
    <x v="17"/>
    <x v="152"/>
    <n v="460754"/>
    <n v="16232"/>
    <n v="360009"/>
    <s v="3.52"/>
    <s v="0.00"/>
    <s v="96.48"/>
  </r>
  <r>
    <x v="17"/>
    <x v="151"/>
    <n v="8"/>
    <n v="0"/>
    <n v="8"/>
    <s v="0.00"/>
    <s v="0.00"/>
    <s v="100.00"/>
  </r>
  <r>
    <x v="17"/>
    <x v="150"/>
    <n v="1085451"/>
    <n v="18138"/>
    <n v="244284"/>
    <s v="1.67"/>
    <s v="0.00"/>
    <s v="98.33"/>
  </r>
  <r>
    <x v="17"/>
    <x v="149"/>
    <n v="451459"/>
    <n v="4636"/>
    <n v="328049"/>
    <s v="1.03"/>
    <s v="0.00"/>
    <s v="98.97"/>
  </r>
  <r>
    <x v="17"/>
    <x v="148"/>
    <n v="2975880"/>
    <n v="76447"/>
    <n v="1466856"/>
    <s v="2.57"/>
    <s v="0.00"/>
    <s v="97.43"/>
  </r>
  <r>
    <x v="17"/>
    <x v="147"/>
    <n v="1269806"/>
    <n v="28392"/>
    <n v="572792"/>
    <s v="2.24"/>
    <s v="0.00"/>
    <s v="97.76"/>
  </r>
  <r>
    <x v="17"/>
    <x v="146"/>
    <n v="2761307"/>
    <n v="41942"/>
    <n v="716455"/>
    <s v="1.52"/>
    <s v="0.00"/>
    <s v="98.48"/>
  </r>
  <r>
    <x v="17"/>
    <x v="145"/>
    <n v="27895"/>
    <n v="335"/>
    <n v="85"/>
    <s v="1.20"/>
    <s v="0.00"/>
    <s v="98.80"/>
  </r>
  <r>
    <x v="17"/>
    <x v="144"/>
    <n v="45506"/>
    <n v="635"/>
    <n v="22027"/>
    <s v="1.40"/>
    <s v="0.00"/>
    <s v="98.60"/>
  </r>
  <r>
    <x v="17"/>
    <x v="143"/>
    <n v="2196259"/>
    <n v="200083"/>
    <n v="1680094"/>
    <s v="9.11"/>
    <s v="0.00"/>
    <s v="90.89"/>
  </r>
  <r>
    <x v="17"/>
    <x v="142"/>
    <n v="471669"/>
    <n v="7310"/>
    <n v="459477"/>
    <s v="1.55"/>
    <s v="0.00"/>
    <s v="98.45"/>
  </r>
  <r>
    <x v="17"/>
    <x v="141"/>
    <n v="304183"/>
    <n v="4110"/>
    <n v="17413"/>
    <s v="1.35"/>
    <s v="0.00"/>
    <s v="98.65"/>
  </r>
  <r>
    <x v="17"/>
    <x v="140"/>
    <n v="5823"/>
    <n v="28"/>
    <n v="984"/>
    <s v="0.48"/>
    <s v="0.00"/>
    <s v="99.52"/>
  </r>
  <r>
    <x v="17"/>
    <x v="139"/>
    <n v="809729"/>
    <n v="11361"/>
    <n v="92123"/>
    <s v="1.40"/>
    <s v="0.00"/>
    <s v="98.60"/>
  </r>
  <r>
    <x v="17"/>
    <x v="138"/>
    <n v="201410"/>
    <n v="894"/>
    <n v="128573"/>
    <s v="0.44"/>
    <s v="0.00"/>
    <s v="99.56"/>
  </r>
  <r>
    <x v="17"/>
    <x v="137"/>
    <n v="2127556"/>
    <n v="18758"/>
    <n v="1578559"/>
    <s v="0.88"/>
    <s v="0.00"/>
    <s v="99.12"/>
  </r>
  <r>
    <x v="17"/>
    <x v="136"/>
    <n v="16241"/>
    <n v="207"/>
    <n v="6408"/>
    <s v="1.27"/>
    <s v="0.00"/>
    <s v="98.73"/>
  </r>
  <r>
    <x v="17"/>
    <x v="135"/>
    <n v="211171"/>
    <n v="2884"/>
    <n v="56179"/>
    <s v="1.37"/>
    <s v="0.00"/>
    <s v="98.63"/>
  </r>
  <r>
    <x v="17"/>
    <x v="134"/>
    <n v="6260"/>
    <n v="208"/>
    <n v="5734"/>
    <s v="3.32"/>
    <s v="0.00"/>
    <s v="96.68"/>
  </r>
  <r>
    <x v="17"/>
    <x v="133"/>
    <n v="10553"/>
    <n v="261"/>
    <n v="6413"/>
    <s v="2.47"/>
    <s v="0.00"/>
    <s v="97.53"/>
  </r>
  <r>
    <x v="17"/>
    <x v="132"/>
    <n v="128849"/>
    <n v="3550"/>
    <n v="38864"/>
    <s v="2.76"/>
    <s v="0.00"/>
    <s v="97.24"/>
  </r>
  <r>
    <x v="17"/>
    <x v="131"/>
    <n v="151226"/>
    <n v="1928"/>
    <n v="12031"/>
    <s v="1.27"/>
    <s v="0.00"/>
    <s v="98.73"/>
  </r>
  <r>
    <x v="17"/>
    <x v="130"/>
    <n v="2436498"/>
    <n v="28492"/>
    <n v="232991"/>
    <s v="1.17"/>
    <s v="0.00"/>
    <s v="98.83"/>
  </r>
  <r>
    <x v="17"/>
    <x v="129"/>
    <n v="3784448"/>
    <n v="286496"/>
    <n v="873237"/>
    <s v="7.57"/>
    <s v="0.00"/>
    <s v="92.43"/>
  </r>
  <r>
    <x v="17"/>
    <x v="128"/>
    <n v="61765"/>
    <n v="2296"/>
    <n v="37059"/>
    <s v="3.72"/>
    <s v="0.00"/>
    <s v="96.28"/>
  </r>
  <r>
    <x v="17"/>
    <x v="127"/>
    <n v="87071"/>
    <n v="240"/>
    <n v="38886"/>
    <s v="0.28"/>
    <s v="0.00"/>
    <s v="99.72"/>
  </r>
  <r>
    <x v="17"/>
    <x v="126"/>
    <n v="17143"/>
    <n v="153"/>
    <n v="1179"/>
    <s v="0.89"/>
    <s v="0.00"/>
    <s v="99.11"/>
  </r>
  <r>
    <x v="17"/>
    <x v="125"/>
    <n v="37564"/>
    <n v="460"/>
    <n v="24619"/>
    <s v="1.22"/>
    <s v="0.00"/>
    <s v="98.78"/>
  </r>
  <r>
    <x v="17"/>
    <x v="124"/>
    <n v="36989"/>
    <n v="792"/>
    <n v="14720"/>
    <s v="2.14"/>
    <s v="0.00"/>
    <s v="97.86"/>
  </r>
  <r>
    <x v="17"/>
    <x v="123"/>
    <n v="42820"/>
    <n v="673"/>
    <n v="32760"/>
    <s v="1.57"/>
    <s v="0.00"/>
    <s v="98.43"/>
  </r>
  <r>
    <x v="17"/>
    <x v="122"/>
    <n v="77"/>
    <n v="0"/>
    <n v="17"/>
    <s v="0.00"/>
    <s v="0.00"/>
    <s v="100.00"/>
  </r>
  <r>
    <x v="17"/>
    <x v="121"/>
    <n v="351835"/>
    <n v="1677"/>
    <n v="194085"/>
    <s v="0.48"/>
    <s v="0.00"/>
    <s v="99.52"/>
  </r>
  <r>
    <x v="17"/>
    <x v="120"/>
    <n v="494974"/>
    <n v="18560"/>
    <n v="253187"/>
    <s v="3.75"/>
    <s v="0.00"/>
    <s v="96.25"/>
  </r>
  <r>
    <x v="17"/>
    <x v="119"/>
    <n v="15866"/>
    <n v="559"/>
    <n v="10806"/>
    <s v="3.52"/>
    <s v="0.00"/>
    <s v="96.48"/>
  </r>
  <r>
    <x v="17"/>
    <x v="118"/>
    <n v="199901"/>
    <n v="7062"/>
    <n v="107805"/>
    <s v="3.53"/>
    <s v="0.00"/>
    <s v="96.47"/>
  </r>
  <r>
    <x v="17"/>
    <x v="117"/>
    <n v="4"/>
    <n v="0"/>
    <n v="1"/>
    <s v="0.00"/>
    <s v="0.00"/>
    <s v="100.00"/>
  </r>
  <r>
    <x v="17"/>
    <x v="116"/>
    <n v="43622"/>
    <n v="960"/>
    <n v="32928"/>
    <s v="2.20"/>
    <s v="0.00"/>
    <s v="97.80"/>
  </r>
  <r>
    <x v="17"/>
    <x v="115"/>
    <n v="3888"/>
    <n v="55"/>
    <n v="372"/>
    <s v="1.41"/>
    <s v="0.00"/>
    <s v="98.59"/>
  </r>
  <r>
    <x v="17"/>
    <x v="114"/>
    <n v="141292"/>
    <n v="2071"/>
    <n v="14653"/>
    <s v="1.47"/>
    <s v="0.00"/>
    <s v="98.53"/>
  </r>
  <r>
    <x v="17"/>
    <x v="113"/>
    <n v="329294"/>
    <n v="7535"/>
    <n v="232599"/>
    <s v="2.29"/>
    <s v="0.00"/>
    <s v="97.71"/>
  </r>
  <r>
    <x v="17"/>
    <x v="112"/>
    <n v="3394"/>
    <n v="36"/>
    <n v="401"/>
    <s v="1.06"/>
    <s v="0.00"/>
    <s v="98.94"/>
  </r>
  <r>
    <x v="17"/>
    <x v="111"/>
    <n v="944378"/>
    <n v="14621"/>
    <n v="383863"/>
    <s v="1.55"/>
    <s v="0.00"/>
    <s v="98.45"/>
  </r>
  <r>
    <x v="17"/>
    <x v="110"/>
    <n v="354215"/>
    <n v="5028"/>
    <n v="163425"/>
    <s v="1.42"/>
    <s v="0.00"/>
    <s v="98.58"/>
  </r>
  <r>
    <x v="17"/>
    <x v="109"/>
    <n v="203460"/>
    <n v="3049"/>
    <n v="21489"/>
    <s v="1.50"/>
    <s v="0.00"/>
    <s v="98.50"/>
  </r>
  <r>
    <x v="17"/>
    <x v="108"/>
    <n v="80603"/>
    <n v="842"/>
    <n v="47311"/>
    <s v="1.04"/>
    <s v="0.00"/>
    <s v="98.96"/>
  </r>
  <r>
    <x v="17"/>
    <x v="107"/>
    <n v="390031"/>
    <n v="5661"/>
    <n v="260464"/>
    <s v="1.45"/>
    <s v="0.00"/>
    <s v="98.55"/>
  </r>
  <r>
    <x v="17"/>
    <x v="106"/>
    <n v="21587"/>
    <n v="656"/>
    <n v="20789"/>
    <s v="3.04"/>
    <s v="0.00"/>
    <s v="96.96"/>
  </r>
  <r>
    <x v="17"/>
    <x v="105"/>
    <n v="5811"/>
    <n v="287"/>
    <n v="1894"/>
    <s v="4.94"/>
    <s v="0.00"/>
    <s v="95.06"/>
  </r>
  <r>
    <x v="17"/>
    <x v="104"/>
    <n v="536645"/>
    <n v="13640"/>
    <n v="302692"/>
    <s v="2.54"/>
    <s v="0.00"/>
    <s v="97.46"/>
  </r>
  <r>
    <x v="17"/>
    <x v="103"/>
    <n v="3629"/>
    <n v="60"/>
    <n v="2584"/>
    <s v="1.65"/>
    <s v="0.00"/>
    <s v="98.35"/>
  </r>
  <r>
    <x v="17"/>
    <x v="102"/>
    <n v="12433"/>
    <n v="250"/>
    <n v="12138"/>
    <s v="2.01"/>
    <s v="0.00"/>
    <s v="97.99"/>
  </r>
  <r>
    <x v="17"/>
    <x v="101"/>
    <n v="638054"/>
    <n v="8459"/>
    <n v="180731"/>
    <s v="1.33"/>
    <s v="0.00"/>
    <s v="98.67"/>
  </r>
  <r>
    <x v="17"/>
    <x v="100"/>
    <n v="36248"/>
    <n v="53"/>
    <n v="20086"/>
    <s v="0.15"/>
    <s v="0.00"/>
    <s v="99.85"/>
  </r>
  <r>
    <x v="17"/>
    <x v="99"/>
    <n v="1009918"/>
    <n v="16957"/>
    <n v="933010"/>
    <s v="1.68"/>
    <s v="0.00"/>
    <s v="98.32"/>
  </r>
  <r>
    <x v="17"/>
    <x v="98"/>
    <n v="412557"/>
    <n v="2461"/>
    <n v="132935"/>
    <s v="0.60"/>
    <s v="0.00"/>
    <s v="99.40"/>
  </r>
  <r>
    <x v="17"/>
    <x v="97"/>
    <n v="354355"/>
    <n v="2788"/>
    <n v="214177"/>
    <s v="0.79"/>
    <s v="0.00"/>
    <s v="99.21"/>
  </r>
  <r>
    <x v="17"/>
    <x v="96"/>
    <n v="2637"/>
    <n v="21"/>
    <n v="1539"/>
    <s v="0.80"/>
    <s v="0.00"/>
    <s v="99.20"/>
  </r>
  <r>
    <x v="17"/>
    <x v="95"/>
    <n v="4219"/>
    <n v="147"/>
    <n v="2839"/>
    <s v="3.48"/>
    <s v="0.00"/>
    <s v="96.52"/>
  </r>
  <r>
    <x v="17"/>
    <x v="93"/>
    <n v="117888"/>
    <n v="2743"/>
    <n v="47887"/>
    <s v="2.33"/>
    <s v="0.00"/>
    <s v="97.67"/>
  </r>
  <r>
    <x v="17"/>
    <x v="94"/>
    <n v="2"/>
    <n v="0"/>
    <n v="2"/>
    <s v="0.00"/>
    <s v="0.00"/>
    <s v="100.00"/>
  </r>
  <r>
    <x v="17"/>
    <x v="92"/>
    <n v="180629"/>
    <n v="2655"/>
    <n v="122075"/>
    <s v="1.47"/>
    <s v="0.00"/>
    <s v="98.53"/>
  </r>
  <r>
    <x v="17"/>
    <x v="91"/>
    <n v="252688"/>
    <n v="5260"/>
    <n v="63406"/>
    <s v="2.08"/>
    <s v="0.00"/>
    <s v="97.92"/>
  </r>
  <r>
    <x v="17"/>
    <x v="90"/>
    <n v="1717851"/>
    <n v="18214"/>
    <n v="454206"/>
    <s v="1.06"/>
    <s v="0.00"/>
    <s v="98.94"/>
  </r>
  <r>
    <x v="17"/>
    <x v="89"/>
    <n v="853012"/>
    <n v="10965"/>
    <n v="226398"/>
    <s v="1.29"/>
    <s v="0.00"/>
    <s v="98.71"/>
  </r>
  <r>
    <x v="17"/>
    <x v="88"/>
    <n v="88431"/>
    <n v="2183"/>
    <n v="50463"/>
    <s v="2.47"/>
    <s v="0.00"/>
    <s v="97.53"/>
  </r>
  <r>
    <x v="17"/>
    <x v="87"/>
    <n v="4743720"/>
    <n v="131856"/>
    <n v="2265122"/>
    <s v="2.78"/>
    <s v="0.00"/>
    <s v="97.22"/>
  </r>
  <r>
    <x v="17"/>
    <x v="86"/>
    <n v="13142"/>
    <n v="33"/>
    <n v="2263"/>
    <s v="0.25"/>
    <s v="0.00"/>
    <s v="99.75"/>
  </r>
  <r>
    <x v="17"/>
    <x v="85"/>
    <n v="5868360"/>
    <n v="125363"/>
    <n v="3452389"/>
    <s v="2.14"/>
    <s v="0.00"/>
    <s v="97.86"/>
  </r>
  <r>
    <x v="17"/>
    <x v="84"/>
    <n v="2047811"/>
    <n v="22993"/>
    <n v="1086150"/>
    <s v="1.12"/>
    <s v="0.00"/>
    <s v="98.88"/>
  </r>
  <r>
    <x v="17"/>
    <x v="83"/>
    <n v="34202202"/>
    <n v="455068"/>
    <n v="22931491"/>
    <s v="1.33"/>
    <s v="0.00"/>
    <s v="98.67"/>
  </r>
  <r>
    <x v="17"/>
    <x v="82"/>
    <n v="1324040"/>
    <n v="8062"/>
    <n v="549614"/>
    <s v="0.61"/>
    <s v="0.00"/>
    <s v="99.39"/>
  </r>
  <r>
    <x v="17"/>
    <x v="81"/>
    <n v="431722"/>
    <n v="5369"/>
    <n v="107785"/>
    <s v="1.24"/>
    <s v="0.00"/>
    <s v="98.76"/>
  </r>
  <r>
    <x v="17"/>
    <x v="80"/>
    <n v="4240479"/>
    <n v="143235"/>
    <n v="2183609"/>
    <s v="3.38"/>
    <s v="0.00"/>
    <s v="96.62"/>
  </r>
  <r>
    <x v="17"/>
    <x v="79"/>
    <n v="850513"/>
    <n v="30567"/>
    <n v="24467"/>
    <s v="3.59"/>
    <s v="0.00"/>
    <s v="96.41"/>
  </r>
  <r>
    <x v="17"/>
    <x v="78"/>
    <n v="23619"/>
    <n v="662"/>
    <n v="4673"/>
    <s v="2.80"/>
    <s v="0.00"/>
    <s v="97.20"/>
  </r>
  <r>
    <x v="17"/>
    <x v="77"/>
    <n v="446005"/>
    <n v="9060"/>
    <n v="288556"/>
    <s v="2.03"/>
    <s v="0.00"/>
    <s v="97.97"/>
  </r>
  <r>
    <x v="17"/>
    <x v="76"/>
    <n v="374148"/>
    <n v="10191"/>
    <n v="18677"/>
    <s v="2.72"/>
    <s v="0.00"/>
    <s v="97.28"/>
  </r>
  <r>
    <x v="17"/>
    <x v="75"/>
    <n v="12327"/>
    <n v="213"/>
    <n v="10050"/>
    <s v="1.73"/>
    <s v="0.00"/>
    <s v="98.27"/>
  </r>
  <r>
    <x v="17"/>
    <x v="74"/>
    <n v="35104"/>
    <n v="897"/>
    <n v="23272"/>
    <s v="2.56"/>
    <s v="0.00"/>
    <s v="97.44"/>
  </r>
  <r>
    <x v="17"/>
    <x v="73"/>
    <n v="6131"/>
    <n v="141"/>
    <n v="5786"/>
    <s v="2.30"/>
    <s v="0.00"/>
    <s v="97.70"/>
  </r>
  <r>
    <x v="17"/>
    <x v="72"/>
    <n v="595067"/>
    <n v="14748"/>
    <n v="390524"/>
    <s v="2.48"/>
    <s v="0.00"/>
    <s v="97.52"/>
  </r>
  <r>
    <x v="17"/>
    <x v="71"/>
    <n v="720295"/>
    <n v="15682"/>
    <n v="493210"/>
    <s v="2.18"/>
    <s v="0.00"/>
    <s v="97.82"/>
  </r>
  <r>
    <x v="17"/>
    <x v="70"/>
    <n v="13166"/>
    <n v="163"/>
    <n v="1562"/>
    <s v="1.24"/>
    <s v="0.00"/>
    <s v="98.76"/>
  </r>
  <r>
    <x v="17"/>
    <x v="69"/>
    <n v="54095"/>
    <n v="809"/>
    <n v="23109"/>
    <s v="1.50"/>
    <s v="0.00"/>
    <s v="98.50"/>
  </r>
  <r>
    <x v="17"/>
    <x v="67"/>
    <n v="9956"/>
    <n v="339"/>
    <n v="1134"/>
    <s v="3.40"/>
    <s v="0.00"/>
    <s v="96.60"/>
  </r>
  <r>
    <x v="17"/>
    <x v="68"/>
    <n v="30642"/>
    <n v="385"/>
    <n v="16436"/>
    <s v="1.26"/>
    <s v="0.00"/>
    <s v="98.74"/>
  </r>
  <r>
    <x v="17"/>
    <x v="66"/>
    <n v="5887"/>
    <n v="98"/>
    <n v="4337"/>
    <s v="1.66"/>
    <s v="0.00"/>
    <s v="98.34"/>
  </r>
  <r>
    <x v="17"/>
    <x v="65"/>
    <n v="129948"/>
    <n v="1172"/>
    <n v="52020"/>
    <s v="0.90"/>
    <s v="0.00"/>
    <s v="99.10"/>
  </r>
  <r>
    <x v="17"/>
    <x v="64"/>
    <n v="43938"/>
    <n v="298"/>
    <n v="29609"/>
    <s v="0.68"/>
    <s v="0.00"/>
    <s v="99.32"/>
  </r>
  <r>
    <x v="17"/>
    <x v="62"/>
    <n v="5817"/>
    <n v="196"/>
    <n v="403"/>
    <s v="3.37"/>
    <s v="0.00"/>
    <s v="96.63"/>
  </r>
  <r>
    <x v="17"/>
    <x v="63"/>
    <n v="694182"/>
    <n v="9788"/>
    <n v="263588"/>
    <s v="1.41"/>
    <s v="0.00"/>
    <s v="98.59"/>
  </r>
  <r>
    <x v="17"/>
    <x v="61"/>
    <n v="8845217"/>
    <n v="139892"/>
    <n v="7758077"/>
    <s v="1.58"/>
    <s v="0.00"/>
    <s v="98.42"/>
  </r>
  <r>
    <x v="17"/>
    <x v="60"/>
    <n v="34898"/>
    <n v="230"/>
    <n v="12591"/>
    <s v="0.66"/>
    <s v="0.00"/>
    <s v="99.34"/>
  </r>
  <r>
    <x v="17"/>
    <x v="59"/>
    <n v="6950937"/>
    <n v="115161"/>
    <n v="2187583"/>
    <s v="1.66"/>
    <s v="0.00"/>
    <s v="98.34"/>
  </r>
  <r>
    <x v="17"/>
    <x v="58"/>
    <n v="1615"/>
    <n v="2"/>
    <n v="1337"/>
    <s v="0.12"/>
    <s v="0.00"/>
    <s v="99.88"/>
  </r>
  <r>
    <x v="17"/>
    <x v="57"/>
    <n v="52028"/>
    <n v="673"/>
    <n v="11315"/>
    <s v="1.29"/>
    <s v="0.00"/>
    <s v="98.71"/>
  </r>
  <r>
    <x v="17"/>
    <x v="56"/>
    <n v="154888"/>
    <n v="1150"/>
    <n v="41579"/>
    <s v="0.74"/>
    <s v="0.00"/>
    <s v="99.26"/>
  </r>
  <r>
    <x v="17"/>
    <x v="55"/>
    <n v="362672"/>
    <n v="6377"/>
    <n v="192763"/>
    <s v="1.76"/>
    <s v="0.00"/>
    <s v="98.24"/>
  </r>
  <r>
    <x v="17"/>
    <x v="54"/>
    <n v="5002217"/>
    <n v="87186"/>
    <n v="4128882"/>
    <s v="1.74"/>
    <s v="0.00"/>
    <s v="98.26"/>
  </r>
  <r>
    <x v="17"/>
    <x v="53"/>
    <n v="6795"/>
    <n v="45"/>
    <n v="4051"/>
    <s v="0.66"/>
    <s v="0.00"/>
    <s v="99.34"/>
  </r>
  <r>
    <x v="17"/>
    <x v="52"/>
    <n v="325508"/>
    <n v="18333"/>
    <n v="2367"/>
    <s v="5.63"/>
    <s v="0.00"/>
    <s v="94.37"/>
  </r>
  <r>
    <x v="17"/>
    <x v="51"/>
    <n v="183320"/>
    <n v="1469"/>
    <n v="66210"/>
    <s v="0.80"/>
    <s v="0.00"/>
    <s v="99.20"/>
  </r>
  <r>
    <x v="17"/>
    <x v="50"/>
    <n v="515659"/>
    <n v="32953"/>
    <n v="208443"/>
    <s v="6.39"/>
    <s v="0.00"/>
    <s v="93.61"/>
  </r>
  <r>
    <x v="17"/>
    <x v="49"/>
    <n v="205903"/>
    <n v="5894"/>
    <n v="43300"/>
    <s v="2.86"/>
    <s v="0.00"/>
    <s v="97.14"/>
  </r>
  <r>
    <x v="17"/>
    <x v="48"/>
    <n v="376736"/>
    <n v="4110"/>
    <n v="107644"/>
    <s v="1.09"/>
    <s v="0.00"/>
    <s v="98.91"/>
  </r>
  <r>
    <x v="17"/>
    <x v="47"/>
    <n v="4574"/>
    <n v="30"/>
    <n v="3360"/>
    <s v="0.66"/>
    <s v="0.00"/>
    <s v="99.34"/>
  </r>
  <r>
    <x v="17"/>
    <x v="46"/>
    <n v="378571"/>
    <n v="2699"/>
    <n v="124865"/>
    <s v="0.71"/>
    <s v="0.00"/>
    <s v="99.29"/>
  </r>
  <r>
    <x v="17"/>
    <x v="45"/>
    <n v="13458"/>
    <n v="181"/>
    <n v="12638"/>
    <s v="1.34"/>
    <s v="0.00"/>
    <s v="98.66"/>
  </r>
  <r>
    <x v="17"/>
    <x v="44"/>
    <n v="4485437"/>
    <n v="95148"/>
    <n v="2995"/>
    <s v="2.12"/>
    <s v="0.00"/>
    <s v="97.88"/>
  </r>
  <r>
    <x v="17"/>
    <x v="43"/>
    <n v="1731287"/>
    <n v="30625"/>
    <n v="413903"/>
    <s v="1.77"/>
    <s v="0.00"/>
    <s v="98.23"/>
  </r>
  <r>
    <x v="17"/>
    <x v="42"/>
    <n v="123357"/>
    <n v="571"/>
    <n v="118107"/>
    <s v="0.46"/>
    <s v="0.00"/>
    <s v="99.54"/>
  </r>
  <r>
    <x v="17"/>
    <x v="41"/>
    <n v="38148"/>
    <n v="349"/>
    <n v="25736"/>
    <s v="0.91"/>
    <s v="0.00"/>
    <s v="99.09"/>
  </r>
  <r>
    <x v="17"/>
    <x v="40"/>
    <n v="946960"/>
    <n v="8191"/>
    <n v="29904"/>
    <s v="0.86"/>
    <s v="0.00"/>
    <s v="99.14"/>
  </r>
  <r>
    <x v="17"/>
    <x v="39"/>
    <n v="557165"/>
    <n v="6983"/>
    <n v="20822"/>
    <s v="1.25"/>
    <s v="0.00"/>
    <s v="98.75"/>
  </r>
  <r>
    <x v="17"/>
    <x v="38"/>
    <n v="4992586"/>
    <n v="127099"/>
    <n v="3500226"/>
    <s v="2.55"/>
    <s v="0.00"/>
    <s v="97.45"/>
  </r>
  <r>
    <x v="17"/>
    <x v="37"/>
    <n v="96860"/>
    <n v="4636"/>
    <n v="4982"/>
    <s v="4.79"/>
    <s v="0.00"/>
    <s v="95.21"/>
  </r>
  <r>
    <x v="17"/>
    <x v="36"/>
    <n v="100289"/>
    <n v="1600"/>
    <n v="91705"/>
    <s v="1.60"/>
    <s v="0.00"/>
    <s v="98.40"/>
  </r>
  <r>
    <x v="17"/>
    <x v="35"/>
    <n v="1683451"/>
    <n v="37685"/>
    <n v="625094"/>
    <s v="2.24"/>
    <s v="0.00"/>
    <s v="97.76"/>
  </r>
  <r>
    <x v="17"/>
    <x v="34"/>
    <n v="61208"/>
    <n v="690"/>
    <n v="55593"/>
    <s v="1.13"/>
    <s v="0.00"/>
    <s v="98.87"/>
  </r>
  <r>
    <x v="17"/>
    <x v="33"/>
    <n v="865708"/>
    <n v="11193"/>
    <n v="571658"/>
    <s v="1.29"/>
    <s v="0.00"/>
    <s v="98.71"/>
  </r>
  <r>
    <x v="17"/>
    <x v="32"/>
    <n v="16868"/>
    <n v="249"/>
    <n v="13977"/>
    <s v="1.48"/>
    <s v="0.00"/>
    <s v="98.52"/>
  </r>
  <r>
    <x v="17"/>
    <x v="31"/>
    <n v="11518"/>
    <n v="100"/>
    <n v="8158"/>
    <s v="0.87"/>
    <s v="0.00"/>
    <s v="99.13"/>
  </r>
  <r>
    <x v="17"/>
    <x v="30"/>
    <n v="57453"/>
    <n v="1091"/>
    <n v="25264"/>
    <s v="1.90"/>
    <s v="0.00"/>
    <s v="98.10"/>
  </r>
  <r>
    <x v="17"/>
    <x v="29"/>
    <n v="1710785"/>
    <n v="28858"/>
    <n v="913563"/>
    <s v="1.69"/>
    <s v="0.00"/>
    <s v="98.31"/>
  </r>
  <r>
    <x v="17"/>
    <x v="28"/>
    <n v="25881"/>
    <n v="476"/>
    <n v="17541"/>
    <s v="1.84"/>
    <s v="0.00"/>
    <s v="98.16"/>
  </r>
  <r>
    <x v="17"/>
    <x v="27"/>
    <n v="588231"/>
    <n v="4530"/>
    <n v="336646"/>
    <s v="0.77"/>
    <s v="0.00"/>
    <s v="99.23"/>
  </r>
  <r>
    <x v="17"/>
    <x v="26"/>
    <n v="185985"/>
    <n v="2402"/>
    <n v="172315"/>
    <s v="1.29"/>
    <s v="0.00"/>
    <s v="98.71"/>
  </r>
  <r>
    <x v="17"/>
    <x v="25"/>
    <n v="2617"/>
    <n v="3"/>
    <n v="1349"/>
    <s v="0.11"/>
    <s v="0.00"/>
    <s v="99.89"/>
  </r>
  <r>
    <x v="17"/>
    <x v="24"/>
    <n v="22259"/>
    <n v="642"/>
    <n v="11712"/>
    <s v="2.88"/>
    <s v="0.00"/>
    <s v="97.12"/>
  </r>
  <r>
    <x v="17"/>
    <x v="23"/>
    <n v="21735560"/>
    <n v="605804"/>
    <n v="16077107"/>
    <s v="2.79"/>
    <s v="0.00"/>
    <s v="97.21"/>
  </r>
  <r>
    <x v="17"/>
    <x v="22"/>
    <n v="509919"/>
    <n v="18901"/>
    <n v="42829"/>
    <s v="3.71"/>
    <s v="0.00"/>
    <s v="96.29"/>
  </r>
  <r>
    <x v="17"/>
    <x v="21"/>
    <n v="12384"/>
    <n v="81"/>
    <n v="11946"/>
    <s v="0.65"/>
    <s v="0.00"/>
    <s v="99.35"/>
  </r>
  <r>
    <x v="17"/>
    <x v="20"/>
    <n v="1659"/>
    <n v="6"/>
    <n v="355"/>
    <s v="0.36"/>
    <s v="0.00"/>
    <s v="99.64"/>
  </r>
  <r>
    <x v="17"/>
    <x v="19"/>
    <n v="24678"/>
    <n v="161"/>
    <n v="22396"/>
    <s v="0.65"/>
    <s v="0.00"/>
    <s v="99.35"/>
  </r>
  <r>
    <x v="17"/>
    <x v="18"/>
    <n v="19945"/>
    <n v="38"/>
    <n v="1898"/>
    <s v="0.19"/>
    <s v="0.00"/>
    <s v="99.81"/>
  </r>
  <r>
    <x v="17"/>
    <x v="17"/>
    <n v="276608"/>
    <n v="1393"/>
    <n v="33579"/>
    <s v="0.50"/>
    <s v="0.00"/>
    <s v="99.50"/>
  </r>
  <r>
    <x v="17"/>
    <x v="16"/>
    <n v="575306"/>
    <n v="23316"/>
    <n v="293200"/>
    <s v="4.05"/>
    <s v="0.00"/>
    <s v="95.95"/>
  </r>
  <r>
    <x v="17"/>
    <x v="15"/>
    <n v="14793"/>
    <n v="214"/>
    <n v="12806"/>
    <s v="1.45"/>
    <s v="0.00"/>
    <s v="98.55"/>
  </r>
  <r>
    <x v="17"/>
    <x v="14"/>
    <n v="1328202"/>
    <n v="25889"/>
    <n v="1257206"/>
    <s v="1.95"/>
    <s v="0.00"/>
    <s v="98.05"/>
  </r>
  <r>
    <x v="17"/>
    <x v="13"/>
    <n v="1567981"/>
    <n v="27828"/>
    <n v="1145745"/>
    <s v="1.77"/>
    <s v="0.00"/>
    <s v="98.23"/>
  </r>
  <r>
    <x v="17"/>
    <x v="12"/>
    <n v="15588"/>
    <n v="139"/>
    <n v="12950"/>
    <s v="0.89"/>
    <s v="0.00"/>
    <s v="99.11"/>
  </r>
  <r>
    <x v="17"/>
    <x v="11"/>
    <n v="249349"/>
    <n v="11397"/>
    <n v="149715"/>
    <s v="4.57"/>
    <s v="0.00"/>
    <s v="95.43"/>
  </r>
  <r>
    <x v="17"/>
    <x v="10"/>
    <n v="517802"/>
    <n v="6915"/>
    <n v="321570"/>
    <s v="1.34"/>
    <s v="0.00"/>
    <s v="98.66"/>
  </r>
  <r>
    <x v="17"/>
    <x v="9"/>
    <n v="162016"/>
    <n v="1653"/>
    <n v="34976"/>
    <s v="1.02"/>
    <s v="0.00"/>
    <s v="98.98"/>
  </r>
  <r>
    <x v="17"/>
    <x v="8"/>
    <n v="801456"/>
    <n v="11261"/>
    <n v="432112"/>
    <s v="1.41"/>
    <s v="0.00"/>
    <s v="98.59"/>
  </r>
  <r>
    <x v="17"/>
    <x v="7"/>
    <n v="5281585"/>
    <n v="115851"/>
    <n v="851177"/>
    <s v="2.19"/>
    <s v="0.00"/>
    <s v="97.81"/>
  </r>
  <r>
    <x v="17"/>
    <x v="6"/>
    <n v="63930"/>
    <n v="1701"/>
    <n v="46245"/>
    <s v="2.66"/>
    <s v="0.00"/>
    <s v="97.34"/>
  </r>
  <r>
    <x v="17"/>
    <x v="5"/>
    <n v="296552"/>
    <n v="6055"/>
    <n v="24743"/>
    <s v="2.04"/>
    <s v="0.00"/>
    <s v="97.96"/>
  </r>
  <r>
    <x v="17"/>
    <x v="4"/>
    <n v="181960"/>
    <n v="2880"/>
    <n v="173845"/>
    <s v="1.58"/>
    <s v="0.00"/>
    <s v="98.42"/>
  </r>
  <r>
    <x v="17"/>
    <x v="3"/>
    <n v="4031"/>
    <n v="99"/>
    <n v="1367"/>
    <s v="2.46"/>
    <s v="0.00"/>
    <s v="97.54"/>
  </r>
  <r>
    <x v="17"/>
    <x v="2"/>
    <n v="156040"/>
    <n v="7260"/>
    <n v="58199"/>
    <s v="4.65"/>
    <s v="0.00"/>
    <s v="95.35"/>
  </r>
  <r>
    <x v="17"/>
    <x v="1"/>
    <n v="739381"/>
    <n v="2131"/>
    <n v="176481"/>
    <s v="0.29"/>
    <s v="0.00"/>
    <s v="99.71"/>
  </r>
  <r>
    <x v="17"/>
    <x v="0"/>
    <n v="15425"/>
    <n v="130"/>
    <n v="10741"/>
    <s v="0.84"/>
    <s v="0.00"/>
    <s v="99.16"/>
  </r>
  <r>
    <x v="18"/>
    <x v="0"/>
    <n v="15404"/>
    <n v="130"/>
    <n v="1378"/>
    <s v="0.84"/>
    <s v="0.00"/>
    <s v="99.16"/>
  </r>
  <r>
    <x v="18"/>
    <x v="1"/>
    <n v="739284"/>
    <n v="2130"/>
    <n v="711707"/>
    <s v="0.29"/>
    <s v="0.00"/>
    <s v="99.71"/>
  </r>
  <r>
    <x v="18"/>
    <x v="2"/>
    <n v="155944"/>
    <n v="7255"/>
    <n v="91385"/>
    <s v="4.65"/>
    <s v="0.00"/>
    <s v="95.35"/>
  </r>
  <r>
    <x v="18"/>
    <x v="3"/>
    <n v="4019"/>
    <n v="99"/>
    <n v="2389"/>
    <s v="2.46"/>
    <s v="0.00"/>
    <s v="97.54"/>
  </r>
  <r>
    <x v="18"/>
    <x v="4"/>
    <n v="181696"/>
    <n v="2874"/>
    <n v="116119"/>
    <s v="1.58"/>
    <s v="0.00"/>
    <s v="98.42"/>
  </r>
  <r>
    <x v="18"/>
    <x v="5"/>
    <n v="295368"/>
    <n v="6013"/>
    <n v="266017"/>
    <s v="2.04"/>
    <s v="0.00"/>
    <s v="97.96"/>
  </r>
  <r>
    <x v="18"/>
    <x v="6"/>
    <n v="63861"/>
    <n v="1697"/>
    <n v="50971"/>
    <s v="2.66"/>
    <s v="0.00"/>
    <s v="97.34"/>
  </r>
  <r>
    <x v="18"/>
    <x v="7"/>
    <n v="5280358"/>
    <n v="115826"/>
    <n v="4853801"/>
    <s v="2.19"/>
    <s v="0.00"/>
    <s v="97.81"/>
  </r>
  <r>
    <x v="18"/>
    <x v="8"/>
    <n v="798606"/>
    <n v="11251"/>
    <n v="350801"/>
    <s v="1.41"/>
    <s v="0.00"/>
    <s v="98.59"/>
  </r>
  <r>
    <x v="18"/>
    <x v="9"/>
    <n v="160230"/>
    <n v="1648"/>
    <n v="142537"/>
    <s v="1.03"/>
    <s v="0.00"/>
    <s v="98.97"/>
  </r>
  <r>
    <x v="18"/>
    <x v="10"/>
    <n v="516325"/>
    <n v="6894"/>
    <n v="313675"/>
    <s v="1.34"/>
    <s v="0.00"/>
    <s v="98.66"/>
  </r>
  <r>
    <x v="18"/>
    <x v="11"/>
    <n v="247958"/>
    <n v="11322"/>
    <n v="144108"/>
    <s v="4.57"/>
    <s v="0.00"/>
    <s v="95.43"/>
  </r>
  <r>
    <x v="18"/>
    <x v="12"/>
    <n v="15341"/>
    <n v="130"/>
    <n v="15059"/>
    <s v="0.85"/>
    <s v="0.00"/>
    <s v="99.15"/>
  </r>
  <r>
    <x v="18"/>
    <x v="13"/>
    <n v="1567692"/>
    <n v="27823"/>
    <n v="395640"/>
    <s v="1.77"/>
    <s v="0.00"/>
    <s v="98.23"/>
  </r>
  <r>
    <x v="18"/>
    <x v="14"/>
    <n v="1312360"/>
    <n v="25846"/>
    <n v="285678"/>
    <s v="1.97"/>
    <s v="0.00"/>
    <s v="98.03"/>
  </r>
  <r>
    <x v="18"/>
    <x v="15"/>
    <n v="14793"/>
    <n v="214"/>
    <n v="12483"/>
    <s v="1.45"/>
    <s v="0.00"/>
    <s v="98.55"/>
  </r>
  <r>
    <x v="18"/>
    <x v="16"/>
    <n v="569443"/>
    <n v="23073"/>
    <n v="160213"/>
    <s v="4.05"/>
    <s v="0.00"/>
    <s v="95.95"/>
  </r>
  <r>
    <x v="18"/>
    <x v="17"/>
    <n v="276571"/>
    <n v="1393"/>
    <n v="212936"/>
    <s v="0.50"/>
    <s v="0.00"/>
    <s v="99.50"/>
  </r>
  <r>
    <x v="18"/>
    <x v="18"/>
    <n v="19894"/>
    <n v="38"/>
    <n v="15685"/>
    <s v="0.19"/>
    <s v="0.00"/>
    <s v="99.81"/>
  </r>
  <r>
    <x v="18"/>
    <x v="19"/>
    <n v="24560"/>
    <n v="161"/>
    <n v="4749"/>
    <s v="0.66"/>
    <s v="0.00"/>
    <s v="99.34"/>
  </r>
  <r>
    <x v="18"/>
    <x v="20"/>
    <n v="1659"/>
    <n v="6"/>
    <n v="952"/>
    <s v="0.36"/>
    <s v="0.00"/>
    <s v="99.64"/>
  </r>
  <r>
    <x v="18"/>
    <x v="21"/>
    <n v="12113"/>
    <n v="80"/>
    <n v="7087"/>
    <s v="0.66"/>
    <s v="0.00"/>
    <s v="99.34"/>
  </r>
  <r>
    <x v="18"/>
    <x v="22"/>
    <n v="509919"/>
    <n v="18901"/>
    <n v="338885"/>
    <s v="3.71"/>
    <s v="0.00"/>
    <s v="96.29"/>
  </r>
  <r>
    <x v="18"/>
    <x v="23"/>
    <n v="21729763"/>
    <n v="605644"/>
    <n v="18293768"/>
    <s v="2.79"/>
    <s v="0.00"/>
    <s v="97.21"/>
  </r>
  <r>
    <x v="18"/>
    <x v="24"/>
    <n v="22179"/>
    <n v="642"/>
    <n v="16428"/>
    <s v="2.89"/>
    <s v="0.00"/>
    <s v="97.11"/>
  </r>
  <r>
    <x v="18"/>
    <x v="25"/>
    <n v="2617"/>
    <n v="3"/>
    <n v="2027"/>
    <s v="0.11"/>
    <s v="0.00"/>
    <s v="99.89"/>
  </r>
  <r>
    <x v="18"/>
    <x v="26"/>
    <n v="184919"/>
    <n v="2396"/>
    <n v="42755"/>
    <s v="1.30"/>
    <s v="0.00"/>
    <s v="98.70"/>
  </r>
  <r>
    <x v="18"/>
    <x v="27"/>
    <n v="586234"/>
    <n v="4515"/>
    <n v="25981"/>
    <s v="0.77"/>
    <s v="0.00"/>
    <s v="99.23"/>
  </r>
  <r>
    <x v="18"/>
    <x v="28"/>
    <n v="25445"/>
    <n v="473"/>
    <n v="283"/>
    <s v="1.86"/>
    <s v="0.00"/>
    <s v="98.14"/>
  </r>
  <r>
    <x v="18"/>
    <x v="29"/>
    <n v="1707278"/>
    <n v="28801"/>
    <n v="1290986"/>
    <s v="1.69"/>
    <s v="0.00"/>
    <s v="98.31"/>
  </r>
  <r>
    <x v="18"/>
    <x v="30"/>
    <n v="57432"/>
    <n v="1091"/>
    <n v="3284"/>
    <s v="1.90"/>
    <s v="0.00"/>
    <s v="98.10"/>
  </r>
  <r>
    <x v="18"/>
    <x v="31"/>
    <n v="11518"/>
    <n v="100"/>
    <n v="11327"/>
    <s v="0.87"/>
    <s v="0.00"/>
    <s v="99.13"/>
  </r>
  <r>
    <x v="18"/>
    <x v="32"/>
    <n v="16408"/>
    <n v="239"/>
    <n v="11487"/>
    <s v="1.46"/>
    <s v="0.00"/>
    <s v="98.54"/>
  </r>
  <r>
    <x v="18"/>
    <x v="33"/>
    <n v="862411"/>
    <n v="11182"/>
    <n v="505332"/>
    <s v="1.30"/>
    <s v="0.00"/>
    <s v="98.70"/>
  </r>
  <r>
    <x v="18"/>
    <x v="34"/>
    <n v="61178"/>
    <n v="690"/>
    <n v="4351"/>
    <s v="1.13"/>
    <s v="0.00"/>
    <s v="98.87"/>
  </r>
  <r>
    <x v="18"/>
    <x v="35"/>
    <n v="1681828"/>
    <n v="37669"/>
    <n v="118750"/>
    <s v="2.24"/>
    <s v="0.00"/>
    <s v="97.76"/>
  </r>
  <r>
    <x v="18"/>
    <x v="36"/>
    <n v="100289"/>
    <n v="1600"/>
    <n v="86935"/>
    <s v="1.60"/>
    <s v="0.00"/>
    <s v="98.40"/>
  </r>
  <r>
    <x v="18"/>
    <x v="37"/>
    <n v="96797"/>
    <n v="4636"/>
    <n v="25009"/>
    <s v="4.79"/>
    <s v="0.00"/>
    <s v="95.21"/>
  </r>
  <r>
    <x v="18"/>
    <x v="38"/>
    <n v="5003839"/>
    <n v="127067"/>
    <n v="1336070"/>
    <s v="2.54"/>
    <s v="0.00"/>
    <s v="97.46"/>
  </r>
  <r>
    <x v="18"/>
    <x v="39"/>
    <n v="555970"/>
    <n v="6946"/>
    <n v="62532"/>
    <s v="1.25"/>
    <s v="0.00"/>
    <s v="98.75"/>
  </r>
  <r>
    <x v="18"/>
    <x v="40"/>
    <n v="945750"/>
    <n v="8167"/>
    <n v="792229"/>
    <s v="0.86"/>
    <s v="0.00"/>
    <s v="99.14"/>
  </r>
  <r>
    <x v="18"/>
    <x v="41"/>
    <n v="38140"/>
    <n v="349"/>
    <n v="17565"/>
    <s v="0.92"/>
    <s v="0.00"/>
    <s v="99.08"/>
  </r>
  <r>
    <x v="18"/>
    <x v="42"/>
    <n v="122996"/>
    <n v="569"/>
    <n v="33355"/>
    <s v="0.46"/>
    <s v="0.00"/>
    <s v="99.54"/>
  </r>
  <r>
    <x v="18"/>
    <x v="43"/>
    <n v="1729458"/>
    <n v="30615"/>
    <n v="1646597"/>
    <s v="1.77"/>
    <s v="0.00"/>
    <s v="98.23"/>
  </r>
  <r>
    <x v="18"/>
    <x v="44"/>
    <n v="4476078"/>
    <n v="95121"/>
    <n v="2207667"/>
    <s v="2.13"/>
    <s v="0.00"/>
    <s v="97.87"/>
  </r>
  <r>
    <x v="18"/>
    <x v="45"/>
    <n v="13451"/>
    <n v="181"/>
    <n v="1398"/>
    <s v="1.35"/>
    <s v="0.00"/>
    <s v="98.65"/>
  </r>
  <r>
    <x v="18"/>
    <x v="46"/>
    <n v="377145"/>
    <n v="2699"/>
    <n v="314660"/>
    <s v="0.72"/>
    <s v="0.00"/>
    <s v="99.28"/>
  </r>
  <r>
    <x v="18"/>
    <x v="47"/>
    <n v="4508"/>
    <n v="30"/>
    <n v="1376"/>
    <s v="0.67"/>
    <s v="0.00"/>
    <s v="99.33"/>
  </r>
  <r>
    <x v="18"/>
    <x v="48"/>
    <n v="376272"/>
    <n v="4108"/>
    <n v="171343"/>
    <s v="1.09"/>
    <s v="0.00"/>
    <s v="98.91"/>
  </r>
  <r>
    <x v="18"/>
    <x v="49"/>
    <n v="205822"/>
    <n v="5890"/>
    <n v="34565"/>
    <s v="2.86"/>
    <s v="0.00"/>
    <s v="97.14"/>
  </r>
  <r>
    <x v="18"/>
    <x v="50"/>
    <n v="515606"/>
    <n v="32952"/>
    <n v="210509"/>
    <s v="6.39"/>
    <s v="0.00"/>
    <s v="93.61"/>
  </r>
  <r>
    <x v="18"/>
    <x v="51"/>
    <n v="182039"/>
    <n v="1461"/>
    <n v="164543"/>
    <s v="0.80"/>
    <s v="0.00"/>
    <s v="99.20"/>
  </r>
  <r>
    <x v="18"/>
    <x v="52"/>
    <n v="324619"/>
    <n v="18285"/>
    <n v="247052"/>
    <s v="5.63"/>
    <s v="0.00"/>
    <s v="94.37"/>
  </r>
  <r>
    <x v="18"/>
    <x v="53"/>
    <n v="6792"/>
    <n v="45"/>
    <n v="3594"/>
    <s v="0.66"/>
    <s v="0.00"/>
    <s v="99.34"/>
  </r>
  <r>
    <x v="18"/>
    <x v="54"/>
    <n v="4997732"/>
    <n v="87132"/>
    <n v="2688125"/>
    <s v="1.74"/>
    <s v="0.00"/>
    <s v="98.26"/>
  </r>
  <r>
    <x v="18"/>
    <x v="55"/>
    <n v="362335"/>
    <n v="6358"/>
    <n v="98819"/>
    <s v="1.75"/>
    <s v="0.00"/>
    <s v="98.25"/>
  </r>
  <r>
    <x v="18"/>
    <x v="56"/>
    <n v="153156"/>
    <n v="1139"/>
    <n v="19800"/>
    <s v="0.74"/>
    <s v="0.00"/>
    <s v="99.26"/>
  </r>
  <r>
    <x v="18"/>
    <x v="57"/>
    <n v="51977"/>
    <n v="673"/>
    <n v="6550"/>
    <s v="1.29"/>
    <s v="0.00"/>
    <s v="98.71"/>
  </r>
  <r>
    <x v="18"/>
    <x v="58"/>
    <n v="1615"/>
    <n v="2"/>
    <n v="125"/>
    <s v="0.12"/>
    <s v="0.00"/>
    <s v="99.88"/>
  </r>
  <r>
    <x v="18"/>
    <x v="59"/>
    <n v="6949654"/>
    <n v="115118"/>
    <n v="875668"/>
    <s v="1.66"/>
    <s v="0.00"/>
    <s v="98.34"/>
  </r>
  <r>
    <x v="18"/>
    <x v="60"/>
    <n v="34601"/>
    <n v="224"/>
    <n v="19165"/>
    <s v="0.65"/>
    <s v="0.00"/>
    <s v="99.35"/>
  </r>
  <r>
    <x v="18"/>
    <x v="61"/>
    <n v="8808861"/>
    <n v="139852"/>
    <n v="1842381"/>
    <s v="1.59"/>
    <s v="0.00"/>
    <s v="98.41"/>
  </r>
  <r>
    <x v="18"/>
    <x v="63"/>
    <n v="692240"/>
    <n v="9742"/>
    <n v="96725"/>
    <s v="1.41"/>
    <s v="0.00"/>
    <s v="98.59"/>
  </r>
  <r>
    <x v="18"/>
    <x v="62"/>
    <n v="5817"/>
    <n v="196"/>
    <n v="679"/>
    <s v="3.37"/>
    <s v="0.00"/>
    <s v="96.63"/>
  </r>
  <r>
    <x v="18"/>
    <x v="64"/>
    <n v="43938"/>
    <n v="298"/>
    <n v="19542"/>
    <s v="0.68"/>
    <s v="0.00"/>
    <s v="99.32"/>
  </r>
  <r>
    <x v="18"/>
    <x v="65"/>
    <n v="129805"/>
    <n v="1170"/>
    <n v="21066"/>
    <s v="0.90"/>
    <s v="0.00"/>
    <s v="99.10"/>
  </r>
  <r>
    <x v="18"/>
    <x v="66"/>
    <n v="5874"/>
    <n v="98"/>
    <n v="4022"/>
    <s v="1.67"/>
    <s v="0.00"/>
    <s v="98.33"/>
  </r>
  <r>
    <x v="18"/>
    <x v="68"/>
    <n v="30626"/>
    <n v="385"/>
    <n v="7021"/>
    <s v="1.26"/>
    <s v="0.00"/>
    <s v="98.74"/>
  </r>
  <r>
    <x v="18"/>
    <x v="67"/>
    <n v="9956"/>
    <n v="339"/>
    <n v="343"/>
    <s v="3.40"/>
    <s v="0.00"/>
    <s v="96.60"/>
  </r>
  <r>
    <x v="18"/>
    <x v="69"/>
    <n v="54095"/>
    <n v="809"/>
    <n v="50701"/>
    <s v="1.50"/>
    <s v="0.00"/>
    <s v="98.50"/>
  </r>
  <r>
    <x v="18"/>
    <x v="70"/>
    <n v="13166"/>
    <n v="163"/>
    <n v="8133"/>
    <s v="1.24"/>
    <s v="0.00"/>
    <s v="98.76"/>
  </r>
  <r>
    <x v="18"/>
    <x v="71"/>
    <n v="716358"/>
    <n v="15628"/>
    <n v="220959"/>
    <s v="2.18"/>
    <s v="0.00"/>
    <s v="97.82"/>
  </r>
  <r>
    <x v="18"/>
    <x v="72"/>
    <n v="595008"/>
    <n v="14700"/>
    <n v="77393"/>
    <s v="2.47"/>
    <s v="0.00"/>
    <s v="97.53"/>
  </r>
  <r>
    <x v="18"/>
    <x v="73"/>
    <n v="6131"/>
    <n v="141"/>
    <n v="2210"/>
    <s v="2.30"/>
    <s v="0.00"/>
    <s v="97.70"/>
  </r>
  <r>
    <x v="18"/>
    <x v="74"/>
    <n v="35067"/>
    <n v="895"/>
    <n v="31724"/>
    <s v="2.55"/>
    <s v="0.00"/>
    <s v="97.45"/>
  </r>
  <r>
    <x v="18"/>
    <x v="75"/>
    <n v="12323"/>
    <n v="213"/>
    <n v="1106"/>
    <s v="1.73"/>
    <s v="0.00"/>
    <s v="98.27"/>
  </r>
  <r>
    <x v="18"/>
    <x v="76"/>
    <n v="374148"/>
    <n v="10191"/>
    <n v="186931"/>
    <s v="2.72"/>
    <s v="0.00"/>
    <s v="97.28"/>
  </r>
  <r>
    <x v="18"/>
    <x v="77"/>
    <n v="445325"/>
    <n v="9038"/>
    <n v="24195"/>
    <s v="2.03"/>
    <s v="0.00"/>
    <s v="97.97"/>
  </r>
  <r>
    <x v="18"/>
    <x v="78"/>
    <n v="23406"/>
    <n v="658"/>
    <n v="7894"/>
    <s v="2.81"/>
    <s v="0.00"/>
    <s v="97.19"/>
  </r>
  <r>
    <x v="18"/>
    <x v="79"/>
    <n v="843825"/>
    <n v="30492"/>
    <n v="410021"/>
    <s v="3.61"/>
    <s v="0.00"/>
    <s v="96.39"/>
  </r>
  <r>
    <x v="18"/>
    <x v="80"/>
    <n v="4240019"/>
    <n v="143205"/>
    <n v="2249033"/>
    <s v="3.38"/>
    <s v="0.00"/>
    <s v="96.62"/>
  </r>
  <r>
    <x v="18"/>
    <x v="81"/>
    <n v="429877"/>
    <n v="5369"/>
    <n v="22412"/>
    <s v="1.25"/>
    <s v="0.00"/>
    <s v="98.75"/>
  </r>
  <r>
    <x v="18"/>
    <x v="82"/>
    <n v="1323079"/>
    <n v="8049"/>
    <n v="418368"/>
    <s v="0.61"/>
    <s v="0.00"/>
    <s v="99.39"/>
  </r>
  <r>
    <x v="18"/>
    <x v="83"/>
    <n v="34189774"/>
    <n v="454712"/>
    <n v="7256875"/>
    <s v="1.33"/>
    <s v="0.00"/>
    <s v="98.67"/>
  </r>
  <r>
    <x v="18"/>
    <x v="84"/>
    <n v="2046274"/>
    <n v="22961"/>
    <n v="1613623"/>
    <s v="1.12"/>
    <s v="0.00"/>
    <s v="98.88"/>
  </r>
  <r>
    <x v="18"/>
    <x v="85"/>
    <n v="5860844"/>
    <n v="125223"/>
    <n v="4265589"/>
    <s v="2.14"/>
    <s v="0.00"/>
    <s v="97.86"/>
  </r>
  <r>
    <x v="18"/>
    <x v="86"/>
    <n v="12899"/>
    <n v="33"/>
    <n v="5275"/>
    <s v="0.26"/>
    <s v="0.00"/>
    <s v="99.74"/>
  </r>
  <r>
    <x v="18"/>
    <x v="87"/>
    <n v="4741185"/>
    <n v="131826"/>
    <n v="4149349"/>
    <s v="2.78"/>
    <s v="0.00"/>
    <s v="97.22"/>
  </r>
  <r>
    <x v="18"/>
    <x v="88"/>
    <n v="88259"/>
    <n v="2179"/>
    <n v="30375"/>
    <s v="2.47"/>
    <s v="0.00"/>
    <s v="97.53"/>
  </r>
  <r>
    <x v="18"/>
    <x v="89"/>
    <n v="851410"/>
    <n v="10951"/>
    <n v="199046"/>
    <s v="1.29"/>
    <s v="0.00"/>
    <s v="98.71"/>
  </r>
  <r>
    <x v="18"/>
    <x v="90"/>
    <n v="1717698"/>
    <n v="18207"/>
    <n v="822652"/>
    <s v="1.06"/>
    <s v="0.00"/>
    <s v="98.94"/>
  </r>
  <r>
    <x v="18"/>
    <x v="91"/>
    <n v="252672"/>
    <n v="5257"/>
    <n v="154811"/>
    <s v="2.08"/>
    <s v="0.00"/>
    <s v="97.92"/>
  </r>
  <r>
    <x v="18"/>
    <x v="92"/>
    <n v="180563"/>
    <n v="2653"/>
    <n v="77318"/>
    <s v="1.47"/>
    <s v="0.00"/>
    <s v="98.53"/>
  </r>
  <r>
    <x v="18"/>
    <x v="94"/>
    <n v="2"/>
    <n v="0"/>
    <n v="1"/>
    <s v="0.00"/>
    <s v="0.00"/>
    <s v="100.00"/>
  </r>
  <r>
    <x v="18"/>
    <x v="93"/>
    <n v="117772"/>
    <n v="2734"/>
    <n v="31724"/>
    <s v="2.32"/>
    <s v="0.00"/>
    <s v="97.68"/>
  </r>
  <r>
    <x v="18"/>
    <x v="95"/>
    <n v="4205"/>
    <n v="147"/>
    <n v="1125"/>
    <s v="3.50"/>
    <s v="0.00"/>
    <s v="96.50"/>
  </r>
  <r>
    <x v="18"/>
    <x v="96"/>
    <n v="2625"/>
    <n v="21"/>
    <n v="2549"/>
    <s v="0.80"/>
    <s v="0.00"/>
    <s v="99.20"/>
  </r>
  <r>
    <x v="18"/>
    <x v="97"/>
    <n v="353089"/>
    <n v="2773"/>
    <n v="156076"/>
    <s v="0.79"/>
    <s v="0.00"/>
    <s v="99.21"/>
  </r>
  <r>
    <x v="18"/>
    <x v="98"/>
    <n v="412527"/>
    <n v="2461"/>
    <n v="136550"/>
    <s v="0.60"/>
    <s v="0.00"/>
    <s v="99.40"/>
  </r>
  <r>
    <x v="18"/>
    <x v="99"/>
    <n v="1008555"/>
    <n v="16871"/>
    <n v="309723"/>
    <s v="1.67"/>
    <s v="0.00"/>
    <s v="98.33"/>
  </r>
  <r>
    <x v="18"/>
    <x v="100"/>
    <n v="35633"/>
    <n v="52"/>
    <n v="27702"/>
    <s v="0.15"/>
    <s v="0.00"/>
    <s v="99.85"/>
  </r>
  <r>
    <x v="18"/>
    <x v="101"/>
    <n v="637819"/>
    <n v="8453"/>
    <n v="286157"/>
    <s v="1.33"/>
    <s v="0.00"/>
    <s v="98.67"/>
  </r>
  <r>
    <x v="18"/>
    <x v="102"/>
    <n v="12426"/>
    <n v="241"/>
    <n v="10707"/>
    <s v="1.94"/>
    <s v="0.00"/>
    <s v="98.06"/>
  </r>
  <r>
    <x v="18"/>
    <x v="103"/>
    <n v="3623"/>
    <n v="60"/>
    <n v="3431"/>
    <s v="1.66"/>
    <s v="0.00"/>
    <s v="98.34"/>
  </r>
  <r>
    <x v="18"/>
    <x v="104"/>
    <n v="536084"/>
    <n v="13611"/>
    <n v="331789"/>
    <s v="2.54"/>
    <s v="0.00"/>
    <s v="97.46"/>
  </r>
  <r>
    <x v="18"/>
    <x v="105"/>
    <n v="5811"/>
    <n v="287"/>
    <n v="1011"/>
    <s v="4.94"/>
    <s v="0.00"/>
    <s v="95.06"/>
  </r>
  <r>
    <x v="18"/>
    <x v="106"/>
    <n v="21587"/>
    <n v="656"/>
    <n v="19011"/>
    <s v="3.04"/>
    <s v="0.00"/>
    <s v="96.96"/>
  </r>
  <r>
    <x v="18"/>
    <x v="107"/>
    <n v="388185"/>
    <n v="5633"/>
    <n v="62695"/>
    <s v="1.45"/>
    <s v="0.00"/>
    <s v="98.55"/>
  </r>
  <r>
    <x v="18"/>
    <x v="108"/>
    <n v="80603"/>
    <n v="842"/>
    <n v="4289"/>
    <s v="1.04"/>
    <s v="0.00"/>
    <s v="98.96"/>
  </r>
  <r>
    <x v="18"/>
    <x v="109"/>
    <n v="202573"/>
    <n v="3028"/>
    <n v="29031"/>
    <s v="1.49"/>
    <s v="0.00"/>
    <s v="98.51"/>
  </r>
  <r>
    <x v="18"/>
    <x v="110"/>
    <n v="353626"/>
    <n v="5006"/>
    <n v="113272"/>
    <s v="1.42"/>
    <s v="0.00"/>
    <s v="98.58"/>
  </r>
  <r>
    <x v="18"/>
    <x v="111"/>
    <n v="944277"/>
    <n v="14612"/>
    <n v="626563"/>
    <s v="1.55"/>
    <s v="0.00"/>
    <s v="98.45"/>
  </r>
  <r>
    <x v="18"/>
    <x v="112"/>
    <n v="3389"/>
    <n v="36"/>
    <n v="1703"/>
    <s v="1.06"/>
    <s v="0.00"/>
    <s v="98.94"/>
  </r>
  <r>
    <x v="18"/>
    <x v="113"/>
    <n v="328000"/>
    <n v="7497"/>
    <n v="244653"/>
    <s v="2.29"/>
    <s v="0.00"/>
    <s v="97.71"/>
  </r>
  <r>
    <x v="18"/>
    <x v="114"/>
    <n v="140922"/>
    <n v="2065"/>
    <n v="6119"/>
    <s v="1.47"/>
    <s v="0.00"/>
    <s v="98.53"/>
  </r>
  <r>
    <x v="18"/>
    <x v="115"/>
    <n v="3888"/>
    <n v="55"/>
    <n v="3083"/>
    <s v="1.41"/>
    <s v="0.00"/>
    <s v="98.59"/>
  </r>
  <r>
    <x v="18"/>
    <x v="116"/>
    <n v="43622"/>
    <n v="960"/>
    <n v="40457"/>
    <s v="2.20"/>
    <s v="0.00"/>
    <s v="97.80"/>
  </r>
  <r>
    <x v="18"/>
    <x v="117"/>
    <n v="4"/>
    <n v="0"/>
    <n v="0"/>
    <s v="0.00"/>
    <s v="0.00"/>
    <s v="100.00"/>
  </r>
  <r>
    <x v="18"/>
    <x v="118"/>
    <n v="199766"/>
    <n v="7051"/>
    <n v="7746"/>
    <s v="3.53"/>
    <s v="0.00"/>
    <s v="96.47"/>
  </r>
  <r>
    <x v="18"/>
    <x v="119"/>
    <n v="15848"/>
    <n v="558"/>
    <n v="3184"/>
    <s v="3.52"/>
    <s v="0.00"/>
    <s v="96.48"/>
  </r>
  <r>
    <x v="18"/>
    <x v="120"/>
    <n v="494263"/>
    <n v="18538"/>
    <n v="51488"/>
    <s v="3.75"/>
    <s v="0.00"/>
    <s v="96.25"/>
  </r>
  <r>
    <x v="18"/>
    <x v="121"/>
    <n v="349509"/>
    <n v="1660"/>
    <n v="133052"/>
    <s v="0.47"/>
    <s v="0.00"/>
    <s v="99.53"/>
  </r>
  <r>
    <x v="18"/>
    <x v="122"/>
    <n v="77"/>
    <n v="0"/>
    <n v="64"/>
    <s v="0.00"/>
    <s v="0.00"/>
    <s v="100.00"/>
  </r>
  <r>
    <x v="18"/>
    <x v="123"/>
    <n v="42820"/>
    <n v="673"/>
    <n v="16802"/>
    <s v="1.57"/>
    <s v="0.00"/>
    <s v="98.43"/>
  </r>
  <r>
    <x v="18"/>
    <x v="124"/>
    <n v="36955"/>
    <n v="792"/>
    <n v="21597"/>
    <s v="2.14"/>
    <s v="0.00"/>
    <s v="97.86"/>
  </r>
  <r>
    <x v="18"/>
    <x v="125"/>
    <n v="37551"/>
    <n v="459"/>
    <n v="35806"/>
    <s v="1.22"/>
    <s v="0.00"/>
    <s v="98.78"/>
  </r>
  <r>
    <x v="18"/>
    <x v="126"/>
    <n v="17047"/>
    <n v="148"/>
    <n v="11157"/>
    <s v="0.87"/>
    <s v="0.00"/>
    <s v="99.13"/>
  </r>
  <r>
    <x v="18"/>
    <x v="127"/>
    <n v="86922"/>
    <n v="240"/>
    <n v="5042"/>
    <s v="0.28"/>
    <s v="0.00"/>
    <s v="99.72"/>
  </r>
  <r>
    <x v="18"/>
    <x v="128"/>
    <n v="61757"/>
    <n v="2296"/>
    <n v="28598"/>
    <s v="3.72"/>
    <s v="0.00"/>
    <s v="96.28"/>
  </r>
  <r>
    <x v="18"/>
    <x v="129"/>
    <n v="3781661"/>
    <n v="286259"/>
    <n v="1657621"/>
    <s v="7.57"/>
    <s v="0.00"/>
    <s v="92.43"/>
  </r>
  <r>
    <x v="18"/>
    <x v="130"/>
    <n v="2431716"/>
    <n v="28400"/>
    <n v="2363741"/>
    <s v="1.17"/>
    <s v="0.00"/>
    <s v="98.83"/>
  </r>
  <r>
    <x v="18"/>
    <x v="131"/>
    <n v="151225"/>
    <n v="1928"/>
    <n v="43535"/>
    <s v="1.27"/>
    <s v="0.00"/>
    <s v="98.73"/>
  </r>
  <r>
    <x v="18"/>
    <x v="132"/>
    <n v="128824"/>
    <n v="3550"/>
    <n v="20296"/>
    <s v="2.76"/>
    <s v="0.00"/>
    <s v="97.24"/>
  </r>
  <r>
    <x v="18"/>
    <x v="133"/>
    <n v="10482"/>
    <n v="257"/>
    <n v="7716"/>
    <s v="2.45"/>
    <s v="0.00"/>
    <s v="97.55"/>
  </r>
  <r>
    <x v="18"/>
    <x v="134"/>
    <n v="6254"/>
    <n v="207"/>
    <n v="5731"/>
    <s v="3.31"/>
    <s v="0.00"/>
    <s v="96.69"/>
  </r>
  <r>
    <x v="18"/>
    <x v="135"/>
    <n v="210460"/>
    <n v="2882"/>
    <n v="55431"/>
    <s v="1.37"/>
    <s v="0.00"/>
    <s v="98.63"/>
  </r>
  <r>
    <x v="18"/>
    <x v="136"/>
    <n v="16241"/>
    <n v="207"/>
    <n v="11236"/>
    <s v="1.27"/>
    <s v="0.00"/>
    <s v="98.73"/>
  </r>
  <r>
    <x v="18"/>
    <x v="137"/>
    <n v="2122247"/>
    <n v="18752"/>
    <n v="478220"/>
    <s v="0.88"/>
    <s v="0.00"/>
    <s v="99.12"/>
  </r>
  <r>
    <x v="18"/>
    <x v="138"/>
    <n v="200517"/>
    <n v="894"/>
    <n v="26615"/>
    <s v="0.45"/>
    <s v="0.00"/>
    <s v="99.55"/>
  </r>
  <r>
    <x v="18"/>
    <x v="139"/>
    <n v="809056"/>
    <n v="11348"/>
    <n v="667970"/>
    <s v="1.40"/>
    <s v="0.00"/>
    <s v="98.60"/>
  </r>
  <r>
    <x v="18"/>
    <x v="140"/>
    <n v="5750"/>
    <n v="28"/>
    <n v="1991"/>
    <s v="0.49"/>
    <s v="0.00"/>
    <s v="99.51"/>
  </r>
  <r>
    <x v="18"/>
    <x v="141"/>
    <n v="304163"/>
    <n v="4110"/>
    <n v="258918"/>
    <s v="1.35"/>
    <s v="0.00"/>
    <s v="98.65"/>
  </r>
  <r>
    <x v="18"/>
    <x v="142"/>
    <n v="471403"/>
    <n v="7307"/>
    <n v="181047"/>
    <s v="1.55"/>
    <s v="0.00"/>
    <s v="98.45"/>
  </r>
  <r>
    <x v="18"/>
    <x v="143"/>
    <n v="2195859"/>
    <n v="200052"/>
    <n v="244181"/>
    <s v="9.11"/>
    <s v="0.00"/>
    <s v="90.89"/>
  </r>
  <r>
    <x v="18"/>
    <x v="144"/>
    <n v="45515"/>
    <n v="635"/>
    <n v="44844"/>
    <s v="1.40"/>
    <s v="0.00"/>
    <s v="98.60"/>
  </r>
  <r>
    <x v="18"/>
    <x v="145"/>
    <n v="27627"/>
    <n v="335"/>
    <n v="16721"/>
    <s v="1.21"/>
    <s v="0.00"/>
    <s v="98.79"/>
  </r>
  <r>
    <x v="18"/>
    <x v="146"/>
    <n v="2756923"/>
    <n v="41793"/>
    <n v="1420160"/>
    <s v="1.52"/>
    <s v="0.00"/>
    <s v="98.48"/>
  </r>
  <r>
    <x v="18"/>
    <x v="147"/>
    <n v="1269234"/>
    <n v="28386"/>
    <n v="397734"/>
    <s v="2.24"/>
    <s v="0.00"/>
    <s v="97.76"/>
  </r>
  <r>
    <x v="18"/>
    <x v="148"/>
    <n v="2972927"/>
    <n v="76447"/>
    <n v="2196748"/>
    <s v="2.57"/>
    <s v="0.00"/>
    <s v="97.43"/>
  </r>
  <r>
    <x v="18"/>
    <x v="149"/>
    <n v="450310"/>
    <n v="4611"/>
    <n v="204976"/>
    <s v="1.02"/>
    <s v="0.00"/>
    <s v="98.98"/>
  </r>
  <r>
    <x v="18"/>
    <x v="150"/>
    <n v="1085138"/>
    <n v="18133"/>
    <n v="411297"/>
    <s v="1.67"/>
    <s v="0.00"/>
    <s v="98.33"/>
  </r>
  <r>
    <x v="18"/>
    <x v="151"/>
    <n v="8"/>
    <n v="0"/>
    <n v="0"/>
    <s v="0.00"/>
    <s v="0.00"/>
    <s v="100.00"/>
  </r>
  <r>
    <x v="18"/>
    <x v="152"/>
    <n v="460701"/>
    <n v="16230"/>
    <n v="81497"/>
    <s v="3.52"/>
    <s v="0.00"/>
    <s v="96.48"/>
  </r>
  <r>
    <x v="18"/>
    <x v="153"/>
    <n v="238518"/>
    <n v="609"/>
    <n v="30703"/>
    <s v="0.26"/>
    <s v="0.00"/>
    <s v="99.74"/>
  </r>
  <r>
    <x v="18"/>
    <x v="154"/>
    <n v="54438"/>
    <n v="372"/>
    <n v="38159"/>
    <s v="0.68"/>
    <s v="0.00"/>
    <s v="99.32"/>
  </r>
  <r>
    <x v="18"/>
    <x v="155"/>
    <n v="1561928"/>
    <n v="44679"/>
    <n v="786749"/>
    <s v="2.86"/>
    <s v="0.00"/>
    <s v="97.14"/>
  </r>
  <r>
    <x v="18"/>
    <x v="156"/>
    <n v="1098209"/>
    <n v="9509"/>
    <n v="91814"/>
    <s v="0.87"/>
    <s v="0.00"/>
    <s v="99.13"/>
  </r>
  <r>
    <x v="18"/>
    <x v="157"/>
    <n v="8112999"/>
    <n v="226464"/>
    <n v="7328938"/>
    <s v="2.79"/>
    <s v="0.00"/>
    <s v="97.21"/>
  </r>
  <r>
    <x v="18"/>
    <x v="158"/>
    <n v="99374"/>
    <n v="1320"/>
    <n v="28683"/>
    <s v="1.33"/>
    <s v="0.00"/>
    <s v="98.67"/>
  </r>
  <r>
    <x v="18"/>
    <x v="159"/>
    <n v="548252"/>
    <n v="8778"/>
    <n v="373205"/>
    <s v="1.60"/>
    <s v="0.00"/>
    <s v="98.40"/>
  </r>
  <r>
    <x v="18"/>
    <x v="160"/>
    <n v="20"/>
    <n v="0"/>
    <n v="18"/>
    <s v="0.00"/>
    <s v="0.00"/>
    <s v="100.00"/>
  </r>
  <r>
    <x v="18"/>
    <x v="161"/>
    <n v="22102"/>
    <n v="119"/>
    <n v="338"/>
    <s v="0.54"/>
    <s v="0.00"/>
    <s v="99.46"/>
  </r>
  <r>
    <x v="18"/>
    <x v="162"/>
    <n v="40238"/>
    <n v="3099"/>
    <n v="32059"/>
    <s v="7.70"/>
    <s v="0.00"/>
    <s v="92.30"/>
  </r>
  <r>
    <x v="18"/>
    <x v="163"/>
    <n v="1165996"/>
    <n v="14993"/>
    <n v="576103"/>
    <s v="1.29"/>
    <s v="0.00"/>
    <s v="98.71"/>
  </r>
  <r>
    <x v="18"/>
    <x v="164"/>
    <n v="172644"/>
    <n v="315"/>
    <n v="149838"/>
    <s v="0.18"/>
    <s v="0.00"/>
    <s v="99.82"/>
  </r>
  <r>
    <x v="18"/>
    <x v="165"/>
    <n v="319913"/>
    <n v="4683"/>
    <n v="304982"/>
    <s v="1.46"/>
    <s v="0.00"/>
    <s v="98.54"/>
  </r>
  <r>
    <x v="18"/>
    <x v="166"/>
    <n v="456438"/>
    <n v="12903"/>
    <n v="411291"/>
    <s v="2.83"/>
    <s v="0.00"/>
    <s v="97.17"/>
  </r>
  <r>
    <x v="18"/>
    <x v="167"/>
    <n v="6397"/>
    <n v="121"/>
    <n v="4033"/>
    <s v="1.89"/>
    <s v="0.00"/>
    <s v="98.11"/>
  </r>
  <r>
    <x v="18"/>
    <x v="168"/>
    <n v="5497"/>
    <n v="91"/>
    <n v="1329"/>
    <s v="1.66"/>
    <s v="0.00"/>
    <s v="98.34"/>
  </r>
  <r>
    <x v="18"/>
    <x v="169"/>
    <n v="73893"/>
    <n v="1878"/>
    <n v="766"/>
    <s v="2.54"/>
    <s v="0.00"/>
    <s v="97.46"/>
  </r>
  <r>
    <x v="18"/>
    <x v="170"/>
    <n v="21269"/>
    <n v="1180"/>
    <n v="431"/>
    <s v="5.55"/>
    <s v="0.00"/>
    <s v="94.45"/>
  </r>
  <r>
    <x v="18"/>
    <x v="171"/>
    <n v="48118"/>
    <n v="1058"/>
    <n v="36810"/>
    <s v="2.20"/>
    <s v="0.00"/>
    <s v="97.80"/>
  </r>
  <r>
    <x v="18"/>
    <x v="173"/>
    <n v="3697"/>
    <n v="56"/>
    <n v="2823"/>
    <s v="1.51"/>
    <s v="0.00"/>
    <s v="98.49"/>
  </r>
  <r>
    <x v="18"/>
    <x v="172"/>
    <n v="12279"/>
    <n v="133"/>
    <n v="4013"/>
    <s v="1.08"/>
    <s v="0.00"/>
    <s v="98.92"/>
  </r>
  <r>
    <x v="18"/>
    <x v="174"/>
    <n v="112290"/>
    <n v="3564"/>
    <n v="107571"/>
    <s v="3.17"/>
    <s v="0.00"/>
    <s v="96.83"/>
  </r>
  <r>
    <x v="18"/>
    <x v="175"/>
    <n v="41515"/>
    <n v="2504"/>
    <n v="32343"/>
    <s v="6.03"/>
    <s v="0.00"/>
    <s v="93.97"/>
  </r>
  <r>
    <x v="18"/>
    <x v="176"/>
    <n v="46384"/>
    <n v="1241"/>
    <n v="13432"/>
    <s v="2.68"/>
    <s v="0.00"/>
    <s v="97.32"/>
  </r>
  <r>
    <x v="18"/>
    <x v="177"/>
    <n v="5069"/>
    <n v="174"/>
    <n v="1018"/>
    <s v="3.43"/>
    <s v="0.00"/>
    <s v="96.57"/>
  </r>
  <r>
    <x v="18"/>
    <x v="178"/>
    <n v="25992"/>
    <n v="242"/>
    <n v="8276"/>
    <s v="0.93"/>
    <s v="0.00"/>
    <s v="99.07"/>
  </r>
  <r>
    <x v="18"/>
    <x v="179"/>
    <n v="1850482"/>
    <n v="18755"/>
    <n v="1582065"/>
    <s v="1.01"/>
    <s v="0.00"/>
    <s v="98.99"/>
  </r>
  <r>
    <x v="18"/>
    <x v="180"/>
    <n v="17486"/>
    <n v="125"/>
    <n v="13504"/>
    <s v="0.71"/>
    <s v="0.00"/>
    <s v="99.29"/>
  </r>
  <r>
    <x v="18"/>
    <x v="181"/>
    <n v="19770"/>
    <n v="121"/>
    <n v="13525"/>
    <s v="0.61"/>
    <s v="0.00"/>
    <s v="99.39"/>
  </r>
  <r>
    <x v="18"/>
    <x v="182"/>
    <n v="711693"/>
    <n v="25149"/>
    <n v="658013"/>
    <s v="3.53"/>
    <s v="0.00"/>
    <s v="96.47"/>
  </r>
  <r>
    <x v="18"/>
    <x v="184"/>
    <n v="7851775"/>
    <n v="69112"/>
    <n v="6710533"/>
    <s v="0.88"/>
    <s v="0.00"/>
    <s v="99.12"/>
  </r>
  <r>
    <x v="18"/>
    <x v="185"/>
    <n v="55681"/>
    <n v="1645"/>
    <n v="52836"/>
    <s v="2.95"/>
    <s v="0.00"/>
    <s v="97.05"/>
  </r>
  <r>
    <x v="18"/>
    <x v="186"/>
    <n v="16368"/>
    <n v="846"/>
    <n v="13228"/>
    <s v="5.17"/>
    <s v="0.00"/>
    <s v="94.83"/>
  </r>
  <r>
    <x v="18"/>
    <x v="187"/>
    <n v="26034"/>
    <n v="724"/>
    <n v="22499"/>
    <s v="2.78"/>
    <s v="0.00"/>
    <s v="97.22"/>
  </r>
  <r>
    <x v="18"/>
    <x v="188"/>
    <n v="2898049"/>
    <n v="68008"/>
    <n v="863115"/>
    <s v="2.35"/>
    <s v="0.00"/>
    <s v="97.65"/>
  </r>
  <r>
    <x v="18"/>
    <x v="189"/>
    <n v="125710"/>
    <n v="3200"/>
    <n v="115441"/>
    <s v="2.55"/>
    <s v="0.00"/>
    <s v="97.45"/>
  </r>
  <r>
    <x v="18"/>
    <x v="190"/>
    <n v="45463901"/>
    <n v="735941"/>
    <n v="27380721"/>
    <s v="1.62"/>
    <s v="0.00"/>
    <s v="98.38"/>
  </r>
  <r>
    <x v="18"/>
    <x v="191"/>
    <n v="392148"/>
    <n v="6071"/>
    <n v="154530"/>
    <s v="1.55"/>
    <s v="0.00"/>
    <s v="98.45"/>
  </r>
  <r>
    <x v="18"/>
    <x v="192"/>
    <n v="183569"/>
    <n v="1304"/>
    <n v="84275"/>
    <s v="0.71"/>
    <s v="0.00"/>
    <s v="99.29"/>
  </r>
  <r>
    <x v="18"/>
    <x v="194"/>
    <n v="4850"/>
    <n v="60"/>
    <n v="4281"/>
    <s v="1.24"/>
    <s v="0.00"/>
    <s v="98.76"/>
  </r>
  <r>
    <x v="18"/>
    <x v="193"/>
    <n v="27"/>
    <n v="0"/>
    <n v="27"/>
    <s v="0.00"/>
    <s v="0.00"/>
    <s v="100.00"/>
  </r>
  <r>
    <x v="18"/>
    <x v="195"/>
    <n v="400511"/>
    <n v="4810"/>
    <n v="80770"/>
    <s v="1.20"/>
    <s v="0.00"/>
    <s v="98.80"/>
  </r>
  <r>
    <x v="18"/>
    <x v="196"/>
    <n v="888940"/>
    <n v="21673"/>
    <n v="713700"/>
    <s v="2.44"/>
    <s v="0.00"/>
    <s v="97.56"/>
  </r>
  <r>
    <x v="18"/>
    <x v="197"/>
    <n v="4"/>
    <n v="1"/>
    <n v="2"/>
    <s v="25.00"/>
    <s v="0.00"/>
    <s v="75.00"/>
  </r>
  <r>
    <x v="18"/>
    <x v="198"/>
    <n v="3"/>
    <n v="0"/>
    <n v="1"/>
    <s v="0.00"/>
    <s v="0.00"/>
    <s v="100.00"/>
  </r>
  <r>
    <x v="18"/>
    <x v="199"/>
    <n v="160635"/>
    <n v="2974"/>
    <n v="114467"/>
    <s v="1.85"/>
    <s v="0.00"/>
    <s v="98.15"/>
  </r>
  <r>
    <x v="18"/>
    <x v="200"/>
    <n v="9678"/>
    <n v="1840"/>
    <n v="4407"/>
    <s v="19.01"/>
    <s v="0.00"/>
    <s v="80.99"/>
  </r>
  <r>
    <x v="18"/>
    <x v="201"/>
    <n v="20485"/>
    <n v="182"/>
    <n v="2037"/>
    <s v="0.89"/>
    <s v="0.00"/>
    <s v="99.11"/>
  </r>
  <r>
    <x v="18"/>
    <x v="202"/>
    <n v="2919632"/>
    <n v="88925"/>
    <n v="951005"/>
    <s v="3.05"/>
    <s v="0.00"/>
    <s v="96.95"/>
  </r>
  <r>
    <x v="18"/>
    <x v="203"/>
    <n v="209634"/>
    <n v="3659"/>
    <n v="72020"/>
    <s v="1.75"/>
    <s v="0.00"/>
    <s v="98.25"/>
  </r>
  <r>
    <x v="18"/>
    <x v="204"/>
    <n v="132651"/>
    <n v="4669"/>
    <n v="8191"/>
    <s v="3.52"/>
    <s v="0.00"/>
    <s v="96.48"/>
  </r>
  <r>
    <x v="18"/>
    <x v="205"/>
    <n v="721"/>
    <n v="15"/>
    <n v="309"/>
    <s v="2.08"/>
    <s v="0.00"/>
    <s v="97.92"/>
  </r>
  <r>
    <x v="19"/>
    <x v="205"/>
    <n v="721"/>
    <n v="15"/>
    <n v="440"/>
    <s v="2.08"/>
    <s v="0.00"/>
    <s v="97.92"/>
  </r>
  <r>
    <x v="19"/>
    <x v="204"/>
    <n v="132588"/>
    <n v="4663"/>
    <n v="55885"/>
    <s v="3.52"/>
    <s v="0.00"/>
    <s v="96.48"/>
  </r>
  <r>
    <x v="19"/>
    <x v="203"/>
    <n v="209629"/>
    <n v="3659"/>
    <n v="85308"/>
    <s v="1.75"/>
    <s v="0.00"/>
    <s v="98.25"/>
  </r>
  <r>
    <x v="19"/>
    <x v="202"/>
    <n v="2919332"/>
    <n v="88914"/>
    <n v="1452981"/>
    <s v="3.05"/>
    <s v="0.00"/>
    <s v="96.95"/>
  </r>
  <r>
    <x v="19"/>
    <x v="201"/>
    <n v="20485"/>
    <n v="182"/>
    <n v="19102"/>
    <s v="0.89"/>
    <s v="0.00"/>
    <s v="99.11"/>
  </r>
  <r>
    <x v="19"/>
    <x v="200"/>
    <n v="9662"/>
    <n v="1838"/>
    <n v="7679"/>
    <s v="19.02"/>
    <s v="0.00"/>
    <s v="80.98"/>
  </r>
  <r>
    <x v="19"/>
    <x v="199"/>
    <n v="160622"/>
    <n v="2974"/>
    <n v="62380"/>
    <s v="1.85"/>
    <s v="0.00"/>
    <s v="98.15"/>
  </r>
  <r>
    <x v="19"/>
    <x v="198"/>
    <n v="3"/>
    <n v="0"/>
    <n v="0"/>
    <s v="0.00"/>
    <s v="0.00"/>
    <s v="100.00"/>
  </r>
  <r>
    <x v="19"/>
    <x v="197"/>
    <n v="4"/>
    <n v="1"/>
    <n v="3"/>
    <s v="25.00"/>
    <s v="0.00"/>
    <s v="75.00"/>
  </r>
  <r>
    <x v="19"/>
    <x v="196"/>
    <n v="884895"/>
    <n v="21620"/>
    <n v="820167"/>
    <s v="2.44"/>
    <s v="0.00"/>
    <s v="97.56"/>
  </r>
  <r>
    <x v="19"/>
    <x v="195"/>
    <n v="399667"/>
    <n v="4800"/>
    <n v="195439"/>
    <s v="1.20"/>
    <s v="0.00"/>
    <s v="98.80"/>
  </r>
  <r>
    <x v="19"/>
    <x v="193"/>
    <n v="27"/>
    <n v="0"/>
    <n v="12"/>
    <s v="0.00"/>
    <s v="0.00"/>
    <s v="100.00"/>
  </r>
  <r>
    <x v="19"/>
    <x v="194"/>
    <n v="4814"/>
    <n v="60"/>
    <n v="4488"/>
    <s v="1.25"/>
    <s v="0.00"/>
    <s v="98.75"/>
  </r>
  <r>
    <x v="19"/>
    <x v="192"/>
    <n v="183191"/>
    <n v="1302"/>
    <n v="137854"/>
    <s v="0.71"/>
    <s v="0.00"/>
    <s v="99.29"/>
  </r>
  <r>
    <x v="19"/>
    <x v="191"/>
    <n v="392029"/>
    <n v="6071"/>
    <n v="142419"/>
    <s v="1.55"/>
    <s v="0.00"/>
    <s v="98.45"/>
  </r>
  <r>
    <x v="19"/>
    <x v="190"/>
    <n v="45447586"/>
    <n v="735800"/>
    <n v="21703145"/>
    <s v="1.62"/>
    <s v="0.00"/>
    <s v="98.38"/>
  </r>
  <r>
    <x v="19"/>
    <x v="189"/>
    <n v="125645"/>
    <n v="3198"/>
    <n v="82366"/>
    <s v="2.55"/>
    <s v="0.00"/>
    <s v="97.45"/>
  </r>
  <r>
    <x v="19"/>
    <x v="188"/>
    <n v="2876288"/>
    <n v="67597"/>
    <n v="1707274"/>
    <s v="2.35"/>
    <s v="0.00"/>
    <s v="97.65"/>
  </r>
  <r>
    <x v="19"/>
    <x v="187"/>
    <n v="26034"/>
    <n v="724"/>
    <n v="21842"/>
    <s v="2.78"/>
    <s v="0.00"/>
    <s v="97.22"/>
  </r>
  <r>
    <x v="19"/>
    <x v="186"/>
    <n v="16364"/>
    <n v="846"/>
    <n v="2076"/>
    <s v="5.17"/>
    <s v="0.00"/>
    <s v="94.83"/>
  </r>
  <r>
    <x v="19"/>
    <x v="185"/>
    <n v="55437"/>
    <n v="1639"/>
    <n v="42409"/>
    <s v="2.96"/>
    <s v="0.00"/>
    <s v="97.04"/>
  </r>
  <r>
    <x v="19"/>
    <x v="184"/>
    <n v="7826983"/>
    <n v="68917"/>
    <n v="2483883"/>
    <s v="0.88"/>
    <s v="0.00"/>
    <s v="99.12"/>
  </r>
  <r>
    <x v="19"/>
    <x v="182"/>
    <n v="711521"/>
    <n v="25139"/>
    <n v="132664"/>
    <s v="3.53"/>
    <s v="0.00"/>
    <s v="96.47"/>
  </r>
  <r>
    <x v="19"/>
    <x v="181"/>
    <n v="19766"/>
    <n v="120"/>
    <n v="5946"/>
    <s v="0.61"/>
    <s v="0.00"/>
    <s v="99.39"/>
  </r>
  <r>
    <x v="19"/>
    <x v="180"/>
    <n v="17486"/>
    <n v="125"/>
    <n v="4067"/>
    <s v="0.71"/>
    <s v="0.00"/>
    <s v="99.29"/>
  </r>
  <r>
    <x v="19"/>
    <x v="179"/>
    <n v="1841131"/>
    <n v="18699"/>
    <n v="13991"/>
    <s v="1.02"/>
    <s v="0.00"/>
    <s v="98.98"/>
  </r>
  <r>
    <x v="19"/>
    <x v="178"/>
    <n v="25989"/>
    <n v="242"/>
    <n v="21153"/>
    <s v="0.93"/>
    <s v="0.00"/>
    <s v="99.07"/>
  </r>
  <r>
    <x v="19"/>
    <x v="177"/>
    <n v="5069"/>
    <n v="174"/>
    <n v="958"/>
    <s v="3.43"/>
    <s v="0.00"/>
    <s v="96.57"/>
  </r>
  <r>
    <x v="19"/>
    <x v="176"/>
    <n v="46384"/>
    <n v="1241"/>
    <n v="15705"/>
    <s v="2.68"/>
    <s v="0.00"/>
    <s v="97.32"/>
  </r>
  <r>
    <x v="19"/>
    <x v="175"/>
    <n v="41222"/>
    <n v="2492"/>
    <n v="6255"/>
    <s v="6.05"/>
    <s v="0.00"/>
    <s v="93.95"/>
  </r>
  <r>
    <x v="19"/>
    <x v="174"/>
    <n v="112290"/>
    <n v="3554"/>
    <n v="86752"/>
    <s v="3.17"/>
    <s v="0.00"/>
    <s v="96.83"/>
  </r>
  <r>
    <x v="19"/>
    <x v="172"/>
    <n v="12279"/>
    <n v="133"/>
    <n v="11639"/>
    <s v="1.08"/>
    <s v="0.00"/>
    <s v="98.92"/>
  </r>
  <r>
    <x v="19"/>
    <x v="173"/>
    <n v="3697"/>
    <n v="56"/>
    <n v="1493"/>
    <s v="1.51"/>
    <s v="0.00"/>
    <s v="98.49"/>
  </r>
  <r>
    <x v="19"/>
    <x v="171"/>
    <n v="47978"/>
    <n v="1058"/>
    <n v="5547"/>
    <s v="2.21"/>
    <s v="0.00"/>
    <s v="97.79"/>
  </r>
  <r>
    <x v="19"/>
    <x v="170"/>
    <n v="21269"/>
    <n v="1180"/>
    <n v="3773"/>
    <s v="5.55"/>
    <s v="0.00"/>
    <s v="94.45"/>
  </r>
  <r>
    <x v="19"/>
    <x v="169"/>
    <n v="73891"/>
    <n v="1877"/>
    <n v="2694"/>
    <s v="2.54"/>
    <s v="0.00"/>
    <s v="97.46"/>
  </r>
  <r>
    <x v="19"/>
    <x v="168"/>
    <n v="5497"/>
    <n v="91"/>
    <n v="300"/>
    <s v="1.66"/>
    <s v="0.00"/>
    <s v="98.34"/>
  </r>
  <r>
    <x v="19"/>
    <x v="167"/>
    <n v="6397"/>
    <n v="121"/>
    <n v="746"/>
    <s v="1.89"/>
    <s v="0.00"/>
    <s v="98.11"/>
  </r>
  <r>
    <x v="19"/>
    <x v="166"/>
    <n v="453231"/>
    <n v="12895"/>
    <n v="355643"/>
    <s v="2.85"/>
    <s v="0.00"/>
    <s v="97.15"/>
  </r>
  <r>
    <x v="19"/>
    <x v="165"/>
    <n v="318412"/>
    <n v="4678"/>
    <n v="171714"/>
    <s v="1.47"/>
    <s v="0.00"/>
    <s v="98.53"/>
  </r>
  <r>
    <x v="19"/>
    <x v="164"/>
    <n v="169261"/>
    <n v="300"/>
    <n v="37380"/>
    <s v="0.18"/>
    <s v="0.00"/>
    <s v="99.82"/>
  </r>
  <r>
    <x v="19"/>
    <x v="163"/>
    <n v="1165996"/>
    <n v="14993"/>
    <n v="32811"/>
    <s v="1.29"/>
    <s v="0.00"/>
    <s v="98.71"/>
  </r>
  <r>
    <x v="19"/>
    <x v="162"/>
    <n v="40238"/>
    <n v="3099"/>
    <n v="6280"/>
    <s v="7.70"/>
    <s v="0.00"/>
    <s v="92.30"/>
  </r>
  <r>
    <x v="19"/>
    <x v="161"/>
    <n v="22102"/>
    <n v="119"/>
    <n v="7342"/>
    <s v="0.54"/>
    <s v="0.00"/>
    <s v="99.46"/>
  </r>
  <r>
    <x v="19"/>
    <x v="160"/>
    <n v="20"/>
    <n v="0"/>
    <n v="0"/>
    <s v="0.00"/>
    <s v="0.00"/>
    <s v="100.00"/>
  </r>
  <r>
    <x v="19"/>
    <x v="159"/>
    <n v="548205"/>
    <n v="8776"/>
    <n v="362044"/>
    <s v="1.60"/>
    <s v="0.00"/>
    <s v="98.40"/>
  </r>
  <r>
    <x v="19"/>
    <x v="158"/>
    <n v="99354"/>
    <n v="1320"/>
    <n v="19187"/>
    <s v="1.33"/>
    <s v="0.00"/>
    <s v="98.67"/>
  </r>
  <r>
    <x v="19"/>
    <x v="157"/>
    <n v="8078309"/>
    <n v="225417"/>
    <n v="806709"/>
    <s v="2.79"/>
    <s v="0.00"/>
    <s v="97.21"/>
  </r>
  <r>
    <x v="19"/>
    <x v="156"/>
    <n v="1092476"/>
    <n v="9448"/>
    <n v="186491"/>
    <s v="0.86"/>
    <s v="0.00"/>
    <s v="99.14"/>
  </r>
  <r>
    <x v="19"/>
    <x v="155"/>
    <n v="1550203"/>
    <n v="44290"/>
    <n v="1363307"/>
    <s v="2.86"/>
    <s v="0.00"/>
    <s v="97.14"/>
  </r>
  <r>
    <x v="19"/>
    <x v="154"/>
    <n v="54438"/>
    <n v="372"/>
    <n v="16737"/>
    <s v="0.68"/>
    <s v="0.00"/>
    <s v="99.32"/>
  </r>
  <r>
    <x v="19"/>
    <x v="153"/>
    <n v="238436"/>
    <n v="608"/>
    <n v="25432"/>
    <s v="0.25"/>
    <s v="0.00"/>
    <s v="99.75"/>
  </r>
  <r>
    <x v="19"/>
    <x v="152"/>
    <n v="460679"/>
    <n v="16229"/>
    <n v="35799"/>
    <s v="3.52"/>
    <s v="0.00"/>
    <s v="96.48"/>
  </r>
  <r>
    <x v="19"/>
    <x v="151"/>
    <n v="8"/>
    <n v="0"/>
    <n v="4"/>
    <s v="0.00"/>
    <s v="0.00"/>
    <s v="100.00"/>
  </r>
  <r>
    <x v="19"/>
    <x v="150"/>
    <n v="1084534"/>
    <n v="18129"/>
    <n v="965443"/>
    <s v="1.67"/>
    <s v="0.00"/>
    <s v="98.33"/>
  </r>
  <r>
    <x v="19"/>
    <x v="149"/>
    <n v="450310"/>
    <n v="4611"/>
    <n v="397253"/>
    <s v="1.02"/>
    <s v="0.00"/>
    <s v="98.98"/>
  </r>
  <r>
    <x v="19"/>
    <x v="148"/>
    <n v="2968200"/>
    <n v="76434"/>
    <n v="811969"/>
    <s v="2.58"/>
    <s v="0.00"/>
    <s v="97.42"/>
  </r>
  <r>
    <x v="19"/>
    <x v="147"/>
    <n v="1268536"/>
    <n v="28377"/>
    <n v="980622"/>
    <s v="2.24"/>
    <s v="0.00"/>
    <s v="97.76"/>
  </r>
  <r>
    <x v="19"/>
    <x v="146"/>
    <n v="2751667"/>
    <n v="41585"/>
    <n v="1752629"/>
    <s v="1.51"/>
    <s v="0.00"/>
    <s v="98.49"/>
  </r>
  <r>
    <x v="19"/>
    <x v="145"/>
    <n v="26731"/>
    <n v="329"/>
    <n v="21056"/>
    <s v="1.23"/>
    <s v="0.00"/>
    <s v="98.77"/>
  </r>
  <r>
    <x v="19"/>
    <x v="144"/>
    <n v="45515"/>
    <n v="635"/>
    <n v="38517"/>
    <s v="1.40"/>
    <s v="0.00"/>
    <s v="98.60"/>
  </r>
  <r>
    <x v="19"/>
    <x v="143"/>
    <n v="2195101"/>
    <n v="200019"/>
    <n v="1484300"/>
    <s v="9.11"/>
    <s v="0.00"/>
    <s v="90.89"/>
  </r>
  <r>
    <x v="19"/>
    <x v="142"/>
    <n v="471403"/>
    <n v="7307"/>
    <n v="379261"/>
    <s v="1.55"/>
    <s v="0.00"/>
    <s v="98.45"/>
  </r>
  <r>
    <x v="19"/>
    <x v="141"/>
    <n v="304116"/>
    <n v="4107"/>
    <n v="240996"/>
    <s v="1.35"/>
    <s v="0.00"/>
    <s v="98.65"/>
  </r>
  <r>
    <x v="19"/>
    <x v="140"/>
    <n v="5639"/>
    <n v="28"/>
    <n v="268"/>
    <s v="0.50"/>
    <s v="0.00"/>
    <s v="99.50"/>
  </r>
  <r>
    <x v="19"/>
    <x v="139"/>
    <n v="808534"/>
    <n v="11345"/>
    <n v="409275"/>
    <s v="1.40"/>
    <s v="0.00"/>
    <s v="98.60"/>
  </r>
  <r>
    <x v="19"/>
    <x v="138"/>
    <n v="200093"/>
    <n v="894"/>
    <n v="126381"/>
    <s v="0.45"/>
    <s v="0.00"/>
    <s v="99.55"/>
  </r>
  <r>
    <x v="19"/>
    <x v="137"/>
    <n v="2115936"/>
    <n v="18750"/>
    <n v="624424"/>
    <s v="0.89"/>
    <s v="0.00"/>
    <s v="99.11"/>
  </r>
  <r>
    <x v="19"/>
    <x v="136"/>
    <n v="16241"/>
    <n v="207"/>
    <n v="6217"/>
    <s v="1.27"/>
    <s v="0.00"/>
    <s v="98.73"/>
  </r>
  <r>
    <x v="19"/>
    <x v="135"/>
    <n v="210295"/>
    <n v="2856"/>
    <n v="40574"/>
    <s v="1.36"/>
    <s v="0.00"/>
    <s v="98.64"/>
  </r>
  <r>
    <x v="19"/>
    <x v="134"/>
    <n v="6248"/>
    <n v="207"/>
    <n v="3011"/>
    <s v="3.31"/>
    <s v="0.00"/>
    <s v="96.69"/>
  </r>
  <r>
    <x v="19"/>
    <x v="133"/>
    <n v="10454"/>
    <n v="252"/>
    <n v="7940"/>
    <s v="2.41"/>
    <s v="0.00"/>
    <s v="97.59"/>
  </r>
  <r>
    <x v="19"/>
    <x v="132"/>
    <n v="128801"/>
    <n v="3546"/>
    <n v="56522"/>
    <s v="2.75"/>
    <s v="0.00"/>
    <s v="97.25"/>
  </r>
  <r>
    <x v="19"/>
    <x v="131"/>
    <n v="151220"/>
    <n v="1928"/>
    <n v="134266"/>
    <s v="1.27"/>
    <s v="0.00"/>
    <s v="98.73"/>
  </r>
  <r>
    <x v="19"/>
    <x v="130"/>
    <n v="2426050"/>
    <n v="28354"/>
    <n v="1811153"/>
    <s v="1.17"/>
    <s v="0.00"/>
    <s v="98.83"/>
  </r>
  <r>
    <x v="19"/>
    <x v="129"/>
    <n v="3781661"/>
    <n v="286259"/>
    <n v="3474335"/>
    <s v="7.57"/>
    <s v="0.00"/>
    <s v="92.43"/>
  </r>
  <r>
    <x v="19"/>
    <x v="128"/>
    <n v="61757"/>
    <n v="2296"/>
    <n v="40404"/>
    <s v="3.72"/>
    <s v="0.00"/>
    <s v="96.28"/>
  </r>
  <r>
    <x v="19"/>
    <x v="127"/>
    <n v="86830"/>
    <n v="240"/>
    <n v="80071"/>
    <s v="0.28"/>
    <s v="0.00"/>
    <s v="99.72"/>
  </r>
  <r>
    <x v="19"/>
    <x v="126"/>
    <n v="17047"/>
    <n v="148"/>
    <n v="14592"/>
    <s v="0.87"/>
    <s v="0.00"/>
    <s v="99.13"/>
  </r>
  <r>
    <x v="19"/>
    <x v="125"/>
    <n v="37539"/>
    <n v="459"/>
    <n v="35268"/>
    <s v="1.22"/>
    <s v="0.00"/>
    <s v="98.78"/>
  </r>
  <r>
    <x v="19"/>
    <x v="124"/>
    <n v="36910"/>
    <n v="792"/>
    <n v="7012"/>
    <s v="2.15"/>
    <s v="0.00"/>
    <s v="97.85"/>
  </r>
  <r>
    <x v="19"/>
    <x v="123"/>
    <n v="42820"/>
    <n v="673"/>
    <n v="2966"/>
    <s v="1.57"/>
    <s v="0.00"/>
    <s v="98.43"/>
  </r>
  <r>
    <x v="19"/>
    <x v="122"/>
    <n v="77"/>
    <n v="0"/>
    <n v="28"/>
    <s v="0.00"/>
    <s v="0.00"/>
    <s v="100.00"/>
  </r>
  <r>
    <x v="19"/>
    <x v="121"/>
    <n v="348188"/>
    <n v="1643"/>
    <n v="98969"/>
    <s v="0.47"/>
    <s v="0.00"/>
    <s v="99.53"/>
  </r>
  <r>
    <x v="19"/>
    <x v="120"/>
    <n v="493576"/>
    <n v="18511"/>
    <n v="188269"/>
    <s v="3.75"/>
    <s v="0.00"/>
    <s v="96.25"/>
  </r>
  <r>
    <x v="19"/>
    <x v="119"/>
    <n v="15809"/>
    <n v="558"/>
    <n v="10623"/>
    <s v="3.53"/>
    <s v="0.00"/>
    <s v="96.47"/>
  </r>
  <r>
    <x v="19"/>
    <x v="118"/>
    <n v="199539"/>
    <n v="7036"/>
    <n v="108615"/>
    <s v="3.53"/>
    <s v="0.00"/>
    <s v="96.47"/>
  </r>
  <r>
    <x v="19"/>
    <x v="117"/>
    <n v="4"/>
    <n v="0"/>
    <n v="4"/>
    <s v="0.00"/>
    <s v="0.00"/>
    <s v="100.00"/>
  </r>
  <r>
    <x v="19"/>
    <x v="116"/>
    <n v="43622"/>
    <n v="960"/>
    <n v="14192"/>
    <s v="2.20"/>
    <s v="0.00"/>
    <s v="97.80"/>
  </r>
  <r>
    <x v="19"/>
    <x v="115"/>
    <n v="3888"/>
    <n v="55"/>
    <n v="668"/>
    <s v="1.41"/>
    <s v="0.00"/>
    <s v="98.59"/>
  </r>
  <r>
    <x v="19"/>
    <x v="114"/>
    <n v="140489"/>
    <n v="2059"/>
    <n v="62108"/>
    <s v="1.47"/>
    <s v="0.00"/>
    <s v="98.53"/>
  </r>
  <r>
    <x v="19"/>
    <x v="113"/>
    <n v="327094"/>
    <n v="7459"/>
    <n v="241927"/>
    <s v="2.28"/>
    <s v="0.00"/>
    <s v="97.72"/>
  </r>
  <r>
    <x v="19"/>
    <x v="112"/>
    <n v="3389"/>
    <n v="35"/>
    <n v="876"/>
    <s v="1.03"/>
    <s v="0.00"/>
    <s v="98.97"/>
  </r>
  <r>
    <x v="19"/>
    <x v="111"/>
    <n v="944076"/>
    <n v="14606"/>
    <n v="283219"/>
    <s v="1.55"/>
    <s v="0.00"/>
    <s v="98.45"/>
  </r>
  <r>
    <x v="19"/>
    <x v="110"/>
    <n v="352881"/>
    <n v="4982"/>
    <n v="105690"/>
    <s v="1.41"/>
    <s v="0.00"/>
    <s v="98.59"/>
  </r>
  <r>
    <x v="19"/>
    <x v="109"/>
    <n v="200321"/>
    <n v="3018"/>
    <n v="78419"/>
    <s v="1.51"/>
    <s v="0.00"/>
    <s v="98.49"/>
  </r>
  <r>
    <x v="19"/>
    <x v="108"/>
    <n v="80603"/>
    <n v="842"/>
    <n v="54483"/>
    <s v="1.04"/>
    <s v="0.00"/>
    <s v="98.96"/>
  </r>
  <r>
    <x v="19"/>
    <x v="107"/>
    <n v="385640"/>
    <n v="5602"/>
    <n v="68136"/>
    <s v="1.45"/>
    <s v="0.00"/>
    <s v="98.55"/>
  </r>
  <r>
    <x v="19"/>
    <x v="106"/>
    <n v="21584"/>
    <n v="656"/>
    <n v="552"/>
    <s v="3.04"/>
    <s v="0.00"/>
    <s v="96.96"/>
  </r>
  <r>
    <x v="19"/>
    <x v="105"/>
    <n v="5811"/>
    <n v="287"/>
    <n v="2933"/>
    <s v="4.94"/>
    <s v="0.00"/>
    <s v="95.06"/>
  </r>
  <r>
    <x v="19"/>
    <x v="104"/>
    <n v="535529"/>
    <n v="13593"/>
    <n v="46990"/>
    <s v="2.54"/>
    <s v="0.00"/>
    <s v="97.46"/>
  </r>
  <r>
    <x v="19"/>
    <x v="103"/>
    <n v="3623"/>
    <n v="60"/>
    <n v="918"/>
    <s v="1.66"/>
    <s v="0.00"/>
    <s v="98.34"/>
  </r>
  <r>
    <x v="19"/>
    <x v="102"/>
    <n v="12411"/>
    <n v="240"/>
    <n v="6961"/>
    <s v="1.93"/>
    <s v="0.00"/>
    <s v="98.07"/>
  </r>
  <r>
    <x v="19"/>
    <x v="101"/>
    <n v="637312"/>
    <n v="8449"/>
    <n v="397207"/>
    <s v="1.33"/>
    <s v="0.00"/>
    <s v="98.67"/>
  </r>
  <r>
    <x v="19"/>
    <x v="100"/>
    <n v="34985"/>
    <n v="50"/>
    <n v="3"/>
    <s v="0.14"/>
    <s v="0.00"/>
    <s v="99.86"/>
  </r>
  <r>
    <x v="19"/>
    <x v="99"/>
    <n v="1005130"/>
    <n v="16871"/>
    <n v="521871"/>
    <s v="1.68"/>
    <s v="0.00"/>
    <s v="98.32"/>
  </r>
  <r>
    <x v="19"/>
    <x v="98"/>
    <n v="412506"/>
    <n v="2460"/>
    <n v="402940"/>
    <s v="0.60"/>
    <s v="0.00"/>
    <s v="99.40"/>
  </r>
  <r>
    <x v="19"/>
    <x v="97"/>
    <n v="351899"/>
    <n v="2766"/>
    <n v="209986"/>
    <s v="0.79"/>
    <s v="0.00"/>
    <s v="99.21"/>
  </r>
  <r>
    <x v="19"/>
    <x v="96"/>
    <n v="2623"/>
    <n v="21"/>
    <n v="469"/>
    <s v="0.80"/>
    <s v="0.00"/>
    <s v="99.20"/>
  </r>
  <r>
    <x v="19"/>
    <x v="95"/>
    <n v="4204"/>
    <n v="147"/>
    <n v="3441"/>
    <s v="3.50"/>
    <s v="0.00"/>
    <s v="96.50"/>
  </r>
  <r>
    <x v="19"/>
    <x v="93"/>
    <n v="117644"/>
    <n v="2725"/>
    <n v="2543"/>
    <s v="2.32"/>
    <s v="0.00"/>
    <s v="97.68"/>
  </r>
  <r>
    <x v="19"/>
    <x v="94"/>
    <n v="2"/>
    <n v="0"/>
    <n v="0"/>
    <s v="0.00"/>
    <s v="0.00"/>
    <s v="100.00"/>
  </r>
  <r>
    <x v="19"/>
    <x v="92"/>
    <n v="180467"/>
    <n v="2650"/>
    <n v="8674"/>
    <s v="1.47"/>
    <s v="0.00"/>
    <s v="98.53"/>
  </r>
  <r>
    <x v="19"/>
    <x v="91"/>
    <n v="252628"/>
    <n v="5255"/>
    <n v="54892"/>
    <s v="2.08"/>
    <s v="0.00"/>
    <s v="97.92"/>
  </r>
  <r>
    <x v="19"/>
    <x v="90"/>
    <n v="1717462"/>
    <n v="18199"/>
    <n v="726208"/>
    <s v="1.06"/>
    <s v="0.00"/>
    <s v="98.94"/>
  </r>
  <r>
    <x v="19"/>
    <x v="89"/>
    <n v="849758"/>
    <n v="10941"/>
    <n v="739453"/>
    <s v="1.29"/>
    <s v="0.00"/>
    <s v="98.71"/>
  </r>
  <r>
    <x v="19"/>
    <x v="88"/>
    <n v="88159"/>
    <n v="2175"/>
    <n v="17681"/>
    <s v="2.47"/>
    <s v="0.00"/>
    <s v="97.53"/>
  </r>
  <r>
    <x v="19"/>
    <x v="87"/>
    <n v="4737462"/>
    <n v="131802"/>
    <n v="3933612"/>
    <s v="2.78"/>
    <s v="0.00"/>
    <s v="97.22"/>
  </r>
  <r>
    <x v="19"/>
    <x v="86"/>
    <n v="12899"/>
    <n v="33"/>
    <n v="4634"/>
    <s v="0.26"/>
    <s v="0.00"/>
    <s v="99.74"/>
  </r>
  <r>
    <x v="19"/>
    <x v="85"/>
    <n v="5851670"/>
    <n v="125052"/>
    <n v="3760465"/>
    <s v="2.14"/>
    <s v="0.00"/>
    <s v="97.86"/>
  </r>
  <r>
    <x v="19"/>
    <x v="84"/>
    <n v="2045027"/>
    <n v="22937"/>
    <n v="1864883"/>
    <s v="1.12"/>
    <s v="0.00"/>
    <s v="98.88"/>
  </r>
  <r>
    <x v="19"/>
    <x v="83"/>
    <n v="34175468"/>
    <n v="454269"/>
    <n v="10634943"/>
    <s v="1.33"/>
    <s v="0.00"/>
    <s v="98.67"/>
  </r>
  <r>
    <x v="19"/>
    <x v="82"/>
    <n v="1322395"/>
    <n v="8046"/>
    <n v="1222989"/>
    <s v="0.61"/>
    <s v="0.00"/>
    <s v="99.39"/>
  </r>
  <r>
    <x v="19"/>
    <x v="81"/>
    <n v="428152"/>
    <n v="5369"/>
    <n v="83866"/>
    <s v="1.25"/>
    <s v="0.00"/>
    <s v="98.75"/>
  </r>
  <r>
    <x v="19"/>
    <x v="80"/>
    <n v="4239396"/>
    <n v="143176"/>
    <n v="3339987"/>
    <s v="3.38"/>
    <s v="0.00"/>
    <s v="96.62"/>
  </r>
  <r>
    <x v="19"/>
    <x v="79"/>
    <n v="843825"/>
    <n v="30492"/>
    <n v="775898"/>
    <s v="3.61"/>
    <s v="0.00"/>
    <s v="96.39"/>
  </r>
  <r>
    <x v="19"/>
    <x v="78"/>
    <n v="23406"/>
    <n v="658"/>
    <n v="21161"/>
    <s v="2.81"/>
    <s v="0.00"/>
    <s v="97.19"/>
  </r>
  <r>
    <x v="19"/>
    <x v="77"/>
    <n v="443032"/>
    <n v="9010"/>
    <n v="222349"/>
    <s v="2.03"/>
    <s v="0.00"/>
    <s v="97.97"/>
  </r>
  <r>
    <x v="19"/>
    <x v="76"/>
    <n v="374148"/>
    <n v="10191"/>
    <n v="223430"/>
    <s v="2.72"/>
    <s v="0.00"/>
    <s v="97.28"/>
  </r>
  <r>
    <x v="19"/>
    <x v="75"/>
    <n v="12319"/>
    <n v="213"/>
    <n v="1255"/>
    <s v="1.73"/>
    <s v="0.00"/>
    <s v="98.27"/>
  </r>
  <r>
    <x v="19"/>
    <x v="74"/>
    <n v="34977"/>
    <n v="894"/>
    <n v="23112"/>
    <s v="2.56"/>
    <s v="0.00"/>
    <s v="97.44"/>
  </r>
  <r>
    <x v="19"/>
    <x v="73"/>
    <n v="6131"/>
    <n v="141"/>
    <n v="5811"/>
    <s v="2.30"/>
    <s v="0.00"/>
    <s v="97.70"/>
  </r>
  <r>
    <x v="19"/>
    <x v="72"/>
    <n v="594665"/>
    <n v="14655"/>
    <n v="177527"/>
    <s v="2.46"/>
    <s v="0.00"/>
    <s v="97.54"/>
  </r>
  <r>
    <x v="19"/>
    <x v="71"/>
    <n v="714283"/>
    <n v="15598"/>
    <n v="458251"/>
    <s v="2.18"/>
    <s v="0.00"/>
    <s v="97.82"/>
  </r>
  <r>
    <x v="19"/>
    <x v="70"/>
    <n v="13166"/>
    <n v="163"/>
    <n v="12682"/>
    <s v="1.24"/>
    <s v="0.00"/>
    <s v="98.76"/>
  </r>
  <r>
    <x v="19"/>
    <x v="69"/>
    <n v="54095"/>
    <n v="809"/>
    <n v="33404"/>
    <s v="1.50"/>
    <s v="0.00"/>
    <s v="98.50"/>
  </r>
  <r>
    <x v="19"/>
    <x v="67"/>
    <n v="9956"/>
    <n v="339"/>
    <n v="7006"/>
    <s v="3.40"/>
    <s v="0.00"/>
    <s v="96.60"/>
  </r>
  <r>
    <x v="19"/>
    <x v="68"/>
    <n v="30626"/>
    <n v="385"/>
    <n v="26418"/>
    <s v="1.26"/>
    <s v="0.00"/>
    <s v="98.74"/>
  </r>
  <r>
    <x v="19"/>
    <x v="66"/>
    <n v="5858"/>
    <n v="98"/>
    <n v="4427"/>
    <s v="1.67"/>
    <s v="0.00"/>
    <s v="98.33"/>
  </r>
  <r>
    <x v="19"/>
    <x v="65"/>
    <n v="129805"/>
    <n v="1170"/>
    <n v="40688"/>
    <s v="0.90"/>
    <s v="0.00"/>
    <s v="99.10"/>
  </r>
  <r>
    <x v="19"/>
    <x v="64"/>
    <n v="43938"/>
    <n v="298"/>
    <n v="10998"/>
    <s v="0.68"/>
    <s v="0.00"/>
    <s v="99.32"/>
  </r>
  <r>
    <x v="19"/>
    <x v="62"/>
    <n v="5815"/>
    <n v="196"/>
    <n v="498"/>
    <s v="3.37"/>
    <s v="0.00"/>
    <s v="96.63"/>
  </r>
  <r>
    <x v="19"/>
    <x v="63"/>
    <n v="688804"/>
    <n v="9699"/>
    <n v="359459"/>
    <s v="1.41"/>
    <s v="0.00"/>
    <s v="98.59"/>
  </r>
  <r>
    <x v="19"/>
    <x v="61"/>
    <n v="8770031"/>
    <n v="139780"/>
    <n v="6148155"/>
    <s v="1.59"/>
    <s v="0.00"/>
    <s v="98.41"/>
  </r>
  <r>
    <x v="19"/>
    <x v="60"/>
    <n v="34601"/>
    <n v="224"/>
    <n v="10797"/>
    <s v="0.65"/>
    <s v="0.00"/>
    <s v="99.35"/>
  </r>
  <r>
    <x v="19"/>
    <x v="59"/>
    <n v="6944649"/>
    <n v="115114"/>
    <n v="3656237"/>
    <s v="1.66"/>
    <s v="0.00"/>
    <s v="98.34"/>
  </r>
  <r>
    <x v="19"/>
    <x v="58"/>
    <n v="1537"/>
    <n v="2"/>
    <n v="86"/>
    <s v="0.13"/>
    <s v="0.00"/>
    <s v="99.87"/>
  </r>
  <r>
    <x v="19"/>
    <x v="57"/>
    <n v="51977"/>
    <n v="673"/>
    <n v="27663"/>
    <s v="1.29"/>
    <s v="0.00"/>
    <s v="98.71"/>
  </r>
  <r>
    <x v="19"/>
    <x v="56"/>
    <n v="153156"/>
    <n v="1139"/>
    <n v="40858"/>
    <s v="0.74"/>
    <s v="0.00"/>
    <s v="99.26"/>
  </r>
  <r>
    <x v="19"/>
    <x v="55"/>
    <n v="362088"/>
    <n v="6347"/>
    <n v="260705"/>
    <s v="1.75"/>
    <s v="0.00"/>
    <s v="98.25"/>
  </r>
  <r>
    <x v="19"/>
    <x v="54"/>
    <n v="4997732"/>
    <n v="87132"/>
    <n v="431070"/>
    <s v="1.74"/>
    <s v="0.00"/>
    <s v="98.26"/>
  </r>
  <r>
    <x v="19"/>
    <x v="53"/>
    <n v="6789"/>
    <n v="45"/>
    <n v="4944"/>
    <s v="0.66"/>
    <s v="0.00"/>
    <s v="99.34"/>
  </r>
  <r>
    <x v="19"/>
    <x v="52"/>
    <n v="323733"/>
    <n v="18242"/>
    <n v="280781"/>
    <s v="5.63"/>
    <s v="0.00"/>
    <s v="94.37"/>
  </r>
  <r>
    <x v="19"/>
    <x v="51"/>
    <n v="180252"/>
    <n v="1454"/>
    <n v="157"/>
    <s v="0.81"/>
    <s v="0.00"/>
    <s v="99.19"/>
  </r>
  <r>
    <x v="19"/>
    <x v="50"/>
    <n v="514087"/>
    <n v="32937"/>
    <n v="19432"/>
    <s v="6.41"/>
    <s v="0.00"/>
    <s v="93.59"/>
  </r>
  <r>
    <x v="19"/>
    <x v="49"/>
    <n v="205750"/>
    <n v="5886"/>
    <n v="18786"/>
    <s v="2.86"/>
    <s v="0.00"/>
    <s v="97.14"/>
  </r>
  <r>
    <x v="19"/>
    <x v="48"/>
    <n v="375545"/>
    <n v="4106"/>
    <n v="129143"/>
    <s v="1.09"/>
    <s v="0.00"/>
    <s v="98.91"/>
  </r>
  <r>
    <x v="19"/>
    <x v="47"/>
    <n v="4508"/>
    <n v="30"/>
    <n v="828"/>
    <s v="0.67"/>
    <s v="0.00"/>
    <s v="99.33"/>
  </r>
  <r>
    <x v="19"/>
    <x v="46"/>
    <n v="375796"/>
    <n v="2697"/>
    <n v="35786"/>
    <s v="0.72"/>
    <s v="0.00"/>
    <s v="99.28"/>
  </r>
  <r>
    <x v="19"/>
    <x v="45"/>
    <n v="13444"/>
    <n v="181"/>
    <n v="2067"/>
    <s v="1.35"/>
    <s v="0.00"/>
    <s v="98.65"/>
  </r>
  <r>
    <x v="19"/>
    <x v="44"/>
    <n v="4476187"/>
    <n v="95105"/>
    <n v="3066938"/>
    <s v="2.12"/>
    <s v="0.00"/>
    <s v="97.88"/>
  </r>
  <r>
    <x v="19"/>
    <x v="43"/>
    <n v="1726690"/>
    <n v="30608"/>
    <n v="1397324"/>
    <s v="1.77"/>
    <s v="0.00"/>
    <s v="98.23"/>
  </r>
  <r>
    <x v="19"/>
    <x v="42"/>
    <n v="122996"/>
    <n v="569"/>
    <n v="63119"/>
    <s v="0.46"/>
    <s v="0.00"/>
    <s v="99.54"/>
  </r>
  <r>
    <x v="19"/>
    <x v="41"/>
    <n v="38130"/>
    <n v="349"/>
    <n v="26894"/>
    <s v="0.92"/>
    <s v="0.00"/>
    <s v="99.08"/>
  </r>
  <r>
    <x v="19"/>
    <x v="40"/>
    <n v="944431"/>
    <n v="8167"/>
    <n v="363507"/>
    <s v="0.86"/>
    <s v="0.00"/>
    <s v="99.14"/>
  </r>
  <r>
    <x v="19"/>
    <x v="39"/>
    <n v="555970"/>
    <n v="6946"/>
    <n v="146423"/>
    <s v="1.25"/>
    <s v="0.00"/>
    <s v="98.75"/>
  </r>
  <r>
    <x v="19"/>
    <x v="38"/>
    <n v="4989681"/>
    <n v="127032"/>
    <n v="3317025"/>
    <s v="2.55"/>
    <s v="0.00"/>
    <s v="97.45"/>
  </r>
  <r>
    <x v="19"/>
    <x v="37"/>
    <n v="96759"/>
    <n v="4636"/>
    <n v="91040"/>
    <s v="4.79"/>
    <s v="0.00"/>
    <s v="95.21"/>
  </r>
  <r>
    <x v="19"/>
    <x v="36"/>
    <n v="100289"/>
    <n v="1600"/>
    <n v="53435"/>
    <s v="1.60"/>
    <s v="0.00"/>
    <s v="98.40"/>
  </r>
  <r>
    <x v="19"/>
    <x v="35"/>
    <n v="1680017"/>
    <n v="37662"/>
    <n v="574560"/>
    <s v="2.24"/>
    <s v="0.00"/>
    <s v="97.76"/>
  </r>
  <r>
    <x v="19"/>
    <x v="34"/>
    <n v="61178"/>
    <n v="690"/>
    <n v="8730"/>
    <s v="1.13"/>
    <s v="0.00"/>
    <s v="98.87"/>
  </r>
  <r>
    <x v="19"/>
    <x v="33"/>
    <n v="862411"/>
    <n v="11181"/>
    <n v="701346"/>
    <s v="1.30"/>
    <s v="0.00"/>
    <s v="98.70"/>
  </r>
  <r>
    <x v="19"/>
    <x v="32"/>
    <n v="16408"/>
    <n v="239"/>
    <n v="2372"/>
    <s v="1.46"/>
    <s v="0.00"/>
    <s v="98.54"/>
  </r>
  <r>
    <x v="19"/>
    <x v="31"/>
    <n v="11518"/>
    <n v="100"/>
    <n v="335"/>
    <s v="0.87"/>
    <s v="0.00"/>
    <s v="99.13"/>
  </r>
  <r>
    <x v="19"/>
    <x v="30"/>
    <n v="57432"/>
    <n v="1091"/>
    <n v="402"/>
    <s v="1.90"/>
    <s v="0.00"/>
    <s v="98.10"/>
  </r>
  <r>
    <x v="19"/>
    <x v="29"/>
    <n v="1705750"/>
    <n v="28797"/>
    <n v="205602"/>
    <s v="1.69"/>
    <s v="0.00"/>
    <s v="98.31"/>
  </r>
  <r>
    <x v="19"/>
    <x v="28"/>
    <n v="25445"/>
    <n v="473"/>
    <n v="7924"/>
    <s v="1.86"/>
    <s v="0.00"/>
    <s v="98.14"/>
  </r>
  <r>
    <x v="19"/>
    <x v="27"/>
    <n v="584190"/>
    <n v="4499"/>
    <n v="227332"/>
    <s v="0.77"/>
    <s v="0.00"/>
    <s v="99.23"/>
  </r>
  <r>
    <x v="19"/>
    <x v="26"/>
    <n v="184919"/>
    <n v="2396"/>
    <n v="108751"/>
    <s v="1.30"/>
    <s v="0.00"/>
    <s v="98.70"/>
  </r>
  <r>
    <x v="19"/>
    <x v="25"/>
    <n v="2617"/>
    <n v="3"/>
    <n v="785"/>
    <s v="0.11"/>
    <s v="0.00"/>
    <s v="99.89"/>
  </r>
  <r>
    <x v="19"/>
    <x v="24"/>
    <n v="22179"/>
    <n v="642"/>
    <n v="11751"/>
    <s v="2.89"/>
    <s v="0.00"/>
    <s v="97.11"/>
  </r>
  <r>
    <x v="19"/>
    <x v="23"/>
    <n v="21723559"/>
    <n v="605457"/>
    <n v="19901012"/>
    <s v="2.79"/>
    <s v="0.00"/>
    <s v="97.21"/>
  </r>
  <r>
    <x v="19"/>
    <x v="22"/>
    <n v="509709"/>
    <n v="18898"/>
    <n v="409741"/>
    <s v="3.71"/>
    <s v="0.00"/>
    <s v="96.29"/>
  </r>
  <r>
    <x v="19"/>
    <x v="21"/>
    <n v="11901"/>
    <n v="80"/>
    <n v="10263"/>
    <s v="0.67"/>
    <s v="0.00"/>
    <s v="99.33"/>
  </r>
  <r>
    <x v="19"/>
    <x v="20"/>
    <n v="1659"/>
    <n v="6"/>
    <n v="1458"/>
    <s v="0.36"/>
    <s v="0.00"/>
    <s v="99.64"/>
  </r>
  <r>
    <x v="19"/>
    <x v="19"/>
    <n v="24560"/>
    <n v="161"/>
    <n v="11455"/>
    <s v="0.66"/>
    <s v="0.00"/>
    <s v="99.34"/>
  </r>
  <r>
    <x v="19"/>
    <x v="18"/>
    <n v="19894"/>
    <n v="38"/>
    <n v="6124"/>
    <s v="0.19"/>
    <s v="0.00"/>
    <s v="99.81"/>
  </r>
  <r>
    <x v="19"/>
    <x v="17"/>
    <n v="276526"/>
    <n v="1393"/>
    <n v="252285"/>
    <s v="0.50"/>
    <s v="0.00"/>
    <s v="99.50"/>
  </r>
  <r>
    <x v="19"/>
    <x v="16"/>
    <n v="568073"/>
    <n v="23033"/>
    <n v="167511"/>
    <s v="4.05"/>
    <s v="0.00"/>
    <s v="95.95"/>
  </r>
  <r>
    <x v="19"/>
    <x v="15"/>
    <n v="14793"/>
    <n v="214"/>
    <n v="8160"/>
    <s v="1.45"/>
    <s v="0.00"/>
    <s v="98.55"/>
  </r>
  <r>
    <x v="19"/>
    <x v="14"/>
    <n v="1312360"/>
    <n v="25846"/>
    <n v="928548"/>
    <s v="1.97"/>
    <s v="0.00"/>
    <s v="98.03"/>
  </r>
  <r>
    <x v="19"/>
    <x v="13"/>
    <n v="1567417"/>
    <n v="27814"/>
    <n v="1269042"/>
    <s v="1.77"/>
    <s v="0.00"/>
    <s v="98.23"/>
  </r>
  <r>
    <x v="19"/>
    <x v="12"/>
    <n v="15050"/>
    <n v="128"/>
    <n v="3175"/>
    <s v="0.85"/>
    <s v="0.00"/>
    <s v="99.15"/>
  </r>
  <r>
    <x v="19"/>
    <x v="11"/>
    <n v="247958"/>
    <n v="11322"/>
    <n v="50808"/>
    <s v="4.57"/>
    <s v="0.00"/>
    <s v="95.43"/>
  </r>
  <r>
    <x v="19"/>
    <x v="10"/>
    <n v="514289"/>
    <n v="6869"/>
    <n v="36460"/>
    <s v="1.34"/>
    <s v="0.00"/>
    <s v="98.66"/>
  </r>
  <r>
    <x v="19"/>
    <x v="9"/>
    <n v="158546"/>
    <n v="1637"/>
    <n v="14360"/>
    <s v="1.03"/>
    <s v="0.00"/>
    <s v="98.97"/>
  </r>
  <r>
    <x v="19"/>
    <x v="8"/>
    <n v="794982"/>
    <n v="11245"/>
    <n v="687539"/>
    <s v="1.41"/>
    <s v="0.00"/>
    <s v="98.59"/>
  </r>
  <r>
    <x v="19"/>
    <x v="7"/>
    <n v="5279818"/>
    <n v="115823"/>
    <n v="1887273"/>
    <s v="2.19"/>
    <s v="0.00"/>
    <s v="97.81"/>
  </r>
  <r>
    <x v="19"/>
    <x v="6"/>
    <n v="63775"/>
    <n v="1695"/>
    <n v="51516"/>
    <s v="2.66"/>
    <s v="0.00"/>
    <s v="97.34"/>
  </r>
  <r>
    <x v="19"/>
    <x v="5"/>
    <n v="293014"/>
    <n v="5975"/>
    <n v="272615"/>
    <s v="2.04"/>
    <s v="0.00"/>
    <s v="97.96"/>
  </r>
  <r>
    <x v="19"/>
    <x v="4"/>
    <n v="181252"/>
    <n v="2870"/>
    <n v="27633"/>
    <s v="1.58"/>
    <s v="0.00"/>
    <s v="98.42"/>
  </r>
  <r>
    <x v="19"/>
    <x v="3"/>
    <n v="4019"/>
    <n v="99"/>
    <n v="682"/>
    <s v="2.46"/>
    <s v="0.00"/>
    <s v="97.54"/>
  </r>
  <r>
    <x v="19"/>
    <x v="2"/>
    <n v="155940"/>
    <n v="7253"/>
    <n v="107254"/>
    <s v="4.65"/>
    <s v="0.00"/>
    <s v="95.35"/>
  </r>
  <r>
    <x v="19"/>
    <x v="1"/>
    <n v="739190"/>
    <n v="2129"/>
    <n v="731440"/>
    <s v="0.29"/>
    <s v="0.00"/>
    <s v="99.71"/>
  </r>
  <r>
    <x v="19"/>
    <x v="0"/>
    <n v="15404"/>
    <n v="130"/>
    <n v="6878"/>
    <s v="0.84"/>
    <s v="0.00"/>
    <s v="99.16"/>
  </r>
  <r>
    <x v="20"/>
    <x v="0"/>
    <n v="15404"/>
    <n v="130"/>
    <n v="7330"/>
    <s v="0.84"/>
    <s v="0.00"/>
    <s v="99.16"/>
  </r>
  <r>
    <x v="20"/>
    <x v="1"/>
    <n v="739106"/>
    <n v="2128"/>
    <n v="82412"/>
    <s v="0.29"/>
    <s v="0.00"/>
    <s v="99.71"/>
  </r>
  <r>
    <x v="20"/>
    <x v="2"/>
    <n v="155931"/>
    <n v="7252"/>
    <n v="127906"/>
    <s v="4.65"/>
    <s v="0.00"/>
    <s v="95.35"/>
  </r>
  <r>
    <x v="20"/>
    <x v="3"/>
    <n v="3994"/>
    <n v="97"/>
    <n v="238"/>
    <s v="2.43"/>
    <s v="0.00"/>
    <s v="97.57"/>
  </r>
  <r>
    <x v="20"/>
    <x v="4"/>
    <n v="180623"/>
    <n v="2863"/>
    <n v="39086"/>
    <s v="1.59"/>
    <s v="0.00"/>
    <s v="98.41"/>
  </r>
  <r>
    <x v="20"/>
    <x v="5"/>
    <n v="291052"/>
    <n v="5944"/>
    <n v="77826"/>
    <s v="2.04"/>
    <s v="0.00"/>
    <s v="97.96"/>
  </r>
  <r>
    <x v="20"/>
    <x v="6"/>
    <n v="63691"/>
    <n v="1693"/>
    <n v="5878"/>
    <s v="2.66"/>
    <s v="0.00"/>
    <s v="97.34"/>
  </r>
  <r>
    <x v="20"/>
    <x v="7"/>
    <n v="5278910"/>
    <n v="115819"/>
    <n v="4034148"/>
    <s v="2.19"/>
    <s v="0.00"/>
    <s v="97.81"/>
  </r>
  <r>
    <x v="20"/>
    <x v="8"/>
    <n v="791226"/>
    <n v="11233"/>
    <n v="229467"/>
    <s v="1.42"/>
    <s v="0.00"/>
    <s v="98.58"/>
  </r>
  <r>
    <x v="20"/>
    <x v="9"/>
    <n v="156372"/>
    <n v="1622"/>
    <n v="108580"/>
    <s v="1.04"/>
    <s v="0.00"/>
    <s v="98.96"/>
  </r>
  <r>
    <x v="20"/>
    <x v="10"/>
    <n v="511974"/>
    <n v="6847"/>
    <n v="363238"/>
    <s v="1.34"/>
    <s v="0.00"/>
    <s v="98.66"/>
  </r>
  <r>
    <x v="20"/>
    <x v="11"/>
    <n v="247958"/>
    <n v="11322"/>
    <n v="13099"/>
    <s v="4.57"/>
    <s v="0.00"/>
    <s v="95.43"/>
  </r>
  <r>
    <x v="20"/>
    <x v="12"/>
    <n v="14753"/>
    <n v="126"/>
    <n v="3109"/>
    <s v="0.85"/>
    <s v="0.00"/>
    <s v="99.15"/>
  </r>
  <r>
    <x v="20"/>
    <x v="13"/>
    <n v="1567139"/>
    <n v="27805"/>
    <n v="1052368"/>
    <s v="1.77"/>
    <s v="0.00"/>
    <s v="98.23"/>
  </r>
  <r>
    <x v="20"/>
    <x v="14"/>
    <n v="1312360"/>
    <n v="25846"/>
    <n v="736733"/>
    <s v="1.97"/>
    <s v="0.00"/>
    <s v="98.03"/>
  </r>
  <r>
    <x v="20"/>
    <x v="15"/>
    <n v="14793"/>
    <n v="214"/>
    <n v="6966"/>
    <s v="1.45"/>
    <s v="0.00"/>
    <s v="98.55"/>
  </r>
  <r>
    <x v="20"/>
    <x v="16"/>
    <n v="564719"/>
    <n v="22975"/>
    <n v="171673"/>
    <s v="4.07"/>
    <s v="0.00"/>
    <s v="95.93"/>
  </r>
  <r>
    <x v="20"/>
    <x v="17"/>
    <n v="276461"/>
    <n v="1393"/>
    <n v="258516"/>
    <s v="0.50"/>
    <s v="0.00"/>
    <s v="99.50"/>
  </r>
  <r>
    <x v="20"/>
    <x v="18"/>
    <n v="19894"/>
    <n v="38"/>
    <n v="6970"/>
    <s v="0.19"/>
    <s v="0.00"/>
    <s v="99.81"/>
  </r>
  <r>
    <x v="20"/>
    <x v="19"/>
    <n v="24560"/>
    <n v="161"/>
    <n v="23476"/>
    <s v="0.66"/>
    <s v="0.00"/>
    <s v="99.34"/>
  </r>
  <r>
    <x v="20"/>
    <x v="20"/>
    <n v="1659"/>
    <n v="6"/>
    <n v="250"/>
    <s v="0.36"/>
    <s v="0.00"/>
    <s v="99.64"/>
  </r>
  <r>
    <x v="20"/>
    <x v="21"/>
    <n v="11672"/>
    <n v="79"/>
    <n v="1830"/>
    <s v="0.68"/>
    <s v="0.00"/>
    <s v="99.32"/>
  </r>
  <r>
    <x v="20"/>
    <x v="22"/>
    <n v="509276"/>
    <n v="18896"/>
    <n v="280134"/>
    <s v="3.71"/>
    <s v="0.00"/>
    <s v="96.29"/>
  </r>
  <r>
    <x v="20"/>
    <x v="23"/>
    <n v="21711843"/>
    <n v="605139"/>
    <n v="18656260"/>
    <s v="2.79"/>
    <s v="0.00"/>
    <s v="97.21"/>
  </r>
  <r>
    <x v="20"/>
    <x v="24"/>
    <n v="22179"/>
    <n v="642"/>
    <n v="10219"/>
    <s v="2.89"/>
    <s v="0.00"/>
    <s v="97.11"/>
  </r>
  <r>
    <x v="20"/>
    <x v="25"/>
    <n v="2617"/>
    <n v="3"/>
    <n v="812"/>
    <s v="0.11"/>
    <s v="0.00"/>
    <s v="99.89"/>
  </r>
  <r>
    <x v="20"/>
    <x v="26"/>
    <n v="184919"/>
    <n v="2396"/>
    <n v="40409"/>
    <s v="1.30"/>
    <s v="0.00"/>
    <s v="98.70"/>
  </r>
  <r>
    <x v="20"/>
    <x v="27"/>
    <n v="582111"/>
    <n v="4482"/>
    <n v="342418"/>
    <s v="0.77"/>
    <s v="0.00"/>
    <s v="99.23"/>
  </r>
  <r>
    <x v="20"/>
    <x v="28"/>
    <n v="25445"/>
    <n v="473"/>
    <n v="7189"/>
    <s v="1.86"/>
    <s v="0.00"/>
    <s v="98.14"/>
  </r>
  <r>
    <x v="20"/>
    <x v="29"/>
    <n v="1704019"/>
    <n v="28782"/>
    <n v="636937"/>
    <s v="1.69"/>
    <s v="0.00"/>
    <s v="98.31"/>
  </r>
  <r>
    <x v="20"/>
    <x v="30"/>
    <n v="57432"/>
    <n v="1091"/>
    <n v="42762"/>
    <s v="1.90"/>
    <s v="0.00"/>
    <s v="98.10"/>
  </r>
  <r>
    <x v="20"/>
    <x v="31"/>
    <n v="11518"/>
    <n v="100"/>
    <n v="3945"/>
    <s v="0.87"/>
    <s v="0.00"/>
    <s v="99.13"/>
  </r>
  <r>
    <x v="20"/>
    <x v="32"/>
    <n v="16408"/>
    <n v="239"/>
    <n v="12674"/>
    <s v="1.46"/>
    <s v="0.00"/>
    <s v="98.54"/>
  </r>
  <r>
    <x v="20"/>
    <x v="33"/>
    <n v="862411"/>
    <n v="11182"/>
    <n v="511775"/>
    <s v="1.30"/>
    <s v="0.00"/>
    <s v="98.70"/>
  </r>
  <r>
    <x v="20"/>
    <x v="34"/>
    <n v="61152"/>
    <n v="689"/>
    <n v="56556"/>
    <s v="1.13"/>
    <s v="0.00"/>
    <s v="98.87"/>
  </r>
  <r>
    <x v="20"/>
    <x v="35"/>
    <n v="1678023"/>
    <n v="37651"/>
    <n v="1046623"/>
    <s v="2.24"/>
    <s v="0.00"/>
    <s v="97.76"/>
  </r>
  <r>
    <x v="20"/>
    <x v="36"/>
    <n v="100289"/>
    <n v="1600"/>
    <n v="14938"/>
    <s v="1.60"/>
    <s v="0.00"/>
    <s v="98.40"/>
  </r>
  <r>
    <x v="20"/>
    <x v="37"/>
    <n v="96715"/>
    <n v="4636"/>
    <n v="36168"/>
    <s v="4.79"/>
    <s v="0.00"/>
    <s v="95.21"/>
  </r>
  <r>
    <x v="20"/>
    <x v="38"/>
    <n v="4988021"/>
    <n v="126994"/>
    <n v="3420545"/>
    <s v="2.55"/>
    <s v="0.00"/>
    <s v="97.45"/>
  </r>
  <r>
    <x v="20"/>
    <x v="39"/>
    <n v="555970"/>
    <n v="6946"/>
    <n v="393250"/>
    <s v="1.25"/>
    <s v="0.00"/>
    <s v="98.75"/>
  </r>
  <r>
    <x v="20"/>
    <x v="40"/>
    <n v="943038"/>
    <n v="8153"/>
    <n v="622043"/>
    <s v="0.86"/>
    <s v="0.00"/>
    <s v="99.14"/>
  </r>
  <r>
    <x v="20"/>
    <x v="41"/>
    <n v="38098"/>
    <n v="347"/>
    <n v="3503"/>
    <s v="0.91"/>
    <s v="0.00"/>
    <s v="99.09"/>
  </r>
  <r>
    <x v="20"/>
    <x v="42"/>
    <n v="122996"/>
    <n v="568"/>
    <n v="110322"/>
    <s v="0.46"/>
    <s v="0.00"/>
    <s v="99.54"/>
  </r>
  <r>
    <x v="20"/>
    <x v="43"/>
    <n v="1722446"/>
    <n v="30593"/>
    <n v="53273"/>
    <s v="1.78"/>
    <s v="0.00"/>
    <s v="98.22"/>
  </r>
  <r>
    <x v="20"/>
    <x v="44"/>
    <n v="4462324"/>
    <n v="95081"/>
    <n v="4091856"/>
    <s v="2.13"/>
    <s v="0.00"/>
    <s v="97.87"/>
  </r>
  <r>
    <x v="20"/>
    <x v="45"/>
    <n v="13436"/>
    <n v="181"/>
    <n v="10360"/>
    <s v="1.35"/>
    <s v="0.00"/>
    <s v="98.65"/>
  </r>
  <r>
    <x v="20"/>
    <x v="46"/>
    <n v="374534"/>
    <n v="2696"/>
    <n v="217446"/>
    <s v="0.72"/>
    <s v="0.00"/>
    <s v="99.28"/>
  </r>
  <r>
    <x v="20"/>
    <x v="47"/>
    <n v="4508"/>
    <n v="30"/>
    <n v="3352"/>
    <s v="0.67"/>
    <s v="0.00"/>
    <s v="99.33"/>
  </r>
  <r>
    <x v="20"/>
    <x v="48"/>
    <n v="374722"/>
    <n v="4100"/>
    <n v="370616"/>
    <s v="1.09"/>
    <s v="0.00"/>
    <s v="98.91"/>
  </r>
  <r>
    <x v="20"/>
    <x v="49"/>
    <n v="205683"/>
    <n v="5883"/>
    <n v="41808"/>
    <s v="2.86"/>
    <s v="0.00"/>
    <s v="97.14"/>
  </r>
  <r>
    <x v="20"/>
    <x v="50"/>
    <n v="514087"/>
    <n v="32937"/>
    <n v="234101"/>
    <s v="6.41"/>
    <s v="0.00"/>
    <s v="93.59"/>
  </r>
  <r>
    <x v="20"/>
    <x v="51"/>
    <n v="178610"/>
    <n v="1449"/>
    <n v="58025"/>
    <s v="0.81"/>
    <s v="0.00"/>
    <s v="99.19"/>
  </r>
  <r>
    <x v="20"/>
    <x v="52"/>
    <n v="322852"/>
    <n v="18195"/>
    <n v="192286"/>
    <s v="5.64"/>
    <s v="0.00"/>
    <s v="94.36"/>
  </r>
  <r>
    <x v="20"/>
    <x v="53"/>
    <n v="6788"/>
    <n v="45"/>
    <n v="2665"/>
    <s v="0.66"/>
    <s v="0.00"/>
    <s v="99.34"/>
  </r>
  <r>
    <x v="20"/>
    <x v="54"/>
    <n v="4997732"/>
    <n v="87132"/>
    <n v="4012925"/>
    <s v="1.74"/>
    <s v="0.00"/>
    <s v="98.26"/>
  </r>
  <r>
    <x v="20"/>
    <x v="55"/>
    <n v="361647"/>
    <n v="6333"/>
    <n v="290781"/>
    <s v="1.75"/>
    <s v="0.00"/>
    <s v="98.25"/>
  </r>
  <r>
    <x v="20"/>
    <x v="56"/>
    <n v="153156"/>
    <n v="1139"/>
    <n v="44854"/>
    <s v="0.74"/>
    <s v="0.00"/>
    <s v="99.26"/>
  </r>
  <r>
    <x v="20"/>
    <x v="57"/>
    <n v="51977"/>
    <n v="673"/>
    <n v="29653"/>
    <s v="1.29"/>
    <s v="0.00"/>
    <s v="98.71"/>
  </r>
  <r>
    <x v="20"/>
    <x v="58"/>
    <n v="1448"/>
    <n v="2"/>
    <n v="301"/>
    <s v="0.14"/>
    <s v="0.00"/>
    <s v="99.86"/>
  </r>
  <r>
    <x v="20"/>
    <x v="59"/>
    <n v="6938358"/>
    <n v="115091"/>
    <n v="2527602"/>
    <s v="1.66"/>
    <s v="0.00"/>
    <s v="98.34"/>
  </r>
  <r>
    <x v="20"/>
    <x v="60"/>
    <n v="34601"/>
    <n v="224"/>
    <n v="24584"/>
    <s v="0.65"/>
    <s v="0.00"/>
    <s v="99.35"/>
  </r>
  <r>
    <x v="20"/>
    <x v="61"/>
    <n v="8724945"/>
    <n v="139645"/>
    <n v="3165324"/>
    <s v="1.60"/>
    <s v="0.00"/>
    <s v="98.40"/>
  </r>
  <r>
    <x v="20"/>
    <x v="63"/>
    <n v="684337"/>
    <n v="9657"/>
    <n v="577194"/>
    <s v="1.41"/>
    <s v="0.00"/>
    <s v="98.59"/>
  </r>
  <r>
    <x v="20"/>
    <x v="62"/>
    <n v="5809"/>
    <n v="196"/>
    <n v="2641"/>
    <s v="3.37"/>
    <s v="0.00"/>
    <s v="96.63"/>
  </r>
  <r>
    <x v="20"/>
    <x v="64"/>
    <n v="43938"/>
    <n v="298"/>
    <n v="20059"/>
    <s v="0.68"/>
    <s v="0.00"/>
    <s v="99.32"/>
  </r>
  <r>
    <x v="20"/>
    <x v="65"/>
    <n v="129592"/>
    <n v="1169"/>
    <n v="97357"/>
    <s v="0.90"/>
    <s v="0.00"/>
    <s v="99.10"/>
  </r>
  <r>
    <x v="20"/>
    <x v="66"/>
    <n v="5842"/>
    <n v="98"/>
    <n v="3677"/>
    <s v="1.68"/>
    <s v="0.00"/>
    <s v="98.32"/>
  </r>
  <r>
    <x v="20"/>
    <x v="68"/>
    <n v="30626"/>
    <n v="385"/>
    <n v="7305"/>
    <s v="1.26"/>
    <s v="0.00"/>
    <s v="98.74"/>
  </r>
  <r>
    <x v="20"/>
    <x v="67"/>
    <n v="9956"/>
    <n v="339"/>
    <n v="6964"/>
    <s v="3.40"/>
    <s v="0.00"/>
    <s v="96.60"/>
  </r>
  <r>
    <x v="20"/>
    <x v="69"/>
    <n v="54095"/>
    <n v="809"/>
    <n v="34567"/>
    <s v="1.50"/>
    <s v="0.00"/>
    <s v="98.50"/>
  </r>
  <r>
    <x v="20"/>
    <x v="70"/>
    <n v="13097"/>
    <n v="163"/>
    <n v="1057"/>
    <s v="1.24"/>
    <s v="0.00"/>
    <s v="98.76"/>
  </r>
  <r>
    <x v="20"/>
    <x v="71"/>
    <n v="711128"/>
    <n v="15555"/>
    <n v="458767"/>
    <s v="2.19"/>
    <s v="0.00"/>
    <s v="97.81"/>
  </r>
  <r>
    <x v="20"/>
    <x v="72"/>
    <n v="593459"/>
    <n v="14615"/>
    <n v="61260"/>
    <s v="2.46"/>
    <s v="0.00"/>
    <s v="97.54"/>
  </r>
  <r>
    <x v="20"/>
    <x v="73"/>
    <n v="6131"/>
    <n v="141"/>
    <n v="3595"/>
    <s v="2.30"/>
    <s v="0.00"/>
    <s v="97.70"/>
  </r>
  <r>
    <x v="20"/>
    <x v="74"/>
    <n v="34877"/>
    <n v="893"/>
    <n v="12518"/>
    <s v="2.56"/>
    <s v="0.00"/>
    <s v="97.44"/>
  </r>
  <r>
    <x v="20"/>
    <x v="75"/>
    <n v="12313"/>
    <n v="213"/>
    <n v="7872"/>
    <s v="1.73"/>
    <s v="0.00"/>
    <s v="98.27"/>
  </r>
  <r>
    <x v="20"/>
    <x v="76"/>
    <n v="373838"/>
    <n v="10182"/>
    <n v="294110"/>
    <s v="2.72"/>
    <s v="0.00"/>
    <s v="97.28"/>
  </r>
  <r>
    <x v="20"/>
    <x v="77"/>
    <n v="439447"/>
    <n v="8985"/>
    <n v="251878"/>
    <s v="2.04"/>
    <s v="0.00"/>
    <s v="97.96"/>
  </r>
  <r>
    <x v="20"/>
    <x v="78"/>
    <n v="23406"/>
    <n v="658"/>
    <n v="10387"/>
    <s v="2.81"/>
    <s v="0.00"/>
    <s v="97.19"/>
  </r>
  <r>
    <x v="20"/>
    <x v="79"/>
    <n v="843825"/>
    <n v="30492"/>
    <n v="492896"/>
    <s v="3.61"/>
    <s v="0.00"/>
    <s v="96.39"/>
  </r>
  <r>
    <x v="20"/>
    <x v="80"/>
    <n v="4238594"/>
    <n v="143153"/>
    <n v="2912405"/>
    <s v="3.38"/>
    <s v="0.00"/>
    <s v="96.62"/>
  </r>
  <r>
    <x v="20"/>
    <x v="81"/>
    <n v="425725"/>
    <n v="5369"/>
    <n v="94767"/>
    <s v="1.26"/>
    <s v="0.00"/>
    <s v="98.74"/>
  </r>
  <r>
    <x v="20"/>
    <x v="82"/>
    <n v="1321894"/>
    <n v="8039"/>
    <n v="1127794"/>
    <s v="0.61"/>
    <s v="0.00"/>
    <s v="99.39"/>
  </r>
  <r>
    <x v="20"/>
    <x v="83"/>
    <n v="34159562"/>
    <n v="453708"/>
    <n v="3501034"/>
    <s v="1.33"/>
    <s v="0.00"/>
    <s v="98.67"/>
  </r>
  <r>
    <x v="20"/>
    <x v="84"/>
    <n v="2043963"/>
    <n v="22901"/>
    <n v="708962"/>
    <s v="1.12"/>
    <s v="0.00"/>
    <s v="98.88"/>
  </r>
  <r>
    <x v="20"/>
    <x v="85"/>
    <n v="5844589"/>
    <n v="124928"/>
    <n v="5711669"/>
    <s v="2.14"/>
    <s v="0.00"/>
    <s v="97.86"/>
  </r>
  <r>
    <x v="20"/>
    <x v="86"/>
    <n v="12899"/>
    <n v="33"/>
    <n v="10400"/>
    <s v="0.26"/>
    <s v="0.00"/>
    <s v="99.74"/>
  </r>
  <r>
    <x v="20"/>
    <x v="87"/>
    <n v="4733557"/>
    <n v="131763"/>
    <n v="2743667"/>
    <s v="2.78"/>
    <s v="0.00"/>
    <s v="97.22"/>
  </r>
  <r>
    <x v="20"/>
    <x v="88"/>
    <n v="87970"/>
    <n v="2153"/>
    <n v="16314"/>
    <s v="2.45"/>
    <s v="0.00"/>
    <s v="97.55"/>
  </r>
  <r>
    <x v="20"/>
    <x v="89"/>
    <n v="849000"/>
    <n v="10930"/>
    <n v="71196"/>
    <s v="1.29"/>
    <s v="0.00"/>
    <s v="98.71"/>
  </r>
  <r>
    <x v="20"/>
    <x v="90"/>
    <n v="1717177"/>
    <n v="18194"/>
    <n v="480837"/>
    <s v="1.06"/>
    <s v="0.00"/>
    <s v="98.94"/>
  </r>
  <r>
    <x v="20"/>
    <x v="91"/>
    <n v="252499"/>
    <n v="5249"/>
    <n v="45841"/>
    <s v="2.08"/>
    <s v="0.00"/>
    <s v="97.92"/>
  </r>
  <r>
    <x v="20"/>
    <x v="92"/>
    <n v="180348"/>
    <n v="2647"/>
    <n v="64255"/>
    <s v="1.47"/>
    <s v="0.00"/>
    <s v="98.53"/>
  </r>
  <r>
    <x v="20"/>
    <x v="94"/>
    <n v="2"/>
    <n v="0"/>
    <n v="1"/>
    <s v="0.00"/>
    <s v="0.00"/>
    <s v="100.00"/>
  </r>
  <r>
    <x v="20"/>
    <x v="93"/>
    <n v="117500"/>
    <n v="2715"/>
    <n v="67967"/>
    <s v="2.31"/>
    <s v="0.00"/>
    <s v="97.69"/>
  </r>
  <r>
    <x v="20"/>
    <x v="95"/>
    <n v="4200"/>
    <n v="147"/>
    <n v="3067"/>
    <s v="3.50"/>
    <s v="0.00"/>
    <s v="96.50"/>
  </r>
  <r>
    <x v="20"/>
    <x v="96"/>
    <n v="2619"/>
    <n v="21"/>
    <n v="787"/>
    <s v="0.80"/>
    <s v="0.00"/>
    <s v="99.20"/>
  </r>
  <r>
    <x v="20"/>
    <x v="97"/>
    <n v="350476"/>
    <n v="2745"/>
    <n v="341283"/>
    <s v="0.78"/>
    <s v="0.00"/>
    <s v="99.22"/>
  </r>
  <r>
    <x v="20"/>
    <x v="98"/>
    <n v="412481"/>
    <n v="2460"/>
    <n v="283998"/>
    <s v="0.60"/>
    <s v="0.00"/>
    <s v="99.40"/>
  </r>
  <r>
    <x v="20"/>
    <x v="99"/>
    <n v="1005130"/>
    <n v="16871"/>
    <n v="560474"/>
    <s v="1.68"/>
    <s v="0.00"/>
    <s v="98.32"/>
  </r>
  <r>
    <x v="20"/>
    <x v="100"/>
    <n v="34518"/>
    <n v="49"/>
    <n v="31939"/>
    <s v="0.14"/>
    <s v="0.00"/>
    <s v="99.86"/>
  </r>
  <r>
    <x v="20"/>
    <x v="101"/>
    <n v="636685"/>
    <n v="8445"/>
    <n v="529704"/>
    <s v="1.33"/>
    <s v="0.00"/>
    <s v="98.67"/>
  </r>
  <r>
    <x v="20"/>
    <x v="102"/>
    <n v="12385"/>
    <n v="239"/>
    <n v="11426"/>
    <s v="1.93"/>
    <s v="0.00"/>
    <s v="98.07"/>
  </r>
  <r>
    <x v="20"/>
    <x v="103"/>
    <n v="3623"/>
    <n v="60"/>
    <n v="462"/>
    <s v="1.66"/>
    <s v="0.00"/>
    <s v="98.34"/>
  </r>
  <r>
    <x v="20"/>
    <x v="104"/>
    <n v="534975"/>
    <n v="13574"/>
    <n v="107602"/>
    <s v="2.54"/>
    <s v="0.00"/>
    <s v="97.46"/>
  </r>
  <r>
    <x v="20"/>
    <x v="105"/>
    <n v="5811"/>
    <n v="287"/>
    <n v="1677"/>
    <s v="4.94"/>
    <s v="0.00"/>
    <s v="95.06"/>
  </r>
  <r>
    <x v="20"/>
    <x v="106"/>
    <n v="21575"/>
    <n v="656"/>
    <n v="13593"/>
    <s v="3.04"/>
    <s v="0.00"/>
    <s v="96.96"/>
  </r>
  <r>
    <x v="20"/>
    <x v="107"/>
    <n v="382454"/>
    <n v="5571"/>
    <n v="60361"/>
    <s v="1.46"/>
    <s v="0.00"/>
    <s v="98.54"/>
  </r>
  <r>
    <x v="20"/>
    <x v="108"/>
    <n v="80603"/>
    <n v="842"/>
    <n v="19883"/>
    <s v="1.04"/>
    <s v="0.00"/>
    <s v="98.96"/>
  </r>
  <r>
    <x v="20"/>
    <x v="109"/>
    <n v="197389"/>
    <n v="2992"/>
    <n v="19565"/>
    <s v="1.52"/>
    <s v="0.00"/>
    <s v="98.48"/>
  </r>
  <r>
    <x v="20"/>
    <x v="110"/>
    <n v="352881"/>
    <n v="4982"/>
    <n v="248768"/>
    <s v="1.41"/>
    <s v="0.00"/>
    <s v="98.59"/>
  </r>
  <r>
    <x v="20"/>
    <x v="111"/>
    <n v="943652"/>
    <n v="14600"/>
    <n v="375493"/>
    <s v="1.55"/>
    <s v="0.00"/>
    <s v="98.45"/>
  </r>
  <r>
    <x v="20"/>
    <x v="112"/>
    <n v="3388"/>
    <n v="35"/>
    <n v="2062"/>
    <s v="1.03"/>
    <s v="0.00"/>
    <s v="98.97"/>
  </r>
  <r>
    <x v="20"/>
    <x v="113"/>
    <n v="325526"/>
    <n v="7424"/>
    <n v="278758"/>
    <s v="2.28"/>
    <s v="0.00"/>
    <s v="97.72"/>
  </r>
  <r>
    <x v="20"/>
    <x v="114"/>
    <n v="139963"/>
    <n v="2057"/>
    <n v="73399"/>
    <s v="1.47"/>
    <s v="0.00"/>
    <s v="98.53"/>
  </r>
  <r>
    <x v="20"/>
    <x v="115"/>
    <n v="3888"/>
    <n v="55"/>
    <n v="1123"/>
    <s v="1.41"/>
    <s v="0.00"/>
    <s v="98.59"/>
  </r>
  <r>
    <x v="20"/>
    <x v="116"/>
    <n v="43622"/>
    <n v="960"/>
    <n v="3204"/>
    <s v="2.20"/>
    <s v="0.00"/>
    <s v="97.80"/>
  </r>
  <r>
    <x v="20"/>
    <x v="117"/>
    <n v="4"/>
    <n v="0"/>
    <n v="4"/>
    <s v="0.00"/>
    <s v="0.00"/>
    <s v="100.00"/>
  </r>
  <r>
    <x v="20"/>
    <x v="118"/>
    <n v="199057"/>
    <n v="7019"/>
    <n v="138241"/>
    <s v="3.53"/>
    <s v="0.00"/>
    <s v="96.47"/>
  </r>
  <r>
    <x v="20"/>
    <x v="119"/>
    <n v="15776"/>
    <n v="558"/>
    <n v="11327"/>
    <s v="3.54"/>
    <s v="0.00"/>
    <s v="96.46"/>
  </r>
  <r>
    <x v="20"/>
    <x v="120"/>
    <n v="492509"/>
    <n v="18491"/>
    <n v="327127"/>
    <s v="3.75"/>
    <s v="0.00"/>
    <s v="96.25"/>
  </r>
  <r>
    <x v="20"/>
    <x v="121"/>
    <n v="348188"/>
    <n v="1643"/>
    <n v="39113"/>
    <s v="0.47"/>
    <s v="0.00"/>
    <s v="99.53"/>
  </r>
  <r>
    <x v="20"/>
    <x v="122"/>
    <n v="77"/>
    <n v="0"/>
    <n v="65"/>
    <s v="0.00"/>
    <s v="0.00"/>
    <s v="100.00"/>
  </r>
  <r>
    <x v="20"/>
    <x v="123"/>
    <n v="42820"/>
    <n v="673"/>
    <n v="37734"/>
    <s v="1.57"/>
    <s v="0.00"/>
    <s v="98.43"/>
  </r>
  <r>
    <x v="20"/>
    <x v="124"/>
    <n v="36866"/>
    <n v="791"/>
    <n v="31088"/>
    <s v="2.15"/>
    <s v="0.00"/>
    <s v="97.85"/>
  </r>
  <r>
    <x v="20"/>
    <x v="125"/>
    <n v="37533"/>
    <n v="459"/>
    <n v="10287"/>
    <s v="1.22"/>
    <s v="0.00"/>
    <s v="98.78"/>
  </r>
  <r>
    <x v="20"/>
    <x v="126"/>
    <n v="17047"/>
    <n v="148"/>
    <n v="16084"/>
    <s v="0.87"/>
    <s v="0.00"/>
    <s v="99.13"/>
  </r>
  <r>
    <x v="20"/>
    <x v="127"/>
    <n v="86605"/>
    <n v="240"/>
    <n v="57512"/>
    <s v="0.28"/>
    <s v="0.00"/>
    <s v="99.72"/>
  </r>
  <r>
    <x v="20"/>
    <x v="128"/>
    <n v="61747"/>
    <n v="2296"/>
    <n v="29688"/>
    <s v="3.72"/>
    <s v="0.00"/>
    <s v="96.28"/>
  </r>
  <r>
    <x v="20"/>
    <x v="129"/>
    <n v="3777209"/>
    <n v="285953"/>
    <n v="3398892"/>
    <s v="7.57"/>
    <s v="0.00"/>
    <s v="92.43"/>
  </r>
  <r>
    <x v="20"/>
    <x v="130"/>
    <n v="2420222"/>
    <n v="28312"/>
    <n v="761347"/>
    <s v="1.17"/>
    <s v="0.00"/>
    <s v="98.83"/>
  </r>
  <r>
    <x v="20"/>
    <x v="131"/>
    <n v="151195"/>
    <n v="1927"/>
    <n v="129270"/>
    <s v="1.27"/>
    <s v="0.00"/>
    <s v="98.73"/>
  </r>
  <r>
    <x v="20"/>
    <x v="132"/>
    <n v="128444"/>
    <n v="3545"/>
    <n v="50634"/>
    <s v="2.76"/>
    <s v="0.00"/>
    <s v="97.24"/>
  </r>
  <r>
    <x v="20"/>
    <x v="133"/>
    <n v="10388"/>
    <n v="252"/>
    <n v="1850"/>
    <s v="2.43"/>
    <s v="0.00"/>
    <s v="97.57"/>
  </r>
  <r>
    <x v="20"/>
    <x v="134"/>
    <n v="6236"/>
    <n v="206"/>
    <n v="589"/>
    <s v="3.30"/>
    <s v="0.00"/>
    <s v="96.70"/>
  </r>
  <r>
    <x v="20"/>
    <x v="135"/>
    <n v="210136"/>
    <n v="2855"/>
    <n v="190296"/>
    <s v="1.36"/>
    <s v="0.00"/>
    <s v="98.64"/>
  </r>
  <r>
    <x v="20"/>
    <x v="136"/>
    <n v="16241"/>
    <n v="207"/>
    <n v="7578"/>
    <s v="1.27"/>
    <s v="0.00"/>
    <s v="98.73"/>
  </r>
  <r>
    <x v="20"/>
    <x v="137"/>
    <n v="2110236"/>
    <n v="18727"/>
    <n v="1987463"/>
    <s v="0.89"/>
    <s v="0.00"/>
    <s v="99.11"/>
  </r>
  <r>
    <x v="20"/>
    <x v="138"/>
    <n v="199550"/>
    <n v="894"/>
    <n v="135356"/>
    <s v="0.45"/>
    <s v="0.00"/>
    <s v="99.55"/>
  </r>
  <r>
    <x v="20"/>
    <x v="139"/>
    <n v="808096"/>
    <n v="11337"/>
    <n v="319217"/>
    <s v="1.40"/>
    <s v="0.00"/>
    <s v="98.60"/>
  </r>
  <r>
    <x v="20"/>
    <x v="140"/>
    <n v="5555"/>
    <n v="28"/>
    <n v="1699"/>
    <s v="0.50"/>
    <s v="0.00"/>
    <s v="99.50"/>
  </r>
  <r>
    <x v="20"/>
    <x v="141"/>
    <n v="304116"/>
    <n v="4107"/>
    <n v="127372"/>
    <s v="1.35"/>
    <s v="0.00"/>
    <s v="98.65"/>
  </r>
  <r>
    <x v="20"/>
    <x v="142"/>
    <n v="471253"/>
    <n v="7306"/>
    <n v="279638"/>
    <s v="1.55"/>
    <s v="0.00"/>
    <s v="98.45"/>
  </r>
  <r>
    <x v="20"/>
    <x v="143"/>
    <n v="2194132"/>
    <n v="200003"/>
    <n v="757413"/>
    <s v="9.12"/>
    <s v="0.00"/>
    <s v="90.88"/>
  </r>
  <r>
    <x v="20"/>
    <x v="144"/>
    <n v="45515"/>
    <n v="635"/>
    <n v="14427"/>
    <s v="1.40"/>
    <s v="0.00"/>
    <s v="98.60"/>
  </r>
  <r>
    <x v="20"/>
    <x v="145"/>
    <n v="26731"/>
    <n v="329"/>
    <n v="15636"/>
    <s v="1.23"/>
    <s v="0.00"/>
    <s v="98.77"/>
  </r>
  <r>
    <x v="20"/>
    <x v="146"/>
    <n v="2745889"/>
    <n v="41520"/>
    <n v="582802"/>
    <s v="1.51"/>
    <s v="0.00"/>
    <s v="98.49"/>
  </r>
  <r>
    <x v="20"/>
    <x v="147"/>
    <n v="1267945"/>
    <n v="28359"/>
    <n v="9441"/>
    <s v="2.24"/>
    <s v="0.00"/>
    <s v="97.76"/>
  </r>
  <r>
    <x v="20"/>
    <x v="148"/>
    <n v="2961923"/>
    <n v="76359"/>
    <n v="2108889"/>
    <s v="2.58"/>
    <s v="0.00"/>
    <s v="97.42"/>
  </r>
  <r>
    <x v="20"/>
    <x v="149"/>
    <n v="450310"/>
    <n v="4611"/>
    <n v="81613"/>
    <s v="1.02"/>
    <s v="0.00"/>
    <s v="98.98"/>
  </r>
  <r>
    <x v="20"/>
    <x v="150"/>
    <n v="1083651"/>
    <n v="18125"/>
    <n v="204924"/>
    <s v="1.67"/>
    <s v="0.00"/>
    <s v="98.33"/>
  </r>
  <r>
    <x v="20"/>
    <x v="151"/>
    <n v="8"/>
    <n v="0"/>
    <n v="7"/>
    <s v="0.00"/>
    <s v="0.00"/>
    <s v="100.00"/>
  </r>
  <r>
    <x v="20"/>
    <x v="152"/>
    <n v="460679"/>
    <n v="16229"/>
    <n v="152379"/>
    <s v="3.52"/>
    <s v="0.00"/>
    <s v="96.48"/>
  </r>
  <r>
    <x v="20"/>
    <x v="153"/>
    <n v="238359"/>
    <n v="608"/>
    <n v="110689"/>
    <s v="0.26"/>
    <s v="0.00"/>
    <s v="99.74"/>
  </r>
  <r>
    <x v="20"/>
    <x v="154"/>
    <n v="54438"/>
    <n v="372"/>
    <n v="31136"/>
    <s v="0.68"/>
    <s v="0.00"/>
    <s v="99.32"/>
  </r>
  <r>
    <x v="20"/>
    <x v="155"/>
    <n v="1534942"/>
    <n v="43844"/>
    <n v="1205266"/>
    <s v="2.86"/>
    <s v="0.00"/>
    <s v="97.14"/>
  </r>
  <r>
    <x v="20"/>
    <x v="156"/>
    <n v="1085728"/>
    <n v="9388"/>
    <n v="42635"/>
    <s v="0.86"/>
    <s v="0.00"/>
    <s v="99.14"/>
  </r>
  <r>
    <x v="20"/>
    <x v="157"/>
    <n v="8041581"/>
    <n v="224369"/>
    <n v="7120020"/>
    <s v="2.79"/>
    <s v="0.00"/>
    <s v="97.21"/>
  </r>
  <r>
    <x v="20"/>
    <x v="158"/>
    <n v="99325"/>
    <n v="1318"/>
    <n v="80518"/>
    <s v="1.33"/>
    <s v="0.00"/>
    <s v="98.67"/>
  </r>
  <r>
    <x v="20"/>
    <x v="159"/>
    <n v="548162"/>
    <n v="8774"/>
    <n v="275954"/>
    <s v="1.60"/>
    <s v="0.00"/>
    <s v="98.40"/>
  </r>
  <r>
    <x v="20"/>
    <x v="160"/>
    <n v="20"/>
    <n v="0"/>
    <n v="6"/>
    <s v="0.00"/>
    <s v="0.00"/>
    <s v="100.00"/>
  </r>
  <r>
    <x v="20"/>
    <x v="161"/>
    <n v="22102"/>
    <n v="119"/>
    <n v="14515"/>
    <s v="0.54"/>
    <s v="0.00"/>
    <s v="99.46"/>
  </r>
  <r>
    <x v="20"/>
    <x v="162"/>
    <n v="40084"/>
    <n v="3038"/>
    <n v="25578"/>
    <s v="7.58"/>
    <s v="0.00"/>
    <s v="92.42"/>
  </r>
  <r>
    <x v="20"/>
    <x v="163"/>
    <n v="1165996"/>
    <n v="14993"/>
    <n v="526894"/>
    <s v="1.29"/>
    <s v="0.00"/>
    <s v="98.71"/>
  </r>
  <r>
    <x v="20"/>
    <x v="164"/>
    <n v="165663"/>
    <n v="294"/>
    <n v="101600"/>
    <s v="0.18"/>
    <s v="0.00"/>
    <s v="99.82"/>
  </r>
  <r>
    <x v="20"/>
    <x v="165"/>
    <n v="316138"/>
    <n v="4669"/>
    <n v="192192"/>
    <s v="1.48"/>
    <s v="0.00"/>
    <s v="98.52"/>
  </r>
  <r>
    <x v="20"/>
    <x v="166"/>
    <n v="449775"/>
    <n v="12886"/>
    <n v="328503"/>
    <s v="2.86"/>
    <s v="0.00"/>
    <s v="97.14"/>
  </r>
  <r>
    <x v="20"/>
    <x v="167"/>
    <n v="6397"/>
    <n v="121"/>
    <n v="2590"/>
    <s v="1.89"/>
    <s v="0.00"/>
    <s v="98.11"/>
  </r>
  <r>
    <x v="20"/>
    <x v="168"/>
    <n v="5497"/>
    <n v="91"/>
    <n v="1260"/>
    <s v="1.66"/>
    <s v="0.00"/>
    <s v="98.34"/>
  </r>
  <r>
    <x v="20"/>
    <x v="169"/>
    <n v="73880"/>
    <n v="1876"/>
    <n v="25800"/>
    <s v="2.54"/>
    <s v="0.00"/>
    <s v="97.46"/>
  </r>
  <r>
    <x v="20"/>
    <x v="170"/>
    <n v="21269"/>
    <n v="1180"/>
    <n v="8839"/>
    <s v="5.55"/>
    <s v="0.00"/>
    <s v="94.45"/>
  </r>
  <r>
    <x v="20"/>
    <x v="171"/>
    <n v="47875"/>
    <n v="1054"/>
    <n v="39421"/>
    <s v="2.20"/>
    <s v="0.00"/>
    <s v="97.80"/>
  </r>
  <r>
    <x v="20"/>
    <x v="173"/>
    <n v="3691"/>
    <n v="56"/>
    <n v="12"/>
    <s v="1.52"/>
    <s v="0.00"/>
    <s v="98.48"/>
  </r>
  <r>
    <x v="20"/>
    <x v="172"/>
    <n v="12279"/>
    <n v="133"/>
    <n v="9019"/>
    <s v="1.08"/>
    <s v="0.00"/>
    <s v="98.92"/>
  </r>
  <r>
    <x v="20"/>
    <x v="174"/>
    <n v="112290"/>
    <n v="3544"/>
    <n v="31081"/>
    <s v="3.16"/>
    <s v="0.00"/>
    <s v="96.84"/>
  </r>
  <r>
    <x v="20"/>
    <x v="175"/>
    <n v="40922"/>
    <n v="2478"/>
    <n v="28436"/>
    <s v="6.06"/>
    <s v="0.00"/>
    <s v="93.94"/>
  </r>
  <r>
    <x v="20"/>
    <x v="176"/>
    <n v="46383"/>
    <n v="1239"/>
    <n v="43390"/>
    <s v="2.67"/>
    <s v="0.00"/>
    <s v="97.33"/>
  </r>
  <r>
    <x v="20"/>
    <x v="177"/>
    <n v="5069"/>
    <n v="174"/>
    <n v="1971"/>
    <s v="3.43"/>
    <s v="0.00"/>
    <s v="96.57"/>
  </r>
  <r>
    <x v="20"/>
    <x v="178"/>
    <n v="25967"/>
    <n v="240"/>
    <n v="6657"/>
    <s v="0.92"/>
    <s v="0.00"/>
    <s v="99.08"/>
  </r>
  <r>
    <x v="20"/>
    <x v="179"/>
    <n v="1831389"/>
    <n v="18625"/>
    <n v="643064"/>
    <s v="1.02"/>
    <s v="0.00"/>
    <s v="98.98"/>
  </r>
  <r>
    <x v="20"/>
    <x v="180"/>
    <n v="17486"/>
    <n v="125"/>
    <n v="14478"/>
    <s v="0.71"/>
    <s v="0.00"/>
    <s v="99.29"/>
  </r>
  <r>
    <x v="20"/>
    <x v="181"/>
    <n v="19759"/>
    <n v="120"/>
    <n v="10050"/>
    <s v="0.61"/>
    <s v="0.00"/>
    <s v="99.39"/>
  </r>
  <r>
    <x v="20"/>
    <x v="182"/>
    <n v="711397"/>
    <n v="25132"/>
    <n v="431884"/>
    <s v="3.53"/>
    <s v="0.00"/>
    <s v="96.47"/>
  </r>
  <r>
    <x v="20"/>
    <x v="184"/>
    <n v="7800766"/>
    <n v="68700"/>
    <n v="1003938"/>
    <s v="0.88"/>
    <s v="0.00"/>
    <s v="99.12"/>
  </r>
  <r>
    <x v="20"/>
    <x v="185"/>
    <n v="55203"/>
    <n v="1633"/>
    <n v="8142"/>
    <s v="2.96"/>
    <s v="0.00"/>
    <s v="97.04"/>
  </r>
  <r>
    <x v="20"/>
    <x v="186"/>
    <n v="16357"/>
    <n v="846"/>
    <n v="6954"/>
    <s v="5.17"/>
    <s v="0.00"/>
    <s v="94.83"/>
  </r>
  <r>
    <x v="20"/>
    <x v="187"/>
    <n v="26034"/>
    <n v="724"/>
    <n v="18153"/>
    <s v="2.78"/>
    <s v="0.00"/>
    <s v="97.22"/>
  </r>
  <r>
    <x v="20"/>
    <x v="188"/>
    <n v="2852109"/>
    <n v="67087"/>
    <n v="1728235"/>
    <s v="2.35"/>
    <s v="0.00"/>
    <s v="97.65"/>
  </r>
  <r>
    <x v="20"/>
    <x v="189"/>
    <n v="125537"/>
    <n v="3194"/>
    <n v="78791"/>
    <s v="2.54"/>
    <s v="0.00"/>
    <s v="97.46"/>
  </r>
  <r>
    <x v="20"/>
    <x v="190"/>
    <n v="45400466"/>
    <n v="735373"/>
    <n v="29629985"/>
    <s v="1.62"/>
    <s v="0.00"/>
    <s v="98.38"/>
  </r>
  <r>
    <x v="20"/>
    <x v="191"/>
    <n v="391890"/>
    <n v="6070"/>
    <n v="156322"/>
    <s v="1.55"/>
    <s v="0.00"/>
    <s v="98.45"/>
  </r>
  <r>
    <x v="20"/>
    <x v="192"/>
    <n v="182819"/>
    <n v="1300"/>
    <n v="59251"/>
    <s v="0.71"/>
    <s v="0.00"/>
    <s v="99.29"/>
  </r>
  <r>
    <x v="20"/>
    <x v="194"/>
    <n v="4814"/>
    <n v="60"/>
    <n v="801"/>
    <s v="1.25"/>
    <s v="0.00"/>
    <s v="98.75"/>
  </r>
  <r>
    <x v="20"/>
    <x v="193"/>
    <n v="27"/>
    <n v="0"/>
    <n v="6"/>
    <s v="0.00"/>
    <s v="0.00"/>
    <s v="100.00"/>
  </r>
  <r>
    <x v="20"/>
    <x v="195"/>
    <n v="397370"/>
    <n v="4775"/>
    <n v="351363"/>
    <s v="1.20"/>
    <s v="0.00"/>
    <s v="98.80"/>
  </r>
  <r>
    <x v="20"/>
    <x v="196"/>
    <n v="881522"/>
    <n v="21543"/>
    <n v="733014"/>
    <s v="2.44"/>
    <s v="0.00"/>
    <s v="97.56"/>
  </r>
  <r>
    <x v="20"/>
    <x v="197"/>
    <n v="4"/>
    <n v="1"/>
    <n v="0"/>
    <s v="25.00"/>
    <s v="0.00"/>
    <s v="75.00"/>
  </r>
  <r>
    <x v="20"/>
    <x v="198"/>
    <n v="3"/>
    <n v="0"/>
    <n v="0"/>
    <s v="0.00"/>
    <s v="0.00"/>
    <s v="100.00"/>
  </r>
  <r>
    <x v="20"/>
    <x v="199"/>
    <n v="160606"/>
    <n v="2974"/>
    <n v="103406"/>
    <s v="1.85"/>
    <s v="0.00"/>
    <s v="98.15"/>
  </r>
  <r>
    <x v="20"/>
    <x v="200"/>
    <n v="9650"/>
    <n v="1835"/>
    <n v="7815"/>
    <s v="19.02"/>
    <s v="0.00"/>
    <s v="80.98"/>
  </r>
  <r>
    <x v="20"/>
    <x v="201"/>
    <n v="20485"/>
    <n v="182"/>
    <n v="10788"/>
    <s v="0.89"/>
    <s v="0.00"/>
    <s v="99.11"/>
  </r>
  <r>
    <x v="20"/>
    <x v="202"/>
    <n v="2918883"/>
    <n v="88891"/>
    <n v="1403045"/>
    <s v="3.05"/>
    <s v="0.00"/>
    <s v="96.95"/>
  </r>
  <r>
    <x v="20"/>
    <x v="203"/>
    <n v="209610"/>
    <n v="3658"/>
    <n v="117816"/>
    <s v="1.75"/>
    <s v="0.00"/>
    <s v="98.25"/>
  </r>
  <r>
    <x v="20"/>
    <x v="204"/>
    <n v="132588"/>
    <n v="4663"/>
    <n v="39087"/>
    <s v="3.52"/>
    <s v="0.00"/>
    <s v="96.48"/>
  </r>
  <r>
    <x v="20"/>
    <x v="205"/>
    <n v="721"/>
    <n v="15"/>
    <n v="620"/>
    <s v="2.08"/>
    <s v="0.00"/>
    <s v="97.92"/>
  </r>
  <r>
    <x v="21"/>
    <x v="205"/>
    <n v="721"/>
    <n v="15"/>
    <n v="448"/>
    <s v="2.08"/>
    <s v="0.00"/>
    <s v="97.92"/>
  </r>
  <r>
    <x v="21"/>
    <x v="204"/>
    <n v="132540"/>
    <n v="4662"/>
    <n v="36283"/>
    <s v="3.52"/>
    <s v="0.00"/>
    <s v="96.48"/>
  </r>
  <r>
    <x v="21"/>
    <x v="203"/>
    <n v="209589"/>
    <n v="3658"/>
    <n v="104203"/>
    <s v="1.75"/>
    <s v="0.00"/>
    <s v="98.25"/>
  </r>
  <r>
    <x v="21"/>
    <x v="202"/>
    <n v="2918366"/>
    <n v="88835"/>
    <n v="1163160"/>
    <s v="3.04"/>
    <s v="0.00"/>
    <s v="96.96"/>
  </r>
  <r>
    <x v="21"/>
    <x v="201"/>
    <n v="20464"/>
    <n v="182"/>
    <n v="3176"/>
    <s v="0.89"/>
    <s v="0.00"/>
    <s v="99.11"/>
  </r>
  <r>
    <x v="21"/>
    <x v="200"/>
    <n v="9635"/>
    <n v="1831"/>
    <n v="7653"/>
    <s v="19.00"/>
    <s v="0.00"/>
    <s v="81.00"/>
  </r>
  <r>
    <x v="21"/>
    <x v="199"/>
    <n v="160590"/>
    <n v="2974"/>
    <n v="76104"/>
    <s v="1.85"/>
    <s v="0.00"/>
    <s v="98.15"/>
  </r>
  <r>
    <x v="21"/>
    <x v="198"/>
    <n v="3"/>
    <n v="0"/>
    <n v="1"/>
    <s v="0.00"/>
    <s v="0.00"/>
    <s v="100.00"/>
  </r>
  <r>
    <x v="21"/>
    <x v="197"/>
    <n v="4"/>
    <n v="1"/>
    <n v="3"/>
    <s v="25.00"/>
    <s v="0.00"/>
    <s v="75.00"/>
  </r>
  <r>
    <x v="21"/>
    <x v="196"/>
    <n v="877537"/>
    <n v="21487"/>
    <n v="167273"/>
    <s v="2.45"/>
    <s v="0.00"/>
    <s v="97.55"/>
  </r>
  <r>
    <x v="21"/>
    <x v="195"/>
    <n v="396477"/>
    <n v="4763"/>
    <n v="181697"/>
    <s v="1.20"/>
    <s v="0.00"/>
    <s v="98.80"/>
  </r>
  <r>
    <x v="21"/>
    <x v="193"/>
    <n v="27"/>
    <n v="0"/>
    <n v="24"/>
    <s v="0.00"/>
    <s v="0.00"/>
    <s v="100.00"/>
  </r>
  <r>
    <x v="21"/>
    <x v="194"/>
    <n v="4786"/>
    <n v="56"/>
    <n v="4246"/>
    <s v="1.17"/>
    <s v="0.00"/>
    <s v="98.83"/>
  </r>
  <r>
    <x v="21"/>
    <x v="192"/>
    <n v="182421"/>
    <n v="1297"/>
    <n v="168584"/>
    <s v="0.71"/>
    <s v="0.00"/>
    <s v="99.29"/>
  </r>
  <r>
    <x v="21"/>
    <x v="191"/>
    <n v="391700"/>
    <n v="6069"/>
    <n v="124323"/>
    <s v="1.55"/>
    <s v="0.00"/>
    <s v="98.45"/>
  </r>
  <r>
    <x v="21"/>
    <x v="190"/>
    <n v="45301044"/>
    <n v="733553"/>
    <n v="5216722"/>
    <s v="1.62"/>
    <s v="0.00"/>
    <s v="98.38"/>
  </r>
  <r>
    <x v="21"/>
    <x v="189"/>
    <n v="125426"/>
    <n v="3192"/>
    <n v="18974"/>
    <s v="2.54"/>
    <s v="0.00"/>
    <s v="97.46"/>
  </r>
  <r>
    <x v="21"/>
    <x v="188"/>
    <n v="2827388"/>
    <n v="66447"/>
    <n v="1110049"/>
    <s v="2.35"/>
    <s v="0.00"/>
    <s v="97.65"/>
  </r>
  <r>
    <x v="21"/>
    <x v="187"/>
    <n v="26034"/>
    <n v="724"/>
    <n v="1424"/>
    <s v="2.78"/>
    <s v="0.00"/>
    <s v="97.22"/>
  </r>
  <r>
    <x v="21"/>
    <x v="186"/>
    <n v="16349"/>
    <n v="846"/>
    <n v="1184"/>
    <s v="5.17"/>
    <s v="0.00"/>
    <s v="94.83"/>
  </r>
  <r>
    <x v="21"/>
    <x v="185"/>
    <n v="54881"/>
    <n v="1629"/>
    <n v="40409"/>
    <s v="2.97"/>
    <s v="0.00"/>
    <s v="97.03"/>
  </r>
  <r>
    <x v="21"/>
    <x v="184"/>
    <n v="7772574"/>
    <n v="68472"/>
    <n v="3101494"/>
    <s v="0.88"/>
    <s v="0.00"/>
    <s v="99.12"/>
  </r>
  <r>
    <x v="21"/>
    <x v="182"/>
    <n v="711397"/>
    <n v="25132"/>
    <n v="589608"/>
    <s v="3.53"/>
    <s v="0.00"/>
    <s v="96.47"/>
  </r>
  <r>
    <x v="21"/>
    <x v="181"/>
    <n v="19749"/>
    <n v="120"/>
    <n v="10616"/>
    <s v="0.61"/>
    <s v="0.00"/>
    <s v="99.39"/>
  </r>
  <r>
    <x v="21"/>
    <x v="180"/>
    <n v="17484"/>
    <n v="125"/>
    <n v="3594"/>
    <s v="0.71"/>
    <s v="0.00"/>
    <s v="99.29"/>
  </r>
  <r>
    <x v="21"/>
    <x v="179"/>
    <n v="1821579"/>
    <n v="18559"/>
    <n v="158516"/>
    <s v="1.02"/>
    <s v="0.00"/>
    <s v="98.98"/>
  </r>
  <r>
    <x v="21"/>
    <x v="178"/>
    <n v="25950"/>
    <n v="240"/>
    <n v="21316"/>
    <s v="0.92"/>
    <s v="0.00"/>
    <s v="99.08"/>
  </r>
  <r>
    <x v="21"/>
    <x v="177"/>
    <n v="5069"/>
    <n v="174"/>
    <n v="4225"/>
    <s v="3.43"/>
    <s v="0.00"/>
    <s v="96.57"/>
  </r>
  <r>
    <x v="21"/>
    <x v="176"/>
    <n v="46380"/>
    <n v="1238"/>
    <n v="19553"/>
    <s v="2.67"/>
    <s v="0.00"/>
    <s v="97.33"/>
  </r>
  <r>
    <x v="21"/>
    <x v="175"/>
    <n v="40630"/>
    <n v="2467"/>
    <n v="26459"/>
    <s v="6.07"/>
    <s v="0.00"/>
    <s v="93.93"/>
  </r>
  <r>
    <x v="21"/>
    <x v="174"/>
    <n v="110188"/>
    <n v="3532"/>
    <n v="6183"/>
    <s v="3.21"/>
    <s v="0.00"/>
    <s v="96.79"/>
  </r>
  <r>
    <x v="21"/>
    <x v="172"/>
    <n v="12279"/>
    <n v="133"/>
    <n v="6120"/>
    <s v="1.08"/>
    <s v="0.00"/>
    <s v="98.92"/>
  </r>
  <r>
    <x v="21"/>
    <x v="173"/>
    <n v="3689"/>
    <n v="56"/>
    <n v="2312"/>
    <s v="1.52"/>
    <s v="0.00"/>
    <s v="98.48"/>
  </r>
  <r>
    <x v="21"/>
    <x v="171"/>
    <n v="47677"/>
    <n v="1048"/>
    <n v="25608"/>
    <s v="2.20"/>
    <s v="0.00"/>
    <s v="97.80"/>
  </r>
  <r>
    <x v="21"/>
    <x v="170"/>
    <n v="21269"/>
    <n v="1180"/>
    <n v="1039"/>
    <s v="5.55"/>
    <s v="0.00"/>
    <s v="94.45"/>
  </r>
  <r>
    <x v="21"/>
    <x v="169"/>
    <n v="73876"/>
    <n v="1876"/>
    <n v="50893"/>
    <s v="2.54"/>
    <s v="0.00"/>
    <s v="97.46"/>
  </r>
  <r>
    <x v="21"/>
    <x v="168"/>
    <n v="5490"/>
    <n v="91"/>
    <n v="3082"/>
    <s v="1.66"/>
    <s v="0.00"/>
    <s v="98.34"/>
  </r>
  <r>
    <x v="21"/>
    <x v="167"/>
    <n v="6397"/>
    <n v="121"/>
    <n v="2238"/>
    <s v="1.89"/>
    <s v="0.00"/>
    <s v="98.11"/>
  </r>
  <r>
    <x v="21"/>
    <x v="166"/>
    <n v="446305"/>
    <n v="12883"/>
    <n v="429125"/>
    <s v="2.89"/>
    <s v="0.00"/>
    <s v="97.11"/>
  </r>
  <r>
    <x v="21"/>
    <x v="165"/>
    <n v="314162"/>
    <n v="4661"/>
    <n v="268561"/>
    <s v="1.48"/>
    <s v="0.00"/>
    <s v="98.52"/>
  </r>
  <r>
    <x v="21"/>
    <x v="164"/>
    <n v="162026"/>
    <n v="280"/>
    <n v="73083"/>
    <s v="0.17"/>
    <s v="0.00"/>
    <s v="99.83"/>
  </r>
  <r>
    <x v="21"/>
    <x v="163"/>
    <n v="1165194"/>
    <n v="14986"/>
    <n v="926788"/>
    <s v="1.29"/>
    <s v="0.00"/>
    <s v="98.71"/>
  </r>
  <r>
    <x v="21"/>
    <x v="162"/>
    <n v="40084"/>
    <n v="3038"/>
    <n v="12457"/>
    <s v="7.58"/>
    <s v="0.00"/>
    <s v="92.42"/>
  </r>
  <r>
    <x v="21"/>
    <x v="161"/>
    <n v="22071"/>
    <n v="119"/>
    <n v="8780"/>
    <s v="0.54"/>
    <s v="0.00"/>
    <s v="99.46"/>
  </r>
  <r>
    <x v="21"/>
    <x v="160"/>
    <n v="20"/>
    <n v="0"/>
    <n v="20"/>
    <s v="0.00"/>
    <s v="0.00"/>
    <s v="100.00"/>
  </r>
  <r>
    <x v="21"/>
    <x v="159"/>
    <n v="548111"/>
    <n v="8773"/>
    <n v="74551"/>
    <s v="1.60"/>
    <s v="0.00"/>
    <s v="98.40"/>
  </r>
  <r>
    <x v="21"/>
    <x v="158"/>
    <n v="99288"/>
    <n v="1316"/>
    <n v="42036"/>
    <s v="1.33"/>
    <s v="0.00"/>
    <s v="98.67"/>
  </r>
  <r>
    <x v="21"/>
    <x v="157"/>
    <n v="8005376"/>
    <n v="223331"/>
    <n v="7773320"/>
    <s v="2.79"/>
    <s v="0.00"/>
    <s v="97.21"/>
  </r>
  <r>
    <x v="21"/>
    <x v="156"/>
    <n v="1078032"/>
    <n v="9331"/>
    <n v="26131"/>
    <s v="0.87"/>
    <s v="0.00"/>
    <s v="99.13"/>
  </r>
  <r>
    <x v="21"/>
    <x v="155"/>
    <n v="1519532"/>
    <n v="43487"/>
    <n v="698360"/>
    <s v="2.86"/>
    <s v="0.00"/>
    <s v="97.14"/>
  </r>
  <r>
    <x v="21"/>
    <x v="154"/>
    <n v="54024"/>
    <n v="370"/>
    <n v="37315"/>
    <s v="0.68"/>
    <s v="0.00"/>
    <s v="99.32"/>
  </r>
  <r>
    <x v="21"/>
    <x v="153"/>
    <n v="238271"/>
    <n v="608"/>
    <n v="70399"/>
    <s v="0.26"/>
    <s v="0.00"/>
    <s v="99.74"/>
  </r>
  <r>
    <x v="21"/>
    <x v="152"/>
    <n v="460646"/>
    <n v="16229"/>
    <n v="353721"/>
    <s v="3.52"/>
    <s v="0.00"/>
    <s v="96.48"/>
  </r>
  <r>
    <x v="21"/>
    <x v="151"/>
    <n v="8"/>
    <n v="0"/>
    <n v="8"/>
    <s v="0.00"/>
    <s v="0.00"/>
    <s v="100.00"/>
  </r>
  <r>
    <x v="21"/>
    <x v="150"/>
    <n v="1082721"/>
    <n v="18117"/>
    <n v="782396"/>
    <s v="1.67"/>
    <s v="0.00"/>
    <s v="98.33"/>
  </r>
  <r>
    <x v="21"/>
    <x v="149"/>
    <n v="449980"/>
    <n v="4604"/>
    <n v="28084"/>
    <s v="1.02"/>
    <s v="0.00"/>
    <s v="98.98"/>
  </r>
  <r>
    <x v="21"/>
    <x v="148"/>
    <n v="2956207"/>
    <n v="76300"/>
    <n v="2150897"/>
    <s v="2.58"/>
    <s v="0.00"/>
    <s v="97.42"/>
  </r>
  <r>
    <x v="21"/>
    <x v="146"/>
    <n v="2740111"/>
    <n v="41237"/>
    <n v="97778"/>
    <s v="1.50"/>
    <s v="0.00"/>
    <s v="98.50"/>
  </r>
  <r>
    <x v="21"/>
    <x v="147"/>
    <n v="1267393"/>
    <n v="28344"/>
    <n v="162277"/>
    <s v="2.24"/>
    <s v="0.00"/>
    <s v="97.76"/>
  </r>
  <r>
    <x v="21"/>
    <x v="145"/>
    <n v="26154"/>
    <n v="325"/>
    <n v="6920"/>
    <s v="1.24"/>
    <s v="0.00"/>
    <s v="98.76"/>
  </r>
  <r>
    <x v="21"/>
    <x v="144"/>
    <n v="45506"/>
    <n v="635"/>
    <n v="7462"/>
    <s v="1.40"/>
    <s v="0.00"/>
    <s v="98.60"/>
  </r>
  <r>
    <x v="21"/>
    <x v="143"/>
    <n v="2192205"/>
    <n v="199945"/>
    <n v="617659"/>
    <s v="9.12"/>
    <s v="0.00"/>
    <s v="90.88"/>
  </r>
  <r>
    <x v="21"/>
    <x v="142"/>
    <n v="471060"/>
    <n v="7303"/>
    <n v="287042"/>
    <s v="1.55"/>
    <s v="0.00"/>
    <s v="98.45"/>
  </r>
  <r>
    <x v="21"/>
    <x v="141"/>
    <n v="304116"/>
    <n v="4107"/>
    <n v="178574"/>
    <s v="1.35"/>
    <s v="0.00"/>
    <s v="98.65"/>
  </r>
  <r>
    <x v="21"/>
    <x v="140"/>
    <n v="5450"/>
    <n v="28"/>
    <n v="1544"/>
    <s v="0.51"/>
    <s v="0.00"/>
    <s v="99.49"/>
  </r>
  <r>
    <x v="21"/>
    <x v="139"/>
    <n v="807522"/>
    <n v="11326"/>
    <n v="517793"/>
    <s v="1.40"/>
    <s v="0.00"/>
    <s v="98.60"/>
  </r>
  <r>
    <x v="21"/>
    <x v="138"/>
    <n v="198909"/>
    <n v="893"/>
    <n v="110695"/>
    <s v="0.45"/>
    <s v="0.00"/>
    <s v="99.55"/>
  </r>
  <r>
    <x v="21"/>
    <x v="137"/>
    <n v="2104333"/>
    <n v="18717"/>
    <n v="1673123"/>
    <s v="0.89"/>
    <s v="0.00"/>
    <s v="99.11"/>
  </r>
  <r>
    <x v="21"/>
    <x v="136"/>
    <n v="16241"/>
    <n v="207"/>
    <n v="1371"/>
    <s v="1.27"/>
    <s v="0.00"/>
    <s v="98.73"/>
  </r>
  <r>
    <x v="21"/>
    <x v="135"/>
    <n v="209960"/>
    <n v="2850"/>
    <n v="81394"/>
    <s v="1.36"/>
    <s v="0.00"/>
    <s v="98.64"/>
  </r>
  <r>
    <x v="21"/>
    <x v="134"/>
    <n v="6227"/>
    <n v="206"/>
    <n v="1173"/>
    <s v="3.31"/>
    <s v="0.00"/>
    <s v="96.69"/>
  </r>
  <r>
    <x v="21"/>
    <x v="133"/>
    <n v="10305"/>
    <n v="247"/>
    <n v="4044"/>
    <s v="2.40"/>
    <s v="0.00"/>
    <s v="97.60"/>
  </r>
  <r>
    <x v="21"/>
    <x v="132"/>
    <n v="128414"/>
    <n v="3544"/>
    <n v="54368"/>
    <s v="2.76"/>
    <s v="0.00"/>
    <s v="97.24"/>
  </r>
  <r>
    <x v="21"/>
    <x v="131"/>
    <n v="151174"/>
    <n v="1927"/>
    <n v="94549"/>
    <s v="1.27"/>
    <s v="0.00"/>
    <s v="98.73"/>
  </r>
  <r>
    <x v="21"/>
    <x v="130"/>
    <n v="2413592"/>
    <n v="28234"/>
    <n v="524403"/>
    <s v="1.17"/>
    <s v="0.00"/>
    <s v="98.83"/>
  </r>
  <r>
    <x v="21"/>
    <x v="129"/>
    <n v="3772556"/>
    <n v="285669"/>
    <n v="1647179"/>
    <s v="7.57"/>
    <s v="0.00"/>
    <s v="92.43"/>
  </r>
  <r>
    <x v="21"/>
    <x v="128"/>
    <n v="61745"/>
    <n v="2296"/>
    <n v="43956"/>
    <s v="3.72"/>
    <s v="0.00"/>
    <s v="96.28"/>
  </r>
  <r>
    <x v="21"/>
    <x v="127"/>
    <n v="86550"/>
    <n v="240"/>
    <n v="81338"/>
    <s v="0.28"/>
    <s v="0.00"/>
    <s v="99.72"/>
  </r>
  <r>
    <x v="21"/>
    <x v="126"/>
    <n v="16951"/>
    <n v="145"/>
    <n v="5059"/>
    <s v="0.86"/>
    <s v="0.00"/>
    <s v="99.14"/>
  </r>
  <r>
    <x v="21"/>
    <x v="125"/>
    <n v="37523"/>
    <n v="459"/>
    <n v="19465"/>
    <s v="1.22"/>
    <s v="0.00"/>
    <s v="98.78"/>
  </r>
  <r>
    <x v="21"/>
    <x v="124"/>
    <n v="36820"/>
    <n v="791"/>
    <n v="6776"/>
    <s v="2.15"/>
    <s v="0.00"/>
    <s v="97.85"/>
  </r>
  <r>
    <x v="21"/>
    <x v="123"/>
    <n v="42748"/>
    <n v="670"/>
    <n v="7150"/>
    <s v="1.57"/>
    <s v="0.00"/>
    <s v="98.43"/>
  </r>
  <r>
    <x v="21"/>
    <x v="122"/>
    <n v="77"/>
    <n v="0"/>
    <n v="1"/>
    <s v="0.00"/>
    <s v="0.00"/>
    <s v="100.00"/>
  </r>
  <r>
    <x v="21"/>
    <x v="121"/>
    <n v="344736"/>
    <n v="1607"/>
    <n v="244752"/>
    <s v="0.47"/>
    <s v="0.00"/>
    <s v="99.53"/>
  </r>
  <r>
    <x v="21"/>
    <x v="120"/>
    <n v="491584"/>
    <n v="18465"/>
    <n v="27248"/>
    <s v="3.76"/>
    <s v="0.00"/>
    <s v="96.24"/>
  </r>
  <r>
    <x v="21"/>
    <x v="119"/>
    <n v="15741"/>
    <n v="558"/>
    <n v="2052"/>
    <s v="3.54"/>
    <s v="0.00"/>
    <s v="96.46"/>
  </r>
  <r>
    <x v="21"/>
    <x v="118"/>
    <n v="198646"/>
    <n v="7012"/>
    <n v="118949"/>
    <s v="3.53"/>
    <s v="0.00"/>
    <s v="96.47"/>
  </r>
  <r>
    <x v="21"/>
    <x v="117"/>
    <n v="4"/>
    <n v="0"/>
    <n v="2"/>
    <s v="0.00"/>
    <s v="0.00"/>
    <s v="100.00"/>
  </r>
  <r>
    <x v="21"/>
    <x v="116"/>
    <n v="43622"/>
    <n v="960"/>
    <n v="2753"/>
    <s v="2.20"/>
    <s v="0.00"/>
    <s v="97.80"/>
  </r>
  <r>
    <x v="21"/>
    <x v="115"/>
    <n v="3888"/>
    <n v="55"/>
    <n v="1620"/>
    <s v="1.41"/>
    <s v="0.00"/>
    <s v="98.59"/>
  </r>
  <r>
    <x v="21"/>
    <x v="114"/>
    <n v="139488"/>
    <n v="2054"/>
    <n v="91493"/>
    <s v="1.47"/>
    <s v="0.00"/>
    <s v="98.53"/>
  </r>
  <r>
    <x v="21"/>
    <x v="113"/>
    <n v="323469"/>
    <n v="7386"/>
    <n v="267932"/>
    <s v="2.28"/>
    <s v="0.00"/>
    <s v="97.72"/>
  </r>
  <r>
    <x v="21"/>
    <x v="112"/>
    <n v="3387"/>
    <n v="35"/>
    <n v="2300"/>
    <s v="1.03"/>
    <s v="0.00"/>
    <s v="98.97"/>
  </r>
  <r>
    <x v="21"/>
    <x v="111"/>
    <n v="943222"/>
    <n v="14593"/>
    <n v="505407"/>
    <s v="1.55"/>
    <s v="0.00"/>
    <s v="98.45"/>
  </r>
  <r>
    <x v="21"/>
    <x v="110"/>
    <n v="352192"/>
    <n v="4962"/>
    <n v="206628"/>
    <s v="1.41"/>
    <s v="0.00"/>
    <s v="98.59"/>
  </r>
  <r>
    <x v="21"/>
    <x v="109"/>
    <n v="194256"/>
    <n v="2967"/>
    <n v="102444"/>
    <s v="1.53"/>
    <s v="0.00"/>
    <s v="98.47"/>
  </r>
  <r>
    <x v="21"/>
    <x v="108"/>
    <n v="80462"/>
    <n v="842"/>
    <n v="16023"/>
    <s v="1.05"/>
    <s v="0.00"/>
    <s v="98.95"/>
  </r>
  <r>
    <x v="21"/>
    <x v="107"/>
    <n v="379438"/>
    <n v="5544"/>
    <n v="70395"/>
    <s v="1.46"/>
    <s v="0.00"/>
    <s v="98.54"/>
  </r>
  <r>
    <x v="21"/>
    <x v="106"/>
    <n v="21566"/>
    <n v="655"/>
    <n v="19907"/>
    <s v="3.04"/>
    <s v="0.00"/>
    <s v="96.96"/>
  </r>
  <r>
    <x v="21"/>
    <x v="105"/>
    <n v="5811"/>
    <n v="287"/>
    <n v="2200"/>
    <s v="4.94"/>
    <s v="0.00"/>
    <s v="95.06"/>
  </r>
  <r>
    <x v="21"/>
    <x v="104"/>
    <n v="533860"/>
    <n v="13562"/>
    <n v="382087"/>
    <s v="2.54"/>
    <s v="0.00"/>
    <s v="97.46"/>
  </r>
  <r>
    <x v="21"/>
    <x v="103"/>
    <n v="3619"/>
    <n v="60"/>
    <n v="2852"/>
    <s v="1.66"/>
    <s v="0.00"/>
    <s v="98.34"/>
  </r>
  <r>
    <x v="21"/>
    <x v="102"/>
    <n v="12331"/>
    <n v="238"/>
    <n v="999"/>
    <s v="1.93"/>
    <s v="0.00"/>
    <s v="98.07"/>
  </r>
  <r>
    <x v="21"/>
    <x v="101"/>
    <n v="636147"/>
    <n v="8441"/>
    <n v="313702"/>
    <s v="1.33"/>
    <s v="0.00"/>
    <s v="98.67"/>
  </r>
  <r>
    <x v="21"/>
    <x v="100"/>
    <n v="33998"/>
    <n v="49"/>
    <n v="20478"/>
    <s v="0.14"/>
    <s v="0.00"/>
    <s v="99.86"/>
  </r>
  <r>
    <x v="21"/>
    <x v="99"/>
    <n v="1003262"/>
    <n v="16835"/>
    <n v="86018"/>
    <s v="1.68"/>
    <s v="0.00"/>
    <s v="98.32"/>
  </r>
  <r>
    <x v="21"/>
    <x v="98"/>
    <n v="412449"/>
    <n v="2459"/>
    <n v="44948"/>
    <s v="0.60"/>
    <s v="0.00"/>
    <s v="99.40"/>
  </r>
  <r>
    <x v="21"/>
    <x v="97"/>
    <n v="348969"/>
    <n v="2725"/>
    <n v="265439"/>
    <s v="0.78"/>
    <s v="0.00"/>
    <s v="99.22"/>
  </r>
  <r>
    <x v="21"/>
    <x v="96"/>
    <n v="2591"/>
    <n v="21"/>
    <n v="1427"/>
    <s v="0.81"/>
    <s v="0.00"/>
    <s v="99.19"/>
  </r>
  <r>
    <x v="21"/>
    <x v="95"/>
    <n v="4197"/>
    <n v="147"/>
    <n v="3470"/>
    <s v="3.50"/>
    <s v="0.00"/>
    <s v="96.50"/>
  </r>
  <r>
    <x v="21"/>
    <x v="93"/>
    <n v="117352"/>
    <n v="2704"/>
    <n v="109053"/>
    <s v="2.30"/>
    <s v="0.00"/>
    <s v="97.70"/>
  </r>
  <r>
    <x v="21"/>
    <x v="94"/>
    <n v="2"/>
    <n v="0"/>
    <n v="2"/>
    <s v="0.00"/>
    <s v="0.00"/>
    <s v="100.00"/>
  </r>
  <r>
    <x v="21"/>
    <x v="92"/>
    <n v="180223"/>
    <n v="2643"/>
    <n v="8764"/>
    <s v="1.47"/>
    <s v="0.00"/>
    <s v="98.53"/>
  </r>
  <r>
    <x v="21"/>
    <x v="91"/>
    <n v="252375"/>
    <n v="5238"/>
    <n v="26722"/>
    <s v="2.08"/>
    <s v="0.00"/>
    <s v="97.92"/>
  </r>
  <r>
    <x v="21"/>
    <x v="90"/>
    <n v="1716858"/>
    <n v="18182"/>
    <n v="530167"/>
    <s v="1.06"/>
    <s v="0.00"/>
    <s v="98.94"/>
  </r>
  <r>
    <x v="21"/>
    <x v="89"/>
    <n v="846033"/>
    <n v="10903"/>
    <n v="809992"/>
    <s v="1.29"/>
    <s v="0.00"/>
    <s v="98.71"/>
  </r>
  <r>
    <x v="21"/>
    <x v="88"/>
    <n v="87797"/>
    <n v="2133"/>
    <n v="69847"/>
    <s v="2.43"/>
    <s v="0.00"/>
    <s v="97.57"/>
  </r>
  <r>
    <x v="21"/>
    <x v="87"/>
    <n v="4729678"/>
    <n v="131724"/>
    <n v="2035586"/>
    <s v="2.79"/>
    <s v="0.00"/>
    <s v="97.21"/>
  </r>
  <r>
    <x v="21"/>
    <x v="86"/>
    <n v="12827"/>
    <n v="33"/>
    <n v="1620"/>
    <s v="0.26"/>
    <s v="0.00"/>
    <s v="99.74"/>
  </r>
  <r>
    <x v="21"/>
    <x v="85"/>
    <n v="5833525"/>
    <n v="124763"/>
    <n v="606783"/>
    <s v="2.14"/>
    <s v="0.00"/>
    <s v="97.86"/>
  </r>
  <r>
    <x v="21"/>
    <x v="84"/>
    <n v="2042117"/>
    <n v="22875"/>
    <n v="418809"/>
    <s v="1.12"/>
    <s v="0.00"/>
    <s v="98.88"/>
  </r>
  <r>
    <x v="21"/>
    <x v="83"/>
    <n v="34143236"/>
    <n v="453042"/>
    <n v="5477734"/>
    <s v="1.33"/>
    <s v="0.00"/>
    <s v="98.67"/>
  </r>
  <r>
    <x v="21"/>
    <x v="82"/>
    <n v="1320962"/>
    <n v="8036"/>
    <n v="1150"/>
    <s v="0.61"/>
    <s v="0.00"/>
    <s v="99.39"/>
  </r>
  <r>
    <x v="21"/>
    <x v="81"/>
    <n v="423260"/>
    <n v="5369"/>
    <n v="98616"/>
    <s v="1.27"/>
    <s v="0.00"/>
    <s v="98.73"/>
  </r>
  <r>
    <x v="21"/>
    <x v="80"/>
    <n v="4237834"/>
    <n v="143120"/>
    <n v="1442874"/>
    <s v="3.38"/>
    <s v="0.00"/>
    <s v="96.62"/>
  </r>
  <r>
    <x v="21"/>
    <x v="79"/>
    <n v="841277"/>
    <n v="30468"/>
    <n v="104294"/>
    <s v="3.62"/>
    <s v="0.00"/>
    <s v="96.38"/>
  </r>
  <r>
    <x v="21"/>
    <x v="78"/>
    <n v="23406"/>
    <n v="658"/>
    <n v="1750"/>
    <s v="2.81"/>
    <s v="0.00"/>
    <s v="97.19"/>
  </r>
  <r>
    <x v="21"/>
    <x v="77"/>
    <n v="436189"/>
    <n v="8968"/>
    <n v="188582"/>
    <s v="2.06"/>
    <s v="0.00"/>
    <s v="97.94"/>
  </r>
  <r>
    <x v="21"/>
    <x v="76"/>
    <n v="373589"/>
    <n v="10170"/>
    <n v="340786"/>
    <s v="2.72"/>
    <s v="0.00"/>
    <s v="97.28"/>
  </r>
  <r>
    <x v="21"/>
    <x v="75"/>
    <n v="12311"/>
    <n v="213"/>
    <n v="7031"/>
    <s v="1.73"/>
    <s v="0.00"/>
    <s v="98.27"/>
  </r>
  <r>
    <x v="21"/>
    <x v="74"/>
    <n v="34800"/>
    <n v="887"/>
    <n v="21483"/>
    <s v="2.55"/>
    <s v="0.00"/>
    <s v="97.45"/>
  </r>
  <r>
    <x v="21"/>
    <x v="73"/>
    <n v="6131"/>
    <n v="141"/>
    <n v="2065"/>
    <s v="2.30"/>
    <s v="0.00"/>
    <s v="97.70"/>
  </r>
  <r>
    <x v="21"/>
    <x v="72"/>
    <n v="591767"/>
    <n v="14566"/>
    <n v="202860"/>
    <s v="2.46"/>
    <s v="0.00"/>
    <s v="97.54"/>
  </r>
  <r>
    <x v="21"/>
    <x v="71"/>
    <n v="707587"/>
    <n v="15519"/>
    <n v="185579"/>
    <s v="2.19"/>
    <s v="0.00"/>
    <s v="97.81"/>
  </r>
  <r>
    <x v="21"/>
    <x v="70"/>
    <n v="13097"/>
    <n v="163"/>
    <n v="10430"/>
    <s v="1.24"/>
    <s v="0.00"/>
    <s v="98.76"/>
  </r>
  <r>
    <x v="21"/>
    <x v="69"/>
    <n v="54095"/>
    <n v="809"/>
    <n v="30391"/>
    <s v="1.50"/>
    <s v="0.00"/>
    <s v="98.50"/>
  </r>
  <r>
    <x v="21"/>
    <x v="67"/>
    <n v="9946"/>
    <n v="339"/>
    <n v="8680"/>
    <s v="3.41"/>
    <s v="0.00"/>
    <s v="96.59"/>
  </r>
  <r>
    <x v="21"/>
    <x v="68"/>
    <n v="30605"/>
    <n v="385"/>
    <n v="6315"/>
    <s v="1.26"/>
    <s v="0.00"/>
    <s v="98.74"/>
  </r>
  <r>
    <x v="21"/>
    <x v="66"/>
    <n v="5824"/>
    <n v="98"/>
    <n v="5096"/>
    <s v="1.68"/>
    <s v="0.00"/>
    <s v="98.32"/>
  </r>
  <r>
    <x v="21"/>
    <x v="65"/>
    <n v="129592"/>
    <n v="1169"/>
    <n v="81212"/>
    <s v="0.90"/>
    <s v="0.00"/>
    <s v="99.10"/>
  </r>
  <r>
    <x v="21"/>
    <x v="64"/>
    <n v="43690"/>
    <n v="297"/>
    <n v="34301"/>
    <s v="0.68"/>
    <s v="0.00"/>
    <s v="99.32"/>
  </r>
  <r>
    <x v="21"/>
    <x v="62"/>
    <n v="5795"/>
    <n v="194"/>
    <n v="1407"/>
    <s v="3.35"/>
    <s v="0.00"/>
    <s v="96.65"/>
  </r>
  <r>
    <x v="21"/>
    <x v="63"/>
    <n v="680182"/>
    <n v="9617"/>
    <n v="512533"/>
    <s v="1.41"/>
    <s v="0.00"/>
    <s v="98.59"/>
  </r>
  <r>
    <x v="21"/>
    <x v="61"/>
    <n v="8675971"/>
    <n v="139464"/>
    <n v="7159830"/>
    <s v="1.61"/>
    <s v="0.00"/>
    <s v="98.39"/>
  </r>
  <r>
    <x v="21"/>
    <x v="60"/>
    <n v="34281"/>
    <n v="219"/>
    <n v="11413"/>
    <s v="0.64"/>
    <s v="0.00"/>
    <s v="99.36"/>
  </r>
  <r>
    <x v="21"/>
    <x v="59"/>
    <n v="6932747"/>
    <n v="115068"/>
    <n v="5794382"/>
    <s v="1.66"/>
    <s v="0.00"/>
    <s v="98.34"/>
  </r>
  <r>
    <x v="21"/>
    <x v="58"/>
    <n v="1410"/>
    <n v="2"/>
    <n v="448"/>
    <s v="0.14"/>
    <s v="0.00"/>
    <s v="99.86"/>
  </r>
  <r>
    <x v="21"/>
    <x v="57"/>
    <n v="51909"/>
    <n v="663"/>
    <n v="29441"/>
    <s v="1.28"/>
    <s v="0.00"/>
    <s v="98.72"/>
  </r>
  <r>
    <x v="21"/>
    <x v="56"/>
    <n v="152707"/>
    <n v="1135"/>
    <n v="101520"/>
    <s v="0.74"/>
    <s v="0.00"/>
    <s v="99.26"/>
  </r>
  <r>
    <x v="21"/>
    <x v="55"/>
    <n v="361027"/>
    <n v="6316"/>
    <n v="222547"/>
    <s v="1.75"/>
    <s v="0.00"/>
    <s v="98.25"/>
  </r>
  <r>
    <x v="21"/>
    <x v="54"/>
    <n v="4995176"/>
    <n v="87102"/>
    <n v="100061"/>
    <s v="1.74"/>
    <s v="0.00"/>
    <s v="98.26"/>
  </r>
  <r>
    <x v="21"/>
    <x v="53"/>
    <n v="6788"/>
    <n v="45"/>
    <n v="423"/>
    <s v="0.66"/>
    <s v="0.00"/>
    <s v="99.34"/>
  </r>
  <r>
    <x v="21"/>
    <x v="52"/>
    <n v="321967"/>
    <n v="18151"/>
    <n v="244818"/>
    <s v="5.64"/>
    <s v="0.00"/>
    <s v="94.36"/>
  </r>
  <r>
    <x v="21"/>
    <x v="51"/>
    <n v="177287"/>
    <n v="1444"/>
    <n v="85173"/>
    <s v="0.81"/>
    <s v="0.00"/>
    <s v="99.19"/>
  </r>
  <r>
    <x v="21"/>
    <x v="50"/>
    <n v="514087"/>
    <n v="32937"/>
    <n v="12273"/>
    <s v="6.41"/>
    <s v="0.00"/>
    <s v="93.59"/>
  </r>
  <r>
    <x v="21"/>
    <x v="49"/>
    <n v="205599"/>
    <n v="5881"/>
    <n v="46859"/>
    <s v="2.86"/>
    <s v="0.00"/>
    <s v="97.14"/>
  </r>
  <r>
    <x v="21"/>
    <x v="48"/>
    <n v="373929"/>
    <n v="4097"/>
    <n v="193818"/>
    <s v="1.10"/>
    <s v="0.00"/>
    <s v="98.90"/>
  </r>
  <r>
    <x v="21"/>
    <x v="47"/>
    <n v="4465"/>
    <n v="30"/>
    <n v="2806"/>
    <s v="0.67"/>
    <s v="0.00"/>
    <s v="99.33"/>
  </r>
  <r>
    <x v="21"/>
    <x v="46"/>
    <n v="373249"/>
    <n v="2696"/>
    <n v="162186"/>
    <s v="0.72"/>
    <s v="0.00"/>
    <s v="99.28"/>
  </r>
  <r>
    <x v="21"/>
    <x v="45"/>
    <n v="13423"/>
    <n v="181"/>
    <n v="8345"/>
    <s v="1.35"/>
    <s v="0.00"/>
    <s v="98.65"/>
  </r>
  <r>
    <x v="21"/>
    <x v="44"/>
    <n v="4447231"/>
    <n v="94995"/>
    <n v="641922"/>
    <s v="2.14"/>
    <s v="0.00"/>
    <s v="97.86"/>
  </r>
  <r>
    <x v="21"/>
    <x v="43"/>
    <n v="1718808"/>
    <n v="30587"/>
    <n v="498664"/>
    <s v="1.78"/>
    <s v="0.00"/>
    <s v="98.22"/>
  </r>
  <r>
    <x v="21"/>
    <x v="42"/>
    <n v="122852"/>
    <n v="567"/>
    <n v="59537"/>
    <s v="0.46"/>
    <s v="0.00"/>
    <s v="99.54"/>
  </r>
  <r>
    <x v="21"/>
    <x v="41"/>
    <n v="38098"/>
    <n v="347"/>
    <n v="17181"/>
    <s v="0.91"/>
    <s v="0.00"/>
    <s v="99.09"/>
  </r>
  <r>
    <x v="21"/>
    <x v="40"/>
    <n v="941562"/>
    <n v="8133"/>
    <n v="109218"/>
    <s v="0.86"/>
    <s v="0.00"/>
    <s v="99.14"/>
  </r>
  <r>
    <x v="21"/>
    <x v="39"/>
    <n v="554604"/>
    <n v="6895"/>
    <n v="396975"/>
    <s v="1.24"/>
    <s v="0.00"/>
    <s v="98.76"/>
  </r>
  <r>
    <x v="21"/>
    <x v="38"/>
    <n v="4986249"/>
    <n v="126959"/>
    <n v="3948557"/>
    <s v="2.55"/>
    <s v="0.00"/>
    <s v="97.45"/>
  </r>
  <r>
    <x v="21"/>
    <x v="37"/>
    <n v="96670"/>
    <n v="4636"/>
    <n v="72750"/>
    <s v="4.80"/>
    <s v="0.00"/>
    <s v="95.20"/>
  </r>
  <r>
    <x v="21"/>
    <x v="36"/>
    <n v="100289"/>
    <n v="1600"/>
    <n v="94543"/>
    <s v="1.60"/>
    <s v="0.00"/>
    <s v="98.40"/>
  </r>
  <r>
    <x v="21"/>
    <x v="35"/>
    <n v="1676019"/>
    <n v="37640"/>
    <n v="1570765"/>
    <s v="2.25"/>
    <s v="0.00"/>
    <s v="97.75"/>
  </r>
  <r>
    <x v="21"/>
    <x v="34"/>
    <n v="61139"/>
    <n v="689"/>
    <n v="25117"/>
    <s v="1.13"/>
    <s v="0.00"/>
    <s v="98.87"/>
  </r>
  <r>
    <x v="21"/>
    <x v="33"/>
    <n v="861123"/>
    <n v="11178"/>
    <n v="741528"/>
    <s v="1.30"/>
    <s v="0.00"/>
    <s v="98.70"/>
  </r>
  <r>
    <x v="21"/>
    <x v="32"/>
    <n v="16408"/>
    <n v="239"/>
    <n v="4565"/>
    <s v="1.46"/>
    <s v="0.00"/>
    <s v="98.54"/>
  </r>
  <r>
    <x v="21"/>
    <x v="31"/>
    <n v="11478"/>
    <n v="100"/>
    <n v="1456"/>
    <s v="0.87"/>
    <s v="0.00"/>
    <s v="99.13"/>
  </r>
  <r>
    <x v="21"/>
    <x v="30"/>
    <n v="57402"/>
    <n v="1091"/>
    <n v="16469"/>
    <s v="1.90"/>
    <s v="0.00"/>
    <s v="98.10"/>
  </r>
  <r>
    <x v="21"/>
    <x v="29"/>
    <n v="1701354"/>
    <n v="28722"/>
    <n v="209885"/>
    <s v="1.69"/>
    <s v="0.00"/>
    <s v="98.31"/>
  </r>
  <r>
    <x v="21"/>
    <x v="28"/>
    <n v="25244"/>
    <n v="473"/>
    <n v="23485"/>
    <s v="1.87"/>
    <s v="0.00"/>
    <s v="98.13"/>
  </r>
  <r>
    <x v="21"/>
    <x v="27"/>
    <n v="580029"/>
    <n v="4466"/>
    <n v="345964"/>
    <s v="0.77"/>
    <s v="0.00"/>
    <s v="99.23"/>
  </r>
  <r>
    <x v="21"/>
    <x v="26"/>
    <n v="184919"/>
    <n v="2396"/>
    <n v="164297"/>
    <s v="1.30"/>
    <s v="0.00"/>
    <s v="98.70"/>
  </r>
  <r>
    <x v="21"/>
    <x v="25"/>
    <n v="2617"/>
    <n v="3"/>
    <n v="2009"/>
    <s v="0.11"/>
    <s v="0.00"/>
    <s v="99.89"/>
  </r>
  <r>
    <x v="21"/>
    <x v="24"/>
    <n v="22154"/>
    <n v="630"/>
    <n v="17228"/>
    <s v="2.84"/>
    <s v="0.00"/>
    <s v="97.16"/>
  </r>
  <r>
    <x v="21"/>
    <x v="23"/>
    <n v="21697341"/>
    <n v="604679"/>
    <n v="3174117"/>
    <s v="2.79"/>
    <s v="0.00"/>
    <s v="97.21"/>
  </r>
  <r>
    <x v="21"/>
    <x v="22"/>
    <n v="508702"/>
    <n v="18891"/>
    <n v="38065"/>
    <s v="3.71"/>
    <s v="0.00"/>
    <s v="96.29"/>
  </r>
  <r>
    <x v="21"/>
    <x v="21"/>
    <n v="11542"/>
    <n v="79"/>
    <n v="3250"/>
    <s v="0.68"/>
    <s v="0.00"/>
    <s v="99.32"/>
  </r>
  <r>
    <x v="21"/>
    <x v="20"/>
    <n v="1659"/>
    <n v="6"/>
    <n v="308"/>
    <s v="0.36"/>
    <s v="0.00"/>
    <s v="99.64"/>
  </r>
  <r>
    <x v="21"/>
    <x v="19"/>
    <n v="24560"/>
    <n v="161"/>
    <n v="10980"/>
    <s v="0.66"/>
    <s v="0.00"/>
    <s v="99.34"/>
  </r>
  <r>
    <x v="21"/>
    <x v="18"/>
    <n v="19867"/>
    <n v="38"/>
    <n v="14159"/>
    <s v="0.19"/>
    <s v="0.00"/>
    <s v="99.81"/>
  </r>
  <r>
    <x v="21"/>
    <x v="17"/>
    <n v="276395"/>
    <n v="1392"/>
    <n v="64804"/>
    <s v="0.50"/>
    <s v="0.00"/>
    <s v="99.50"/>
  </r>
  <r>
    <x v="21"/>
    <x v="16"/>
    <n v="559893"/>
    <n v="22839"/>
    <n v="365840"/>
    <s v="4.08"/>
    <s v="0.00"/>
    <s v="95.92"/>
  </r>
  <r>
    <x v="21"/>
    <x v="15"/>
    <n v="14793"/>
    <n v="214"/>
    <n v="102"/>
    <s v="1.45"/>
    <s v="0.00"/>
    <s v="98.55"/>
  </r>
  <r>
    <x v="21"/>
    <x v="14"/>
    <n v="1305678"/>
    <n v="25835"/>
    <n v="229104"/>
    <s v="1.98"/>
    <s v="0.00"/>
    <s v="98.02"/>
  </r>
  <r>
    <x v="21"/>
    <x v="13"/>
    <n v="1566907"/>
    <n v="27801"/>
    <n v="149629"/>
    <s v="1.77"/>
    <s v="0.00"/>
    <s v="98.23"/>
  </r>
  <r>
    <x v="21"/>
    <x v="12"/>
    <n v="14326"/>
    <n v="124"/>
    <n v="8576"/>
    <s v="0.87"/>
    <s v="0.00"/>
    <s v="99.13"/>
  </r>
  <r>
    <x v="21"/>
    <x v="11"/>
    <n v="247182"/>
    <n v="11283"/>
    <n v="17719"/>
    <s v="4.56"/>
    <s v="0.00"/>
    <s v="95.44"/>
  </r>
  <r>
    <x v="21"/>
    <x v="10"/>
    <n v="509862"/>
    <n v="6829"/>
    <n v="100463"/>
    <s v="1.34"/>
    <s v="0.00"/>
    <s v="98.66"/>
  </r>
  <r>
    <x v="21"/>
    <x v="9"/>
    <n v="154489"/>
    <n v="1611"/>
    <n v="118663"/>
    <s v="1.04"/>
    <s v="0.00"/>
    <s v="98.96"/>
  </r>
  <r>
    <x v="21"/>
    <x v="8"/>
    <n v="787644"/>
    <n v="11220"/>
    <n v="681351"/>
    <s v="1.42"/>
    <s v="0.00"/>
    <s v="98.58"/>
  </r>
  <r>
    <x v="21"/>
    <x v="7"/>
    <n v="5277525"/>
    <n v="115796"/>
    <n v="1011835"/>
    <s v="2.19"/>
    <s v="0.00"/>
    <s v="97.81"/>
  </r>
  <r>
    <x v="21"/>
    <x v="6"/>
    <n v="63567"/>
    <n v="1685"/>
    <n v="51810"/>
    <s v="2.65"/>
    <s v="0.00"/>
    <s v="97.35"/>
  </r>
  <r>
    <x v="21"/>
    <x v="5"/>
    <n v="288906"/>
    <n v="5902"/>
    <n v="203169"/>
    <s v="2.04"/>
    <s v="0.00"/>
    <s v="97.96"/>
  </r>
  <r>
    <x v="21"/>
    <x v="4"/>
    <n v="180029"/>
    <n v="2855"/>
    <n v="150332"/>
    <s v="1.59"/>
    <s v="0.00"/>
    <s v="98.41"/>
  </r>
  <r>
    <x v="21"/>
    <x v="3"/>
    <n v="3984"/>
    <n v="97"/>
    <n v="714"/>
    <s v="2.43"/>
    <s v="0.00"/>
    <s v="97.57"/>
  </r>
  <r>
    <x v="21"/>
    <x v="2"/>
    <n v="155891"/>
    <n v="7249"/>
    <n v="36978"/>
    <s v="4.65"/>
    <s v="0.00"/>
    <s v="95.35"/>
  </r>
  <r>
    <x v="21"/>
    <x v="1"/>
    <n v="739018"/>
    <n v="2126"/>
    <n v="328022"/>
    <s v="0.29"/>
    <s v="0.00"/>
    <s v="99.71"/>
  </r>
  <r>
    <x v="21"/>
    <x v="0"/>
    <n v="15382"/>
    <n v="130"/>
    <n v="8078"/>
    <s v="0.85"/>
    <s v="0.00"/>
    <s v="99.15"/>
  </r>
  <r>
    <x v="22"/>
    <x v="0"/>
    <n v="15382"/>
    <n v="130"/>
    <n v="8448"/>
    <s v="0.85"/>
    <s v="0.00"/>
    <s v="99.15"/>
  </r>
  <r>
    <x v="22"/>
    <x v="1"/>
    <n v="738924"/>
    <n v="2124"/>
    <n v="232068"/>
    <s v="0.29"/>
    <s v="0.00"/>
    <s v="99.71"/>
  </r>
  <r>
    <x v="22"/>
    <x v="2"/>
    <n v="155859"/>
    <n v="7247"/>
    <n v="105915"/>
    <s v="4.65"/>
    <s v="0.00"/>
    <s v="95.35"/>
  </r>
  <r>
    <x v="22"/>
    <x v="3"/>
    <n v="3939"/>
    <n v="97"/>
    <n v="1271"/>
    <s v="2.46"/>
    <s v="0.00"/>
    <s v="97.54"/>
  </r>
  <r>
    <x v="22"/>
    <x v="4"/>
    <n v="179463"/>
    <n v="2849"/>
    <n v="149945"/>
    <s v="1.59"/>
    <s v="0.00"/>
    <s v="98.41"/>
  </r>
  <r>
    <x v="22"/>
    <x v="5"/>
    <n v="286303"/>
    <n v="5870"/>
    <n v="36585"/>
    <s v="2.05"/>
    <s v="0.00"/>
    <s v="97.95"/>
  </r>
  <r>
    <x v="22"/>
    <x v="6"/>
    <n v="63340"/>
    <n v="1682"/>
    <n v="48511"/>
    <s v="2.66"/>
    <s v="0.00"/>
    <s v="97.34"/>
  </r>
  <r>
    <x v="22"/>
    <x v="7"/>
    <n v="5275984"/>
    <n v="115770"/>
    <n v="1792899"/>
    <s v="2.19"/>
    <s v="0.00"/>
    <s v="97.81"/>
  </r>
  <r>
    <x v="22"/>
    <x v="8"/>
    <n v="783996"/>
    <n v="11209"/>
    <n v="134882"/>
    <s v="1.43"/>
    <s v="0.00"/>
    <s v="98.57"/>
  </r>
  <r>
    <x v="22"/>
    <x v="9"/>
    <n v="151942"/>
    <n v="1590"/>
    <n v="44472"/>
    <s v="1.05"/>
    <s v="0.00"/>
    <s v="98.95"/>
  </r>
  <r>
    <x v="22"/>
    <x v="10"/>
    <n v="507857"/>
    <n v="6809"/>
    <n v="492743"/>
    <s v="1.34"/>
    <s v="0.00"/>
    <s v="98.66"/>
  </r>
  <r>
    <x v="22"/>
    <x v="11"/>
    <n v="246555"/>
    <n v="11253"/>
    <n v="235184"/>
    <s v="4.56"/>
    <s v="0.00"/>
    <s v="95.44"/>
  </r>
  <r>
    <x v="22"/>
    <x v="12"/>
    <n v="13934"/>
    <n v="123"/>
    <n v="12681"/>
    <s v="0.88"/>
    <s v="0.00"/>
    <s v="99.12"/>
  </r>
  <r>
    <x v="22"/>
    <x v="13"/>
    <n v="1566664"/>
    <n v="27791"/>
    <n v="799101"/>
    <s v="1.77"/>
    <s v="0.00"/>
    <s v="98.23"/>
  </r>
  <r>
    <x v="22"/>
    <x v="14"/>
    <n v="1299439"/>
    <n v="25816"/>
    <n v="1192306"/>
    <s v="1.99"/>
    <s v="0.00"/>
    <s v="98.01"/>
  </r>
  <r>
    <x v="22"/>
    <x v="15"/>
    <n v="14793"/>
    <n v="214"/>
    <n v="10973"/>
    <s v="1.45"/>
    <s v="0.00"/>
    <s v="98.55"/>
  </r>
  <r>
    <x v="22"/>
    <x v="16"/>
    <n v="555077"/>
    <n v="22719"/>
    <n v="168309"/>
    <s v="4.09"/>
    <s v="0.00"/>
    <s v="95.91"/>
  </r>
  <r>
    <x v="22"/>
    <x v="17"/>
    <n v="276336"/>
    <n v="1392"/>
    <n v="61253"/>
    <s v="0.50"/>
    <s v="0.00"/>
    <s v="99.50"/>
  </r>
  <r>
    <x v="22"/>
    <x v="18"/>
    <n v="19819"/>
    <n v="38"/>
    <n v="16597"/>
    <s v="0.19"/>
    <s v="0.00"/>
    <s v="99.81"/>
  </r>
  <r>
    <x v="22"/>
    <x v="19"/>
    <n v="24560"/>
    <n v="161"/>
    <n v="5885"/>
    <s v="0.66"/>
    <s v="0.00"/>
    <s v="99.34"/>
  </r>
  <r>
    <x v="22"/>
    <x v="20"/>
    <n v="1659"/>
    <n v="6"/>
    <n v="471"/>
    <s v="0.36"/>
    <s v="0.00"/>
    <s v="99.64"/>
  </r>
  <r>
    <x v="22"/>
    <x v="21"/>
    <n v="11386"/>
    <n v="78"/>
    <n v="3159"/>
    <s v="0.69"/>
    <s v="0.00"/>
    <s v="99.31"/>
  </r>
  <r>
    <x v="22"/>
    <x v="22"/>
    <n v="508166"/>
    <n v="18887"/>
    <n v="78324"/>
    <s v="3.72"/>
    <s v="0.00"/>
    <s v="96.28"/>
  </r>
  <r>
    <x v="22"/>
    <x v="23"/>
    <n v="21680488"/>
    <n v="604228"/>
    <n v="19458928"/>
    <s v="2.79"/>
    <s v="0.00"/>
    <s v="97.21"/>
  </r>
  <r>
    <x v="22"/>
    <x v="24"/>
    <n v="22092"/>
    <n v="626"/>
    <n v="7507"/>
    <s v="2.83"/>
    <s v="0.00"/>
    <s v="97.17"/>
  </r>
  <r>
    <x v="22"/>
    <x v="25"/>
    <n v="2617"/>
    <n v="3"/>
    <n v="1491"/>
    <s v="0.11"/>
    <s v="0.00"/>
    <s v="99.89"/>
  </r>
  <r>
    <x v="22"/>
    <x v="26"/>
    <n v="184051"/>
    <n v="2389"/>
    <n v="9142"/>
    <s v="1.30"/>
    <s v="0.00"/>
    <s v="98.70"/>
  </r>
  <r>
    <x v="22"/>
    <x v="27"/>
    <n v="577932"/>
    <n v="4449"/>
    <n v="10037"/>
    <s v="0.77"/>
    <s v="0.00"/>
    <s v="99.23"/>
  </r>
  <r>
    <x v="22"/>
    <x v="28"/>
    <n v="24948"/>
    <n v="471"/>
    <n v="5398"/>
    <s v="1.89"/>
    <s v="0.00"/>
    <s v="98.11"/>
  </r>
  <r>
    <x v="22"/>
    <x v="29"/>
    <n v="1698515"/>
    <n v="28698"/>
    <n v="1288393"/>
    <s v="1.69"/>
    <s v="0.00"/>
    <s v="98.31"/>
  </r>
  <r>
    <x v="22"/>
    <x v="30"/>
    <n v="57402"/>
    <n v="1091"/>
    <n v="45636"/>
    <s v="1.90"/>
    <s v="0.00"/>
    <s v="98.10"/>
  </r>
  <r>
    <x v="22"/>
    <x v="31"/>
    <n v="11478"/>
    <n v="100"/>
    <n v="11195"/>
    <s v="0.87"/>
    <s v="0.00"/>
    <s v="99.13"/>
  </r>
  <r>
    <x v="22"/>
    <x v="32"/>
    <n v="15962"/>
    <n v="231"/>
    <n v="15509"/>
    <s v="1.45"/>
    <s v="0.00"/>
    <s v="98.55"/>
  </r>
  <r>
    <x v="22"/>
    <x v="33"/>
    <n v="859646"/>
    <n v="11173"/>
    <n v="746692"/>
    <s v="1.30"/>
    <s v="0.00"/>
    <s v="98.70"/>
  </r>
  <r>
    <x v="22"/>
    <x v="34"/>
    <n v="61113"/>
    <n v="689"/>
    <n v="7880"/>
    <s v="1.13"/>
    <s v="0.00"/>
    <s v="98.87"/>
  </r>
  <r>
    <x v="22"/>
    <x v="35"/>
    <n v="1674226"/>
    <n v="37628"/>
    <n v="441885"/>
    <s v="2.25"/>
    <s v="0.00"/>
    <s v="97.75"/>
  </r>
  <r>
    <x v="22"/>
    <x v="36"/>
    <n v="100289"/>
    <n v="1600"/>
    <n v="62783"/>
    <s v="1.60"/>
    <s v="0.00"/>
    <s v="98.40"/>
  </r>
  <r>
    <x v="22"/>
    <x v="37"/>
    <n v="96622"/>
    <n v="4636"/>
    <n v="68285"/>
    <s v="4.80"/>
    <s v="0.00"/>
    <s v="95.20"/>
  </r>
  <r>
    <x v="22"/>
    <x v="38"/>
    <n v="4984751"/>
    <n v="126931"/>
    <n v="324712"/>
    <s v="2.55"/>
    <s v="0.00"/>
    <s v="97.45"/>
  </r>
  <r>
    <x v="22"/>
    <x v="39"/>
    <n v="554604"/>
    <n v="6895"/>
    <n v="58069"/>
    <s v="1.24"/>
    <s v="0.00"/>
    <s v="98.76"/>
  </r>
  <r>
    <x v="22"/>
    <x v="40"/>
    <n v="940127"/>
    <n v="8114"/>
    <n v="536962"/>
    <s v="0.86"/>
    <s v="0.00"/>
    <s v="99.14"/>
  </r>
  <r>
    <x v="22"/>
    <x v="41"/>
    <n v="38082"/>
    <n v="347"/>
    <n v="31349"/>
    <s v="0.91"/>
    <s v="0.00"/>
    <s v="99.09"/>
  </r>
  <r>
    <x v="22"/>
    <x v="42"/>
    <n v="122709"/>
    <n v="567"/>
    <n v="28360"/>
    <s v="0.46"/>
    <s v="0.00"/>
    <s v="99.54"/>
  </r>
  <r>
    <x v="22"/>
    <x v="43"/>
    <n v="1715515"/>
    <n v="30574"/>
    <n v="462026"/>
    <s v="1.78"/>
    <s v="0.00"/>
    <s v="98.22"/>
  </r>
  <r>
    <x v="22"/>
    <x v="44"/>
    <n v="4429723"/>
    <n v="94886"/>
    <n v="3568564"/>
    <s v="2.14"/>
    <s v="0.00"/>
    <s v="97.86"/>
  </r>
  <r>
    <x v="22"/>
    <x v="45"/>
    <n v="13423"/>
    <n v="181"/>
    <n v="3327"/>
    <s v="1.35"/>
    <s v="0.00"/>
    <s v="98.65"/>
  </r>
  <r>
    <x v="22"/>
    <x v="46"/>
    <n v="371986"/>
    <n v="2694"/>
    <n v="117827"/>
    <s v="0.72"/>
    <s v="0.00"/>
    <s v="99.28"/>
  </r>
  <r>
    <x v="22"/>
    <x v="47"/>
    <n v="4412"/>
    <n v="30"/>
    <n v="610"/>
    <s v="0.68"/>
    <s v="0.00"/>
    <s v="99.32"/>
  </r>
  <r>
    <x v="22"/>
    <x v="48"/>
    <n v="373040"/>
    <n v="4093"/>
    <n v="221259"/>
    <s v="1.10"/>
    <s v="0.00"/>
    <s v="98.90"/>
  </r>
  <r>
    <x v="22"/>
    <x v="49"/>
    <n v="205529"/>
    <n v="5878"/>
    <n v="154545"/>
    <s v="2.86"/>
    <s v="0.00"/>
    <s v="97.14"/>
  </r>
  <r>
    <x v="22"/>
    <x v="50"/>
    <n v="514087"/>
    <n v="32937"/>
    <n v="424767"/>
    <s v="6.41"/>
    <s v="0.00"/>
    <s v="93.59"/>
  </r>
  <r>
    <x v="22"/>
    <x v="51"/>
    <n v="175782"/>
    <n v="1438"/>
    <n v="115235"/>
    <s v="0.82"/>
    <s v="0.00"/>
    <s v="99.18"/>
  </r>
  <r>
    <x v="22"/>
    <x v="52"/>
    <n v="321084"/>
    <n v="18105"/>
    <n v="173295"/>
    <s v="5.64"/>
    <s v="0.00"/>
    <s v="94.36"/>
  </r>
  <r>
    <x v="22"/>
    <x v="53"/>
    <n v="6780"/>
    <n v="45"/>
    <n v="2248"/>
    <s v="0.66"/>
    <s v="0.00"/>
    <s v="99.34"/>
  </r>
  <r>
    <x v="22"/>
    <x v="54"/>
    <n v="4993295"/>
    <n v="87082"/>
    <n v="2983396"/>
    <s v="1.74"/>
    <s v="0.00"/>
    <s v="98.26"/>
  </r>
  <r>
    <x v="22"/>
    <x v="55"/>
    <n v="360503"/>
    <n v="6287"/>
    <n v="46197"/>
    <s v="1.74"/>
    <s v="0.00"/>
    <s v="98.26"/>
  </r>
  <r>
    <x v="22"/>
    <x v="56"/>
    <n v="152099"/>
    <n v="1133"/>
    <n v="111750"/>
    <s v="0.74"/>
    <s v="0.00"/>
    <s v="99.26"/>
  </r>
  <r>
    <x v="22"/>
    <x v="57"/>
    <n v="51909"/>
    <n v="663"/>
    <n v="8174"/>
    <s v="1.28"/>
    <s v="0.00"/>
    <s v="98.72"/>
  </r>
  <r>
    <x v="22"/>
    <x v="58"/>
    <n v="1350"/>
    <n v="2"/>
    <n v="196"/>
    <s v="0.15"/>
    <s v="0.00"/>
    <s v="99.85"/>
  </r>
  <r>
    <x v="22"/>
    <x v="59"/>
    <n v="6926734"/>
    <n v="115031"/>
    <n v="1380885"/>
    <s v="1.66"/>
    <s v="0.00"/>
    <s v="98.34"/>
  </r>
  <r>
    <x v="22"/>
    <x v="60"/>
    <n v="34281"/>
    <n v="219"/>
    <n v="2555"/>
    <s v="0.64"/>
    <s v="0.00"/>
    <s v="99.36"/>
  </r>
  <r>
    <x v="22"/>
    <x v="61"/>
    <n v="8624273"/>
    <n v="139346"/>
    <n v="4469543"/>
    <s v="1.62"/>
    <s v="0.00"/>
    <s v="98.38"/>
  </r>
  <r>
    <x v="22"/>
    <x v="63"/>
    <n v="675771"/>
    <n v="9588"/>
    <n v="511150"/>
    <s v="1.42"/>
    <s v="0.00"/>
    <s v="98.58"/>
  </r>
  <r>
    <x v="22"/>
    <x v="62"/>
    <n v="5790"/>
    <n v="193"/>
    <n v="594"/>
    <s v="3.33"/>
    <s v="0.00"/>
    <s v="96.67"/>
  </r>
  <r>
    <x v="22"/>
    <x v="64"/>
    <n v="43690"/>
    <n v="297"/>
    <n v="36752"/>
    <s v="0.68"/>
    <s v="0.00"/>
    <s v="99.32"/>
  </r>
  <r>
    <x v="22"/>
    <x v="65"/>
    <n v="129592"/>
    <n v="1169"/>
    <n v="94106"/>
    <s v="0.90"/>
    <s v="0.00"/>
    <s v="99.10"/>
  </r>
  <r>
    <x v="22"/>
    <x v="66"/>
    <n v="5803"/>
    <n v="98"/>
    <n v="2185"/>
    <s v="1.69"/>
    <s v="0.00"/>
    <s v="98.31"/>
  </r>
  <r>
    <x v="22"/>
    <x v="68"/>
    <n v="30605"/>
    <n v="385"/>
    <n v="6090"/>
    <s v="1.26"/>
    <s v="0.00"/>
    <s v="98.74"/>
  </r>
  <r>
    <x v="22"/>
    <x v="67"/>
    <n v="9946"/>
    <n v="339"/>
    <n v="5756"/>
    <s v="3.41"/>
    <s v="0.00"/>
    <s v="96.59"/>
  </r>
  <r>
    <x v="22"/>
    <x v="69"/>
    <n v="54095"/>
    <n v="809"/>
    <n v="17691"/>
    <s v="1.50"/>
    <s v="0.00"/>
    <s v="98.50"/>
  </r>
  <r>
    <x v="22"/>
    <x v="70"/>
    <n v="13097"/>
    <n v="163"/>
    <n v="7970"/>
    <s v="1.24"/>
    <s v="0.00"/>
    <s v="98.76"/>
  </r>
  <r>
    <x v="22"/>
    <x v="71"/>
    <n v="704211"/>
    <n v="15485"/>
    <n v="591767"/>
    <s v="2.20"/>
    <s v="0.00"/>
    <s v="97.80"/>
  </r>
  <r>
    <x v="22"/>
    <x v="72"/>
    <n v="591460"/>
    <n v="14515"/>
    <n v="246175"/>
    <s v="2.45"/>
    <s v="0.00"/>
    <s v="97.55"/>
  </r>
  <r>
    <x v="22"/>
    <x v="73"/>
    <n v="6131"/>
    <n v="141"/>
    <n v="193"/>
    <s v="2.30"/>
    <s v="0.00"/>
    <s v="97.70"/>
  </r>
  <r>
    <x v="22"/>
    <x v="74"/>
    <n v="34726"/>
    <n v="881"/>
    <n v="23074"/>
    <s v="2.54"/>
    <s v="0.00"/>
    <s v="97.46"/>
  </r>
  <r>
    <x v="22"/>
    <x v="75"/>
    <n v="12305"/>
    <n v="213"/>
    <n v="9590"/>
    <s v="1.73"/>
    <s v="0.00"/>
    <s v="98.27"/>
  </r>
  <r>
    <x v="22"/>
    <x v="76"/>
    <n v="373206"/>
    <n v="10147"/>
    <n v="95924"/>
    <s v="2.72"/>
    <s v="0.00"/>
    <s v="97.28"/>
  </r>
  <r>
    <x v="22"/>
    <x v="77"/>
    <n v="433136"/>
    <n v="8951"/>
    <n v="181735"/>
    <s v="2.07"/>
    <s v="0.00"/>
    <s v="97.93"/>
  </r>
  <r>
    <x v="22"/>
    <x v="78"/>
    <n v="23406"/>
    <n v="658"/>
    <n v="4689"/>
    <s v="2.81"/>
    <s v="0.00"/>
    <s v="97.19"/>
  </r>
  <r>
    <x v="22"/>
    <x v="79"/>
    <n v="838916"/>
    <n v="30448"/>
    <n v="668228"/>
    <s v="3.63"/>
    <s v="0.00"/>
    <s v="96.37"/>
  </r>
  <r>
    <x v="22"/>
    <x v="80"/>
    <n v="4237201"/>
    <n v="143077"/>
    <n v="80858"/>
    <s v="3.38"/>
    <s v="0.00"/>
    <s v="96.62"/>
  </r>
  <r>
    <x v="22"/>
    <x v="81"/>
    <n v="421234"/>
    <n v="5369"/>
    <n v="226724"/>
    <s v="1.27"/>
    <s v="0.00"/>
    <s v="98.73"/>
  </r>
  <r>
    <x v="22"/>
    <x v="82"/>
    <n v="1319902"/>
    <n v="8029"/>
    <n v="191338"/>
    <s v="0.61"/>
    <s v="0.00"/>
    <s v="99.39"/>
  </r>
  <r>
    <x v="22"/>
    <x v="83"/>
    <n v="34127450"/>
    <n v="452811"/>
    <n v="27513363"/>
    <s v="1.33"/>
    <s v="0.00"/>
    <s v="98.67"/>
  </r>
  <r>
    <x v="22"/>
    <x v="84"/>
    <n v="2040235"/>
    <n v="22836"/>
    <n v="1441670"/>
    <s v="1.12"/>
    <s v="0.00"/>
    <s v="98.88"/>
  </r>
  <r>
    <x v="22"/>
    <x v="85"/>
    <n v="5821737"/>
    <n v="124585"/>
    <n v="5061943"/>
    <s v="2.14"/>
    <s v="0.00"/>
    <s v="97.86"/>
  </r>
  <r>
    <x v="22"/>
    <x v="86"/>
    <n v="12775"/>
    <n v="33"/>
    <n v="1979"/>
    <s v="0.26"/>
    <s v="0.00"/>
    <s v="99.74"/>
  </r>
  <r>
    <x v="22"/>
    <x v="87"/>
    <n v="4725887"/>
    <n v="131688"/>
    <n v="1549570"/>
    <s v="2.79"/>
    <s v="0.00"/>
    <s v="97.21"/>
  </r>
  <r>
    <x v="22"/>
    <x v="88"/>
    <n v="87723"/>
    <n v="2129"/>
    <n v="20002"/>
    <s v="2.43"/>
    <s v="0.00"/>
    <s v="97.57"/>
  </r>
  <r>
    <x v="22"/>
    <x v="89"/>
    <n v="846033"/>
    <n v="10903"/>
    <n v="521522"/>
    <s v="1.29"/>
    <s v="0.00"/>
    <s v="98.71"/>
  </r>
  <r>
    <x v="22"/>
    <x v="90"/>
    <n v="1716508"/>
    <n v="18166"/>
    <n v="1032145"/>
    <s v="1.06"/>
    <s v="0.00"/>
    <s v="98.94"/>
  </r>
  <r>
    <x v="22"/>
    <x v="91"/>
    <n v="252308"/>
    <n v="5238"/>
    <n v="92427"/>
    <s v="2.08"/>
    <s v="0.00"/>
    <s v="97.92"/>
  </r>
  <r>
    <x v="22"/>
    <x v="92"/>
    <n v="180109"/>
    <n v="2641"/>
    <n v="40091"/>
    <s v="1.47"/>
    <s v="0.00"/>
    <s v="98.53"/>
  </r>
  <r>
    <x v="22"/>
    <x v="94"/>
    <n v="2"/>
    <n v="0"/>
    <n v="0"/>
    <s v="0.00"/>
    <s v="0.00"/>
    <s v="100.00"/>
  </r>
  <r>
    <x v="22"/>
    <x v="93"/>
    <n v="117201"/>
    <n v="2693"/>
    <n v="29978"/>
    <s v="2.30"/>
    <s v="0.00"/>
    <s v="97.70"/>
  </r>
  <r>
    <x v="22"/>
    <x v="95"/>
    <n v="4194"/>
    <n v="147"/>
    <n v="821"/>
    <s v="3.51"/>
    <s v="0.00"/>
    <s v="96.49"/>
  </r>
  <r>
    <x v="22"/>
    <x v="96"/>
    <n v="2589"/>
    <n v="21"/>
    <n v="1768"/>
    <s v="0.81"/>
    <s v="0.00"/>
    <s v="99.19"/>
  </r>
  <r>
    <x v="22"/>
    <x v="97"/>
    <n v="347529"/>
    <n v="2709"/>
    <n v="65631"/>
    <s v="0.78"/>
    <s v="0.00"/>
    <s v="99.22"/>
  </r>
  <r>
    <x v="22"/>
    <x v="98"/>
    <n v="412424"/>
    <n v="2458"/>
    <n v="195730"/>
    <s v="0.60"/>
    <s v="0.00"/>
    <s v="99.40"/>
  </r>
  <r>
    <x v="22"/>
    <x v="99"/>
    <n v="1001369"/>
    <n v="16794"/>
    <n v="455369"/>
    <s v="1.68"/>
    <s v="0.00"/>
    <s v="98.32"/>
  </r>
  <r>
    <x v="22"/>
    <x v="100"/>
    <n v="33606"/>
    <n v="47"/>
    <n v="13662"/>
    <s v="0.14"/>
    <s v="0.00"/>
    <s v="99.86"/>
  </r>
  <r>
    <x v="22"/>
    <x v="101"/>
    <n v="635447"/>
    <n v="8438"/>
    <n v="332839"/>
    <s v="1.33"/>
    <s v="0.00"/>
    <s v="98.67"/>
  </r>
  <r>
    <x v="22"/>
    <x v="102"/>
    <n v="12313"/>
    <n v="237"/>
    <n v="7827"/>
    <s v="1.92"/>
    <s v="0.00"/>
    <s v="98.08"/>
  </r>
  <r>
    <x v="22"/>
    <x v="103"/>
    <n v="3610"/>
    <n v="60"/>
    <n v="269"/>
    <s v="1.66"/>
    <s v="0.00"/>
    <s v="98.34"/>
  </r>
  <r>
    <x v="22"/>
    <x v="104"/>
    <n v="533305"/>
    <n v="13543"/>
    <n v="367374"/>
    <s v="2.54"/>
    <s v="0.00"/>
    <s v="97.46"/>
  </r>
  <r>
    <x v="22"/>
    <x v="105"/>
    <n v="5808"/>
    <n v="286"/>
    <n v="5222"/>
    <s v="4.92"/>
    <s v="0.00"/>
    <s v="95.08"/>
  </r>
  <r>
    <x v="22"/>
    <x v="106"/>
    <n v="21566"/>
    <n v="655"/>
    <n v="1845"/>
    <s v="3.04"/>
    <s v="0.00"/>
    <s v="96.96"/>
  </r>
  <r>
    <x v="22"/>
    <x v="107"/>
    <n v="376089"/>
    <n v="5511"/>
    <n v="321375"/>
    <s v="1.47"/>
    <s v="0.00"/>
    <s v="98.53"/>
  </r>
  <r>
    <x v="22"/>
    <x v="108"/>
    <n v="80331"/>
    <n v="842"/>
    <n v="21960"/>
    <s v="1.05"/>
    <s v="0.00"/>
    <s v="98.95"/>
  </r>
  <r>
    <x v="22"/>
    <x v="109"/>
    <n v="191321"/>
    <n v="2944"/>
    <n v="104518"/>
    <s v="1.54"/>
    <s v="0.00"/>
    <s v="98.46"/>
  </r>
  <r>
    <x v="22"/>
    <x v="110"/>
    <n v="351756"/>
    <n v="4945"/>
    <n v="18035"/>
    <s v="1.41"/>
    <s v="0.00"/>
    <s v="98.59"/>
  </r>
  <r>
    <x v="22"/>
    <x v="111"/>
    <n v="942967"/>
    <n v="14580"/>
    <n v="513540"/>
    <s v="1.55"/>
    <s v="0.00"/>
    <s v="98.45"/>
  </r>
  <r>
    <x v="22"/>
    <x v="112"/>
    <n v="3382"/>
    <n v="35"/>
    <n v="569"/>
    <s v="1.03"/>
    <s v="0.00"/>
    <s v="98.97"/>
  </r>
  <r>
    <x v="22"/>
    <x v="113"/>
    <n v="321682"/>
    <n v="7346"/>
    <n v="274846"/>
    <s v="2.28"/>
    <s v="0.00"/>
    <s v="97.72"/>
  </r>
  <r>
    <x v="22"/>
    <x v="114"/>
    <n v="139066"/>
    <n v="2050"/>
    <n v="42219"/>
    <s v="1.47"/>
    <s v="0.00"/>
    <s v="98.53"/>
  </r>
  <r>
    <x v="22"/>
    <x v="115"/>
    <n v="3888"/>
    <n v="55"/>
    <n v="2506"/>
    <s v="1.41"/>
    <s v="0.00"/>
    <s v="98.59"/>
  </r>
  <r>
    <x v="22"/>
    <x v="116"/>
    <n v="43622"/>
    <n v="960"/>
    <n v="27750"/>
    <s v="2.20"/>
    <s v="0.00"/>
    <s v="97.80"/>
  </r>
  <r>
    <x v="22"/>
    <x v="117"/>
    <n v="4"/>
    <n v="0"/>
    <n v="1"/>
    <s v="0.00"/>
    <s v="0.00"/>
    <s v="100.00"/>
  </r>
  <r>
    <x v="22"/>
    <x v="118"/>
    <n v="198156"/>
    <n v="6998"/>
    <n v="118031"/>
    <s v="3.53"/>
    <s v="0.00"/>
    <s v="96.47"/>
  </r>
  <r>
    <x v="22"/>
    <x v="119"/>
    <n v="15697"/>
    <n v="558"/>
    <n v="13528"/>
    <s v="3.55"/>
    <s v="0.00"/>
    <s v="96.45"/>
  </r>
  <r>
    <x v="22"/>
    <x v="120"/>
    <n v="490901"/>
    <n v="18444"/>
    <n v="42982"/>
    <s v="3.76"/>
    <s v="0.00"/>
    <s v="96.24"/>
  </r>
  <r>
    <x v="22"/>
    <x v="121"/>
    <n v="344736"/>
    <n v="1607"/>
    <n v="294979"/>
    <s v="0.47"/>
    <s v="0.00"/>
    <s v="99.53"/>
  </r>
  <r>
    <x v="22"/>
    <x v="122"/>
    <n v="77"/>
    <n v="0"/>
    <n v="55"/>
    <s v="0.00"/>
    <s v="0.00"/>
    <s v="100.00"/>
  </r>
  <r>
    <x v="22"/>
    <x v="123"/>
    <n v="42634"/>
    <n v="670"/>
    <n v="6740"/>
    <s v="1.57"/>
    <s v="0.00"/>
    <s v="98.43"/>
  </r>
  <r>
    <x v="22"/>
    <x v="124"/>
    <n v="36783"/>
    <n v="791"/>
    <n v="6775"/>
    <s v="2.15"/>
    <s v="0.00"/>
    <s v="97.85"/>
  </r>
  <r>
    <x v="22"/>
    <x v="125"/>
    <n v="37506"/>
    <n v="459"/>
    <n v="24103"/>
    <s v="1.22"/>
    <s v="0.00"/>
    <s v="98.78"/>
  </r>
  <r>
    <x v="22"/>
    <x v="126"/>
    <n v="16805"/>
    <n v="141"/>
    <n v="3972"/>
    <s v="0.84"/>
    <s v="0.00"/>
    <s v="99.16"/>
  </r>
  <r>
    <x v="22"/>
    <x v="127"/>
    <n v="86419"/>
    <n v="239"/>
    <n v="9620"/>
    <s v="0.28"/>
    <s v="0.00"/>
    <s v="99.72"/>
  </r>
  <r>
    <x v="22"/>
    <x v="128"/>
    <n v="61738"/>
    <n v="2296"/>
    <n v="52266"/>
    <s v="3.72"/>
    <s v="0.00"/>
    <s v="96.28"/>
  </r>
  <r>
    <x v="22"/>
    <x v="129"/>
    <n v="3767758"/>
    <n v="285347"/>
    <n v="3245089"/>
    <s v="7.57"/>
    <s v="0.00"/>
    <s v="92.43"/>
  </r>
  <r>
    <x v="22"/>
    <x v="130"/>
    <n v="2407382"/>
    <n v="28138"/>
    <n v="1637511"/>
    <s v="1.17"/>
    <s v="0.00"/>
    <s v="98.83"/>
  </r>
  <r>
    <x v="22"/>
    <x v="131"/>
    <n v="151157"/>
    <n v="1927"/>
    <n v="59203"/>
    <s v="1.27"/>
    <s v="0.00"/>
    <s v="98.73"/>
  </r>
  <r>
    <x v="22"/>
    <x v="132"/>
    <n v="128395"/>
    <n v="3543"/>
    <n v="37038"/>
    <s v="2.76"/>
    <s v="0.00"/>
    <s v="97.24"/>
  </r>
  <r>
    <x v="22"/>
    <x v="133"/>
    <n v="10213"/>
    <n v="245"/>
    <n v="5750"/>
    <s v="2.40"/>
    <s v="0.00"/>
    <s v="97.60"/>
  </r>
  <r>
    <x v="22"/>
    <x v="134"/>
    <n v="6203"/>
    <n v="205"/>
    <n v="5193"/>
    <s v="3.30"/>
    <s v="0.00"/>
    <s v="96.70"/>
  </r>
  <r>
    <x v="22"/>
    <x v="135"/>
    <n v="209713"/>
    <n v="2840"/>
    <n v="123333"/>
    <s v="1.35"/>
    <s v="0.00"/>
    <s v="98.65"/>
  </r>
  <r>
    <x v="22"/>
    <x v="136"/>
    <n v="16241"/>
    <n v="207"/>
    <n v="2849"/>
    <s v="1.27"/>
    <s v="0.00"/>
    <s v="98.73"/>
  </r>
  <r>
    <x v="22"/>
    <x v="137"/>
    <n v="2099103"/>
    <n v="18709"/>
    <n v="157681"/>
    <s v="0.89"/>
    <s v="0.00"/>
    <s v="99.11"/>
  </r>
  <r>
    <x v="22"/>
    <x v="138"/>
    <n v="198161"/>
    <n v="893"/>
    <n v="185097"/>
    <s v="0.45"/>
    <s v="0.00"/>
    <s v="99.55"/>
  </r>
  <r>
    <x v="22"/>
    <x v="139"/>
    <n v="807052"/>
    <n v="11318"/>
    <n v="551155"/>
    <s v="1.40"/>
    <s v="0.00"/>
    <s v="98.60"/>
  </r>
  <r>
    <x v="22"/>
    <x v="140"/>
    <n v="5316"/>
    <n v="28"/>
    <n v="4253"/>
    <s v="0.53"/>
    <s v="0.00"/>
    <s v="99.47"/>
  </r>
  <r>
    <x v="22"/>
    <x v="141"/>
    <n v="304101"/>
    <n v="4107"/>
    <n v="263199"/>
    <s v="1.35"/>
    <s v="0.00"/>
    <s v="98.65"/>
  </r>
  <r>
    <x v="22"/>
    <x v="142"/>
    <n v="470855"/>
    <n v="7300"/>
    <n v="200338"/>
    <s v="1.55"/>
    <s v="0.00"/>
    <s v="98.45"/>
  </r>
  <r>
    <x v="22"/>
    <x v="143"/>
    <n v="2192205"/>
    <n v="199945"/>
    <n v="1851503"/>
    <s v="9.12"/>
    <s v="0.00"/>
    <s v="90.88"/>
  </r>
  <r>
    <x v="22"/>
    <x v="144"/>
    <n v="45439"/>
    <n v="635"/>
    <n v="29934"/>
    <s v="1.40"/>
    <s v="0.00"/>
    <s v="98.60"/>
  </r>
  <r>
    <x v="22"/>
    <x v="145"/>
    <n v="25769"/>
    <n v="312"/>
    <n v="15828"/>
    <s v="1.21"/>
    <s v="0.00"/>
    <s v="98.79"/>
  </r>
  <r>
    <x v="22"/>
    <x v="147"/>
    <n v="1266826"/>
    <n v="28328"/>
    <n v="749340"/>
    <s v="2.24"/>
    <s v="0.00"/>
    <s v="97.76"/>
  </r>
  <r>
    <x v="22"/>
    <x v="146"/>
    <n v="2735369"/>
    <n v="40977"/>
    <n v="791249"/>
    <s v="1.50"/>
    <s v="0.00"/>
    <s v="98.50"/>
  </r>
  <r>
    <x v="22"/>
    <x v="148"/>
    <n v="2950616"/>
    <n v="76254"/>
    <n v="2015008"/>
    <s v="2.58"/>
    <s v="0.00"/>
    <s v="97.42"/>
  </r>
  <r>
    <x v="22"/>
    <x v="149"/>
    <n v="449705"/>
    <n v="4599"/>
    <n v="128892"/>
    <s v="1.02"/>
    <s v="0.00"/>
    <s v="98.98"/>
  </r>
  <r>
    <x v="22"/>
    <x v="150"/>
    <n v="1081856"/>
    <n v="18109"/>
    <n v="258570"/>
    <s v="1.67"/>
    <s v="0.00"/>
    <s v="98.33"/>
  </r>
  <r>
    <x v="22"/>
    <x v="151"/>
    <n v="8"/>
    <n v="0"/>
    <n v="8"/>
    <s v="0.00"/>
    <s v="0.00"/>
    <s v="100.00"/>
  </r>
  <r>
    <x v="22"/>
    <x v="152"/>
    <n v="460615"/>
    <n v="16228"/>
    <n v="436789"/>
    <s v="3.52"/>
    <s v="0.00"/>
    <s v="96.48"/>
  </r>
  <r>
    <x v="22"/>
    <x v="153"/>
    <n v="238165"/>
    <n v="608"/>
    <n v="178616"/>
    <s v="0.26"/>
    <s v="0.00"/>
    <s v="99.74"/>
  </r>
  <r>
    <x v="22"/>
    <x v="154"/>
    <n v="54024"/>
    <n v="370"/>
    <n v="3256"/>
    <s v="0.68"/>
    <s v="0.00"/>
    <s v="99.32"/>
  </r>
  <r>
    <x v="22"/>
    <x v="155"/>
    <n v="1503422"/>
    <n v="43039"/>
    <n v="1330341"/>
    <s v="2.86"/>
    <s v="0.00"/>
    <s v="97.14"/>
  </r>
  <r>
    <x v="22"/>
    <x v="156"/>
    <n v="1070705"/>
    <n v="9272"/>
    <n v="291321"/>
    <s v="0.87"/>
    <s v="0.00"/>
    <s v="99.13"/>
  </r>
  <r>
    <x v="22"/>
    <x v="157"/>
    <n v="7969960"/>
    <n v="222320"/>
    <n v="4480157"/>
    <s v="2.79"/>
    <s v="0.00"/>
    <s v="97.21"/>
  </r>
  <r>
    <x v="22"/>
    <x v="158"/>
    <n v="99252"/>
    <n v="1314"/>
    <n v="4867"/>
    <s v="1.32"/>
    <s v="0.00"/>
    <s v="98.68"/>
  </r>
  <r>
    <x v="22"/>
    <x v="159"/>
    <n v="548065"/>
    <n v="8770"/>
    <n v="118237"/>
    <s v="1.60"/>
    <s v="0.00"/>
    <s v="98.40"/>
  </r>
  <r>
    <x v="22"/>
    <x v="160"/>
    <n v="20"/>
    <n v="0"/>
    <n v="1"/>
    <s v="0.00"/>
    <s v="0.00"/>
    <s v="100.00"/>
  </r>
  <r>
    <x v="22"/>
    <x v="161"/>
    <n v="22039"/>
    <n v="119"/>
    <n v="14639"/>
    <s v="0.54"/>
    <s v="0.00"/>
    <s v="99.46"/>
  </r>
  <r>
    <x v="22"/>
    <x v="162"/>
    <n v="39839"/>
    <n v="3038"/>
    <n v="26054"/>
    <s v="7.63"/>
    <s v="0.00"/>
    <s v="92.37"/>
  </r>
  <r>
    <x v="22"/>
    <x v="163"/>
    <n v="1164402"/>
    <n v="14985"/>
    <n v="61131"/>
    <s v="1.29"/>
    <s v="0.00"/>
    <s v="98.71"/>
  </r>
  <r>
    <x v="22"/>
    <x v="164"/>
    <n v="158587"/>
    <n v="264"/>
    <n v="109286"/>
    <s v="0.17"/>
    <s v="0.00"/>
    <s v="99.83"/>
  </r>
  <r>
    <x v="22"/>
    <x v="165"/>
    <n v="312316"/>
    <n v="4654"/>
    <n v="140817"/>
    <s v="1.49"/>
    <s v="0.00"/>
    <s v="98.51"/>
  </r>
  <r>
    <x v="22"/>
    <x v="166"/>
    <n v="443214"/>
    <n v="12872"/>
    <n v="157661"/>
    <s v="2.90"/>
    <s v="0.00"/>
    <s v="97.10"/>
  </r>
  <r>
    <x v="22"/>
    <x v="167"/>
    <n v="6397"/>
    <n v="121"/>
    <n v="5018"/>
    <s v="1.89"/>
    <s v="0.00"/>
    <s v="98.11"/>
  </r>
  <r>
    <x v="22"/>
    <x v="168"/>
    <n v="5481"/>
    <n v="91"/>
    <n v="4252"/>
    <s v="1.66"/>
    <s v="0.00"/>
    <s v="98.34"/>
  </r>
  <r>
    <x v="22"/>
    <x v="169"/>
    <n v="73875"/>
    <n v="1873"/>
    <n v="39859"/>
    <s v="2.54"/>
    <s v="0.00"/>
    <s v="97.46"/>
  </r>
  <r>
    <x v="22"/>
    <x v="170"/>
    <n v="21269"/>
    <n v="1180"/>
    <n v="15906"/>
    <s v="5.55"/>
    <s v="0.00"/>
    <s v="94.45"/>
  </r>
  <r>
    <x v="22"/>
    <x v="171"/>
    <n v="47477"/>
    <n v="1044"/>
    <n v="19766"/>
    <s v="2.20"/>
    <s v="0.00"/>
    <s v="97.80"/>
  </r>
  <r>
    <x v="22"/>
    <x v="173"/>
    <n v="3687"/>
    <n v="56"/>
    <n v="3083"/>
    <s v="1.52"/>
    <s v="0.00"/>
    <s v="98.48"/>
  </r>
  <r>
    <x v="22"/>
    <x v="172"/>
    <n v="12270"/>
    <n v="133"/>
    <n v="11448"/>
    <s v="1.08"/>
    <s v="0.00"/>
    <s v="98.92"/>
  </r>
  <r>
    <x v="22"/>
    <x v="174"/>
    <n v="110188"/>
    <n v="3520"/>
    <n v="101799"/>
    <s v="3.19"/>
    <s v="0.00"/>
    <s v="96.81"/>
  </r>
  <r>
    <x v="22"/>
    <x v="175"/>
    <n v="40294"/>
    <n v="2457"/>
    <n v="34747"/>
    <s v="6.10"/>
    <s v="0.00"/>
    <s v="93.90"/>
  </r>
  <r>
    <x v="22"/>
    <x v="176"/>
    <n v="46376"/>
    <n v="1236"/>
    <n v="28603"/>
    <s v="2.67"/>
    <s v="0.00"/>
    <s v="97.33"/>
  </r>
  <r>
    <x v="22"/>
    <x v="177"/>
    <n v="5069"/>
    <n v="174"/>
    <n v="1396"/>
    <s v="3.43"/>
    <s v="0.00"/>
    <s v="96.57"/>
  </r>
  <r>
    <x v="22"/>
    <x v="178"/>
    <n v="25936"/>
    <n v="240"/>
    <n v="19122"/>
    <s v="0.93"/>
    <s v="0.00"/>
    <s v="99.07"/>
  </r>
  <r>
    <x v="22"/>
    <x v="179"/>
    <n v="1811852"/>
    <n v="18486"/>
    <n v="902632"/>
    <s v="1.02"/>
    <s v="0.00"/>
    <s v="98.98"/>
  </r>
  <r>
    <x v="22"/>
    <x v="180"/>
    <n v="17484"/>
    <n v="125"/>
    <n v="10605"/>
    <s v="0.71"/>
    <s v="0.00"/>
    <s v="99.29"/>
  </r>
  <r>
    <x v="22"/>
    <x v="181"/>
    <n v="19746"/>
    <n v="120"/>
    <n v="5746"/>
    <s v="0.61"/>
    <s v="0.00"/>
    <s v="99.39"/>
  </r>
  <r>
    <x v="22"/>
    <x v="182"/>
    <n v="711164"/>
    <n v="25121"/>
    <n v="340864"/>
    <s v="3.53"/>
    <s v="0.00"/>
    <s v="96.47"/>
  </r>
  <r>
    <x v="22"/>
    <x v="184"/>
    <n v="7744109"/>
    <n v="68274"/>
    <n v="5192280"/>
    <s v="0.88"/>
    <s v="0.00"/>
    <s v="99.12"/>
  </r>
  <r>
    <x v="22"/>
    <x v="185"/>
    <n v="54623"/>
    <n v="1621"/>
    <n v="26436"/>
    <s v="2.97"/>
    <s v="0.00"/>
    <s v="97.03"/>
  </r>
  <r>
    <x v="22"/>
    <x v="186"/>
    <n v="16347"/>
    <n v="846"/>
    <n v="3673"/>
    <s v="5.18"/>
    <s v="0.00"/>
    <s v="94.82"/>
  </r>
  <r>
    <x v="22"/>
    <x v="187"/>
    <n v="26034"/>
    <n v="724"/>
    <n v="21772"/>
    <s v="2.78"/>
    <s v="0.00"/>
    <s v="97.22"/>
  </r>
  <r>
    <x v="22"/>
    <x v="188"/>
    <n v="2804050"/>
    <n v="65876"/>
    <n v="1928087"/>
    <s v="2.35"/>
    <s v="0.00"/>
    <s v="97.65"/>
  </r>
  <r>
    <x v="22"/>
    <x v="189"/>
    <n v="125364"/>
    <n v="3188"/>
    <n v="80001"/>
    <s v="2.54"/>
    <s v="0.00"/>
    <s v="97.46"/>
  </r>
  <r>
    <x v="22"/>
    <x v="190"/>
    <n v="45220898"/>
    <n v="731649"/>
    <n v="17652766"/>
    <s v="1.62"/>
    <s v="0.00"/>
    <s v="98.38"/>
  </r>
  <r>
    <x v="22"/>
    <x v="191"/>
    <n v="391522"/>
    <n v="6069"/>
    <n v="349596"/>
    <s v="1.55"/>
    <s v="0.00"/>
    <s v="98.45"/>
  </r>
  <r>
    <x v="22"/>
    <x v="192"/>
    <n v="182060"/>
    <n v="1295"/>
    <n v="180384"/>
    <s v="0.71"/>
    <s v="0.00"/>
    <s v="99.29"/>
  </r>
  <r>
    <x v="22"/>
    <x v="194"/>
    <n v="4729"/>
    <n v="56"/>
    <n v="2139"/>
    <s v="1.18"/>
    <s v="0.00"/>
    <s v="98.82"/>
  </r>
  <r>
    <x v="22"/>
    <x v="193"/>
    <n v="27"/>
    <n v="0"/>
    <n v="24"/>
    <s v="0.00"/>
    <s v="0.00"/>
    <s v="100.00"/>
  </r>
  <r>
    <x v="22"/>
    <x v="195"/>
    <n v="396477"/>
    <n v="4763"/>
    <n v="379551"/>
    <s v="1.20"/>
    <s v="0.00"/>
    <s v="98.80"/>
  </r>
  <r>
    <x v="22"/>
    <x v="196"/>
    <n v="873901"/>
    <n v="21416"/>
    <n v="209339"/>
    <s v="2.45"/>
    <s v="0.00"/>
    <s v="97.55"/>
  </r>
  <r>
    <x v="22"/>
    <x v="197"/>
    <n v="4"/>
    <n v="1"/>
    <n v="1"/>
    <s v="25.00"/>
    <s v="0.00"/>
    <s v="75.00"/>
  </r>
  <r>
    <x v="22"/>
    <x v="198"/>
    <n v="3"/>
    <n v="0"/>
    <n v="0"/>
    <s v="0.00"/>
    <s v="0.00"/>
    <s v="100.00"/>
  </r>
  <r>
    <x v="22"/>
    <x v="199"/>
    <n v="160572"/>
    <n v="2974"/>
    <n v="141474"/>
    <s v="1.85"/>
    <s v="0.00"/>
    <s v="98.15"/>
  </r>
  <r>
    <x v="22"/>
    <x v="200"/>
    <n v="9596"/>
    <n v="1821"/>
    <n v="1913"/>
    <s v="18.98"/>
    <s v="0.00"/>
    <s v="81.02"/>
  </r>
  <r>
    <x v="22"/>
    <x v="201"/>
    <n v="20464"/>
    <n v="182"/>
    <n v="734"/>
    <s v="0.89"/>
    <s v="0.00"/>
    <s v="99.11"/>
  </r>
  <r>
    <x v="22"/>
    <x v="202"/>
    <n v="2917846"/>
    <n v="88754"/>
    <n v="2782881"/>
    <s v="3.04"/>
    <s v="0.00"/>
    <s v="96.96"/>
  </r>
  <r>
    <x v="22"/>
    <x v="203"/>
    <n v="209571"/>
    <n v="3658"/>
    <n v="11230"/>
    <s v="1.75"/>
    <s v="0.00"/>
    <s v="98.25"/>
  </r>
  <r>
    <x v="22"/>
    <x v="204"/>
    <n v="132437"/>
    <n v="4659"/>
    <n v="78591"/>
    <s v="3.52"/>
    <s v="0.00"/>
    <s v="96.48"/>
  </r>
  <r>
    <x v="22"/>
    <x v="205"/>
    <n v="721"/>
    <n v="15"/>
    <n v="220"/>
    <s v="2.08"/>
    <s v="0.00"/>
    <s v="97.92"/>
  </r>
  <r>
    <x v="23"/>
    <x v="205"/>
    <n v="721"/>
    <n v="15"/>
    <n v="280"/>
    <s v="2.08"/>
    <s v="0.00"/>
    <s v="97.92"/>
  </r>
  <r>
    <x v="23"/>
    <x v="204"/>
    <n v="132405"/>
    <n v="4659"/>
    <n v="33870"/>
    <s v="3.52"/>
    <s v="0.00"/>
    <s v="96.48"/>
  </r>
  <r>
    <x v="23"/>
    <x v="203"/>
    <n v="209549"/>
    <n v="3658"/>
    <n v="196851"/>
    <s v="1.75"/>
    <s v="0.00"/>
    <s v="98.25"/>
  </r>
  <r>
    <x v="23"/>
    <x v="202"/>
    <n v="2917255"/>
    <n v="88674"/>
    <n v="1961488"/>
    <s v="3.04"/>
    <s v="0.00"/>
    <s v="96.96"/>
  </r>
  <r>
    <x v="23"/>
    <x v="201"/>
    <n v="20439"/>
    <n v="181"/>
    <n v="11058"/>
    <s v="0.89"/>
    <s v="0.00"/>
    <s v="99.11"/>
  </r>
  <r>
    <x v="23"/>
    <x v="200"/>
    <n v="9575"/>
    <n v="1813"/>
    <n v="6005"/>
    <s v="18.93"/>
    <s v="0.00"/>
    <s v="81.07"/>
  </r>
  <r>
    <x v="23"/>
    <x v="199"/>
    <n v="160558"/>
    <n v="2974"/>
    <n v="32716"/>
    <s v="1.85"/>
    <s v="0.00"/>
    <s v="98.15"/>
  </r>
  <r>
    <x v="23"/>
    <x v="198"/>
    <n v="3"/>
    <n v="0"/>
    <n v="1"/>
    <s v="0.00"/>
    <s v="0.00"/>
    <s v="100.00"/>
  </r>
  <r>
    <x v="23"/>
    <x v="197"/>
    <n v="4"/>
    <n v="1"/>
    <n v="3"/>
    <s v="25.00"/>
    <s v="0.00"/>
    <s v="75.00"/>
  </r>
  <r>
    <x v="23"/>
    <x v="196"/>
    <n v="870255"/>
    <n v="21344"/>
    <n v="643570"/>
    <s v="2.45"/>
    <s v="0.00"/>
    <s v="97.55"/>
  </r>
  <r>
    <x v="23"/>
    <x v="195"/>
    <n v="395223"/>
    <n v="4748"/>
    <n v="283837"/>
    <s v="1.20"/>
    <s v="0.00"/>
    <s v="98.80"/>
  </r>
  <r>
    <x v="23"/>
    <x v="193"/>
    <n v="27"/>
    <n v="0"/>
    <n v="10"/>
    <s v="0.00"/>
    <s v="0.00"/>
    <s v="100.00"/>
  </r>
  <r>
    <x v="23"/>
    <x v="194"/>
    <n v="4637"/>
    <n v="54"/>
    <n v="981"/>
    <s v="1.16"/>
    <s v="0.00"/>
    <s v="98.84"/>
  </r>
  <r>
    <x v="23"/>
    <x v="192"/>
    <n v="181654"/>
    <n v="1292"/>
    <n v="75774"/>
    <s v="0.71"/>
    <s v="0.00"/>
    <s v="99.29"/>
  </r>
  <r>
    <x v="23"/>
    <x v="191"/>
    <n v="391358"/>
    <n v="6069"/>
    <n v="131736"/>
    <s v="1.55"/>
    <s v="0.00"/>
    <s v="98.45"/>
  </r>
  <r>
    <x v="23"/>
    <x v="190"/>
    <n v="45132148"/>
    <n v="728531"/>
    <n v="8380924"/>
    <s v="1.61"/>
    <s v="0.00"/>
    <s v="98.39"/>
  </r>
  <r>
    <x v="23"/>
    <x v="189"/>
    <n v="125283"/>
    <n v="3187"/>
    <n v="75950"/>
    <s v="2.54"/>
    <s v="0.00"/>
    <s v="97.46"/>
  </r>
  <r>
    <x v="23"/>
    <x v="188"/>
    <n v="2784227"/>
    <n v="65359"/>
    <n v="219482"/>
    <s v="2.35"/>
    <s v="0.00"/>
    <s v="97.65"/>
  </r>
  <r>
    <x v="23"/>
    <x v="187"/>
    <n v="26034"/>
    <n v="724"/>
    <n v="16873"/>
    <s v="2.78"/>
    <s v="0.00"/>
    <s v="97.22"/>
  </r>
  <r>
    <x v="23"/>
    <x v="186"/>
    <n v="16343"/>
    <n v="846"/>
    <n v="492"/>
    <s v="5.18"/>
    <s v="0.00"/>
    <s v="94.82"/>
  </r>
  <r>
    <x v="23"/>
    <x v="185"/>
    <n v="54405"/>
    <n v="1613"/>
    <n v="9461"/>
    <s v="2.96"/>
    <s v="0.00"/>
    <s v="97.04"/>
  </r>
  <r>
    <x v="23"/>
    <x v="184"/>
    <n v="7714349"/>
    <n v="68060"/>
    <n v="6395365"/>
    <s v="0.88"/>
    <s v="0.00"/>
    <s v="99.12"/>
  </r>
  <r>
    <x v="23"/>
    <x v="182"/>
    <n v="711007"/>
    <n v="25103"/>
    <n v="491646"/>
    <s v="3.53"/>
    <s v="0.00"/>
    <s v="96.47"/>
  </r>
  <r>
    <x v="23"/>
    <x v="181"/>
    <n v="19730"/>
    <n v="120"/>
    <n v="15912"/>
    <s v="0.61"/>
    <s v="0.00"/>
    <s v="99.39"/>
  </r>
  <r>
    <x v="23"/>
    <x v="180"/>
    <n v="17484"/>
    <n v="125"/>
    <n v="9576"/>
    <s v="0.71"/>
    <s v="0.00"/>
    <s v="99.29"/>
  </r>
  <r>
    <x v="23"/>
    <x v="179"/>
    <n v="1802934"/>
    <n v="18407"/>
    <n v="1215279"/>
    <s v="1.02"/>
    <s v="0.00"/>
    <s v="98.98"/>
  </r>
  <r>
    <x v="23"/>
    <x v="178"/>
    <n v="25926"/>
    <n v="240"/>
    <n v="5374"/>
    <s v="0.93"/>
    <s v="0.00"/>
    <s v="99.07"/>
  </r>
  <r>
    <x v="23"/>
    <x v="177"/>
    <n v="5069"/>
    <n v="174"/>
    <n v="4276"/>
    <s v="3.43"/>
    <s v="0.00"/>
    <s v="96.57"/>
  </r>
  <r>
    <x v="23"/>
    <x v="176"/>
    <n v="46372"/>
    <n v="1236"/>
    <n v="4657"/>
    <s v="2.67"/>
    <s v="0.00"/>
    <s v="97.33"/>
  </r>
  <r>
    <x v="23"/>
    <x v="175"/>
    <n v="39902"/>
    <n v="2446"/>
    <n v="20474"/>
    <s v="6.13"/>
    <s v="0.00"/>
    <s v="93.87"/>
  </r>
  <r>
    <x v="23"/>
    <x v="174"/>
    <n v="110188"/>
    <n v="3505"/>
    <n v="95559"/>
    <s v="3.18"/>
    <s v="0.00"/>
    <s v="96.82"/>
  </r>
  <r>
    <x v="23"/>
    <x v="172"/>
    <n v="12250"/>
    <n v="130"/>
    <n v="9355"/>
    <s v="1.06"/>
    <s v="0.00"/>
    <s v="98.94"/>
  </r>
  <r>
    <x v="23"/>
    <x v="173"/>
    <n v="3685"/>
    <n v="56"/>
    <n v="3458"/>
    <s v="1.52"/>
    <s v="0.00"/>
    <s v="98.48"/>
  </r>
  <r>
    <x v="23"/>
    <x v="171"/>
    <n v="47284"/>
    <n v="1040"/>
    <n v="44477"/>
    <s v="2.20"/>
    <s v="0.00"/>
    <s v="97.80"/>
  </r>
  <r>
    <x v="23"/>
    <x v="170"/>
    <n v="21269"/>
    <n v="1180"/>
    <n v="10198"/>
    <s v="5.55"/>
    <s v="0.00"/>
    <s v="94.45"/>
  </r>
  <r>
    <x v="23"/>
    <x v="169"/>
    <n v="73875"/>
    <n v="1872"/>
    <n v="18431"/>
    <s v="2.53"/>
    <s v="0.00"/>
    <s v="97.47"/>
  </r>
  <r>
    <x v="23"/>
    <x v="168"/>
    <n v="5479"/>
    <n v="91"/>
    <n v="840"/>
    <s v="1.66"/>
    <s v="0.00"/>
    <s v="98.34"/>
  </r>
  <r>
    <x v="23"/>
    <x v="167"/>
    <n v="6397"/>
    <n v="121"/>
    <n v="1627"/>
    <s v="1.89"/>
    <s v="0.00"/>
    <s v="98.11"/>
  </r>
  <r>
    <x v="23"/>
    <x v="166"/>
    <n v="439735"/>
    <n v="12864"/>
    <n v="405555"/>
    <s v="2.93"/>
    <s v="0.00"/>
    <s v="97.07"/>
  </r>
  <r>
    <x v="23"/>
    <x v="165"/>
    <n v="310170"/>
    <n v="4645"/>
    <n v="94296"/>
    <s v="1.50"/>
    <s v="0.00"/>
    <s v="98.50"/>
  </r>
  <r>
    <x v="23"/>
    <x v="164"/>
    <n v="154725"/>
    <n v="246"/>
    <n v="124515"/>
    <s v="0.16"/>
    <s v="0.00"/>
    <s v="99.84"/>
  </r>
  <r>
    <x v="23"/>
    <x v="163"/>
    <n v="1163595"/>
    <n v="14963"/>
    <n v="608179"/>
    <s v="1.29"/>
    <s v="0.00"/>
    <s v="98.71"/>
  </r>
  <r>
    <x v="23"/>
    <x v="162"/>
    <n v="39839"/>
    <n v="3038"/>
    <n v="27196"/>
    <s v="7.63"/>
    <s v="0.00"/>
    <s v="92.37"/>
  </r>
  <r>
    <x v="23"/>
    <x v="161"/>
    <n v="21991"/>
    <n v="119"/>
    <n v="20487"/>
    <s v="0.54"/>
    <s v="0.00"/>
    <s v="99.46"/>
  </r>
  <r>
    <x v="23"/>
    <x v="160"/>
    <n v="20"/>
    <n v="0"/>
    <n v="0"/>
    <s v="0.00"/>
    <s v="0.00"/>
    <s v="100.00"/>
  </r>
  <r>
    <x v="23"/>
    <x v="159"/>
    <n v="548018"/>
    <n v="8767"/>
    <n v="271388"/>
    <s v="1.60"/>
    <s v="0.00"/>
    <s v="98.40"/>
  </r>
  <r>
    <x v="23"/>
    <x v="158"/>
    <n v="99213"/>
    <n v="1314"/>
    <n v="8357"/>
    <s v="1.32"/>
    <s v="0.00"/>
    <s v="98.68"/>
  </r>
  <r>
    <x v="23"/>
    <x v="157"/>
    <n v="7936798"/>
    <n v="221314"/>
    <n v="5599366"/>
    <s v="2.79"/>
    <s v="0.00"/>
    <s v="97.21"/>
  </r>
  <r>
    <x v="23"/>
    <x v="156"/>
    <n v="1062960"/>
    <n v="9214"/>
    <n v="388396"/>
    <s v="0.87"/>
    <s v="0.00"/>
    <s v="99.13"/>
  </r>
  <r>
    <x v="23"/>
    <x v="155"/>
    <n v="1486264"/>
    <n v="42616"/>
    <n v="717363"/>
    <s v="2.87"/>
    <s v="0.00"/>
    <s v="97.13"/>
  </r>
  <r>
    <x v="23"/>
    <x v="154"/>
    <n v="54024"/>
    <n v="370"/>
    <n v="38207"/>
    <s v="0.68"/>
    <s v="0.00"/>
    <s v="99.32"/>
  </r>
  <r>
    <x v="23"/>
    <x v="153"/>
    <n v="238079"/>
    <n v="608"/>
    <n v="35987"/>
    <s v="0.26"/>
    <s v="0.00"/>
    <s v="99.74"/>
  </r>
  <r>
    <x v="23"/>
    <x v="152"/>
    <n v="460582"/>
    <n v="16228"/>
    <n v="392767"/>
    <s v="3.52"/>
    <s v="0.00"/>
    <s v="96.48"/>
  </r>
  <r>
    <x v="23"/>
    <x v="151"/>
    <n v="8"/>
    <n v="0"/>
    <n v="1"/>
    <s v="0.00"/>
    <s v="0.00"/>
    <s v="100.00"/>
  </r>
  <r>
    <x v="23"/>
    <x v="150"/>
    <n v="1080929"/>
    <n v="18106"/>
    <n v="767347"/>
    <s v="1.68"/>
    <s v="0.00"/>
    <s v="98.32"/>
  </r>
  <r>
    <x v="23"/>
    <x v="149"/>
    <n v="449031"/>
    <n v="4590"/>
    <n v="123699"/>
    <s v="1.02"/>
    <s v="0.00"/>
    <s v="98.98"/>
  </r>
  <r>
    <x v="23"/>
    <x v="148"/>
    <n v="2945056"/>
    <n v="76179"/>
    <n v="217436"/>
    <s v="2.59"/>
    <s v="0.00"/>
    <s v="97.41"/>
  </r>
  <r>
    <x v="23"/>
    <x v="146"/>
    <n v="2731735"/>
    <n v="40972"/>
    <n v="2331639"/>
    <s v="1.50"/>
    <s v="0.00"/>
    <s v="98.50"/>
  </r>
  <r>
    <x v="23"/>
    <x v="147"/>
    <n v="1266204"/>
    <n v="28312"/>
    <n v="326618"/>
    <s v="2.24"/>
    <s v="0.00"/>
    <s v="97.76"/>
  </r>
  <r>
    <x v="23"/>
    <x v="145"/>
    <n v="25356"/>
    <n v="312"/>
    <n v="6708"/>
    <s v="1.23"/>
    <s v="0.00"/>
    <s v="98.77"/>
  </r>
  <r>
    <x v="23"/>
    <x v="144"/>
    <n v="45439"/>
    <n v="635"/>
    <n v="40325"/>
    <s v="1.40"/>
    <s v="0.00"/>
    <s v="98.60"/>
  </r>
  <r>
    <x v="23"/>
    <x v="143"/>
    <n v="2191171"/>
    <n v="199928"/>
    <n v="1072486"/>
    <s v="9.12"/>
    <s v="0.00"/>
    <s v="90.88"/>
  </r>
  <r>
    <x v="23"/>
    <x v="142"/>
    <n v="470395"/>
    <n v="7294"/>
    <n v="325184"/>
    <s v="1.55"/>
    <s v="0.00"/>
    <s v="98.45"/>
  </r>
  <r>
    <x v="23"/>
    <x v="141"/>
    <n v="304066"/>
    <n v="4106"/>
    <n v="2962"/>
    <s v="1.35"/>
    <s v="0.00"/>
    <s v="98.65"/>
  </r>
  <r>
    <x v="23"/>
    <x v="140"/>
    <n v="5214"/>
    <n v="28"/>
    <n v="2566"/>
    <s v="0.54"/>
    <s v="0.00"/>
    <s v="99.46"/>
  </r>
  <r>
    <x v="23"/>
    <x v="139"/>
    <n v="806517"/>
    <n v="11305"/>
    <n v="552971"/>
    <s v="1.40"/>
    <s v="0.00"/>
    <s v="98.60"/>
  </r>
  <r>
    <x v="23"/>
    <x v="138"/>
    <n v="197504"/>
    <n v="884"/>
    <n v="39730"/>
    <s v="0.45"/>
    <s v="0.00"/>
    <s v="99.55"/>
  </r>
  <r>
    <x v="23"/>
    <x v="137"/>
    <n v="2094470"/>
    <n v="18698"/>
    <n v="1944616"/>
    <s v="0.89"/>
    <s v="0.00"/>
    <s v="99.11"/>
  </r>
  <r>
    <x v="23"/>
    <x v="136"/>
    <n v="16241"/>
    <n v="207"/>
    <n v="9262"/>
    <s v="1.27"/>
    <s v="0.00"/>
    <s v="98.73"/>
  </r>
  <r>
    <x v="23"/>
    <x v="135"/>
    <n v="209546"/>
    <n v="2838"/>
    <n v="186706"/>
    <s v="1.35"/>
    <s v="0.00"/>
    <s v="98.65"/>
  </r>
  <r>
    <x v="23"/>
    <x v="134"/>
    <n v="6193"/>
    <n v="205"/>
    <n v="2280"/>
    <s v="3.31"/>
    <s v="0.00"/>
    <s v="96.69"/>
  </r>
  <r>
    <x v="23"/>
    <x v="133"/>
    <n v="10163"/>
    <n v="243"/>
    <n v="6736"/>
    <s v="2.39"/>
    <s v="0.00"/>
    <s v="97.61"/>
  </r>
  <r>
    <x v="23"/>
    <x v="132"/>
    <n v="128377"/>
    <n v="3540"/>
    <n v="121661"/>
    <s v="2.76"/>
    <s v="0.00"/>
    <s v="97.24"/>
  </r>
  <r>
    <x v="23"/>
    <x v="131"/>
    <n v="151136"/>
    <n v="1927"/>
    <n v="34525"/>
    <s v="1.28"/>
    <s v="0.00"/>
    <s v="98.72"/>
  </r>
  <r>
    <x v="23"/>
    <x v="130"/>
    <n v="2401866"/>
    <n v="28062"/>
    <n v="901503"/>
    <s v="1.17"/>
    <s v="0.00"/>
    <s v="98.83"/>
  </r>
  <r>
    <x v="23"/>
    <x v="129"/>
    <n v="3762689"/>
    <n v="284925"/>
    <n v="1357649"/>
    <s v="7.57"/>
    <s v="0.00"/>
    <s v="92.43"/>
  </r>
  <r>
    <x v="23"/>
    <x v="128"/>
    <n v="61732"/>
    <n v="2295"/>
    <n v="47267"/>
    <s v="3.72"/>
    <s v="0.00"/>
    <s v="96.28"/>
  </r>
  <r>
    <x v="23"/>
    <x v="127"/>
    <n v="86324"/>
    <n v="239"/>
    <n v="9088"/>
    <s v="0.28"/>
    <s v="0.00"/>
    <s v="99.72"/>
  </r>
  <r>
    <x v="23"/>
    <x v="126"/>
    <n v="16805"/>
    <n v="141"/>
    <n v="228"/>
    <s v="0.84"/>
    <s v="0.00"/>
    <s v="99.16"/>
  </r>
  <r>
    <x v="23"/>
    <x v="125"/>
    <n v="37486"/>
    <n v="459"/>
    <n v="6106"/>
    <s v="1.22"/>
    <s v="0.00"/>
    <s v="98.78"/>
  </r>
  <r>
    <x v="23"/>
    <x v="124"/>
    <n v="36759"/>
    <n v="790"/>
    <n v="33095"/>
    <s v="2.15"/>
    <s v="0.00"/>
    <s v="97.85"/>
  </r>
  <r>
    <x v="23"/>
    <x v="123"/>
    <n v="42543"/>
    <n v="668"/>
    <n v="3017"/>
    <s v="1.57"/>
    <s v="0.00"/>
    <s v="98.43"/>
  </r>
  <r>
    <x v="23"/>
    <x v="122"/>
    <n v="77"/>
    <n v="0"/>
    <n v="13"/>
    <s v="0.00"/>
    <s v="0.00"/>
    <s v="100.00"/>
  </r>
  <r>
    <x v="23"/>
    <x v="121"/>
    <n v="342992"/>
    <n v="1591"/>
    <n v="154688"/>
    <s v="0.46"/>
    <s v="0.00"/>
    <s v="99.54"/>
  </r>
  <r>
    <x v="23"/>
    <x v="120"/>
    <n v="490008"/>
    <n v="18416"/>
    <n v="160588"/>
    <s v="3.76"/>
    <s v="0.00"/>
    <s v="96.24"/>
  </r>
  <r>
    <x v="23"/>
    <x v="119"/>
    <n v="15674"/>
    <n v="558"/>
    <n v="6843"/>
    <s v="3.56"/>
    <s v="0.00"/>
    <s v="96.44"/>
  </r>
  <r>
    <x v="23"/>
    <x v="118"/>
    <n v="197669"/>
    <n v="6978"/>
    <n v="85225"/>
    <s v="3.53"/>
    <s v="0.00"/>
    <s v="96.47"/>
  </r>
  <r>
    <x v="23"/>
    <x v="117"/>
    <n v="4"/>
    <n v="0"/>
    <n v="1"/>
    <s v="0.00"/>
    <s v="0.00"/>
    <s v="100.00"/>
  </r>
  <r>
    <x v="23"/>
    <x v="116"/>
    <n v="43622"/>
    <n v="960"/>
    <n v="10062"/>
    <s v="2.20"/>
    <s v="0.00"/>
    <s v="97.80"/>
  </r>
  <r>
    <x v="23"/>
    <x v="115"/>
    <n v="3888"/>
    <n v="55"/>
    <n v="2800"/>
    <s v="1.41"/>
    <s v="0.00"/>
    <s v="98.59"/>
  </r>
  <r>
    <x v="23"/>
    <x v="114"/>
    <n v="138607"/>
    <n v="2042"/>
    <n v="17034"/>
    <s v="1.47"/>
    <s v="0.00"/>
    <s v="98.53"/>
  </r>
  <r>
    <x v="23"/>
    <x v="113"/>
    <n v="319614"/>
    <n v="7309"/>
    <n v="112116"/>
    <s v="2.29"/>
    <s v="0.00"/>
    <s v="97.71"/>
  </r>
  <r>
    <x v="23"/>
    <x v="112"/>
    <n v="3378"/>
    <n v="35"/>
    <n v="2186"/>
    <s v="1.04"/>
    <s v="0.00"/>
    <s v="98.96"/>
  </r>
  <r>
    <x v="23"/>
    <x v="111"/>
    <n v="942779"/>
    <n v="14566"/>
    <n v="662587"/>
    <s v="1.55"/>
    <s v="0.00"/>
    <s v="98.45"/>
  </r>
  <r>
    <x v="23"/>
    <x v="110"/>
    <n v="351224"/>
    <n v="4924"/>
    <n v="142168"/>
    <s v="1.40"/>
    <s v="0.00"/>
    <s v="98.60"/>
  </r>
  <r>
    <x v="23"/>
    <x v="109"/>
    <n v="188722"/>
    <n v="2920"/>
    <n v="119421"/>
    <s v="1.55"/>
    <s v="0.00"/>
    <s v="98.45"/>
  </r>
  <r>
    <x v="23"/>
    <x v="108"/>
    <n v="80085"/>
    <n v="840"/>
    <n v="15670"/>
    <s v="1.05"/>
    <s v="0.00"/>
    <s v="98.95"/>
  </r>
  <r>
    <x v="23"/>
    <x v="107"/>
    <n v="372585"/>
    <n v="5489"/>
    <n v="310100"/>
    <s v="1.47"/>
    <s v="0.00"/>
    <s v="98.53"/>
  </r>
  <r>
    <x v="23"/>
    <x v="106"/>
    <n v="21557"/>
    <n v="655"/>
    <n v="11095"/>
    <s v="3.04"/>
    <s v="0.00"/>
    <s v="96.96"/>
  </r>
  <r>
    <x v="23"/>
    <x v="105"/>
    <n v="5807"/>
    <n v="286"/>
    <n v="2124"/>
    <s v="4.93"/>
    <s v="0.00"/>
    <s v="95.07"/>
  </r>
  <r>
    <x v="23"/>
    <x v="104"/>
    <n v="532766"/>
    <n v="13525"/>
    <n v="88376"/>
    <s v="2.54"/>
    <s v="0.00"/>
    <s v="97.46"/>
  </r>
  <r>
    <x v="23"/>
    <x v="103"/>
    <n v="3606"/>
    <n v="60"/>
    <n v="2388"/>
    <s v="1.66"/>
    <s v="0.00"/>
    <s v="98.34"/>
  </r>
  <r>
    <x v="23"/>
    <x v="102"/>
    <n v="12280"/>
    <n v="237"/>
    <n v="9700"/>
    <s v="1.93"/>
    <s v="0.00"/>
    <s v="98.07"/>
  </r>
  <r>
    <x v="23"/>
    <x v="101"/>
    <n v="634669"/>
    <n v="8434"/>
    <n v="395015"/>
    <s v="1.33"/>
    <s v="0.00"/>
    <s v="98.67"/>
  </r>
  <r>
    <x v="23"/>
    <x v="100"/>
    <n v="32971"/>
    <n v="45"/>
    <n v="24547"/>
    <s v="0.14"/>
    <s v="0.00"/>
    <s v="99.86"/>
  </r>
  <r>
    <x v="23"/>
    <x v="99"/>
    <n v="999374"/>
    <n v="16766"/>
    <n v="266512"/>
    <s v="1.68"/>
    <s v="0.00"/>
    <s v="98.32"/>
  </r>
  <r>
    <x v="23"/>
    <x v="98"/>
    <n v="412403"/>
    <n v="2458"/>
    <n v="155204"/>
    <s v="0.60"/>
    <s v="0.00"/>
    <s v="99.40"/>
  </r>
  <r>
    <x v="23"/>
    <x v="97"/>
    <n v="346088"/>
    <n v="2698"/>
    <n v="103571"/>
    <s v="0.78"/>
    <s v="0.00"/>
    <s v="99.22"/>
  </r>
  <r>
    <x v="23"/>
    <x v="96"/>
    <n v="2574"/>
    <n v="21"/>
    <n v="1261"/>
    <s v="0.82"/>
    <s v="0.00"/>
    <s v="99.18"/>
  </r>
  <r>
    <x v="23"/>
    <x v="95"/>
    <n v="4191"/>
    <n v="147"/>
    <n v="2579"/>
    <s v="3.51"/>
    <s v="0.00"/>
    <s v="96.49"/>
  </r>
  <r>
    <x v="23"/>
    <x v="93"/>
    <n v="117035"/>
    <n v="2681"/>
    <n v="46317"/>
    <s v="2.29"/>
    <s v="0.00"/>
    <s v="97.71"/>
  </r>
  <r>
    <x v="23"/>
    <x v="94"/>
    <n v="2"/>
    <n v="0"/>
    <n v="1"/>
    <s v="0.00"/>
    <s v="0.00"/>
    <s v="100.00"/>
  </r>
  <r>
    <x v="23"/>
    <x v="92"/>
    <n v="180006"/>
    <n v="2638"/>
    <n v="157653"/>
    <s v="1.47"/>
    <s v="0.00"/>
    <s v="98.53"/>
  </r>
  <r>
    <x v="23"/>
    <x v="90"/>
    <n v="1716117"/>
    <n v="18156"/>
    <n v="298955"/>
    <s v="1.06"/>
    <s v="0.00"/>
    <s v="98.94"/>
  </r>
  <r>
    <x v="23"/>
    <x v="91"/>
    <n v="252199"/>
    <n v="5233"/>
    <n v="3185"/>
    <s v="2.07"/>
    <s v="0.00"/>
    <s v="97.93"/>
  </r>
  <r>
    <x v="23"/>
    <x v="89"/>
    <n v="844801"/>
    <n v="10895"/>
    <n v="587467"/>
    <s v="1.29"/>
    <s v="0.00"/>
    <s v="98.71"/>
  </r>
  <r>
    <x v="23"/>
    <x v="88"/>
    <n v="87667"/>
    <n v="2123"/>
    <n v="65281"/>
    <s v="2.42"/>
    <s v="0.00"/>
    <s v="97.58"/>
  </r>
  <r>
    <x v="23"/>
    <x v="87"/>
    <n v="4722188"/>
    <n v="131655"/>
    <n v="3391650"/>
    <s v="2.79"/>
    <s v="0.00"/>
    <s v="97.21"/>
  </r>
  <r>
    <x v="23"/>
    <x v="86"/>
    <n v="12703"/>
    <n v="33"/>
    <n v="390"/>
    <s v="0.26"/>
    <s v="0.00"/>
    <s v="99.74"/>
  </r>
  <r>
    <x v="23"/>
    <x v="85"/>
    <n v="5809967"/>
    <n v="124423"/>
    <n v="4410533"/>
    <s v="2.14"/>
    <s v="0.00"/>
    <s v="97.86"/>
  </r>
  <r>
    <x v="23"/>
    <x v="84"/>
    <n v="2038847"/>
    <n v="22810"/>
    <n v="1137266"/>
    <s v="1.12"/>
    <s v="0.00"/>
    <s v="98.88"/>
  </r>
  <r>
    <x v="23"/>
    <x v="83"/>
    <n v="34108996"/>
    <n v="452651"/>
    <n v="22351026"/>
    <s v="1.33"/>
    <s v="0.00"/>
    <s v="98.67"/>
  </r>
  <r>
    <x v="23"/>
    <x v="82"/>
    <n v="1319001"/>
    <n v="8021"/>
    <n v="125035"/>
    <s v="0.61"/>
    <s v="0.00"/>
    <s v="99.39"/>
  </r>
  <r>
    <x v="23"/>
    <x v="81"/>
    <n v="419087"/>
    <n v="5306"/>
    <n v="360043"/>
    <s v="1.27"/>
    <s v="0.00"/>
    <s v="98.73"/>
  </r>
  <r>
    <x v="23"/>
    <x v="80"/>
    <n v="4236287"/>
    <n v="143049"/>
    <n v="2303097"/>
    <s v="3.38"/>
    <s v="0.00"/>
    <s v="96.62"/>
  </r>
  <r>
    <x v="23"/>
    <x v="79"/>
    <n v="837248"/>
    <n v="30418"/>
    <n v="230380"/>
    <s v="3.63"/>
    <s v="0.00"/>
    <s v="96.37"/>
  </r>
  <r>
    <x v="23"/>
    <x v="78"/>
    <n v="23324"/>
    <n v="658"/>
    <n v="5968"/>
    <s v="2.82"/>
    <s v="0.00"/>
    <s v="97.18"/>
  </r>
  <r>
    <x v="23"/>
    <x v="77"/>
    <n v="429974"/>
    <n v="8928"/>
    <n v="239085"/>
    <s v="2.08"/>
    <s v="0.00"/>
    <s v="97.92"/>
  </r>
  <r>
    <x v="23"/>
    <x v="76"/>
    <n v="373206"/>
    <n v="10147"/>
    <n v="74148"/>
    <s v="2.72"/>
    <s v="0.00"/>
    <s v="97.28"/>
  </r>
  <r>
    <x v="23"/>
    <x v="75"/>
    <n v="12301"/>
    <n v="213"/>
    <n v="7352"/>
    <s v="1.73"/>
    <s v="0.00"/>
    <s v="98.27"/>
  </r>
  <r>
    <x v="23"/>
    <x v="74"/>
    <n v="34608"/>
    <n v="877"/>
    <n v="20729"/>
    <s v="2.53"/>
    <s v="0.00"/>
    <s v="97.47"/>
  </r>
  <r>
    <x v="23"/>
    <x v="73"/>
    <n v="6130"/>
    <n v="141"/>
    <n v="3911"/>
    <s v="2.30"/>
    <s v="0.00"/>
    <s v="97.70"/>
  </r>
  <r>
    <x v="23"/>
    <x v="72"/>
    <n v="589986"/>
    <n v="14436"/>
    <n v="191320"/>
    <s v="2.45"/>
    <s v="0.00"/>
    <s v="97.55"/>
  </r>
  <r>
    <x v="23"/>
    <x v="71"/>
    <n v="700959"/>
    <n v="15447"/>
    <n v="139648"/>
    <s v="2.20"/>
    <s v="0.00"/>
    <s v="97.80"/>
  </r>
  <r>
    <x v="23"/>
    <x v="70"/>
    <n v="13020"/>
    <n v="161"/>
    <n v="995"/>
    <s v="1.24"/>
    <s v="0.00"/>
    <s v="98.76"/>
  </r>
  <r>
    <x v="23"/>
    <x v="69"/>
    <n v="54095"/>
    <n v="809"/>
    <n v="50619"/>
    <s v="1.50"/>
    <s v="0.00"/>
    <s v="98.50"/>
  </r>
  <r>
    <x v="23"/>
    <x v="67"/>
    <n v="9946"/>
    <n v="339"/>
    <n v="6432"/>
    <s v="3.41"/>
    <s v="0.00"/>
    <s v="96.59"/>
  </r>
  <r>
    <x v="23"/>
    <x v="68"/>
    <n v="30599"/>
    <n v="385"/>
    <n v="6610"/>
    <s v="1.26"/>
    <s v="0.00"/>
    <s v="98.74"/>
  </r>
  <r>
    <x v="23"/>
    <x v="66"/>
    <n v="5780"/>
    <n v="98"/>
    <n v="576"/>
    <s v="1.70"/>
    <s v="0.00"/>
    <s v="98.30"/>
  </r>
  <r>
    <x v="23"/>
    <x v="65"/>
    <n v="129592"/>
    <n v="1169"/>
    <n v="50188"/>
    <s v="0.90"/>
    <s v="0.00"/>
    <s v="99.10"/>
  </r>
  <r>
    <x v="23"/>
    <x v="64"/>
    <n v="43561"/>
    <n v="297"/>
    <n v="6587"/>
    <s v="0.68"/>
    <s v="0.00"/>
    <s v="99.32"/>
  </r>
  <r>
    <x v="23"/>
    <x v="62"/>
    <n v="5776"/>
    <n v="193"/>
    <n v="2504"/>
    <s v="3.34"/>
    <s v="0.00"/>
    <s v="96.66"/>
  </r>
  <r>
    <x v="23"/>
    <x v="63"/>
    <n v="670552"/>
    <n v="9546"/>
    <n v="545260"/>
    <s v="1.42"/>
    <s v="0.00"/>
    <s v="98.58"/>
  </r>
  <r>
    <x v="23"/>
    <x v="61"/>
    <n v="8575498"/>
    <n v="139167"/>
    <n v="7303971"/>
    <s v="1.62"/>
    <s v="0.00"/>
    <s v="98.38"/>
  </r>
  <r>
    <x v="23"/>
    <x v="60"/>
    <n v="33842"/>
    <n v="218"/>
    <n v="13325"/>
    <s v="0.64"/>
    <s v="0.00"/>
    <s v="99.36"/>
  </r>
  <r>
    <x v="23"/>
    <x v="59"/>
    <n v="6920943"/>
    <n v="115008"/>
    <n v="5018166"/>
    <s v="1.66"/>
    <s v="0.00"/>
    <s v="98.34"/>
  </r>
  <r>
    <x v="23"/>
    <x v="58"/>
    <n v="1350"/>
    <n v="2"/>
    <n v="793"/>
    <s v="0.15"/>
    <s v="0.00"/>
    <s v="99.85"/>
  </r>
  <r>
    <x v="23"/>
    <x v="57"/>
    <n v="51846"/>
    <n v="663"/>
    <n v="13309"/>
    <s v="1.28"/>
    <s v="0.00"/>
    <s v="98.72"/>
  </r>
  <r>
    <x v="23"/>
    <x v="56"/>
    <n v="151787"/>
    <n v="1128"/>
    <n v="75552"/>
    <s v="0.74"/>
    <s v="0.00"/>
    <s v="99.26"/>
  </r>
  <r>
    <x v="23"/>
    <x v="55"/>
    <n v="359881"/>
    <n v="6258"/>
    <n v="231603"/>
    <s v="1.74"/>
    <s v="0.00"/>
    <s v="98.26"/>
  </r>
  <r>
    <x v="23"/>
    <x v="54"/>
    <n v="4990767"/>
    <n v="87051"/>
    <n v="3876395"/>
    <s v="1.74"/>
    <s v="0.00"/>
    <s v="98.26"/>
  </r>
  <r>
    <x v="23"/>
    <x v="53"/>
    <n v="6778"/>
    <n v="45"/>
    <n v="1038"/>
    <s v="0.66"/>
    <s v="0.00"/>
    <s v="99.34"/>
  </r>
  <r>
    <x v="23"/>
    <x v="52"/>
    <n v="320207"/>
    <n v="18058"/>
    <n v="19240"/>
    <s v="5.64"/>
    <s v="0.00"/>
    <s v="94.36"/>
  </r>
  <r>
    <x v="23"/>
    <x v="51"/>
    <n v="174436"/>
    <n v="1435"/>
    <n v="24555"/>
    <s v="0.82"/>
    <s v="0.00"/>
    <s v="99.18"/>
  </r>
  <r>
    <x v="23"/>
    <x v="50"/>
    <n v="514087"/>
    <n v="32937"/>
    <n v="419002"/>
    <s v="6.41"/>
    <s v="0.00"/>
    <s v="93.59"/>
  </r>
  <r>
    <x v="23"/>
    <x v="49"/>
    <n v="205453"/>
    <n v="5875"/>
    <n v="8722"/>
    <s v="2.86"/>
    <s v="0.00"/>
    <s v="97.14"/>
  </r>
  <r>
    <x v="23"/>
    <x v="48"/>
    <n v="372077"/>
    <n v="4093"/>
    <n v="223494"/>
    <s v="1.10"/>
    <s v="0.00"/>
    <s v="98.90"/>
  </r>
  <r>
    <x v="23"/>
    <x v="47"/>
    <n v="4366"/>
    <n v="30"/>
    <n v="1869"/>
    <s v="0.69"/>
    <s v="0.00"/>
    <s v="99.31"/>
  </r>
  <r>
    <x v="23"/>
    <x v="46"/>
    <n v="370847"/>
    <n v="2690"/>
    <n v="261281"/>
    <s v="0.73"/>
    <s v="0.00"/>
    <s v="99.27"/>
  </r>
  <r>
    <x v="23"/>
    <x v="45"/>
    <n v="13423"/>
    <n v="181"/>
    <n v="7823"/>
    <s v="1.35"/>
    <s v="0.00"/>
    <s v="98.65"/>
  </r>
  <r>
    <x v="23"/>
    <x v="44"/>
    <n v="4410921"/>
    <n v="94812"/>
    <n v="3897294"/>
    <s v="2.15"/>
    <s v="0.00"/>
    <s v="97.85"/>
  </r>
  <r>
    <x v="23"/>
    <x v="43"/>
    <n v="1712246"/>
    <n v="30570"/>
    <n v="1102693"/>
    <s v="1.79"/>
    <s v="0.00"/>
    <s v="98.21"/>
  </r>
  <r>
    <x v="23"/>
    <x v="42"/>
    <n v="122528"/>
    <n v="565"/>
    <n v="38314"/>
    <s v="0.46"/>
    <s v="0.00"/>
    <s v="99.54"/>
  </r>
  <r>
    <x v="23"/>
    <x v="41"/>
    <n v="38052"/>
    <n v="347"/>
    <n v="8553"/>
    <s v="0.91"/>
    <s v="0.00"/>
    <s v="99.09"/>
  </r>
  <r>
    <x v="23"/>
    <x v="40"/>
    <n v="938577"/>
    <n v="8101"/>
    <n v="308632"/>
    <s v="0.86"/>
    <s v="0.00"/>
    <s v="99.14"/>
  </r>
  <r>
    <x v="23"/>
    <x v="39"/>
    <n v="553661"/>
    <n v="6880"/>
    <n v="379120"/>
    <s v="1.24"/>
    <s v="0.00"/>
    <s v="98.76"/>
  </r>
  <r>
    <x v="23"/>
    <x v="38"/>
    <n v="4983527"/>
    <n v="126910"/>
    <n v="129441"/>
    <s v="2.55"/>
    <s v="0.00"/>
    <s v="97.45"/>
  </r>
  <r>
    <x v="23"/>
    <x v="37"/>
    <n v="96601"/>
    <n v="4636"/>
    <n v="83365"/>
    <s v="4.80"/>
    <s v="0.00"/>
    <s v="95.20"/>
  </r>
  <r>
    <x v="23"/>
    <x v="36"/>
    <n v="100289"/>
    <n v="1600"/>
    <n v="79307"/>
    <s v="1.60"/>
    <s v="0.00"/>
    <s v="98.40"/>
  </r>
  <r>
    <x v="23"/>
    <x v="35"/>
    <n v="1672998"/>
    <n v="37623"/>
    <n v="780948"/>
    <s v="2.25"/>
    <s v="0.00"/>
    <s v="97.75"/>
  </r>
  <r>
    <x v="23"/>
    <x v="34"/>
    <n v="61089"/>
    <n v="685"/>
    <n v="13793"/>
    <s v="1.12"/>
    <s v="0.00"/>
    <s v="98.88"/>
  </r>
  <r>
    <x v="23"/>
    <x v="33"/>
    <n v="858198"/>
    <n v="11168"/>
    <n v="517920"/>
    <s v="1.30"/>
    <s v="0.00"/>
    <s v="98.70"/>
  </r>
  <r>
    <x v="23"/>
    <x v="32"/>
    <n v="15962"/>
    <n v="231"/>
    <n v="4901"/>
    <s v="1.45"/>
    <s v="0.00"/>
    <s v="98.55"/>
  </r>
  <r>
    <x v="23"/>
    <x v="31"/>
    <n v="11478"/>
    <n v="100"/>
    <n v="3908"/>
    <s v="0.87"/>
    <s v="0.00"/>
    <s v="99.13"/>
  </r>
  <r>
    <x v="23"/>
    <x v="30"/>
    <n v="57338"/>
    <n v="1091"/>
    <n v="25427"/>
    <s v="1.90"/>
    <s v="0.00"/>
    <s v="98.10"/>
  </r>
  <r>
    <x v="23"/>
    <x v="29"/>
    <n v="1695788"/>
    <n v="28657"/>
    <n v="248960"/>
    <s v="1.69"/>
    <s v="0.00"/>
    <s v="98.31"/>
  </r>
  <r>
    <x v="23"/>
    <x v="28"/>
    <n v="24768"/>
    <n v="466"/>
    <n v="4139"/>
    <s v="1.88"/>
    <s v="0.00"/>
    <s v="98.12"/>
  </r>
  <r>
    <x v="23"/>
    <x v="27"/>
    <n v="575856"/>
    <n v="4432"/>
    <n v="487408"/>
    <s v="0.77"/>
    <s v="0.00"/>
    <s v="99.23"/>
  </r>
  <r>
    <x v="23"/>
    <x v="26"/>
    <n v="184051"/>
    <n v="2389"/>
    <n v="151555"/>
    <s v="1.30"/>
    <s v="0.00"/>
    <s v="98.70"/>
  </r>
  <r>
    <x v="23"/>
    <x v="25"/>
    <n v="2617"/>
    <n v="3"/>
    <n v="1794"/>
    <s v="0.11"/>
    <s v="0.00"/>
    <s v="99.89"/>
  </r>
  <r>
    <x v="23"/>
    <x v="24"/>
    <n v="22048"/>
    <n v="626"/>
    <n v="10799"/>
    <s v="2.84"/>
    <s v="0.00"/>
    <s v="97.16"/>
  </r>
  <r>
    <x v="23"/>
    <x v="23"/>
    <n v="21664879"/>
    <n v="603855"/>
    <n v="5578208"/>
    <s v="2.79"/>
    <s v="0.00"/>
    <s v="97.21"/>
  </r>
  <r>
    <x v="23"/>
    <x v="22"/>
    <n v="507134"/>
    <n v="18877"/>
    <n v="328297"/>
    <s v="3.72"/>
    <s v="0.00"/>
    <s v="96.28"/>
  </r>
  <r>
    <x v="23"/>
    <x v="21"/>
    <n v="11220"/>
    <n v="77"/>
    <n v="11018"/>
    <s v="0.69"/>
    <s v="0.00"/>
    <s v="99.31"/>
  </r>
  <r>
    <x v="23"/>
    <x v="20"/>
    <n v="1659"/>
    <n v="6"/>
    <n v="107"/>
    <s v="0.36"/>
    <s v="0.00"/>
    <s v="99.64"/>
  </r>
  <r>
    <x v="23"/>
    <x v="19"/>
    <n v="24560"/>
    <n v="161"/>
    <n v="22858"/>
    <s v="0.66"/>
    <s v="0.00"/>
    <s v="99.34"/>
  </r>
  <r>
    <x v="23"/>
    <x v="18"/>
    <n v="19745"/>
    <n v="38"/>
    <n v="14587"/>
    <s v="0.19"/>
    <s v="0.00"/>
    <s v="99.81"/>
  </r>
  <r>
    <x v="23"/>
    <x v="17"/>
    <n v="276262"/>
    <n v="1392"/>
    <n v="244552"/>
    <s v="0.50"/>
    <s v="0.00"/>
    <s v="99.50"/>
  </r>
  <r>
    <x v="23"/>
    <x v="16"/>
    <n v="550555"/>
    <n v="22612"/>
    <n v="995"/>
    <s v="4.11"/>
    <s v="0.00"/>
    <s v="95.89"/>
  </r>
  <r>
    <x v="23"/>
    <x v="15"/>
    <n v="14759"/>
    <n v="209"/>
    <n v="5103"/>
    <s v="1.42"/>
    <s v="0.00"/>
    <s v="98.58"/>
  </r>
  <r>
    <x v="23"/>
    <x v="14"/>
    <n v="1292887"/>
    <n v="25797"/>
    <n v="538445"/>
    <s v="2.00"/>
    <s v="0.00"/>
    <s v="98.00"/>
  </r>
  <r>
    <x v="23"/>
    <x v="13"/>
    <n v="1566296"/>
    <n v="27785"/>
    <n v="834628"/>
    <s v="1.77"/>
    <s v="0.00"/>
    <s v="98.23"/>
  </r>
  <r>
    <x v="23"/>
    <x v="12"/>
    <n v="13553"/>
    <n v="120"/>
    <n v="2396"/>
    <s v="0.89"/>
    <s v="0.00"/>
    <s v="99.11"/>
  </r>
  <r>
    <x v="23"/>
    <x v="11"/>
    <n v="245791"/>
    <n v="11228"/>
    <n v="74341"/>
    <s v="4.57"/>
    <s v="0.00"/>
    <s v="95.43"/>
  </r>
  <r>
    <x v="23"/>
    <x v="10"/>
    <n v="505554"/>
    <n v="6793"/>
    <n v="34534"/>
    <s v="1.34"/>
    <s v="0.00"/>
    <s v="98.66"/>
  </r>
  <r>
    <x v="23"/>
    <x v="9"/>
    <n v="149398"/>
    <n v="1577"/>
    <n v="42133"/>
    <s v="1.06"/>
    <s v="0.00"/>
    <s v="98.94"/>
  </r>
  <r>
    <x v="23"/>
    <x v="8"/>
    <n v="780269"/>
    <n v="11196"/>
    <n v="51783"/>
    <s v="1.43"/>
    <s v="0.00"/>
    <s v="98.57"/>
  </r>
  <r>
    <x v="23"/>
    <x v="7"/>
    <n v="5274766"/>
    <n v="115737"/>
    <n v="4878855"/>
    <s v="2.19"/>
    <s v="0.00"/>
    <s v="97.81"/>
  </r>
  <r>
    <x v="23"/>
    <x v="6"/>
    <n v="63197"/>
    <n v="1678"/>
    <n v="11352"/>
    <s v="2.66"/>
    <s v="0.00"/>
    <s v="97.34"/>
  </r>
  <r>
    <x v="23"/>
    <x v="5"/>
    <n v="284237"/>
    <n v="5842"/>
    <n v="247796"/>
    <s v="2.06"/>
    <s v="0.00"/>
    <s v="97.94"/>
  </r>
  <r>
    <x v="23"/>
    <x v="4"/>
    <n v="178804"/>
    <n v="2841"/>
    <n v="142255"/>
    <s v="1.59"/>
    <s v="0.00"/>
    <s v="98.41"/>
  </r>
  <r>
    <x v="23"/>
    <x v="3"/>
    <n v="3918"/>
    <n v="95"/>
    <n v="1909"/>
    <s v="2.42"/>
    <s v="0.00"/>
    <s v="97.58"/>
  </r>
  <r>
    <x v="23"/>
    <x v="2"/>
    <n v="155801"/>
    <n v="7247"/>
    <n v="40099"/>
    <s v="4.65"/>
    <s v="0.00"/>
    <s v="95.35"/>
  </r>
  <r>
    <x v="23"/>
    <x v="1"/>
    <n v="738812"/>
    <n v="2122"/>
    <n v="516393"/>
    <s v="0.29"/>
    <s v="0.00"/>
    <s v="99.71"/>
  </r>
  <r>
    <x v="23"/>
    <x v="0"/>
    <n v="15369"/>
    <n v="130"/>
    <n v="1910"/>
    <s v="0.85"/>
    <s v="0.00"/>
    <s v="99.15"/>
  </r>
  <r>
    <x v="24"/>
    <x v="0"/>
    <n v="15367"/>
    <n v="130"/>
    <n v="11562"/>
    <s v="0.85"/>
    <s v="0.00"/>
    <s v="99.15"/>
  </r>
  <r>
    <x v="24"/>
    <x v="1"/>
    <n v="738690"/>
    <n v="2120"/>
    <n v="648724"/>
    <s v="0.29"/>
    <s v="0.00"/>
    <s v="99.71"/>
  </r>
  <r>
    <x v="24"/>
    <x v="2"/>
    <n v="155776"/>
    <n v="7246"/>
    <n v="90886"/>
    <s v="4.65"/>
    <s v="0.00"/>
    <s v="95.35"/>
  </r>
  <r>
    <x v="24"/>
    <x v="3"/>
    <n v="3918"/>
    <n v="95"/>
    <n v="864"/>
    <s v="2.42"/>
    <s v="0.00"/>
    <s v="97.58"/>
  </r>
  <r>
    <x v="24"/>
    <x v="4"/>
    <n v="178188"/>
    <n v="2829"/>
    <n v="107054"/>
    <s v="1.59"/>
    <s v="0.00"/>
    <s v="98.41"/>
  </r>
  <r>
    <x v="24"/>
    <x v="5"/>
    <n v="283183"/>
    <n v="5805"/>
    <n v="226229"/>
    <s v="2.05"/>
    <s v="0.00"/>
    <s v="97.95"/>
  </r>
  <r>
    <x v="24"/>
    <x v="6"/>
    <n v="63012"/>
    <n v="1670"/>
    <n v="15429"/>
    <s v="2.65"/>
    <s v="0.00"/>
    <s v="97.35"/>
  </r>
  <r>
    <x v="24"/>
    <x v="7"/>
    <n v="5273463"/>
    <n v="115704"/>
    <n v="2524710"/>
    <s v="2.19"/>
    <s v="0.00"/>
    <s v="97.81"/>
  </r>
  <r>
    <x v="24"/>
    <x v="8"/>
    <n v="777679"/>
    <n v="11180"/>
    <n v="295010"/>
    <s v="1.44"/>
    <s v="0.00"/>
    <s v="98.56"/>
  </r>
  <r>
    <x v="24"/>
    <x v="9"/>
    <n v="147301"/>
    <n v="1558"/>
    <n v="124516"/>
    <s v="1.06"/>
    <s v="0.00"/>
    <s v="98.94"/>
  </r>
  <r>
    <x v="24"/>
    <x v="10"/>
    <n v="503452"/>
    <n v="6778"/>
    <n v="218891"/>
    <s v="1.35"/>
    <s v="0.00"/>
    <s v="98.65"/>
  </r>
  <r>
    <x v="24"/>
    <x v="11"/>
    <n v="245082"/>
    <n v="11201"/>
    <n v="120590"/>
    <s v="4.57"/>
    <s v="0.00"/>
    <s v="95.43"/>
  </r>
  <r>
    <x v="24"/>
    <x v="12"/>
    <n v="13171"/>
    <n v="119"/>
    <n v="2347"/>
    <s v="0.90"/>
    <s v="0.00"/>
    <s v="99.10"/>
  </r>
  <r>
    <x v="24"/>
    <x v="13"/>
    <n v="1565827"/>
    <n v="27778"/>
    <n v="762103"/>
    <s v="1.77"/>
    <s v="0.00"/>
    <s v="98.23"/>
  </r>
  <r>
    <x v="24"/>
    <x v="14"/>
    <n v="1289033"/>
    <n v="25780"/>
    <n v="188732"/>
    <s v="2.00"/>
    <s v="0.00"/>
    <s v="98.00"/>
  </r>
  <r>
    <x v="24"/>
    <x v="15"/>
    <n v="14752"/>
    <n v="203"/>
    <n v="2278"/>
    <s v="1.38"/>
    <s v="0.00"/>
    <s v="98.62"/>
  </r>
  <r>
    <x v="24"/>
    <x v="16"/>
    <n v="545598"/>
    <n v="22488"/>
    <n v="122738"/>
    <s v="4.12"/>
    <s v="0.00"/>
    <s v="95.88"/>
  </r>
  <r>
    <x v="24"/>
    <x v="17"/>
    <n v="276188"/>
    <n v="1391"/>
    <n v="209218"/>
    <s v="0.50"/>
    <s v="0.00"/>
    <s v="99.50"/>
  </r>
  <r>
    <x v="24"/>
    <x v="18"/>
    <n v="19730"/>
    <n v="38"/>
    <n v="1281"/>
    <s v="0.19"/>
    <s v="0.00"/>
    <s v="99.81"/>
  </r>
  <r>
    <x v="24"/>
    <x v="19"/>
    <n v="24560"/>
    <n v="161"/>
    <n v="15600"/>
    <s v="0.66"/>
    <s v="0.00"/>
    <s v="99.34"/>
  </r>
  <r>
    <x v="24"/>
    <x v="20"/>
    <n v="1658"/>
    <n v="6"/>
    <n v="1329"/>
    <s v="0.36"/>
    <s v="0.00"/>
    <s v="99.64"/>
  </r>
  <r>
    <x v="24"/>
    <x v="21"/>
    <n v="11047"/>
    <n v="76"/>
    <n v="5441"/>
    <s v="0.69"/>
    <s v="0.00"/>
    <s v="99.31"/>
  </r>
  <r>
    <x v="24"/>
    <x v="22"/>
    <n v="507134"/>
    <n v="18834"/>
    <n v="50"/>
    <s v="3.71"/>
    <s v="0.00"/>
    <s v="96.29"/>
  </r>
  <r>
    <x v="24"/>
    <x v="23"/>
    <n v="21651910"/>
    <n v="603465"/>
    <n v="20523897"/>
    <s v="2.79"/>
    <s v="0.00"/>
    <s v="97.21"/>
  </r>
  <r>
    <x v="24"/>
    <x v="24"/>
    <n v="21978"/>
    <n v="626"/>
    <n v="12525"/>
    <s v="2.85"/>
    <s v="0.00"/>
    <s v="97.15"/>
  </r>
  <r>
    <x v="24"/>
    <x v="25"/>
    <n v="2617"/>
    <n v="3"/>
    <n v="1119"/>
    <s v="0.11"/>
    <s v="0.00"/>
    <s v="99.89"/>
  </r>
  <r>
    <x v="24"/>
    <x v="26"/>
    <n v="184051"/>
    <n v="2389"/>
    <n v="5907"/>
    <s v="1.30"/>
    <s v="0.00"/>
    <s v="98.70"/>
  </r>
  <r>
    <x v="24"/>
    <x v="27"/>
    <n v="573943"/>
    <n v="4417"/>
    <n v="364892"/>
    <s v="0.77"/>
    <s v="0.00"/>
    <s v="99.23"/>
  </r>
  <r>
    <x v="24"/>
    <x v="28"/>
    <n v="24447"/>
    <n v="465"/>
    <n v="23734"/>
    <s v="1.90"/>
    <s v="0.00"/>
    <s v="98.10"/>
  </r>
  <r>
    <x v="24"/>
    <x v="29"/>
    <n v="1693364"/>
    <n v="28616"/>
    <n v="914319"/>
    <s v="1.69"/>
    <s v="0.00"/>
    <s v="98.31"/>
  </r>
  <r>
    <x v="24"/>
    <x v="30"/>
    <n v="57338"/>
    <n v="1091"/>
    <n v="22458"/>
    <s v="1.90"/>
    <s v="0.00"/>
    <s v="98.10"/>
  </r>
  <r>
    <x v="24"/>
    <x v="31"/>
    <n v="11478"/>
    <n v="100"/>
    <n v="8641"/>
    <s v="0.87"/>
    <s v="0.00"/>
    <s v="99.13"/>
  </r>
  <r>
    <x v="24"/>
    <x v="32"/>
    <n v="15962"/>
    <n v="231"/>
    <n v="14622"/>
    <s v="1.45"/>
    <s v="0.00"/>
    <s v="98.55"/>
  </r>
  <r>
    <x v="24"/>
    <x v="33"/>
    <n v="856957"/>
    <n v="11162"/>
    <n v="284454"/>
    <s v="1.30"/>
    <s v="0.00"/>
    <s v="98.70"/>
  </r>
  <r>
    <x v="24"/>
    <x v="34"/>
    <n v="61072"/>
    <n v="685"/>
    <n v="51950"/>
    <s v="1.12"/>
    <s v="0.00"/>
    <s v="98.88"/>
  </r>
  <r>
    <x v="24"/>
    <x v="35"/>
    <n v="1672065"/>
    <n v="37620"/>
    <n v="1440826"/>
    <s v="2.25"/>
    <s v="0.00"/>
    <s v="97.75"/>
  </r>
  <r>
    <x v="24"/>
    <x v="36"/>
    <n v="98402"/>
    <n v="1550"/>
    <n v="42443"/>
    <s v="1.58"/>
    <s v="0.00"/>
    <s v="98.42"/>
  </r>
  <r>
    <x v="24"/>
    <x v="37"/>
    <n v="96571"/>
    <n v="4636"/>
    <n v="42271"/>
    <s v="4.80"/>
    <s v="0.00"/>
    <s v="95.20"/>
  </r>
  <r>
    <x v="24"/>
    <x v="38"/>
    <n v="4982575"/>
    <n v="126886"/>
    <n v="2108796"/>
    <s v="2.55"/>
    <s v="0.00"/>
    <s v="97.45"/>
  </r>
  <r>
    <x v="24"/>
    <x v="39"/>
    <n v="552953"/>
    <n v="6857"/>
    <n v="182653"/>
    <s v="1.24"/>
    <s v="0.00"/>
    <s v="98.76"/>
  </r>
  <r>
    <x v="24"/>
    <x v="40"/>
    <n v="936809"/>
    <n v="8079"/>
    <n v="423377"/>
    <s v="0.86"/>
    <s v="0.00"/>
    <s v="99.14"/>
  </r>
  <r>
    <x v="24"/>
    <x v="41"/>
    <n v="38049"/>
    <n v="347"/>
    <n v="14028"/>
    <s v="0.91"/>
    <s v="0.00"/>
    <s v="99.09"/>
  </r>
  <r>
    <x v="24"/>
    <x v="42"/>
    <n v="122362"/>
    <n v="565"/>
    <n v="23314"/>
    <s v="0.46"/>
    <s v="0.00"/>
    <s v="99.54"/>
  </r>
  <r>
    <x v="24"/>
    <x v="43"/>
    <n v="1709716"/>
    <n v="30554"/>
    <n v="1054588"/>
    <s v="1.79"/>
    <s v="0.00"/>
    <s v="98.21"/>
  </r>
  <r>
    <x v="24"/>
    <x v="44"/>
    <n v="4388581"/>
    <n v="94720"/>
    <n v="3779769"/>
    <s v="2.16"/>
    <s v="0.00"/>
    <s v="97.84"/>
  </r>
  <r>
    <x v="24"/>
    <x v="45"/>
    <n v="13415"/>
    <n v="181"/>
    <n v="12254"/>
    <s v="1.35"/>
    <s v="0.00"/>
    <s v="98.65"/>
  </r>
  <r>
    <x v="24"/>
    <x v="46"/>
    <n v="370057"/>
    <n v="2688"/>
    <n v="110234"/>
    <s v="0.73"/>
    <s v="0.00"/>
    <s v="99.27"/>
  </r>
  <r>
    <x v="24"/>
    <x v="47"/>
    <n v="4153"/>
    <n v="28"/>
    <n v="398"/>
    <s v="0.67"/>
    <s v="0.00"/>
    <s v="99.33"/>
  </r>
  <r>
    <x v="24"/>
    <x v="48"/>
    <n v="371447"/>
    <n v="4090"/>
    <n v="326463"/>
    <s v="1.10"/>
    <s v="0.00"/>
    <s v="98.90"/>
  </r>
  <r>
    <x v="24"/>
    <x v="49"/>
    <n v="205364"/>
    <n v="5873"/>
    <n v="87127"/>
    <s v="2.86"/>
    <s v="0.00"/>
    <s v="97.14"/>
  </r>
  <r>
    <x v="24"/>
    <x v="50"/>
    <n v="513026"/>
    <n v="32899"/>
    <n v="159635"/>
    <s v="6.41"/>
    <s v="0.00"/>
    <s v="93.59"/>
  </r>
  <r>
    <x v="24"/>
    <x v="51"/>
    <n v="173335"/>
    <n v="1429"/>
    <n v="158541"/>
    <s v="0.82"/>
    <s v="0.00"/>
    <s v="99.18"/>
  </r>
  <r>
    <x v="24"/>
    <x v="52"/>
    <n v="319339"/>
    <n v="18015"/>
    <n v="78568"/>
    <s v="5.64"/>
    <s v="0.00"/>
    <s v="94.36"/>
  </r>
  <r>
    <x v="24"/>
    <x v="53"/>
    <n v="6776"/>
    <n v="45"/>
    <n v="5493"/>
    <s v="0.66"/>
    <s v="0.00"/>
    <s v="99.34"/>
  </r>
  <r>
    <x v="24"/>
    <x v="54"/>
    <n v="4988878"/>
    <n v="87030"/>
    <n v="4518796"/>
    <s v="1.74"/>
    <s v="0.00"/>
    <s v="98.26"/>
  </r>
  <r>
    <x v="24"/>
    <x v="55"/>
    <n v="359495"/>
    <n v="6238"/>
    <n v="113991"/>
    <s v="1.74"/>
    <s v="0.00"/>
    <s v="98.26"/>
  </r>
  <r>
    <x v="24"/>
    <x v="56"/>
    <n v="151207"/>
    <n v="1120"/>
    <n v="79841"/>
    <s v="0.74"/>
    <s v="0.00"/>
    <s v="99.26"/>
  </r>
  <r>
    <x v="24"/>
    <x v="57"/>
    <n v="51846"/>
    <n v="663"/>
    <n v="23705"/>
    <s v="1.28"/>
    <s v="0.00"/>
    <s v="98.72"/>
  </r>
  <r>
    <x v="24"/>
    <x v="58"/>
    <n v="1350"/>
    <n v="2"/>
    <n v="639"/>
    <s v="0.15"/>
    <s v="0.00"/>
    <s v="99.85"/>
  </r>
  <r>
    <x v="24"/>
    <x v="59"/>
    <n v="6915848"/>
    <n v="114994"/>
    <n v="1638047"/>
    <s v="1.66"/>
    <s v="0.00"/>
    <s v="98.34"/>
  </r>
  <r>
    <x v="24"/>
    <x v="60"/>
    <n v="33842"/>
    <n v="218"/>
    <n v="19345"/>
    <s v="0.64"/>
    <s v="0.00"/>
    <s v="99.36"/>
  </r>
  <r>
    <x v="24"/>
    <x v="61"/>
    <n v="8531881"/>
    <n v="138944"/>
    <n v="7036817"/>
    <s v="1.63"/>
    <s v="0.00"/>
    <s v="98.37"/>
  </r>
  <r>
    <x v="24"/>
    <x v="63"/>
    <n v="664813"/>
    <n v="9510"/>
    <n v="127923"/>
    <s v="1.43"/>
    <s v="0.00"/>
    <s v="98.57"/>
  </r>
  <r>
    <x v="24"/>
    <x v="62"/>
    <n v="5769"/>
    <n v="193"/>
    <n v="3570"/>
    <s v="3.35"/>
    <s v="0.00"/>
    <s v="96.65"/>
  </r>
  <r>
    <x v="24"/>
    <x v="64"/>
    <n v="43255"/>
    <n v="293"/>
    <n v="2430"/>
    <s v="0.68"/>
    <s v="0.00"/>
    <s v="99.32"/>
  </r>
  <r>
    <x v="24"/>
    <x v="65"/>
    <n v="129440"/>
    <n v="1167"/>
    <n v="110980"/>
    <s v="0.90"/>
    <s v="0.00"/>
    <s v="99.10"/>
  </r>
  <r>
    <x v="24"/>
    <x v="66"/>
    <n v="5769"/>
    <n v="98"/>
    <n v="916"/>
    <s v="1.70"/>
    <s v="0.00"/>
    <s v="98.30"/>
  </r>
  <r>
    <x v="24"/>
    <x v="68"/>
    <n v="30572"/>
    <n v="385"/>
    <n v="22223"/>
    <s v="1.26"/>
    <s v="0.00"/>
    <s v="98.74"/>
  </r>
  <r>
    <x v="24"/>
    <x v="67"/>
    <n v="9946"/>
    <n v="339"/>
    <n v="6916"/>
    <s v="3.41"/>
    <s v="0.00"/>
    <s v="96.59"/>
  </r>
  <r>
    <x v="24"/>
    <x v="69"/>
    <n v="53836"/>
    <n v="800"/>
    <n v="25005"/>
    <s v="1.49"/>
    <s v="0.00"/>
    <s v="98.51"/>
  </r>
  <r>
    <x v="24"/>
    <x v="70"/>
    <n v="13020"/>
    <n v="161"/>
    <n v="3650"/>
    <s v="1.24"/>
    <s v="0.00"/>
    <s v="98.76"/>
  </r>
  <r>
    <x v="24"/>
    <x v="71"/>
    <n v="697033"/>
    <n v="15418"/>
    <n v="257886"/>
    <s v="2.21"/>
    <s v="0.00"/>
    <s v="97.79"/>
  </r>
  <r>
    <x v="24"/>
    <x v="72"/>
    <n v="588262"/>
    <n v="14387"/>
    <n v="149145"/>
    <s v="2.45"/>
    <s v="0.00"/>
    <s v="97.55"/>
  </r>
  <r>
    <x v="24"/>
    <x v="73"/>
    <n v="6130"/>
    <n v="141"/>
    <n v="1473"/>
    <s v="2.30"/>
    <s v="0.00"/>
    <s v="97.70"/>
  </r>
  <r>
    <x v="24"/>
    <x v="74"/>
    <n v="34514"/>
    <n v="875"/>
    <n v="17583"/>
    <s v="2.54"/>
    <s v="0.00"/>
    <s v="97.46"/>
  </r>
  <r>
    <x v="24"/>
    <x v="75"/>
    <n v="12299"/>
    <n v="213"/>
    <n v="4182"/>
    <s v="1.73"/>
    <s v="0.00"/>
    <s v="98.27"/>
  </r>
  <r>
    <x v="24"/>
    <x v="76"/>
    <n v="372179"/>
    <n v="10096"/>
    <n v="308850"/>
    <s v="2.71"/>
    <s v="0.00"/>
    <s v="97.29"/>
  </r>
  <r>
    <x v="24"/>
    <x v="77"/>
    <n v="428233"/>
    <n v="8907"/>
    <n v="159287"/>
    <s v="2.08"/>
    <s v="0.00"/>
    <s v="97.92"/>
  </r>
  <r>
    <x v="24"/>
    <x v="78"/>
    <n v="23042"/>
    <n v="657"/>
    <n v="12263"/>
    <s v="2.85"/>
    <s v="0.00"/>
    <s v="97.15"/>
  </r>
  <r>
    <x v="24"/>
    <x v="79"/>
    <n v="836389"/>
    <n v="30402"/>
    <n v="384090"/>
    <s v="3.63"/>
    <s v="0.00"/>
    <s v="96.37"/>
  </r>
  <r>
    <x v="24"/>
    <x v="80"/>
    <n v="4235384"/>
    <n v="142999"/>
    <n v="2517504"/>
    <s v="3.38"/>
    <s v="0.00"/>
    <s v="96.62"/>
  </r>
  <r>
    <x v="24"/>
    <x v="81"/>
    <n v="416690"/>
    <n v="5306"/>
    <n v="176013"/>
    <s v="1.27"/>
    <s v="0.00"/>
    <s v="98.73"/>
  </r>
  <r>
    <x v="24"/>
    <x v="82"/>
    <n v="1317758"/>
    <n v="8010"/>
    <n v="809438"/>
    <s v="0.61"/>
    <s v="0.00"/>
    <s v="99.39"/>
  </r>
  <r>
    <x v="24"/>
    <x v="83"/>
    <n v="34094373"/>
    <n v="452454"/>
    <n v="11709743"/>
    <s v="1.33"/>
    <s v="0.00"/>
    <s v="98.67"/>
  </r>
  <r>
    <x v="24"/>
    <x v="84"/>
    <n v="2037012"/>
    <n v="22785"/>
    <n v="424378"/>
    <s v="1.12"/>
    <s v="0.00"/>
    <s v="98.88"/>
  </r>
  <r>
    <x v="24"/>
    <x v="85"/>
    <n v="5796659"/>
    <n v="124256"/>
    <n v="1084466"/>
    <s v="2.14"/>
    <s v="0.00"/>
    <s v="97.86"/>
  </r>
  <r>
    <x v="24"/>
    <x v="86"/>
    <n v="12614"/>
    <n v="33"/>
    <n v="807"/>
    <s v="0.26"/>
    <s v="0.00"/>
    <s v="99.74"/>
  </r>
  <r>
    <x v="24"/>
    <x v="87"/>
    <n v="4719493"/>
    <n v="131585"/>
    <n v="1650773"/>
    <s v="2.79"/>
    <s v="0.00"/>
    <s v="97.21"/>
  </r>
  <r>
    <x v="24"/>
    <x v="88"/>
    <n v="87586"/>
    <n v="2117"/>
    <n v="39663"/>
    <s v="2.42"/>
    <s v="0.00"/>
    <s v="97.58"/>
  </r>
  <r>
    <x v="24"/>
    <x v="89"/>
    <n v="843204"/>
    <n v="10887"/>
    <n v="762849"/>
    <s v="1.29"/>
    <s v="0.00"/>
    <s v="98.71"/>
  </r>
  <r>
    <x v="24"/>
    <x v="91"/>
    <n v="252066"/>
    <n v="5224"/>
    <n v="27643"/>
    <s v="2.07"/>
    <s v="0.00"/>
    <s v="97.93"/>
  </r>
  <r>
    <x v="24"/>
    <x v="90"/>
    <n v="1715745"/>
    <n v="18129"/>
    <n v="1669172"/>
    <s v="1.06"/>
    <s v="0.00"/>
    <s v="98.94"/>
  </r>
  <r>
    <x v="24"/>
    <x v="92"/>
    <n v="179913"/>
    <n v="2636"/>
    <n v="111639"/>
    <s v="1.47"/>
    <s v="0.00"/>
    <s v="98.53"/>
  </r>
  <r>
    <x v="24"/>
    <x v="94"/>
    <n v="2"/>
    <n v="0"/>
    <n v="2"/>
    <s v="0.00"/>
    <s v="0.00"/>
    <s v="100.00"/>
  </r>
  <r>
    <x v="24"/>
    <x v="93"/>
    <n v="116860"/>
    <n v="2670"/>
    <n v="56119"/>
    <s v="2.28"/>
    <s v="0.00"/>
    <s v="97.72"/>
  </r>
  <r>
    <x v="24"/>
    <x v="95"/>
    <n v="4190"/>
    <n v="147"/>
    <n v="1876"/>
    <s v="3.51"/>
    <s v="0.00"/>
    <s v="96.49"/>
  </r>
  <r>
    <x v="24"/>
    <x v="96"/>
    <n v="2556"/>
    <n v="21"/>
    <n v="1685"/>
    <s v="0.82"/>
    <s v="0.00"/>
    <s v="99.18"/>
  </r>
  <r>
    <x v="24"/>
    <x v="97"/>
    <n v="344518"/>
    <n v="2689"/>
    <n v="101158"/>
    <s v="0.78"/>
    <s v="0.00"/>
    <s v="99.22"/>
  </r>
  <r>
    <x v="24"/>
    <x v="98"/>
    <n v="412371"/>
    <n v="2458"/>
    <n v="343074"/>
    <s v="0.60"/>
    <s v="0.00"/>
    <s v="99.40"/>
  </r>
  <r>
    <x v="24"/>
    <x v="99"/>
    <n v="997537"/>
    <n v="16713"/>
    <n v="340407"/>
    <s v="1.68"/>
    <s v="0.00"/>
    <s v="98.32"/>
  </r>
  <r>
    <x v="24"/>
    <x v="100"/>
    <n v="32314"/>
    <n v="40"/>
    <n v="3289"/>
    <s v="0.12"/>
    <s v="0.00"/>
    <s v="99.88"/>
  </r>
  <r>
    <x v="24"/>
    <x v="101"/>
    <n v="634209"/>
    <n v="8430"/>
    <n v="395433"/>
    <s v="1.33"/>
    <s v="0.00"/>
    <s v="98.67"/>
  </r>
  <r>
    <x v="24"/>
    <x v="102"/>
    <n v="12234"/>
    <n v="237"/>
    <n v="6669"/>
    <s v="1.94"/>
    <s v="0.00"/>
    <s v="98.06"/>
  </r>
  <r>
    <x v="24"/>
    <x v="103"/>
    <n v="3589"/>
    <n v="60"/>
    <n v="2656"/>
    <s v="1.67"/>
    <s v="0.00"/>
    <s v="98.33"/>
  </r>
  <r>
    <x v="24"/>
    <x v="104"/>
    <n v="532218"/>
    <n v="13507"/>
    <n v="243416"/>
    <s v="2.54"/>
    <s v="0.00"/>
    <s v="97.46"/>
  </r>
  <r>
    <x v="24"/>
    <x v="105"/>
    <n v="5807"/>
    <n v="286"/>
    <n v="3239"/>
    <s v="4.93"/>
    <s v="0.00"/>
    <s v="95.07"/>
  </r>
  <r>
    <x v="24"/>
    <x v="106"/>
    <n v="21530"/>
    <n v="655"/>
    <n v="8145"/>
    <s v="3.04"/>
    <s v="0.00"/>
    <s v="96.96"/>
  </r>
  <r>
    <x v="24"/>
    <x v="107"/>
    <n v="370119"/>
    <n v="5456"/>
    <n v="352102"/>
    <s v="1.47"/>
    <s v="0.00"/>
    <s v="98.53"/>
  </r>
  <r>
    <x v="24"/>
    <x v="108"/>
    <n v="79982"/>
    <n v="839"/>
    <n v="566"/>
    <s v="1.05"/>
    <s v="0.00"/>
    <s v="98.95"/>
  </r>
  <r>
    <x v="24"/>
    <x v="109"/>
    <n v="186869"/>
    <n v="2897"/>
    <n v="99554"/>
    <s v="1.55"/>
    <s v="0.00"/>
    <s v="98.45"/>
  </r>
  <r>
    <x v="24"/>
    <x v="110"/>
    <n v="350628"/>
    <n v="4904"/>
    <n v="285138"/>
    <s v="1.40"/>
    <s v="0.00"/>
    <s v="98.60"/>
  </r>
  <r>
    <x v="24"/>
    <x v="111"/>
    <n v="942280"/>
    <n v="14561"/>
    <n v="677847"/>
    <s v="1.55"/>
    <s v="0.00"/>
    <s v="98.45"/>
  </r>
  <r>
    <x v="24"/>
    <x v="112"/>
    <n v="3363"/>
    <n v="35"/>
    <n v="543"/>
    <s v="1.04"/>
    <s v="0.00"/>
    <s v="98.96"/>
  </r>
  <r>
    <x v="24"/>
    <x v="113"/>
    <n v="317899"/>
    <n v="7273"/>
    <n v="12321"/>
    <s v="2.29"/>
    <s v="0.00"/>
    <s v="97.71"/>
  </r>
  <r>
    <x v="24"/>
    <x v="114"/>
    <n v="138047"/>
    <n v="2036"/>
    <n v="89154"/>
    <s v="1.47"/>
    <s v="0.00"/>
    <s v="98.53"/>
  </r>
  <r>
    <x v="24"/>
    <x v="115"/>
    <n v="3878"/>
    <n v="55"/>
    <n v="2647"/>
    <s v="1.42"/>
    <s v="0.00"/>
    <s v="98.58"/>
  </r>
  <r>
    <x v="24"/>
    <x v="116"/>
    <n v="43616"/>
    <n v="960"/>
    <n v="33459"/>
    <s v="2.20"/>
    <s v="0.00"/>
    <s v="97.80"/>
  </r>
  <r>
    <x v="24"/>
    <x v="117"/>
    <n v="4"/>
    <n v="0"/>
    <n v="3"/>
    <s v="0.00"/>
    <s v="0.00"/>
    <s v="100.00"/>
  </r>
  <r>
    <x v="24"/>
    <x v="118"/>
    <n v="197197"/>
    <n v="6964"/>
    <n v="35668"/>
    <s v="3.53"/>
    <s v="0.00"/>
    <s v="96.47"/>
  </r>
  <r>
    <x v="24"/>
    <x v="119"/>
    <n v="15643"/>
    <n v="557"/>
    <n v="1855"/>
    <s v="3.56"/>
    <s v="0.00"/>
    <s v="96.44"/>
  </r>
  <r>
    <x v="24"/>
    <x v="120"/>
    <n v="488875"/>
    <n v="18388"/>
    <n v="8189"/>
    <s v="3.76"/>
    <s v="0.00"/>
    <s v="96.24"/>
  </r>
  <r>
    <x v="24"/>
    <x v="121"/>
    <n v="340839"/>
    <n v="1574"/>
    <n v="211948"/>
    <s v="0.46"/>
    <s v="0.00"/>
    <s v="99.54"/>
  </r>
  <r>
    <x v="24"/>
    <x v="122"/>
    <n v="77"/>
    <n v="0"/>
    <n v="13"/>
    <s v="0.00"/>
    <s v="0.00"/>
    <s v="100.00"/>
  </r>
  <r>
    <x v="24"/>
    <x v="123"/>
    <n v="42269"/>
    <n v="656"/>
    <n v="40017"/>
    <s v="1.55"/>
    <s v="0.00"/>
    <s v="98.45"/>
  </r>
  <r>
    <x v="24"/>
    <x v="124"/>
    <n v="36722"/>
    <n v="789"/>
    <n v="26351"/>
    <s v="2.15"/>
    <s v="0.00"/>
    <s v="97.85"/>
  </r>
  <r>
    <x v="24"/>
    <x v="125"/>
    <n v="37464"/>
    <n v="459"/>
    <n v="17471"/>
    <s v="1.23"/>
    <s v="0.00"/>
    <s v="98.77"/>
  </r>
  <r>
    <x v="24"/>
    <x v="126"/>
    <n v="16669"/>
    <n v="134"/>
    <n v="8194"/>
    <s v="0.80"/>
    <s v="0.00"/>
    <s v="99.20"/>
  </r>
  <r>
    <x v="24"/>
    <x v="127"/>
    <n v="86211"/>
    <n v="238"/>
    <n v="4473"/>
    <s v="0.28"/>
    <s v="0.00"/>
    <s v="99.72"/>
  </r>
  <r>
    <x v="24"/>
    <x v="128"/>
    <n v="61726"/>
    <n v="2294"/>
    <n v="44701"/>
    <s v="3.72"/>
    <s v="0.00"/>
    <s v="96.28"/>
  </r>
  <r>
    <x v="24"/>
    <x v="129"/>
    <n v="3758469"/>
    <n v="284477"/>
    <n v="2465147"/>
    <s v="7.57"/>
    <s v="0.00"/>
    <s v="92.43"/>
  </r>
  <r>
    <x v="24"/>
    <x v="130"/>
    <n v="2396121"/>
    <n v="27993"/>
    <n v="1920369"/>
    <s v="1.17"/>
    <s v="0.00"/>
    <s v="98.83"/>
  </r>
  <r>
    <x v="24"/>
    <x v="131"/>
    <n v="151112"/>
    <n v="1927"/>
    <n v="69928"/>
    <s v="1.28"/>
    <s v="0.00"/>
    <s v="98.72"/>
  </r>
  <r>
    <x v="24"/>
    <x v="132"/>
    <n v="128353"/>
    <n v="3540"/>
    <n v="50504"/>
    <s v="2.76"/>
    <s v="0.00"/>
    <s v="97.24"/>
  </r>
  <r>
    <x v="24"/>
    <x v="133"/>
    <n v="10070"/>
    <n v="242"/>
    <n v="2949"/>
    <s v="2.40"/>
    <s v="0.00"/>
    <s v="97.60"/>
  </r>
  <r>
    <x v="24"/>
    <x v="134"/>
    <n v="6177"/>
    <n v="205"/>
    <n v="5838"/>
    <s v="3.32"/>
    <s v="0.00"/>
    <s v="96.68"/>
  </r>
  <r>
    <x v="24"/>
    <x v="135"/>
    <n v="209387"/>
    <n v="2838"/>
    <n v="39901"/>
    <s v="1.36"/>
    <s v="0.00"/>
    <s v="98.64"/>
  </r>
  <r>
    <x v="24"/>
    <x v="136"/>
    <n v="15737"/>
    <n v="206"/>
    <n v="11389"/>
    <s v="1.31"/>
    <s v="0.00"/>
    <s v="98.69"/>
  </r>
  <r>
    <x v="24"/>
    <x v="137"/>
    <n v="2090522"/>
    <n v="18684"/>
    <n v="389139"/>
    <s v="0.89"/>
    <s v="0.00"/>
    <s v="99.11"/>
  </r>
  <r>
    <x v="24"/>
    <x v="138"/>
    <n v="196896"/>
    <n v="884"/>
    <n v="20976"/>
    <s v="0.45"/>
    <s v="0.00"/>
    <s v="99.55"/>
  </r>
  <r>
    <x v="24"/>
    <x v="139"/>
    <n v="805560"/>
    <n v="11293"/>
    <n v="602078"/>
    <s v="1.40"/>
    <s v="0.00"/>
    <s v="98.60"/>
  </r>
  <r>
    <x v="24"/>
    <x v="140"/>
    <n v="5154"/>
    <n v="28"/>
    <n v="5081"/>
    <s v="0.54"/>
    <s v="0.00"/>
    <s v="99.46"/>
  </r>
  <r>
    <x v="24"/>
    <x v="141"/>
    <n v="304066"/>
    <n v="4106"/>
    <n v="75409"/>
    <s v="1.35"/>
    <s v="0.00"/>
    <s v="98.65"/>
  </r>
  <r>
    <x v="24"/>
    <x v="142"/>
    <n v="470395"/>
    <n v="7294"/>
    <n v="122565"/>
    <s v="1.55"/>
    <s v="0.00"/>
    <s v="98.45"/>
  </r>
  <r>
    <x v="24"/>
    <x v="143"/>
    <n v="2190396"/>
    <n v="199882"/>
    <n v="559804"/>
    <s v="9.13"/>
    <s v="0.00"/>
    <s v="90.87"/>
  </r>
  <r>
    <x v="24"/>
    <x v="144"/>
    <n v="45439"/>
    <n v="635"/>
    <n v="7965"/>
    <s v="1.40"/>
    <s v="0.00"/>
    <s v="98.60"/>
  </r>
  <r>
    <x v="24"/>
    <x v="145"/>
    <n v="24857"/>
    <n v="309"/>
    <n v="9827"/>
    <s v="1.24"/>
    <s v="0.00"/>
    <s v="98.76"/>
  </r>
  <r>
    <x v="24"/>
    <x v="147"/>
    <n v="1265650"/>
    <n v="28300"/>
    <n v="902772"/>
    <s v="2.24"/>
    <s v="0.00"/>
    <s v="97.76"/>
  </r>
  <r>
    <x v="24"/>
    <x v="146"/>
    <n v="2727286"/>
    <n v="40761"/>
    <n v="2353763"/>
    <s v="1.49"/>
    <s v="0.00"/>
    <s v="98.51"/>
  </r>
  <r>
    <x v="24"/>
    <x v="148"/>
    <n v="2941126"/>
    <n v="76115"/>
    <n v="2438080"/>
    <s v="2.59"/>
    <s v="0.00"/>
    <s v="97.41"/>
  </r>
  <r>
    <x v="24"/>
    <x v="149"/>
    <n v="448322"/>
    <n v="4585"/>
    <n v="103849"/>
    <s v="1.02"/>
    <s v="0.00"/>
    <s v="98.98"/>
  </r>
  <r>
    <x v="24"/>
    <x v="150"/>
    <n v="1080097"/>
    <n v="18100"/>
    <n v="95067"/>
    <s v="1.68"/>
    <s v="0.00"/>
    <s v="98.32"/>
  </r>
  <r>
    <x v="24"/>
    <x v="151"/>
    <n v="8"/>
    <n v="0"/>
    <n v="8"/>
    <s v="0.00"/>
    <s v="0.00"/>
    <s v="100.00"/>
  </r>
  <r>
    <x v="24"/>
    <x v="152"/>
    <n v="460553"/>
    <n v="16228"/>
    <n v="233002"/>
    <s v="3.52"/>
    <s v="0.00"/>
    <s v="96.48"/>
  </r>
  <r>
    <x v="24"/>
    <x v="153"/>
    <n v="237996"/>
    <n v="608"/>
    <n v="27119"/>
    <s v="0.26"/>
    <s v="0.00"/>
    <s v="99.74"/>
  </r>
  <r>
    <x v="24"/>
    <x v="154"/>
    <n v="54024"/>
    <n v="370"/>
    <n v="38127"/>
    <s v="0.68"/>
    <s v="0.00"/>
    <s v="99.32"/>
  </r>
  <r>
    <x v="24"/>
    <x v="155"/>
    <n v="1467401"/>
    <n v="42042"/>
    <n v="1317991"/>
    <s v="2.87"/>
    <s v="0.00"/>
    <s v="97.13"/>
  </r>
  <r>
    <x v="24"/>
    <x v="156"/>
    <n v="1055296"/>
    <n v="9157"/>
    <n v="314304"/>
    <s v="0.87"/>
    <s v="0.00"/>
    <s v="99.13"/>
  </r>
  <r>
    <x v="24"/>
    <x v="157"/>
    <n v="7903963"/>
    <n v="220323"/>
    <n v="3907054"/>
    <s v="2.79"/>
    <s v="0.00"/>
    <s v="97.21"/>
  </r>
  <r>
    <x v="24"/>
    <x v="158"/>
    <n v="99181"/>
    <n v="1313"/>
    <n v="85667"/>
    <s v="1.32"/>
    <s v="0.00"/>
    <s v="98.68"/>
  </r>
  <r>
    <x v="24"/>
    <x v="159"/>
    <n v="547969"/>
    <n v="8765"/>
    <n v="299293"/>
    <s v="1.60"/>
    <s v="0.00"/>
    <s v="98.40"/>
  </r>
  <r>
    <x v="24"/>
    <x v="160"/>
    <n v="20"/>
    <n v="0"/>
    <n v="3"/>
    <s v="0.00"/>
    <s v="0.00"/>
    <s v="100.00"/>
  </r>
  <r>
    <x v="24"/>
    <x v="161"/>
    <n v="21947"/>
    <n v="119"/>
    <n v="17238"/>
    <s v="0.54"/>
    <s v="0.00"/>
    <s v="99.46"/>
  </r>
  <r>
    <x v="24"/>
    <x v="162"/>
    <n v="39839"/>
    <n v="3038"/>
    <n v="36314"/>
    <s v="7.63"/>
    <s v="0.00"/>
    <s v="92.37"/>
  </r>
  <r>
    <x v="24"/>
    <x v="163"/>
    <n v="1161933"/>
    <n v="14956"/>
    <n v="909223"/>
    <s v="1.29"/>
    <s v="0.00"/>
    <s v="98.71"/>
  </r>
  <r>
    <x v="24"/>
    <x v="164"/>
    <n v="150731"/>
    <n v="239"/>
    <n v="99918"/>
    <s v="0.16"/>
    <s v="0.00"/>
    <s v="99.84"/>
  </r>
  <r>
    <x v="24"/>
    <x v="165"/>
    <n v="308501"/>
    <n v="4641"/>
    <n v="130920"/>
    <s v="1.50"/>
    <s v="0.00"/>
    <s v="98.50"/>
  </r>
  <r>
    <x v="24"/>
    <x v="166"/>
    <n v="437938"/>
    <n v="12854"/>
    <n v="351557"/>
    <s v="2.94"/>
    <s v="0.00"/>
    <s v="97.06"/>
  </r>
  <r>
    <x v="24"/>
    <x v="167"/>
    <n v="6397"/>
    <n v="121"/>
    <n v="4236"/>
    <s v="1.89"/>
    <s v="0.00"/>
    <s v="98.11"/>
  </r>
  <r>
    <x v="24"/>
    <x v="168"/>
    <n v="5475"/>
    <n v="91"/>
    <n v="4291"/>
    <s v="1.66"/>
    <s v="0.00"/>
    <s v="98.34"/>
  </r>
  <r>
    <x v="24"/>
    <x v="169"/>
    <n v="73873"/>
    <n v="1871"/>
    <n v="19881"/>
    <s v="2.53"/>
    <s v="0.00"/>
    <s v="97.47"/>
  </r>
  <r>
    <x v="24"/>
    <x v="170"/>
    <n v="21269"/>
    <n v="1180"/>
    <n v="8141"/>
    <s v="5.55"/>
    <s v="0.00"/>
    <s v="94.45"/>
  </r>
  <r>
    <x v="24"/>
    <x v="171"/>
    <n v="46996"/>
    <n v="1029"/>
    <n v="40492"/>
    <s v="2.19"/>
    <s v="0.00"/>
    <s v="97.81"/>
  </r>
  <r>
    <x v="24"/>
    <x v="173"/>
    <n v="3677"/>
    <n v="56"/>
    <n v="3126"/>
    <s v="1.52"/>
    <s v="0.00"/>
    <s v="98.48"/>
  </r>
  <r>
    <x v="24"/>
    <x v="172"/>
    <n v="12225"/>
    <n v="130"/>
    <n v="6314"/>
    <s v="1.06"/>
    <s v="0.00"/>
    <s v="98.94"/>
  </r>
  <r>
    <x v="24"/>
    <x v="174"/>
    <n v="110188"/>
    <n v="3490"/>
    <n v="44756"/>
    <s v="3.17"/>
    <s v="0.00"/>
    <s v="96.83"/>
  </r>
  <r>
    <x v="24"/>
    <x v="175"/>
    <n v="39488"/>
    <n v="2429"/>
    <n v="4137"/>
    <s v="6.15"/>
    <s v="0.00"/>
    <s v="93.85"/>
  </r>
  <r>
    <x v="24"/>
    <x v="176"/>
    <n v="46371"/>
    <n v="1235"/>
    <n v="36506"/>
    <s v="2.66"/>
    <s v="0.00"/>
    <s v="97.34"/>
  </r>
  <r>
    <x v="24"/>
    <x v="177"/>
    <n v="5069"/>
    <n v="174"/>
    <n v="2227"/>
    <s v="3.43"/>
    <s v="0.00"/>
    <s v="96.57"/>
  </r>
  <r>
    <x v="24"/>
    <x v="178"/>
    <n v="25903"/>
    <n v="239"/>
    <n v="16734"/>
    <s v="0.92"/>
    <s v="0.00"/>
    <s v="99.08"/>
  </r>
  <r>
    <x v="24"/>
    <x v="179"/>
    <n v="1793812"/>
    <n v="18336"/>
    <n v="1528038"/>
    <s v="1.02"/>
    <s v="0.00"/>
    <s v="98.98"/>
  </r>
  <r>
    <x v="24"/>
    <x v="180"/>
    <n v="17484"/>
    <n v="125"/>
    <n v="1645"/>
    <s v="0.71"/>
    <s v="0.00"/>
    <s v="99.29"/>
  </r>
  <r>
    <x v="24"/>
    <x v="181"/>
    <n v="19725"/>
    <n v="119"/>
    <n v="5665"/>
    <s v="0.60"/>
    <s v="0.00"/>
    <s v="99.40"/>
  </r>
  <r>
    <x v="24"/>
    <x v="182"/>
    <n v="710953"/>
    <n v="25100"/>
    <n v="244141"/>
    <s v="3.53"/>
    <s v="0.00"/>
    <s v="96.47"/>
  </r>
  <r>
    <x v="24"/>
    <x v="184"/>
    <n v="7683487"/>
    <n v="67837"/>
    <n v="4514688"/>
    <s v="0.88"/>
    <s v="0.00"/>
    <s v="99.12"/>
  </r>
  <r>
    <x v="24"/>
    <x v="185"/>
    <n v="54267"/>
    <n v="1605"/>
    <n v="10427"/>
    <s v="2.96"/>
    <s v="0.00"/>
    <s v="97.04"/>
  </r>
  <r>
    <x v="24"/>
    <x v="186"/>
    <n v="16337"/>
    <n v="846"/>
    <n v="85"/>
    <s v="5.18"/>
    <s v="0.00"/>
    <s v="94.82"/>
  </r>
  <r>
    <x v="24"/>
    <x v="187"/>
    <n v="26034"/>
    <n v="724"/>
    <n v="3022"/>
    <s v="2.78"/>
    <s v="0.00"/>
    <s v="97.22"/>
  </r>
  <r>
    <x v="24"/>
    <x v="188"/>
    <n v="2767743"/>
    <n v="64797"/>
    <n v="500894"/>
    <s v="2.34"/>
    <s v="0.00"/>
    <s v="97.66"/>
  </r>
  <r>
    <x v="24"/>
    <x v="189"/>
    <n v="125261"/>
    <n v="3185"/>
    <n v="14349"/>
    <s v="2.54"/>
    <s v="0.00"/>
    <s v="97.46"/>
  </r>
  <r>
    <x v="24"/>
    <x v="190"/>
    <n v="45050910"/>
    <n v="725835"/>
    <n v="34160627"/>
    <s v="1.61"/>
    <s v="0.00"/>
    <s v="98.39"/>
  </r>
  <r>
    <x v="24"/>
    <x v="191"/>
    <n v="391167"/>
    <n v="6069"/>
    <n v="9690"/>
    <s v="1.55"/>
    <s v="0.00"/>
    <s v="98.45"/>
  </r>
  <r>
    <x v="24"/>
    <x v="192"/>
    <n v="181312"/>
    <n v="1290"/>
    <n v="42075"/>
    <s v="0.71"/>
    <s v="0.00"/>
    <s v="99.29"/>
  </r>
  <r>
    <x v="24"/>
    <x v="194"/>
    <n v="4627"/>
    <n v="53"/>
    <n v="1710"/>
    <s v="1.15"/>
    <s v="0.00"/>
    <s v="98.85"/>
  </r>
  <r>
    <x v="24"/>
    <x v="193"/>
    <n v="27"/>
    <n v="0"/>
    <n v="0"/>
    <s v="0.00"/>
    <s v="0.00"/>
    <s v="100.00"/>
  </r>
  <r>
    <x v="24"/>
    <x v="195"/>
    <n v="394061"/>
    <n v="4734"/>
    <n v="34979"/>
    <s v="1.20"/>
    <s v="0.00"/>
    <s v="98.80"/>
  </r>
  <r>
    <x v="24"/>
    <x v="196"/>
    <n v="867221"/>
    <n v="21269"/>
    <n v="777793"/>
    <s v="2.45"/>
    <s v="0.00"/>
    <s v="97.55"/>
  </r>
  <r>
    <x v="24"/>
    <x v="197"/>
    <n v="4"/>
    <n v="1"/>
    <n v="0"/>
    <s v="25.00"/>
    <s v="0.00"/>
    <s v="75.00"/>
  </r>
  <r>
    <x v="24"/>
    <x v="198"/>
    <n v="3"/>
    <n v="0"/>
    <n v="2"/>
    <s v="0.00"/>
    <s v="0.00"/>
    <s v="100.00"/>
  </r>
  <r>
    <x v="24"/>
    <x v="199"/>
    <n v="160541"/>
    <n v="2973"/>
    <n v="13703"/>
    <s v="1.85"/>
    <s v="0.00"/>
    <s v="98.15"/>
  </r>
  <r>
    <x v="24"/>
    <x v="200"/>
    <n v="9556"/>
    <n v="1807"/>
    <n v="2353"/>
    <s v="18.91"/>
    <s v="0.00"/>
    <s v="81.09"/>
  </r>
  <r>
    <x v="24"/>
    <x v="201"/>
    <n v="20439"/>
    <n v="181"/>
    <n v="7414"/>
    <s v="0.89"/>
    <s v="0.00"/>
    <s v="99.11"/>
  </r>
  <r>
    <x v="24"/>
    <x v="202"/>
    <n v="2916803"/>
    <n v="88619"/>
    <n v="1181792"/>
    <s v="3.04"/>
    <s v="0.00"/>
    <s v="96.96"/>
  </r>
  <r>
    <x v="24"/>
    <x v="203"/>
    <n v="209536"/>
    <n v="3658"/>
    <n v="183771"/>
    <s v="1.75"/>
    <s v="0.00"/>
    <s v="98.25"/>
  </r>
  <r>
    <x v="24"/>
    <x v="204"/>
    <n v="132368"/>
    <n v="4658"/>
    <n v="57297"/>
    <s v="3.52"/>
    <s v="0.00"/>
    <s v="96.48"/>
  </r>
  <r>
    <x v="24"/>
    <x v="205"/>
    <n v="721"/>
    <n v="15"/>
    <n v="326"/>
    <s v="2.08"/>
    <s v="0.00"/>
    <s v="97.92"/>
  </r>
  <r>
    <x v="25"/>
    <x v="205"/>
    <n v="721"/>
    <n v="15"/>
    <n v="292"/>
    <s v="2.08"/>
    <s v="0.00"/>
    <s v="97.92"/>
  </r>
  <r>
    <x v="25"/>
    <x v="204"/>
    <n v="132368"/>
    <n v="4658"/>
    <n v="69216"/>
    <s v="3.52"/>
    <s v="0.00"/>
    <s v="96.48"/>
  </r>
  <r>
    <x v="25"/>
    <x v="203"/>
    <n v="209521"/>
    <n v="3658"/>
    <n v="127056"/>
    <s v="1.75"/>
    <s v="0.00"/>
    <s v="98.25"/>
  </r>
  <r>
    <x v="25"/>
    <x v="202"/>
    <n v="2916593"/>
    <n v="88612"/>
    <n v="1355702"/>
    <s v="3.04"/>
    <s v="0.00"/>
    <s v="96.96"/>
  </r>
  <r>
    <x v="25"/>
    <x v="201"/>
    <n v="20439"/>
    <n v="181"/>
    <n v="347"/>
    <s v="0.89"/>
    <s v="0.00"/>
    <s v="99.11"/>
  </r>
  <r>
    <x v="25"/>
    <x v="200"/>
    <n v="9526"/>
    <n v="1804"/>
    <n v="4292"/>
    <s v="18.94"/>
    <s v="0.00"/>
    <s v="81.06"/>
  </r>
  <r>
    <x v="25"/>
    <x v="199"/>
    <n v="160540"/>
    <n v="2973"/>
    <n v="152539"/>
    <s v="1.85"/>
    <s v="0.00"/>
    <s v="98.15"/>
  </r>
  <r>
    <x v="25"/>
    <x v="198"/>
    <n v="3"/>
    <n v="0"/>
    <n v="0"/>
    <s v="0.00"/>
    <s v="0.00"/>
    <s v="100.00"/>
  </r>
  <r>
    <x v="25"/>
    <x v="197"/>
    <n v="4"/>
    <n v="1"/>
    <n v="3"/>
    <s v="25.00"/>
    <s v="0.00"/>
    <s v="75.00"/>
  </r>
  <r>
    <x v="25"/>
    <x v="196"/>
    <n v="864053"/>
    <n v="21194"/>
    <n v="53525"/>
    <s v="2.45"/>
    <s v="0.00"/>
    <s v="97.55"/>
  </r>
  <r>
    <x v="25"/>
    <x v="195"/>
    <n v="392762"/>
    <n v="4719"/>
    <n v="196049"/>
    <s v="1.20"/>
    <s v="0.00"/>
    <s v="98.80"/>
  </r>
  <r>
    <x v="25"/>
    <x v="193"/>
    <n v="27"/>
    <n v="0"/>
    <n v="20"/>
    <s v="0.00"/>
    <s v="0.00"/>
    <s v="100.00"/>
  </r>
  <r>
    <x v="25"/>
    <x v="194"/>
    <n v="4623"/>
    <n v="53"/>
    <n v="1325"/>
    <s v="1.15"/>
    <s v="0.00"/>
    <s v="98.85"/>
  </r>
  <r>
    <x v="25"/>
    <x v="192"/>
    <n v="180958"/>
    <n v="1287"/>
    <n v="150474"/>
    <s v="0.71"/>
    <s v="0.00"/>
    <s v="99.29"/>
  </r>
  <r>
    <x v="25"/>
    <x v="191"/>
    <n v="391044"/>
    <n v="6069"/>
    <n v="257927"/>
    <s v="1.55"/>
    <s v="0.00"/>
    <s v="98.45"/>
  </r>
  <r>
    <x v="25"/>
    <x v="190"/>
    <n v="44934357"/>
    <n v="724110"/>
    <n v="4886688"/>
    <s v="1.61"/>
    <s v="0.00"/>
    <s v="98.39"/>
  </r>
  <r>
    <x v="25"/>
    <x v="189"/>
    <n v="125186"/>
    <n v="3185"/>
    <n v="66054"/>
    <s v="2.54"/>
    <s v="0.00"/>
    <s v="97.46"/>
  </r>
  <r>
    <x v="25"/>
    <x v="188"/>
    <n v="2757328"/>
    <n v="64603"/>
    <n v="1326612"/>
    <s v="2.34"/>
    <s v="0.00"/>
    <s v="97.66"/>
  </r>
  <r>
    <x v="25"/>
    <x v="187"/>
    <n v="26034"/>
    <n v="724"/>
    <n v="21861"/>
    <s v="2.78"/>
    <s v="0.00"/>
    <s v="97.22"/>
  </r>
  <r>
    <x v="25"/>
    <x v="186"/>
    <n v="16337"/>
    <n v="846"/>
    <n v="3255"/>
    <s v="5.18"/>
    <s v="0.00"/>
    <s v="94.82"/>
  </r>
  <r>
    <x v="25"/>
    <x v="185"/>
    <n v="54114"/>
    <n v="1600"/>
    <n v="28009"/>
    <s v="2.96"/>
    <s v="0.00"/>
    <s v="97.04"/>
  </r>
  <r>
    <x v="25"/>
    <x v="184"/>
    <n v="7654247"/>
    <n v="67623"/>
    <n v="2564139"/>
    <s v="0.88"/>
    <s v="0.00"/>
    <s v="99.12"/>
  </r>
  <r>
    <x v="25"/>
    <x v="182"/>
    <n v="710906"/>
    <n v="25098"/>
    <n v="506917"/>
    <s v="3.53"/>
    <s v="0.00"/>
    <s v="96.47"/>
  </r>
  <r>
    <x v="25"/>
    <x v="181"/>
    <n v="19714"/>
    <n v="119"/>
    <n v="8186"/>
    <s v="0.60"/>
    <s v="0.00"/>
    <s v="99.40"/>
  </r>
  <r>
    <x v="25"/>
    <x v="180"/>
    <n v="17484"/>
    <n v="125"/>
    <n v="9316"/>
    <s v="0.71"/>
    <s v="0.00"/>
    <s v="99.29"/>
  </r>
  <r>
    <x v="25"/>
    <x v="179"/>
    <n v="1783701"/>
    <n v="18273"/>
    <n v="796733"/>
    <s v="1.02"/>
    <s v="0.00"/>
    <s v="98.98"/>
  </r>
  <r>
    <x v="25"/>
    <x v="178"/>
    <n v="25899"/>
    <n v="239"/>
    <n v="18587"/>
    <s v="0.92"/>
    <s v="0.00"/>
    <s v="99.08"/>
  </r>
  <r>
    <x v="25"/>
    <x v="177"/>
    <n v="5067"/>
    <n v="174"/>
    <n v="1017"/>
    <s v="3.43"/>
    <s v="0.00"/>
    <s v="96.57"/>
  </r>
  <r>
    <x v="25"/>
    <x v="176"/>
    <n v="46363"/>
    <n v="1233"/>
    <n v="32051"/>
    <s v="2.66"/>
    <s v="0.00"/>
    <s v="97.34"/>
  </r>
  <r>
    <x v="25"/>
    <x v="175"/>
    <n v="39086"/>
    <n v="2408"/>
    <n v="3074"/>
    <s v="6.16"/>
    <s v="0.00"/>
    <s v="93.84"/>
  </r>
  <r>
    <x v="25"/>
    <x v="174"/>
    <n v="110188"/>
    <n v="3477"/>
    <n v="105307"/>
    <s v="3.16"/>
    <s v="0.00"/>
    <s v="96.84"/>
  </r>
  <r>
    <x v="25"/>
    <x v="172"/>
    <n v="12184"/>
    <n v="130"/>
    <n v="1189"/>
    <s v="1.07"/>
    <s v="0.00"/>
    <s v="98.93"/>
  </r>
  <r>
    <x v="25"/>
    <x v="173"/>
    <n v="3677"/>
    <n v="56"/>
    <n v="2368"/>
    <s v="1.52"/>
    <s v="0.00"/>
    <s v="98.48"/>
  </r>
  <r>
    <x v="25"/>
    <x v="171"/>
    <n v="46447"/>
    <n v="1022"/>
    <n v="39851"/>
    <s v="2.20"/>
    <s v="0.00"/>
    <s v="97.80"/>
  </r>
  <r>
    <x v="25"/>
    <x v="170"/>
    <n v="21269"/>
    <n v="1180"/>
    <n v="16164"/>
    <s v="5.55"/>
    <s v="0.00"/>
    <s v="94.45"/>
  </r>
  <r>
    <x v="25"/>
    <x v="169"/>
    <n v="73866"/>
    <n v="1871"/>
    <n v="12869"/>
    <s v="2.53"/>
    <s v="0.00"/>
    <s v="97.47"/>
  </r>
  <r>
    <x v="25"/>
    <x v="168"/>
    <n v="5473"/>
    <n v="91"/>
    <n v="3363"/>
    <s v="1.66"/>
    <s v="0.00"/>
    <s v="98.34"/>
  </r>
  <r>
    <x v="25"/>
    <x v="167"/>
    <n v="6396"/>
    <n v="121"/>
    <n v="1995"/>
    <s v="1.89"/>
    <s v="0.00"/>
    <s v="98.11"/>
  </r>
  <r>
    <x v="25"/>
    <x v="166"/>
    <n v="437385"/>
    <n v="12846"/>
    <n v="258220"/>
    <s v="2.94"/>
    <s v="0.00"/>
    <s v="97.06"/>
  </r>
  <r>
    <x v="25"/>
    <x v="165"/>
    <n v="308136"/>
    <n v="4638"/>
    <n v="39042"/>
    <s v="1.51"/>
    <s v="0.00"/>
    <s v="98.49"/>
  </r>
  <r>
    <x v="25"/>
    <x v="164"/>
    <n v="148178"/>
    <n v="233"/>
    <n v="10494"/>
    <s v="0.16"/>
    <s v="0.00"/>
    <s v="99.84"/>
  </r>
  <r>
    <x v="25"/>
    <x v="163"/>
    <n v="1161933"/>
    <n v="14956"/>
    <n v="912694"/>
    <s v="1.29"/>
    <s v="0.00"/>
    <s v="98.71"/>
  </r>
  <r>
    <x v="25"/>
    <x v="162"/>
    <n v="39550"/>
    <n v="3038"/>
    <n v="12801"/>
    <s v="7.68"/>
    <s v="0.00"/>
    <s v="92.32"/>
  </r>
  <r>
    <x v="25"/>
    <x v="161"/>
    <n v="21854"/>
    <n v="119"/>
    <n v="14786"/>
    <s v="0.54"/>
    <s v="0.00"/>
    <s v="99.46"/>
  </r>
  <r>
    <x v="25"/>
    <x v="160"/>
    <n v="20"/>
    <n v="0"/>
    <n v="2"/>
    <s v="0.00"/>
    <s v="0.00"/>
    <s v="100.00"/>
  </r>
  <r>
    <x v="25"/>
    <x v="159"/>
    <n v="547931"/>
    <n v="8763"/>
    <n v="502218"/>
    <s v="1.60"/>
    <s v="0.00"/>
    <s v="98.40"/>
  </r>
  <r>
    <x v="25"/>
    <x v="158"/>
    <n v="99145"/>
    <n v="1313"/>
    <n v="94200"/>
    <s v="1.32"/>
    <s v="0.00"/>
    <s v="98.68"/>
  </r>
  <r>
    <x v="25"/>
    <x v="157"/>
    <n v="7870529"/>
    <n v="219342"/>
    <n v="3273447"/>
    <s v="2.79"/>
    <s v="0.00"/>
    <s v="97.21"/>
  </r>
  <r>
    <x v="25"/>
    <x v="156"/>
    <n v="1048835"/>
    <n v="9105"/>
    <n v="1022845"/>
    <s v="0.87"/>
    <s v="0.00"/>
    <s v="99.13"/>
  </r>
  <r>
    <x v="25"/>
    <x v="155"/>
    <n v="1457260"/>
    <n v="41781"/>
    <n v="85526"/>
    <s v="2.87"/>
    <s v="0.00"/>
    <s v="97.13"/>
  </r>
  <r>
    <x v="25"/>
    <x v="154"/>
    <n v="54024"/>
    <n v="370"/>
    <n v="42822"/>
    <s v="0.68"/>
    <s v="0.00"/>
    <s v="99.32"/>
  </r>
  <r>
    <x v="25"/>
    <x v="153"/>
    <n v="237929"/>
    <n v="608"/>
    <n v="32135"/>
    <s v="0.26"/>
    <s v="0.00"/>
    <s v="99.74"/>
  </r>
  <r>
    <x v="25"/>
    <x v="152"/>
    <n v="460322"/>
    <n v="16209"/>
    <n v="120864"/>
    <s v="3.52"/>
    <s v="0.00"/>
    <s v="96.48"/>
  </r>
  <r>
    <x v="25"/>
    <x v="151"/>
    <n v="8"/>
    <n v="0"/>
    <n v="6"/>
    <s v="0.00"/>
    <s v="0.00"/>
    <s v="100.00"/>
  </r>
  <r>
    <x v="25"/>
    <x v="150"/>
    <n v="1079806"/>
    <n v="18097"/>
    <n v="996686"/>
    <s v="1.68"/>
    <s v="0.00"/>
    <s v="98.32"/>
  </r>
  <r>
    <x v="25"/>
    <x v="149"/>
    <n v="447032"/>
    <n v="4556"/>
    <n v="223195"/>
    <s v="1.02"/>
    <s v="0.00"/>
    <s v="98.98"/>
  </r>
  <r>
    <x v="25"/>
    <x v="148"/>
    <n v="2939590"/>
    <n v="76112"/>
    <n v="136156"/>
    <s v="2.59"/>
    <s v="0.00"/>
    <s v="97.41"/>
  </r>
  <r>
    <x v="25"/>
    <x v="146"/>
    <n v="2720368"/>
    <n v="40675"/>
    <n v="2410637"/>
    <s v="1.50"/>
    <s v="0.00"/>
    <s v="98.50"/>
  </r>
  <r>
    <x v="25"/>
    <x v="147"/>
    <n v="1265047"/>
    <n v="28280"/>
    <n v="298921"/>
    <s v="2.24"/>
    <s v="0.00"/>
    <s v="97.76"/>
  </r>
  <r>
    <x v="25"/>
    <x v="145"/>
    <n v="24041"/>
    <n v="266"/>
    <n v="17692"/>
    <s v="1.11"/>
    <s v="0.00"/>
    <s v="98.89"/>
  </r>
  <r>
    <x v="25"/>
    <x v="144"/>
    <n v="45439"/>
    <n v="633"/>
    <n v="13818"/>
    <s v="1.39"/>
    <s v="0.00"/>
    <s v="98.61"/>
  </r>
  <r>
    <x v="25"/>
    <x v="143"/>
    <n v="2190009"/>
    <n v="199843"/>
    <n v="1053529"/>
    <s v="9.13"/>
    <s v="0.00"/>
    <s v="90.87"/>
  </r>
  <r>
    <x v="25"/>
    <x v="142"/>
    <n v="470264"/>
    <n v="7291"/>
    <n v="271218"/>
    <s v="1.55"/>
    <s v="0.00"/>
    <s v="98.45"/>
  </r>
  <r>
    <x v="25"/>
    <x v="141"/>
    <n v="304054"/>
    <n v="4105"/>
    <n v="142735"/>
    <s v="1.35"/>
    <s v="0.00"/>
    <s v="98.65"/>
  </r>
  <r>
    <x v="25"/>
    <x v="140"/>
    <n v="5056"/>
    <n v="28"/>
    <n v="3084"/>
    <s v="0.55"/>
    <s v="0.00"/>
    <s v="99.45"/>
  </r>
  <r>
    <x v="25"/>
    <x v="139"/>
    <n v="805037"/>
    <n v="11284"/>
    <n v="36872"/>
    <s v="1.40"/>
    <s v="0.00"/>
    <s v="98.60"/>
  </r>
  <r>
    <x v="25"/>
    <x v="138"/>
    <n v="196351"/>
    <n v="884"/>
    <n v="157444"/>
    <s v="0.45"/>
    <s v="0.00"/>
    <s v="99.55"/>
  </r>
  <r>
    <x v="25"/>
    <x v="137"/>
    <n v="2087144"/>
    <n v="18680"/>
    <n v="749858"/>
    <s v="0.90"/>
    <s v="0.00"/>
    <s v="99.10"/>
  </r>
  <r>
    <x v="25"/>
    <x v="136"/>
    <n v="15737"/>
    <n v="206"/>
    <n v="14245"/>
    <s v="1.31"/>
    <s v="0.00"/>
    <s v="98.69"/>
  </r>
  <r>
    <x v="25"/>
    <x v="135"/>
    <n v="209298"/>
    <n v="2837"/>
    <n v="62477"/>
    <s v="1.36"/>
    <s v="0.00"/>
    <s v="98.64"/>
  </r>
  <r>
    <x v="25"/>
    <x v="134"/>
    <n v="6170"/>
    <n v="204"/>
    <n v="3115"/>
    <s v="3.31"/>
    <s v="0.00"/>
    <s v="96.69"/>
  </r>
  <r>
    <x v="25"/>
    <x v="133"/>
    <n v="9977"/>
    <n v="241"/>
    <n v="9659"/>
    <s v="2.42"/>
    <s v="0.00"/>
    <s v="97.58"/>
  </r>
  <r>
    <x v="25"/>
    <x v="132"/>
    <n v="128328"/>
    <n v="3538"/>
    <n v="28205"/>
    <s v="2.76"/>
    <s v="0.00"/>
    <s v="97.24"/>
  </r>
  <r>
    <x v="25"/>
    <x v="131"/>
    <n v="151102"/>
    <n v="1926"/>
    <n v="115209"/>
    <s v="1.27"/>
    <s v="0.00"/>
    <s v="98.73"/>
  </r>
  <r>
    <x v="25"/>
    <x v="130"/>
    <n v="2390687"/>
    <n v="27921"/>
    <n v="625246"/>
    <s v="1.17"/>
    <s v="0.00"/>
    <s v="98.83"/>
  </r>
  <r>
    <x v="25"/>
    <x v="129"/>
    <n v="3757056"/>
    <n v="284381"/>
    <n v="3107814"/>
    <s v="7.57"/>
    <s v="0.00"/>
    <s v="92.43"/>
  </r>
  <r>
    <x v="25"/>
    <x v="128"/>
    <n v="61716"/>
    <n v="2292"/>
    <n v="52251"/>
    <s v="3.71"/>
    <s v="0.00"/>
    <s v="96.29"/>
  </r>
  <r>
    <x v="25"/>
    <x v="127"/>
    <n v="86165"/>
    <n v="238"/>
    <n v="21892"/>
    <s v="0.28"/>
    <s v="0.00"/>
    <s v="99.72"/>
  </r>
  <r>
    <x v="25"/>
    <x v="126"/>
    <n v="16621"/>
    <n v="129"/>
    <n v="4618"/>
    <s v="0.78"/>
    <s v="0.00"/>
    <s v="99.22"/>
  </r>
  <r>
    <x v="25"/>
    <x v="125"/>
    <n v="37453"/>
    <n v="459"/>
    <n v="14315"/>
    <s v="1.23"/>
    <s v="0.00"/>
    <s v="98.77"/>
  </r>
  <r>
    <x v="25"/>
    <x v="124"/>
    <n v="36677"/>
    <n v="788"/>
    <n v="17336"/>
    <s v="2.15"/>
    <s v="0.00"/>
    <s v="97.85"/>
  </r>
  <r>
    <x v="25"/>
    <x v="123"/>
    <n v="42269"/>
    <n v="656"/>
    <n v="24673"/>
    <s v="1.55"/>
    <s v="0.00"/>
    <s v="98.45"/>
  </r>
  <r>
    <x v="25"/>
    <x v="122"/>
    <n v="77"/>
    <n v="0"/>
    <n v="13"/>
    <s v="0.00"/>
    <s v="0.00"/>
    <s v="100.00"/>
  </r>
  <r>
    <x v="25"/>
    <x v="121"/>
    <n v="339536"/>
    <n v="1556"/>
    <n v="182355"/>
    <s v="0.46"/>
    <s v="0.00"/>
    <s v="99.54"/>
  </r>
  <r>
    <x v="25"/>
    <x v="120"/>
    <n v="487853"/>
    <n v="18359"/>
    <n v="342637"/>
    <s v="3.76"/>
    <s v="0.00"/>
    <s v="96.24"/>
  </r>
  <r>
    <x v="25"/>
    <x v="119"/>
    <n v="15619"/>
    <n v="557"/>
    <n v="3508"/>
    <s v="3.57"/>
    <s v="0.00"/>
    <s v="96.43"/>
  </r>
  <r>
    <x v="25"/>
    <x v="118"/>
    <n v="197091"/>
    <n v="6940"/>
    <n v="5717"/>
    <s v="3.52"/>
    <s v="0.00"/>
    <s v="96.48"/>
  </r>
  <r>
    <x v="25"/>
    <x v="117"/>
    <n v="4"/>
    <n v="0"/>
    <n v="0"/>
    <s v="0.00"/>
    <s v="0.00"/>
    <s v="100.00"/>
  </r>
  <r>
    <x v="25"/>
    <x v="116"/>
    <n v="43616"/>
    <n v="960"/>
    <n v="36390"/>
    <s v="2.20"/>
    <s v="0.00"/>
    <s v="97.80"/>
  </r>
  <r>
    <x v="25"/>
    <x v="115"/>
    <n v="3878"/>
    <n v="55"/>
    <n v="2665"/>
    <s v="1.42"/>
    <s v="0.00"/>
    <s v="98.58"/>
  </r>
  <r>
    <x v="25"/>
    <x v="114"/>
    <n v="137769"/>
    <n v="2023"/>
    <n v="98866"/>
    <s v="1.47"/>
    <s v="0.00"/>
    <s v="98.53"/>
  </r>
  <r>
    <x v="25"/>
    <x v="113"/>
    <n v="316529"/>
    <n v="7241"/>
    <n v="90476"/>
    <s v="2.29"/>
    <s v="0.00"/>
    <s v="97.71"/>
  </r>
  <r>
    <x v="25"/>
    <x v="112"/>
    <n v="3358"/>
    <n v="35"/>
    <n v="3115"/>
    <s v="1.04"/>
    <s v="0.00"/>
    <s v="98.96"/>
  </r>
  <r>
    <x v="25"/>
    <x v="111"/>
    <n v="942132"/>
    <n v="14544"/>
    <n v="222813"/>
    <s v="1.54"/>
    <s v="0.00"/>
    <s v="98.46"/>
  </r>
  <r>
    <x v="25"/>
    <x v="110"/>
    <n v="349990"/>
    <n v="4883"/>
    <n v="159873"/>
    <s v="1.40"/>
    <s v="0.00"/>
    <s v="98.60"/>
  </r>
  <r>
    <x v="25"/>
    <x v="109"/>
    <n v="185614"/>
    <n v="2890"/>
    <n v="177992"/>
    <s v="1.56"/>
    <s v="0.00"/>
    <s v="98.44"/>
  </r>
  <r>
    <x v="25"/>
    <x v="108"/>
    <n v="79720"/>
    <n v="839"/>
    <n v="16527"/>
    <s v="1.05"/>
    <s v="0.00"/>
    <s v="98.95"/>
  </r>
  <r>
    <x v="25"/>
    <x v="107"/>
    <n v="368641"/>
    <n v="5439"/>
    <n v="314681"/>
    <s v="1.48"/>
    <s v="0.00"/>
    <s v="98.52"/>
  </r>
  <r>
    <x v="25"/>
    <x v="106"/>
    <n v="21530"/>
    <n v="655"/>
    <n v="3820"/>
    <s v="3.04"/>
    <s v="0.00"/>
    <s v="96.96"/>
  </r>
  <r>
    <x v="25"/>
    <x v="105"/>
    <n v="5803"/>
    <n v="286"/>
    <n v="348"/>
    <s v="4.93"/>
    <s v="0.00"/>
    <s v="95.07"/>
  </r>
  <r>
    <x v="25"/>
    <x v="104"/>
    <n v="531648"/>
    <n v="13484"/>
    <n v="375089"/>
    <s v="2.54"/>
    <s v="0.00"/>
    <s v="97.46"/>
  </r>
  <r>
    <x v="25"/>
    <x v="103"/>
    <n v="3584"/>
    <n v="60"/>
    <n v="1483"/>
    <s v="1.67"/>
    <s v="0.00"/>
    <s v="98.33"/>
  </r>
  <r>
    <x v="25"/>
    <x v="102"/>
    <n v="12228"/>
    <n v="236"/>
    <n v="3992"/>
    <s v="1.93"/>
    <s v="0.00"/>
    <s v="98.07"/>
  </r>
  <r>
    <x v="25"/>
    <x v="101"/>
    <n v="633909"/>
    <n v="8425"/>
    <n v="273047"/>
    <s v="1.33"/>
    <s v="0.00"/>
    <s v="98.67"/>
  </r>
  <r>
    <x v="25"/>
    <x v="100"/>
    <n v="32029"/>
    <n v="40"/>
    <n v="4790"/>
    <s v="0.12"/>
    <s v="0.00"/>
    <s v="99.88"/>
  </r>
  <r>
    <x v="25"/>
    <x v="99"/>
    <n v="996141"/>
    <n v="16618"/>
    <n v="557015"/>
    <s v="1.67"/>
    <s v="0.00"/>
    <s v="98.33"/>
  </r>
  <r>
    <x v="25"/>
    <x v="98"/>
    <n v="412332"/>
    <n v="2457"/>
    <n v="224739"/>
    <s v="0.60"/>
    <s v="0.00"/>
    <s v="99.40"/>
  </r>
  <r>
    <x v="25"/>
    <x v="97"/>
    <n v="343445"/>
    <n v="2668"/>
    <n v="323404"/>
    <s v="0.78"/>
    <s v="0.00"/>
    <s v="99.22"/>
  </r>
  <r>
    <x v="25"/>
    <x v="96"/>
    <n v="2550"/>
    <n v="21"/>
    <n v="1288"/>
    <s v="0.82"/>
    <s v="0.00"/>
    <s v="99.18"/>
  </r>
  <r>
    <x v="25"/>
    <x v="95"/>
    <n v="4186"/>
    <n v="147"/>
    <n v="1479"/>
    <s v="3.51"/>
    <s v="0.00"/>
    <s v="96.49"/>
  </r>
  <r>
    <x v="25"/>
    <x v="93"/>
    <n v="116665"/>
    <n v="2658"/>
    <n v="79335"/>
    <s v="2.28"/>
    <s v="0.00"/>
    <s v="97.72"/>
  </r>
  <r>
    <x v="25"/>
    <x v="94"/>
    <n v="2"/>
    <n v="0"/>
    <n v="1"/>
    <s v="0.00"/>
    <s v="0.00"/>
    <s v="100.00"/>
  </r>
  <r>
    <x v="25"/>
    <x v="92"/>
    <n v="179845"/>
    <n v="2634"/>
    <n v="152646"/>
    <s v="1.46"/>
    <s v="0.00"/>
    <s v="98.54"/>
  </r>
  <r>
    <x v="25"/>
    <x v="90"/>
    <n v="1715515"/>
    <n v="18112"/>
    <n v="668794"/>
    <s v="1.06"/>
    <s v="0.00"/>
    <s v="98.94"/>
  </r>
  <r>
    <x v="25"/>
    <x v="91"/>
    <n v="252033"/>
    <n v="5223"/>
    <n v="39753"/>
    <s v="2.07"/>
    <s v="0.00"/>
    <s v="97.93"/>
  </r>
  <r>
    <x v="25"/>
    <x v="89"/>
    <n v="841489"/>
    <n v="10879"/>
    <n v="149207"/>
    <s v="1.29"/>
    <s v="0.00"/>
    <s v="98.71"/>
  </r>
  <r>
    <x v="25"/>
    <x v="88"/>
    <n v="87389"/>
    <n v="2110"/>
    <n v="47855"/>
    <s v="2.41"/>
    <s v="0.00"/>
    <s v="97.59"/>
  </r>
  <r>
    <x v="25"/>
    <x v="87"/>
    <n v="4717899"/>
    <n v="131541"/>
    <n v="1872026"/>
    <s v="2.79"/>
    <s v="0.00"/>
    <s v="97.21"/>
  </r>
  <r>
    <x v="25"/>
    <x v="86"/>
    <n v="12455"/>
    <n v="33"/>
    <n v="513"/>
    <s v="0.26"/>
    <s v="0.00"/>
    <s v="99.74"/>
  </r>
  <r>
    <x v="25"/>
    <x v="85"/>
    <n v="5784815"/>
    <n v="124075"/>
    <n v="2798726"/>
    <s v="2.14"/>
    <s v="0.00"/>
    <s v="97.86"/>
  </r>
  <r>
    <x v="25"/>
    <x v="84"/>
    <n v="2035453"/>
    <n v="22756"/>
    <n v="711971"/>
    <s v="1.12"/>
    <s v="0.00"/>
    <s v="98.88"/>
  </r>
  <r>
    <x v="25"/>
    <x v="83"/>
    <n v="34081315"/>
    <n v="452290"/>
    <n v="24853461"/>
    <s v="1.33"/>
    <s v="0.00"/>
    <s v="98.67"/>
  </r>
  <r>
    <x v="25"/>
    <x v="82"/>
    <n v="1316317"/>
    <n v="7999"/>
    <n v="894181"/>
    <s v="0.61"/>
    <s v="0.00"/>
    <s v="99.39"/>
  </r>
  <r>
    <x v="25"/>
    <x v="81"/>
    <n v="415114"/>
    <n v="5306"/>
    <n v="81178"/>
    <s v="1.28"/>
    <s v="0.00"/>
    <s v="98.72"/>
  </r>
  <r>
    <x v="25"/>
    <x v="80"/>
    <n v="4234758"/>
    <n v="142952"/>
    <n v="2767973"/>
    <s v="3.38"/>
    <s v="0.00"/>
    <s v="96.62"/>
  </r>
  <r>
    <x v="25"/>
    <x v="79"/>
    <n v="833115"/>
    <n v="30351"/>
    <n v="401151"/>
    <s v="3.64"/>
    <s v="0.00"/>
    <s v="96.36"/>
  </r>
  <r>
    <x v="25"/>
    <x v="78"/>
    <n v="22933"/>
    <n v="657"/>
    <n v="17493"/>
    <s v="2.86"/>
    <s v="0.00"/>
    <s v="97.14"/>
  </r>
  <r>
    <x v="25"/>
    <x v="77"/>
    <n v="427914"/>
    <n v="8896"/>
    <n v="55297"/>
    <s v="2.08"/>
    <s v="0.00"/>
    <s v="97.92"/>
  </r>
  <r>
    <x v="25"/>
    <x v="76"/>
    <n v="372179"/>
    <n v="10096"/>
    <n v="239095"/>
    <s v="2.71"/>
    <s v="0.00"/>
    <s v="97.29"/>
  </r>
  <r>
    <x v="25"/>
    <x v="75"/>
    <n v="12294"/>
    <n v="213"/>
    <n v="7668"/>
    <s v="1.73"/>
    <s v="0.00"/>
    <s v="98.27"/>
  </r>
  <r>
    <x v="25"/>
    <x v="74"/>
    <n v="34455"/>
    <n v="870"/>
    <n v="23863"/>
    <s v="2.53"/>
    <s v="0.00"/>
    <s v="97.47"/>
  </r>
  <r>
    <x v="25"/>
    <x v="73"/>
    <n v="6130"/>
    <n v="141"/>
    <n v="3889"/>
    <s v="2.30"/>
    <s v="0.00"/>
    <s v="97.70"/>
  </r>
  <r>
    <x v="25"/>
    <x v="72"/>
    <n v="588069"/>
    <n v="14330"/>
    <n v="489271"/>
    <s v="2.44"/>
    <s v="0.00"/>
    <s v="97.56"/>
  </r>
  <r>
    <x v="25"/>
    <x v="71"/>
    <n v="693886"/>
    <n v="15375"/>
    <n v="77963"/>
    <s v="2.22"/>
    <s v="0.00"/>
    <s v="97.78"/>
  </r>
  <r>
    <x v="25"/>
    <x v="70"/>
    <n v="12840"/>
    <n v="156"/>
    <n v="10935"/>
    <s v="1.21"/>
    <s v="0.00"/>
    <s v="98.79"/>
  </r>
  <r>
    <x v="25"/>
    <x v="69"/>
    <n v="53836"/>
    <n v="800"/>
    <n v="28675"/>
    <s v="1.49"/>
    <s v="0.00"/>
    <s v="98.51"/>
  </r>
  <r>
    <x v="25"/>
    <x v="67"/>
    <n v="9946"/>
    <n v="339"/>
    <n v="1612"/>
    <s v="3.41"/>
    <s v="0.00"/>
    <s v="96.59"/>
  </r>
  <r>
    <x v="25"/>
    <x v="68"/>
    <n v="30572"/>
    <n v="385"/>
    <n v="2790"/>
    <s v="1.26"/>
    <s v="0.00"/>
    <s v="98.74"/>
  </r>
  <r>
    <x v="25"/>
    <x v="66"/>
    <n v="5758"/>
    <n v="98"/>
    <n v="3351"/>
    <s v="1.70"/>
    <s v="0.00"/>
    <s v="98.30"/>
  </r>
  <r>
    <x v="25"/>
    <x v="65"/>
    <n v="129440"/>
    <n v="1167"/>
    <n v="80238"/>
    <s v="0.90"/>
    <s v="0.00"/>
    <s v="99.10"/>
  </r>
  <r>
    <x v="25"/>
    <x v="64"/>
    <n v="43255"/>
    <n v="293"/>
    <n v="22029"/>
    <s v="0.68"/>
    <s v="0.00"/>
    <s v="99.32"/>
  </r>
  <r>
    <x v="25"/>
    <x v="62"/>
    <n v="5746"/>
    <n v="192"/>
    <n v="567"/>
    <s v="3.34"/>
    <s v="0.00"/>
    <s v="96.66"/>
  </r>
  <r>
    <x v="25"/>
    <x v="63"/>
    <n v="662334"/>
    <n v="9468"/>
    <n v="353417"/>
    <s v="1.43"/>
    <s v="0.00"/>
    <s v="98.57"/>
  </r>
  <r>
    <x v="25"/>
    <x v="61"/>
    <n v="8482927"/>
    <n v="138899"/>
    <n v="374914"/>
    <s v="1.64"/>
    <s v="0.00"/>
    <s v="98.36"/>
  </r>
  <r>
    <x v="25"/>
    <x v="60"/>
    <n v="33442"/>
    <n v="213"/>
    <n v="8975"/>
    <s v="0.64"/>
    <s v="0.00"/>
    <s v="99.36"/>
  </r>
  <r>
    <x v="25"/>
    <x v="59"/>
    <n v="6914791"/>
    <n v="114948"/>
    <n v="161747"/>
    <s v="1.66"/>
    <s v="0.00"/>
    <s v="98.34"/>
  </r>
  <r>
    <x v="25"/>
    <x v="58"/>
    <n v="1350"/>
    <n v="2"/>
    <n v="105"/>
    <s v="0.15"/>
    <s v="0.00"/>
    <s v="99.85"/>
  </r>
  <r>
    <x v="25"/>
    <x v="57"/>
    <n v="51701"/>
    <n v="663"/>
    <n v="1885"/>
    <s v="1.28"/>
    <s v="0.00"/>
    <s v="98.72"/>
  </r>
  <r>
    <x v="25"/>
    <x v="56"/>
    <n v="149897"/>
    <n v="1116"/>
    <n v="45361"/>
    <s v="0.74"/>
    <s v="0.00"/>
    <s v="99.26"/>
  </r>
  <r>
    <x v="25"/>
    <x v="55"/>
    <n v="359247"/>
    <n v="6217"/>
    <n v="129100"/>
    <s v="1.73"/>
    <s v="0.00"/>
    <s v="98.27"/>
  </r>
  <r>
    <x v="25"/>
    <x v="54"/>
    <n v="4984386"/>
    <n v="86974"/>
    <n v="622044"/>
    <s v="1.74"/>
    <s v="0.00"/>
    <s v="98.26"/>
  </r>
  <r>
    <x v="25"/>
    <x v="53"/>
    <n v="6774"/>
    <n v="45"/>
    <n v="5593"/>
    <s v="0.66"/>
    <s v="0.00"/>
    <s v="99.34"/>
  </r>
  <r>
    <x v="25"/>
    <x v="52"/>
    <n v="318456"/>
    <n v="17970"/>
    <n v="298137"/>
    <s v="5.64"/>
    <s v="0.00"/>
    <s v="94.36"/>
  </r>
  <r>
    <x v="25"/>
    <x v="51"/>
    <n v="172514"/>
    <n v="1426"/>
    <n v="108015"/>
    <s v="0.83"/>
    <s v="0.00"/>
    <s v="99.17"/>
  </r>
  <r>
    <x v="25"/>
    <x v="50"/>
    <n v="513026"/>
    <n v="32899"/>
    <n v="402731"/>
    <s v="6.41"/>
    <s v="0.00"/>
    <s v="93.59"/>
  </r>
  <r>
    <x v="25"/>
    <x v="49"/>
    <n v="205286"/>
    <n v="5872"/>
    <n v="67761"/>
    <s v="2.86"/>
    <s v="0.00"/>
    <s v="97.14"/>
  </r>
  <r>
    <x v="25"/>
    <x v="48"/>
    <n v="370451"/>
    <n v="4087"/>
    <n v="357113"/>
    <s v="1.10"/>
    <s v="0.00"/>
    <s v="98.90"/>
  </r>
  <r>
    <x v="25"/>
    <x v="47"/>
    <n v="4153"/>
    <n v="28"/>
    <n v="3687"/>
    <s v="0.67"/>
    <s v="0.00"/>
    <s v="99.33"/>
  </r>
  <r>
    <x v="25"/>
    <x v="46"/>
    <n v="369305"/>
    <n v="2685"/>
    <n v="299291"/>
    <s v="0.73"/>
    <s v="0.00"/>
    <s v="99.27"/>
  </r>
  <r>
    <x v="25"/>
    <x v="45"/>
    <n v="13396"/>
    <n v="179"/>
    <n v="4186"/>
    <s v="1.34"/>
    <s v="0.00"/>
    <s v="98.66"/>
  </r>
  <r>
    <x v="25"/>
    <x v="44"/>
    <n v="4382019"/>
    <n v="94632"/>
    <n v="3743987"/>
    <s v="2.16"/>
    <s v="0.00"/>
    <s v="97.84"/>
  </r>
  <r>
    <x v="25"/>
    <x v="43"/>
    <n v="1708925"/>
    <n v="30545"/>
    <n v="450067"/>
    <s v="1.79"/>
    <s v="0.00"/>
    <s v="98.21"/>
  </r>
  <r>
    <x v="25"/>
    <x v="42"/>
    <n v="121995"/>
    <n v="563"/>
    <n v="41559"/>
    <s v="0.46"/>
    <s v="0.00"/>
    <s v="99.54"/>
  </r>
  <r>
    <x v="25"/>
    <x v="41"/>
    <n v="38040"/>
    <n v="347"/>
    <n v="10949"/>
    <s v="0.91"/>
    <s v="0.00"/>
    <s v="99.09"/>
  </r>
  <r>
    <x v="25"/>
    <x v="40"/>
    <n v="934965"/>
    <n v="8058"/>
    <n v="40345"/>
    <s v="0.86"/>
    <s v="0.00"/>
    <s v="99.14"/>
  </r>
  <r>
    <x v="25"/>
    <x v="39"/>
    <n v="551144"/>
    <n v="6797"/>
    <n v="390131"/>
    <s v="1.23"/>
    <s v="0.00"/>
    <s v="98.77"/>
  </r>
  <r>
    <x v="25"/>
    <x v="38"/>
    <n v="4981532"/>
    <n v="126865"/>
    <n v="598156"/>
    <s v="2.55"/>
    <s v="0.00"/>
    <s v="97.45"/>
  </r>
  <r>
    <x v="25"/>
    <x v="37"/>
    <n v="96550"/>
    <n v="4636"/>
    <n v="77838"/>
    <s v="4.80"/>
    <s v="0.00"/>
    <s v="95.20"/>
  </r>
  <r>
    <x v="25"/>
    <x v="36"/>
    <n v="98402"/>
    <n v="1550"/>
    <n v="81531"/>
    <s v="1.58"/>
    <s v="0.00"/>
    <s v="98.42"/>
  </r>
  <r>
    <x v="25"/>
    <x v="35"/>
    <n v="1670750"/>
    <n v="37609"/>
    <n v="1010211"/>
    <s v="2.25"/>
    <s v="0.00"/>
    <s v="97.75"/>
  </r>
  <r>
    <x v="25"/>
    <x v="34"/>
    <n v="61038"/>
    <n v="682"/>
    <n v="16096"/>
    <s v="1.12"/>
    <s v="0.00"/>
    <s v="98.88"/>
  </r>
  <r>
    <x v="25"/>
    <x v="33"/>
    <n v="854591"/>
    <n v="11156"/>
    <n v="257753"/>
    <s v="1.31"/>
    <s v="0.00"/>
    <s v="98.69"/>
  </r>
  <r>
    <x v="25"/>
    <x v="32"/>
    <n v="15514"/>
    <n v="222"/>
    <n v="12559"/>
    <s v="1.43"/>
    <s v="0.00"/>
    <s v="98.57"/>
  </r>
  <r>
    <x v="25"/>
    <x v="31"/>
    <n v="11469"/>
    <n v="100"/>
    <n v="7474"/>
    <s v="0.87"/>
    <s v="0.00"/>
    <s v="99.13"/>
  </r>
  <r>
    <x v="25"/>
    <x v="30"/>
    <n v="57269"/>
    <n v="1089"/>
    <n v="49651"/>
    <s v="1.90"/>
    <s v="0.00"/>
    <s v="98.10"/>
  </r>
  <r>
    <x v="25"/>
    <x v="29"/>
    <n v="1687883"/>
    <n v="28545"/>
    <n v="792509"/>
    <s v="1.69"/>
    <s v="0.00"/>
    <s v="98.31"/>
  </r>
  <r>
    <x v="25"/>
    <x v="28"/>
    <n v="23990"/>
    <n v="461"/>
    <n v="14124"/>
    <s v="1.92"/>
    <s v="0.00"/>
    <s v="98.08"/>
  </r>
  <r>
    <x v="25"/>
    <x v="27"/>
    <n v="571987"/>
    <n v="4402"/>
    <n v="372176"/>
    <s v="0.77"/>
    <s v="0.00"/>
    <s v="99.23"/>
  </r>
  <r>
    <x v="25"/>
    <x v="26"/>
    <n v="181856"/>
    <n v="2386"/>
    <n v="83931"/>
    <s v="1.31"/>
    <s v="0.00"/>
    <s v="98.69"/>
  </r>
  <r>
    <x v="25"/>
    <x v="25"/>
    <n v="2617"/>
    <n v="3"/>
    <n v="1984"/>
    <s v="0.11"/>
    <s v="0.00"/>
    <s v="99.89"/>
  </r>
  <r>
    <x v="25"/>
    <x v="24"/>
    <n v="21580"/>
    <n v="590"/>
    <n v="11516"/>
    <s v="2.73"/>
    <s v="0.00"/>
    <s v="97.27"/>
  </r>
  <r>
    <x v="25"/>
    <x v="23"/>
    <n v="21644464"/>
    <n v="603282"/>
    <n v="12198405"/>
    <s v="2.79"/>
    <s v="0.00"/>
    <s v="97.21"/>
  </r>
  <r>
    <x v="25"/>
    <x v="22"/>
    <n v="506654"/>
    <n v="18834"/>
    <n v="421170"/>
    <s v="3.72"/>
    <s v="0.00"/>
    <s v="96.28"/>
  </r>
  <r>
    <x v="25"/>
    <x v="21"/>
    <n v="10860"/>
    <n v="73"/>
    <n v="4358"/>
    <s v="0.67"/>
    <s v="0.00"/>
    <s v="99.33"/>
  </r>
  <r>
    <x v="25"/>
    <x v="20"/>
    <n v="1658"/>
    <n v="6"/>
    <n v="1121"/>
    <s v="0.36"/>
    <s v="0.00"/>
    <s v="99.64"/>
  </r>
  <r>
    <x v="25"/>
    <x v="19"/>
    <n v="24560"/>
    <n v="161"/>
    <n v="16277"/>
    <s v="0.66"/>
    <s v="0.00"/>
    <s v="99.34"/>
  </r>
  <r>
    <x v="25"/>
    <x v="18"/>
    <n v="19555"/>
    <n v="38"/>
    <n v="14715"/>
    <s v="0.19"/>
    <s v="0.00"/>
    <s v="99.81"/>
  </r>
  <r>
    <x v="25"/>
    <x v="17"/>
    <n v="276118"/>
    <n v="1391"/>
    <n v="1275"/>
    <s v="0.50"/>
    <s v="0.00"/>
    <s v="99.50"/>
  </r>
  <r>
    <x v="25"/>
    <x v="16"/>
    <n v="540619"/>
    <n v="22274"/>
    <n v="458462"/>
    <s v="4.12"/>
    <s v="0.00"/>
    <s v="95.88"/>
  </r>
  <r>
    <x v="25"/>
    <x v="15"/>
    <n v="14734"/>
    <n v="203"/>
    <n v="268"/>
    <s v="1.38"/>
    <s v="0.00"/>
    <s v="98.62"/>
  </r>
  <r>
    <x v="25"/>
    <x v="14"/>
    <n v="1279869"/>
    <n v="25747"/>
    <n v="22110"/>
    <s v="2.01"/>
    <s v="0.00"/>
    <s v="97.99"/>
  </r>
  <r>
    <x v="25"/>
    <x v="13"/>
    <n v="1565488"/>
    <n v="27768"/>
    <n v="174907"/>
    <s v="1.77"/>
    <s v="0.00"/>
    <s v="98.23"/>
  </r>
  <r>
    <x v="25"/>
    <x v="12"/>
    <n v="12968"/>
    <n v="119"/>
    <n v="2196"/>
    <s v="0.92"/>
    <s v="0.00"/>
    <s v="99.08"/>
  </r>
  <r>
    <x v="25"/>
    <x v="11"/>
    <n v="243914"/>
    <n v="11110"/>
    <n v="56778"/>
    <s v="4.55"/>
    <s v="0.00"/>
    <s v="95.45"/>
  </r>
  <r>
    <x v="25"/>
    <x v="10"/>
    <n v="502207"/>
    <n v="6765"/>
    <n v="246510"/>
    <s v="1.35"/>
    <s v="0.00"/>
    <s v="98.65"/>
  </r>
  <r>
    <x v="25"/>
    <x v="9"/>
    <n v="145263"/>
    <n v="1543"/>
    <n v="122389"/>
    <s v="1.06"/>
    <s v="0.00"/>
    <s v="98.94"/>
  </r>
  <r>
    <x v="25"/>
    <x v="8"/>
    <n v="775782"/>
    <n v="11167"/>
    <n v="68803"/>
    <s v="1.44"/>
    <s v="0.00"/>
    <s v="98.56"/>
  </r>
  <r>
    <x v="25"/>
    <x v="7"/>
    <n v="5272551"/>
    <n v="115666"/>
    <n v="4207778"/>
    <s v="2.19"/>
    <s v="0.00"/>
    <s v="97.81"/>
  </r>
  <r>
    <x v="25"/>
    <x v="6"/>
    <n v="62842"/>
    <n v="1664"/>
    <n v="16030"/>
    <s v="2.65"/>
    <s v="0.00"/>
    <s v="97.35"/>
  </r>
  <r>
    <x v="25"/>
    <x v="5"/>
    <n v="281991"/>
    <n v="5778"/>
    <n v="169728"/>
    <s v="2.05"/>
    <s v="0.00"/>
    <s v="97.95"/>
  </r>
  <r>
    <x v="25"/>
    <x v="4"/>
    <n v="177971"/>
    <n v="2820"/>
    <n v="126632"/>
    <s v="1.58"/>
    <s v="0.00"/>
    <s v="98.42"/>
  </r>
  <r>
    <x v="25"/>
    <x v="3"/>
    <n v="3888"/>
    <n v="95"/>
    <n v="1295"/>
    <s v="2.44"/>
    <s v="0.00"/>
    <s v="97.56"/>
  </r>
  <r>
    <x v="25"/>
    <x v="2"/>
    <n v="155764"/>
    <n v="7243"/>
    <n v="21799"/>
    <s v="4.65"/>
    <s v="0.00"/>
    <s v="95.35"/>
  </r>
  <r>
    <x v="25"/>
    <x v="1"/>
    <n v="738586"/>
    <n v="2120"/>
    <n v="397323"/>
    <s v="0.29"/>
    <s v="0.00"/>
    <s v="99.71"/>
  </r>
  <r>
    <x v="25"/>
    <x v="0"/>
    <n v="15338"/>
    <n v="130"/>
    <n v="12046"/>
    <s v="0.85"/>
    <s v="0.00"/>
    <s v="99.15"/>
  </r>
  <r>
    <x v="26"/>
    <x v="0"/>
    <n v="15338"/>
    <n v="130"/>
    <n v="12487"/>
    <s v="0.85"/>
    <s v="0.00"/>
    <s v="99.15"/>
  </r>
  <r>
    <x v="26"/>
    <x v="1"/>
    <n v="738487"/>
    <n v="2118"/>
    <n v="359494"/>
    <s v="0.29"/>
    <s v="0.00"/>
    <s v="99.71"/>
  </r>
  <r>
    <x v="26"/>
    <x v="2"/>
    <n v="155739"/>
    <n v="7238"/>
    <n v="136451"/>
    <s v="4.65"/>
    <s v="0.00"/>
    <s v="95.35"/>
  </r>
  <r>
    <x v="26"/>
    <x v="3"/>
    <n v="3888"/>
    <n v="95"/>
    <n v="749"/>
    <s v="2.44"/>
    <s v="0.00"/>
    <s v="97.56"/>
  </r>
  <r>
    <x v="26"/>
    <x v="4"/>
    <n v="177536"/>
    <n v="2810"/>
    <n v="78865"/>
    <s v="1.58"/>
    <s v="0.00"/>
    <s v="98.42"/>
  </r>
  <r>
    <x v="26"/>
    <x v="5"/>
    <n v="280294"/>
    <n v="5754"/>
    <n v="172268"/>
    <s v="2.05"/>
    <s v="0.00"/>
    <s v="97.95"/>
  </r>
  <r>
    <x v="26"/>
    <x v="6"/>
    <n v="62789"/>
    <n v="1662"/>
    <n v="17572"/>
    <s v="2.65"/>
    <s v="0.00"/>
    <s v="97.35"/>
  </r>
  <r>
    <x v="26"/>
    <x v="7"/>
    <n v="5272151"/>
    <n v="115663"/>
    <n v="3847557"/>
    <s v="2.19"/>
    <s v="0.00"/>
    <s v="97.81"/>
  </r>
  <r>
    <x v="26"/>
    <x v="8"/>
    <n v="773540"/>
    <n v="11161"/>
    <n v="79644"/>
    <s v="1.44"/>
    <s v="0.00"/>
    <s v="98.56"/>
  </r>
  <r>
    <x v="26"/>
    <x v="9"/>
    <n v="143204"/>
    <n v="1532"/>
    <n v="14733"/>
    <s v="1.07"/>
    <s v="0.00"/>
    <s v="98.93"/>
  </r>
  <r>
    <x v="26"/>
    <x v="10"/>
    <n v="498630"/>
    <n v="6734"/>
    <n v="349555"/>
    <s v="1.35"/>
    <s v="0.00"/>
    <s v="98.65"/>
  </r>
  <r>
    <x v="26"/>
    <x v="11"/>
    <n v="243914"/>
    <n v="11110"/>
    <n v="131702"/>
    <s v="4.55"/>
    <s v="0.00"/>
    <s v="95.45"/>
  </r>
  <r>
    <x v="26"/>
    <x v="12"/>
    <n v="12773"/>
    <n v="114"/>
    <n v="8785"/>
    <s v="0.89"/>
    <s v="0.00"/>
    <s v="99.11"/>
  </r>
  <r>
    <x v="26"/>
    <x v="13"/>
    <n v="1565174"/>
    <n v="27752"/>
    <n v="1301656"/>
    <s v="1.77"/>
    <s v="0.00"/>
    <s v="98.23"/>
  </r>
  <r>
    <x v="26"/>
    <x v="14"/>
    <n v="1279869"/>
    <n v="25747"/>
    <n v="368368"/>
    <s v="2.01"/>
    <s v="0.00"/>
    <s v="97.99"/>
  </r>
  <r>
    <x v="26"/>
    <x v="15"/>
    <n v="14686"/>
    <n v="203"/>
    <n v="9644"/>
    <s v="1.38"/>
    <s v="0.00"/>
    <s v="98.62"/>
  </r>
  <r>
    <x v="26"/>
    <x v="16"/>
    <n v="539619"/>
    <n v="22231"/>
    <n v="8196"/>
    <s v="4.12"/>
    <s v="0.00"/>
    <s v="95.88"/>
  </r>
  <r>
    <x v="26"/>
    <x v="17"/>
    <n v="276030"/>
    <n v="1391"/>
    <n v="65954"/>
    <s v="0.50"/>
    <s v="0.00"/>
    <s v="99.50"/>
  </r>
  <r>
    <x v="26"/>
    <x v="18"/>
    <n v="19555"/>
    <n v="38"/>
    <n v="4355"/>
    <s v="0.19"/>
    <s v="0.00"/>
    <s v="99.81"/>
  </r>
  <r>
    <x v="26"/>
    <x v="19"/>
    <n v="24560"/>
    <n v="161"/>
    <n v="7645"/>
    <s v="0.66"/>
    <s v="0.00"/>
    <s v="99.34"/>
  </r>
  <r>
    <x v="26"/>
    <x v="20"/>
    <n v="1658"/>
    <n v="6"/>
    <n v="965"/>
    <s v="0.36"/>
    <s v="0.00"/>
    <s v="99.64"/>
  </r>
  <r>
    <x v="26"/>
    <x v="21"/>
    <n v="10356"/>
    <n v="68"/>
    <n v="2413"/>
    <s v="0.66"/>
    <s v="0.00"/>
    <s v="99.34"/>
  </r>
  <r>
    <x v="26"/>
    <x v="22"/>
    <n v="506150"/>
    <n v="18824"/>
    <n v="158445"/>
    <s v="3.72"/>
    <s v="0.00"/>
    <s v="96.28"/>
  </r>
  <r>
    <x v="26"/>
    <x v="23"/>
    <n v="21638726"/>
    <n v="603152"/>
    <n v="7741463"/>
    <s v="2.79"/>
    <s v="0.00"/>
    <s v="97.21"/>
  </r>
  <r>
    <x v="26"/>
    <x v="24"/>
    <n v="21580"/>
    <n v="590"/>
    <n v="9507"/>
    <s v="2.73"/>
    <s v="0.00"/>
    <s v="97.27"/>
  </r>
  <r>
    <x v="26"/>
    <x v="25"/>
    <n v="2617"/>
    <n v="3"/>
    <n v="1428"/>
    <s v="0.11"/>
    <s v="0.00"/>
    <s v="99.89"/>
  </r>
  <r>
    <x v="26"/>
    <x v="26"/>
    <n v="181856"/>
    <n v="2386"/>
    <n v="23829"/>
    <s v="1.31"/>
    <s v="0.00"/>
    <s v="98.69"/>
  </r>
  <r>
    <x v="26"/>
    <x v="27"/>
    <n v="570006"/>
    <n v="4386"/>
    <n v="18016"/>
    <s v="0.77"/>
    <s v="0.00"/>
    <s v="99.23"/>
  </r>
  <r>
    <x v="26"/>
    <x v="28"/>
    <n v="23990"/>
    <n v="461"/>
    <n v="4374"/>
    <s v="1.92"/>
    <s v="0.00"/>
    <s v="98.08"/>
  </r>
  <r>
    <x v="26"/>
    <x v="29"/>
    <n v="1686625"/>
    <n v="28534"/>
    <n v="1332798"/>
    <s v="1.69"/>
    <s v="0.00"/>
    <s v="98.31"/>
  </r>
  <r>
    <x v="26"/>
    <x v="30"/>
    <n v="57269"/>
    <n v="1089"/>
    <n v="21351"/>
    <s v="1.90"/>
    <s v="0.00"/>
    <s v="98.10"/>
  </r>
  <r>
    <x v="26"/>
    <x v="31"/>
    <n v="11469"/>
    <n v="100"/>
    <n v="8532"/>
    <s v="0.87"/>
    <s v="0.00"/>
    <s v="99.13"/>
  </r>
  <r>
    <x v="26"/>
    <x v="32"/>
    <n v="15514"/>
    <n v="222"/>
    <n v="14730"/>
    <s v="1.43"/>
    <s v="0.00"/>
    <s v="98.57"/>
  </r>
  <r>
    <x v="26"/>
    <x v="33"/>
    <n v="854591"/>
    <n v="11157"/>
    <n v="715613"/>
    <s v="1.31"/>
    <s v="0.00"/>
    <s v="98.69"/>
  </r>
  <r>
    <x v="26"/>
    <x v="34"/>
    <n v="60982"/>
    <n v="674"/>
    <n v="34468"/>
    <s v="1.11"/>
    <s v="0.00"/>
    <s v="98.89"/>
  </r>
  <r>
    <x v="26"/>
    <x v="35"/>
    <n v="1669236"/>
    <n v="37597"/>
    <n v="1540896"/>
    <s v="2.25"/>
    <s v="0.00"/>
    <s v="97.75"/>
  </r>
  <r>
    <x v="26"/>
    <x v="36"/>
    <n v="98402"/>
    <n v="1550"/>
    <n v="86840"/>
    <s v="1.58"/>
    <s v="0.00"/>
    <s v="98.42"/>
  </r>
  <r>
    <x v="26"/>
    <x v="37"/>
    <n v="96523"/>
    <n v="4636"/>
    <n v="76490"/>
    <s v="4.80"/>
    <s v="0.00"/>
    <s v="95.20"/>
  </r>
  <r>
    <x v="26"/>
    <x v="38"/>
    <n v="4980233"/>
    <n v="126830"/>
    <n v="2727664"/>
    <s v="2.55"/>
    <s v="0.00"/>
    <s v="97.45"/>
  </r>
  <r>
    <x v="26"/>
    <x v="39"/>
    <n v="551144"/>
    <n v="6797"/>
    <n v="457367"/>
    <s v="1.23"/>
    <s v="0.00"/>
    <s v="98.77"/>
  </r>
  <r>
    <x v="26"/>
    <x v="40"/>
    <n v="932768"/>
    <n v="8037"/>
    <n v="601572"/>
    <s v="0.86"/>
    <s v="0.00"/>
    <s v="99.14"/>
  </r>
  <r>
    <x v="26"/>
    <x v="41"/>
    <n v="38035"/>
    <n v="347"/>
    <n v="11685"/>
    <s v="0.91"/>
    <s v="0.00"/>
    <s v="99.09"/>
  </r>
  <r>
    <x v="26"/>
    <x v="42"/>
    <n v="121995"/>
    <n v="562"/>
    <n v="101266"/>
    <s v="0.46"/>
    <s v="0.00"/>
    <s v="99.54"/>
  </r>
  <r>
    <x v="26"/>
    <x v="43"/>
    <n v="1707756"/>
    <n v="30539"/>
    <n v="392884"/>
    <s v="1.79"/>
    <s v="0.00"/>
    <s v="98.21"/>
  </r>
  <r>
    <x v="26"/>
    <x v="44"/>
    <n v="4375253"/>
    <n v="94622"/>
    <n v="2506788"/>
    <s v="2.16"/>
    <s v="0.00"/>
    <s v="97.84"/>
  </r>
  <r>
    <x v="26"/>
    <x v="45"/>
    <n v="13383"/>
    <n v="179"/>
    <n v="3331"/>
    <s v="1.34"/>
    <s v="0.00"/>
    <s v="98.66"/>
  </r>
  <r>
    <x v="26"/>
    <x v="46"/>
    <n v="368714"/>
    <n v="2680"/>
    <n v="134366"/>
    <s v="0.73"/>
    <s v="0.00"/>
    <s v="99.27"/>
  </r>
  <r>
    <x v="26"/>
    <x v="47"/>
    <n v="4153"/>
    <n v="28"/>
    <n v="963"/>
    <s v="0.67"/>
    <s v="0.00"/>
    <s v="99.33"/>
  </r>
  <r>
    <x v="26"/>
    <x v="48"/>
    <n v="369700"/>
    <n v="4084"/>
    <n v="229190"/>
    <s v="1.10"/>
    <s v="0.00"/>
    <s v="98.90"/>
  </r>
  <r>
    <x v="26"/>
    <x v="49"/>
    <n v="205199"/>
    <n v="5870"/>
    <n v="97147"/>
    <s v="2.86"/>
    <s v="0.00"/>
    <s v="97.14"/>
  </r>
  <r>
    <x v="26"/>
    <x v="50"/>
    <n v="513026"/>
    <n v="32899"/>
    <n v="303268"/>
    <s v="6.41"/>
    <s v="0.00"/>
    <s v="93.59"/>
  </r>
  <r>
    <x v="26"/>
    <x v="51"/>
    <n v="171395"/>
    <n v="1422"/>
    <n v="93512"/>
    <s v="0.83"/>
    <s v="0.00"/>
    <s v="99.17"/>
  </r>
  <r>
    <x v="26"/>
    <x v="52"/>
    <n v="317585"/>
    <n v="17926"/>
    <n v="287745"/>
    <s v="5.64"/>
    <s v="0.00"/>
    <s v="94.36"/>
  </r>
  <r>
    <x v="26"/>
    <x v="53"/>
    <n v="6773"/>
    <n v="44"/>
    <n v="238"/>
    <s v="0.65"/>
    <s v="0.00"/>
    <s v="99.35"/>
  </r>
  <r>
    <x v="26"/>
    <x v="54"/>
    <n v="4984386"/>
    <n v="86974"/>
    <n v="1399404"/>
    <s v="1.74"/>
    <s v="0.00"/>
    <s v="98.26"/>
  </r>
  <r>
    <x v="26"/>
    <x v="55"/>
    <n v="358739"/>
    <n v="6197"/>
    <n v="261026"/>
    <s v="1.73"/>
    <s v="0.00"/>
    <s v="98.27"/>
  </r>
  <r>
    <x v="26"/>
    <x v="56"/>
    <n v="149897"/>
    <n v="1116"/>
    <n v="119911"/>
    <s v="0.74"/>
    <s v="0.00"/>
    <s v="99.26"/>
  </r>
  <r>
    <x v="26"/>
    <x v="57"/>
    <n v="51701"/>
    <n v="663"/>
    <n v="11333"/>
    <s v="1.28"/>
    <s v="0.00"/>
    <s v="98.72"/>
  </r>
  <r>
    <x v="26"/>
    <x v="58"/>
    <n v="1332"/>
    <n v="2"/>
    <n v="917"/>
    <s v="0.15"/>
    <s v="0.00"/>
    <s v="99.85"/>
  </r>
  <r>
    <x v="26"/>
    <x v="59"/>
    <n v="6911013"/>
    <n v="114943"/>
    <n v="6284672"/>
    <s v="1.66"/>
    <s v="0.00"/>
    <s v="98.34"/>
  </r>
  <r>
    <x v="26"/>
    <x v="60"/>
    <n v="33442"/>
    <n v="213"/>
    <n v="25051"/>
    <s v="0.64"/>
    <s v="0.00"/>
    <s v="99.36"/>
  </r>
  <r>
    <x v="26"/>
    <x v="61"/>
    <n v="8438131"/>
    <n v="138842"/>
    <n v="2349338"/>
    <s v="1.65"/>
    <s v="0.00"/>
    <s v="98.35"/>
  </r>
  <r>
    <x v="26"/>
    <x v="63"/>
    <n v="657753"/>
    <n v="9440"/>
    <n v="231873"/>
    <s v="1.44"/>
    <s v="0.00"/>
    <s v="98.56"/>
  </r>
  <r>
    <x v="26"/>
    <x v="62"/>
    <n v="5734"/>
    <n v="192"/>
    <n v="1599"/>
    <s v="3.35"/>
    <s v="0.00"/>
    <s v="96.65"/>
  </r>
  <r>
    <x v="26"/>
    <x v="64"/>
    <n v="43255"/>
    <n v="293"/>
    <n v="13606"/>
    <s v="0.68"/>
    <s v="0.00"/>
    <s v="99.32"/>
  </r>
  <r>
    <x v="26"/>
    <x v="65"/>
    <n v="129258"/>
    <n v="1165"/>
    <n v="116087"/>
    <s v="0.90"/>
    <s v="0.00"/>
    <s v="99.10"/>
  </r>
  <r>
    <x v="26"/>
    <x v="66"/>
    <n v="5751"/>
    <n v="98"/>
    <n v="5020"/>
    <s v="1.70"/>
    <s v="0.00"/>
    <s v="98.30"/>
  </r>
  <r>
    <x v="26"/>
    <x v="68"/>
    <n v="30572"/>
    <n v="385"/>
    <n v="28264"/>
    <s v="1.26"/>
    <s v="0.00"/>
    <s v="98.74"/>
  </r>
  <r>
    <x v="26"/>
    <x v="67"/>
    <n v="9946"/>
    <n v="339"/>
    <n v="7245"/>
    <s v="3.41"/>
    <s v="0.00"/>
    <s v="96.59"/>
  </r>
  <r>
    <x v="26"/>
    <x v="69"/>
    <n v="53836"/>
    <n v="800"/>
    <n v="35542"/>
    <s v="1.49"/>
    <s v="0.00"/>
    <s v="98.51"/>
  </r>
  <r>
    <x v="26"/>
    <x v="70"/>
    <n v="12840"/>
    <n v="156"/>
    <n v="773"/>
    <s v="1.21"/>
    <s v="0.00"/>
    <s v="98.79"/>
  </r>
  <r>
    <x v="26"/>
    <x v="71"/>
    <n v="692197"/>
    <n v="15348"/>
    <n v="222717"/>
    <s v="2.22"/>
    <s v="0.00"/>
    <s v="97.78"/>
  </r>
  <r>
    <x v="26"/>
    <x v="72"/>
    <n v="587687"/>
    <n v="14266"/>
    <n v="244841"/>
    <s v="2.43"/>
    <s v="0.00"/>
    <s v="97.57"/>
  </r>
  <r>
    <x v="26"/>
    <x v="73"/>
    <n v="6129"/>
    <n v="141"/>
    <n v="3853"/>
    <s v="2.30"/>
    <s v="0.00"/>
    <s v="97.70"/>
  </r>
  <r>
    <x v="26"/>
    <x v="74"/>
    <n v="34362"/>
    <n v="866"/>
    <n v="16841"/>
    <s v="2.52"/>
    <s v="0.00"/>
    <s v="97.48"/>
  </r>
  <r>
    <x v="26"/>
    <x v="75"/>
    <n v="12291"/>
    <n v="213"/>
    <n v="9295"/>
    <s v="1.73"/>
    <s v="0.00"/>
    <s v="98.27"/>
  </r>
  <r>
    <x v="26"/>
    <x v="76"/>
    <n v="372179"/>
    <n v="10096"/>
    <n v="335185"/>
    <s v="2.71"/>
    <s v="0.00"/>
    <s v="97.29"/>
  </r>
  <r>
    <x v="26"/>
    <x v="77"/>
    <n v="426613"/>
    <n v="8877"/>
    <n v="7689"/>
    <s v="2.08"/>
    <s v="0.00"/>
    <s v="97.92"/>
  </r>
  <r>
    <x v="26"/>
    <x v="78"/>
    <n v="22933"/>
    <n v="657"/>
    <n v="11282"/>
    <s v="2.86"/>
    <s v="0.00"/>
    <s v="97.14"/>
  </r>
  <r>
    <x v="26"/>
    <x v="79"/>
    <n v="833115"/>
    <n v="30351"/>
    <n v="715282"/>
    <s v="3.64"/>
    <s v="0.00"/>
    <s v="96.36"/>
  </r>
  <r>
    <x v="26"/>
    <x v="80"/>
    <n v="4234011"/>
    <n v="142933"/>
    <n v="3312856"/>
    <s v="3.38"/>
    <s v="0.00"/>
    <s v="96.62"/>
  </r>
  <r>
    <x v="26"/>
    <x v="81"/>
    <n v="413734"/>
    <n v="5306"/>
    <n v="220579"/>
    <s v="1.28"/>
    <s v="0.00"/>
    <s v="98.72"/>
  </r>
  <r>
    <x v="26"/>
    <x v="82"/>
    <n v="1315317"/>
    <n v="7983"/>
    <n v="1166906"/>
    <s v="0.61"/>
    <s v="0.00"/>
    <s v="99.39"/>
  </r>
  <r>
    <x v="26"/>
    <x v="83"/>
    <n v="34067719"/>
    <n v="452124"/>
    <n v="19815051"/>
    <s v="1.33"/>
    <s v="0.00"/>
    <s v="98.67"/>
  </r>
  <r>
    <x v="26"/>
    <x v="84"/>
    <n v="2033737"/>
    <n v="22738"/>
    <n v="1031216"/>
    <s v="1.12"/>
    <s v="0.00"/>
    <s v="98.88"/>
  </r>
  <r>
    <x v="26"/>
    <x v="85"/>
    <n v="5773419"/>
    <n v="123876"/>
    <n v="590333"/>
    <s v="2.15"/>
    <s v="0.00"/>
    <s v="97.85"/>
  </r>
  <r>
    <x v="26"/>
    <x v="86"/>
    <n v="12455"/>
    <n v="33"/>
    <n v="10705"/>
    <s v="0.26"/>
    <s v="0.00"/>
    <s v="99.74"/>
  </r>
  <r>
    <x v="26"/>
    <x v="87"/>
    <n v="4715464"/>
    <n v="131517"/>
    <n v="3545029"/>
    <s v="2.79"/>
    <s v="0.00"/>
    <s v="97.21"/>
  </r>
  <r>
    <x v="26"/>
    <x v="88"/>
    <n v="87232"/>
    <n v="2103"/>
    <n v="21770"/>
    <s v="2.41"/>
    <s v="0.00"/>
    <s v="97.59"/>
  </r>
  <r>
    <x v="26"/>
    <x v="89"/>
    <n v="840117"/>
    <n v="10865"/>
    <n v="323024"/>
    <s v="1.29"/>
    <s v="0.00"/>
    <s v="98.71"/>
  </r>
  <r>
    <x v="26"/>
    <x v="91"/>
    <n v="251959"/>
    <n v="5215"/>
    <n v="65642"/>
    <s v="2.07"/>
    <s v="0.00"/>
    <s v="97.93"/>
  </r>
  <r>
    <x v="26"/>
    <x v="90"/>
    <n v="1715059"/>
    <n v="18099"/>
    <n v="218487"/>
    <s v="1.06"/>
    <s v="0.00"/>
    <s v="98.94"/>
  </r>
  <r>
    <x v="26"/>
    <x v="92"/>
    <n v="179775"/>
    <n v="2632"/>
    <n v="140806"/>
    <s v="1.46"/>
    <s v="0.00"/>
    <s v="98.54"/>
  </r>
  <r>
    <x v="26"/>
    <x v="94"/>
    <n v="2"/>
    <n v="0"/>
    <n v="2"/>
    <s v="0.00"/>
    <s v="0.00"/>
    <s v="100.00"/>
  </r>
  <r>
    <x v="26"/>
    <x v="93"/>
    <n v="116407"/>
    <n v="2634"/>
    <n v="15261"/>
    <s v="2.26"/>
    <s v="0.00"/>
    <s v="97.74"/>
  </r>
  <r>
    <x v="26"/>
    <x v="95"/>
    <n v="4184"/>
    <n v="147"/>
    <n v="63"/>
    <s v="3.51"/>
    <s v="0.00"/>
    <s v="96.49"/>
  </r>
  <r>
    <x v="26"/>
    <x v="96"/>
    <n v="2546"/>
    <n v="21"/>
    <n v="858"/>
    <s v="0.82"/>
    <s v="0.00"/>
    <s v="99.18"/>
  </r>
  <r>
    <x v="26"/>
    <x v="97"/>
    <n v="342396"/>
    <n v="2660"/>
    <n v="52344"/>
    <s v="0.78"/>
    <s v="0.00"/>
    <s v="99.22"/>
  </r>
  <r>
    <x v="26"/>
    <x v="98"/>
    <n v="412297"/>
    <n v="2456"/>
    <n v="271858"/>
    <s v="0.60"/>
    <s v="0.00"/>
    <s v="99.40"/>
  </r>
  <r>
    <x v="26"/>
    <x v="99"/>
    <n v="994464"/>
    <n v="16618"/>
    <n v="730324"/>
    <s v="1.67"/>
    <s v="0.00"/>
    <s v="98.33"/>
  </r>
  <r>
    <x v="26"/>
    <x v="100"/>
    <n v="31736"/>
    <n v="38"/>
    <n v="13471"/>
    <s v="0.12"/>
    <s v="0.00"/>
    <s v="99.88"/>
  </r>
  <r>
    <x v="26"/>
    <x v="101"/>
    <n v="633355"/>
    <n v="8419"/>
    <n v="469825"/>
    <s v="1.33"/>
    <s v="0.00"/>
    <s v="98.67"/>
  </r>
  <r>
    <x v="26"/>
    <x v="102"/>
    <n v="12206"/>
    <n v="236"/>
    <n v="4609"/>
    <s v="1.93"/>
    <s v="0.00"/>
    <s v="98.07"/>
  </r>
  <r>
    <x v="26"/>
    <x v="103"/>
    <n v="3584"/>
    <n v="60"/>
    <n v="2679"/>
    <s v="1.67"/>
    <s v="0.00"/>
    <s v="98.33"/>
  </r>
  <r>
    <x v="26"/>
    <x v="104"/>
    <n v="531070"/>
    <n v="13472"/>
    <n v="279010"/>
    <s v="2.54"/>
    <s v="0.00"/>
    <s v="97.46"/>
  </r>
  <r>
    <x v="26"/>
    <x v="105"/>
    <n v="5803"/>
    <n v="286"/>
    <n v="5457"/>
    <s v="4.93"/>
    <s v="0.00"/>
    <s v="95.07"/>
  </r>
  <r>
    <x v="26"/>
    <x v="106"/>
    <n v="21524"/>
    <n v="655"/>
    <n v="17861"/>
    <s v="3.04"/>
    <s v="0.00"/>
    <s v="96.96"/>
  </r>
  <r>
    <x v="26"/>
    <x v="107"/>
    <n v="366481"/>
    <n v="5406"/>
    <n v="203504"/>
    <s v="1.48"/>
    <s v="0.00"/>
    <s v="98.52"/>
  </r>
  <r>
    <x v="26"/>
    <x v="108"/>
    <n v="79720"/>
    <n v="839"/>
    <n v="34349"/>
    <s v="1.05"/>
    <s v="0.00"/>
    <s v="98.95"/>
  </r>
  <r>
    <x v="26"/>
    <x v="109"/>
    <n v="183239"/>
    <n v="2881"/>
    <n v="103379"/>
    <s v="1.57"/>
    <s v="0.00"/>
    <s v="98.43"/>
  </r>
  <r>
    <x v="26"/>
    <x v="110"/>
    <n v="349210"/>
    <n v="4860"/>
    <n v="298122"/>
    <s v="1.39"/>
    <s v="0.00"/>
    <s v="98.61"/>
  </r>
  <r>
    <x v="26"/>
    <x v="111"/>
    <n v="941863"/>
    <n v="14537"/>
    <n v="693049"/>
    <s v="1.54"/>
    <s v="0.00"/>
    <s v="98.46"/>
  </r>
  <r>
    <x v="26"/>
    <x v="112"/>
    <n v="3358"/>
    <n v="35"/>
    <n v="102"/>
    <s v="1.04"/>
    <s v="0.00"/>
    <s v="98.96"/>
  </r>
  <r>
    <x v="26"/>
    <x v="113"/>
    <n v="315414"/>
    <n v="7206"/>
    <n v="160398"/>
    <s v="2.28"/>
    <s v="0.00"/>
    <s v="97.72"/>
  </r>
  <r>
    <x v="26"/>
    <x v="114"/>
    <n v="137401"/>
    <n v="2020"/>
    <n v="74751"/>
    <s v="1.47"/>
    <s v="0.00"/>
    <s v="98.53"/>
  </r>
  <r>
    <x v="26"/>
    <x v="115"/>
    <n v="3878"/>
    <n v="55"/>
    <n v="2592"/>
    <s v="1.42"/>
    <s v="0.00"/>
    <s v="98.58"/>
  </r>
  <r>
    <x v="26"/>
    <x v="116"/>
    <n v="43616"/>
    <n v="960"/>
    <n v="8932"/>
    <s v="2.20"/>
    <s v="0.00"/>
    <s v="97.80"/>
  </r>
  <r>
    <x v="26"/>
    <x v="117"/>
    <n v="4"/>
    <n v="0"/>
    <n v="2"/>
    <s v="0.00"/>
    <s v="0.00"/>
    <s v="100.00"/>
  </r>
  <r>
    <x v="26"/>
    <x v="118"/>
    <n v="196762"/>
    <n v="6922"/>
    <n v="86457"/>
    <s v="3.52"/>
    <s v="0.00"/>
    <s v="96.48"/>
  </r>
  <r>
    <x v="26"/>
    <x v="119"/>
    <n v="15603"/>
    <n v="557"/>
    <n v="3263"/>
    <s v="3.57"/>
    <s v="0.00"/>
    <s v="96.43"/>
  </r>
  <r>
    <x v="26"/>
    <x v="120"/>
    <n v="486851"/>
    <n v="18329"/>
    <n v="39142"/>
    <s v="3.76"/>
    <s v="0.00"/>
    <s v="96.24"/>
  </r>
  <r>
    <x v="26"/>
    <x v="121"/>
    <n v="336508"/>
    <n v="1527"/>
    <n v="218732"/>
    <s v="0.45"/>
    <s v="0.00"/>
    <s v="99.55"/>
  </r>
  <r>
    <x v="26"/>
    <x v="122"/>
    <n v="77"/>
    <n v="0"/>
    <n v="7"/>
    <s v="0.00"/>
    <s v="0.00"/>
    <s v="100.00"/>
  </r>
  <r>
    <x v="26"/>
    <x v="123"/>
    <n v="42269"/>
    <n v="656"/>
    <n v="33326"/>
    <s v="1.55"/>
    <s v="0.00"/>
    <s v="98.45"/>
  </r>
  <r>
    <x v="26"/>
    <x v="124"/>
    <n v="36645"/>
    <n v="788"/>
    <n v="26011"/>
    <s v="2.15"/>
    <s v="0.00"/>
    <s v="97.85"/>
  </r>
  <r>
    <x v="26"/>
    <x v="125"/>
    <n v="37445"/>
    <n v="459"/>
    <n v="17714"/>
    <s v="1.23"/>
    <s v="0.00"/>
    <s v="98.77"/>
  </r>
  <r>
    <x v="26"/>
    <x v="126"/>
    <n v="16621"/>
    <n v="129"/>
    <n v="15680"/>
    <s v="0.78"/>
    <s v="0.00"/>
    <s v="99.22"/>
  </r>
  <r>
    <x v="26"/>
    <x v="127"/>
    <n v="86088"/>
    <n v="237"/>
    <n v="65330"/>
    <s v="0.28"/>
    <s v="0.00"/>
    <s v="99.72"/>
  </r>
  <r>
    <x v="26"/>
    <x v="128"/>
    <n v="61712"/>
    <n v="2292"/>
    <n v="36218"/>
    <s v="3.71"/>
    <s v="0.00"/>
    <s v="96.29"/>
  </r>
  <r>
    <x v="26"/>
    <x v="129"/>
    <n v="3755063"/>
    <n v="284321"/>
    <n v="2219699"/>
    <s v="7.57"/>
    <s v="0.00"/>
    <s v="92.43"/>
  </r>
  <r>
    <x v="26"/>
    <x v="130"/>
    <n v="2384542"/>
    <n v="27858"/>
    <n v="1979965"/>
    <s v="1.17"/>
    <s v="0.00"/>
    <s v="98.83"/>
  </r>
  <r>
    <x v="26"/>
    <x v="131"/>
    <n v="151097"/>
    <n v="1925"/>
    <n v="65909"/>
    <s v="1.27"/>
    <s v="0.00"/>
    <s v="98.73"/>
  </r>
  <r>
    <x v="26"/>
    <x v="132"/>
    <n v="128239"/>
    <n v="3538"/>
    <n v="47562"/>
    <s v="2.76"/>
    <s v="0.00"/>
    <s v="97.24"/>
  </r>
  <r>
    <x v="26"/>
    <x v="133"/>
    <n v="9933"/>
    <n v="236"/>
    <n v="4589"/>
    <s v="2.38"/>
    <s v="0.00"/>
    <s v="97.62"/>
  </r>
  <r>
    <x v="26"/>
    <x v="134"/>
    <n v="6160"/>
    <n v="204"/>
    <n v="1820"/>
    <s v="3.31"/>
    <s v="0.00"/>
    <s v="96.69"/>
  </r>
  <r>
    <x v="26"/>
    <x v="135"/>
    <n v="209173"/>
    <n v="2804"/>
    <n v="173628"/>
    <s v="1.34"/>
    <s v="0.00"/>
    <s v="98.66"/>
  </r>
  <r>
    <x v="26"/>
    <x v="136"/>
    <n v="15737"/>
    <n v="206"/>
    <n v="14150"/>
    <s v="1.31"/>
    <s v="0.00"/>
    <s v="98.69"/>
  </r>
  <r>
    <x v="26"/>
    <x v="137"/>
    <n v="2083444"/>
    <n v="18674"/>
    <n v="19504"/>
    <s v="0.90"/>
    <s v="0.00"/>
    <s v="99.10"/>
  </r>
  <r>
    <x v="26"/>
    <x v="138"/>
    <n v="196142"/>
    <n v="884"/>
    <n v="182936"/>
    <s v="0.45"/>
    <s v="0.00"/>
    <s v="99.55"/>
  </r>
  <r>
    <x v="26"/>
    <x v="139"/>
    <n v="804652"/>
    <n v="11278"/>
    <n v="300199"/>
    <s v="1.40"/>
    <s v="0.00"/>
    <s v="98.60"/>
  </r>
  <r>
    <x v="26"/>
    <x v="140"/>
    <n v="4992"/>
    <n v="28"/>
    <n v="2312"/>
    <s v="0.56"/>
    <s v="0.00"/>
    <s v="99.44"/>
  </r>
  <r>
    <x v="26"/>
    <x v="141"/>
    <n v="304025"/>
    <n v="4103"/>
    <n v="211513"/>
    <s v="1.35"/>
    <s v="0.00"/>
    <s v="98.65"/>
  </r>
  <r>
    <x v="26"/>
    <x v="142"/>
    <n v="469998"/>
    <n v="7288"/>
    <n v="460183"/>
    <s v="1.55"/>
    <s v="0.00"/>
    <s v="98.45"/>
  </r>
  <r>
    <x v="26"/>
    <x v="143"/>
    <n v="2189165"/>
    <n v="199816"/>
    <n v="497794"/>
    <s v="9.13"/>
    <s v="0.00"/>
    <s v="90.87"/>
  </r>
  <r>
    <x v="26"/>
    <x v="144"/>
    <n v="45439"/>
    <n v="633"/>
    <n v="17354"/>
    <s v="1.39"/>
    <s v="0.00"/>
    <s v="98.61"/>
  </r>
  <r>
    <x v="26"/>
    <x v="145"/>
    <n v="24041"/>
    <n v="266"/>
    <n v="12777"/>
    <s v="1.11"/>
    <s v="0.00"/>
    <s v="98.89"/>
  </r>
  <r>
    <x v="26"/>
    <x v="147"/>
    <n v="1264384"/>
    <n v="28269"/>
    <n v="1067741"/>
    <s v="2.24"/>
    <s v="0.00"/>
    <s v="97.76"/>
  </r>
  <r>
    <x v="26"/>
    <x v="146"/>
    <n v="2713509"/>
    <n v="40580"/>
    <n v="482670"/>
    <s v="1.50"/>
    <s v="0.00"/>
    <s v="98.50"/>
  </r>
  <r>
    <x v="26"/>
    <x v="148"/>
    <n v="2937069"/>
    <n v="76111"/>
    <n v="582062"/>
    <s v="2.59"/>
    <s v="0.00"/>
    <s v="97.41"/>
  </r>
  <r>
    <x v="26"/>
    <x v="149"/>
    <n v="447032"/>
    <n v="4556"/>
    <n v="344496"/>
    <s v="1.02"/>
    <s v="0.00"/>
    <s v="98.98"/>
  </r>
  <r>
    <x v="26"/>
    <x v="150"/>
    <n v="1079341"/>
    <n v="18088"/>
    <n v="183454"/>
    <s v="1.68"/>
    <s v="0.00"/>
    <s v="98.32"/>
  </r>
  <r>
    <x v="26"/>
    <x v="151"/>
    <n v="8"/>
    <n v="0"/>
    <n v="4"/>
    <s v="0.00"/>
    <s v="0.00"/>
    <s v="100.00"/>
  </r>
  <r>
    <x v="26"/>
    <x v="152"/>
    <n v="460322"/>
    <n v="16209"/>
    <n v="133938"/>
    <s v="3.52"/>
    <s v="0.00"/>
    <s v="96.48"/>
  </r>
  <r>
    <x v="26"/>
    <x v="153"/>
    <n v="237867"/>
    <n v="608"/>
    <n v="232331"/>
    <s v="0.26"/>
    <s v="0.00"/>
    <s v="99.74"/>
  </r>
  <r>
    <x v="26"/>
    <x v="154"/>
    <n v="54024"/>
    <n v="370"/>
    <n v="26462"/>
    <s v="0.68"/>
    <s v="0.00"/>
    <s v="99.32"/>
  </r>
  <r>
    <x v="26"/>
    <x v="155"/>
    <n v="1445714"/>
    <n v="41482"/>
    <n v="212663"/>
    <s v="2.87"/>
    <s v="0.00"/>
    <s v="97.13"/>
  </r>
  <r>
    <x v="26"/>
    <x v="156"/>
    <n v="1043758"/>
    <n v="9052"/>
    <n v="155183"/>
    <s v="0.87"/>
    <s v="0.00"/>
    <s v="99.13"/>
  </r>
  <r>
    <x v="26"/>
    <x v="157"/>
    <n v="7837101"/>
    <n v="218362"/>
    <n v="3556030"/>
    <s v="2.79"/>
    <s v="0.00"/>
    <s v="97.21"/>
  </r>
  <r>
    <x v="26"/>
    <x v="158"/>
    <n v="99128"/>
    <n v="1313"/>
    <n v="6413"/>
    <s v="1.32"/>
    <s v="0.00"/>
    <s v="98.68"/>
  </r>
  <r>
    <x v="26"/>
    <x v="159"/>
    <n v="547890"/>
    <n v="8760"/>
    <n v="184034"/>
    <s v="1.60"/>
    <s v="0.00"/>
    <s v="98.40"/>
  </r>
  <r>
    <x v="26"/>
    <x v="160"/>
    <n v="20"/>
    <n v="0"/>
    <n v="3"/>
    <s v="0.00"/>
    <s v="0.00"/>
    <s v="100.00"/>
  </r>
  <r>
    <x v="26"/>
    <x v="161"/>
    <n v="21854"/>
    <n v="119"/>
    <n v="10403"/>
    <s v="0.54"/>
    <s v="0.00"/>
    <s v="99.46"/>
  </r>
  <r>
    <x v="26"/>
    <x v="162"/>
    <n v="39550"/>
    <n v="3038"/>
    <n v="27400"/>
    <s v="7.68"/>
    <s v="0.00"/>
    <s v="92.32"/>
  </r>
  <r>
    <x v="26"/>
    <x v="163"/>
    <n v="1161933"/>
    <n v="14956"/>
    <n v="52235"/>
    <s v="1.29"/>
    <s v="0.00"/>
    <s v="98.71"/>
  </r>
  <r>
    <x v="26"/>
    <x v="164"/>
    <n v="145120"/>
    <n v="224"/>
    <n v="13076"/>
    <s v="0.15"/>
    <s v="0.00"/>
    <s v="99.85"/>
  </r>
  <r>
    <x v="26"/>
    <x v="165"/>
    <n v="307503"/>
    <n v="4635"/>
    <n v="20253"/>
    <s v="1.51"/>
    <s v="0.00"/>
    <s v="98.49"/>
  </r>
  <r>
    <x v="26"/>
    <x v="166"/>
    <n v="433709"/>
    <n v="12816"/>
    <n v="240010"/>
    <s v="2.95"/>
    <s v="0.00"/>
    <s v="97.05"/>
  </r>
  <r>
    <x v="26"/>
    <x v="167"/>
    <n v="6396"/>
    <n v="121"/>
    <n v="5922"/>
    <s v="1.89"/>
    <s v="0.00"/>
    <s v="98.11"/>
  </r>
  <r>
    <x v="26"/>
    <x v="168"/>
    <n v="5473"/>
    <n v="91"/>
    <n v="4018"/>
    <s v="1.66"/>
    <s v="0.00"/>
    <s v="98.34"/>
  </r>
  <r>
    <x v="26"/>
    <x v="169"/>
    <n v="73865"/>
    <n v="1871"/>
    <n v="27730"/>
    <s v="2.53"/>
    <s v="0.00"/>
    <s v="97.47"/>
  </r>
  <r>
    <x v="26"/>
    <x v="170"/>
    <n v="21269"/>
    <n v="1180"/>
    <n v="5250"/>
    <s v="5.55"/>
    <s v="0.00"/>
    <s v="94.45"/>
  </r>
  <r>
    <x v="26"/>
    <x v="171"/>
    <n v="46313"/>
    <n v="1014"/>
    <n v="17830"/>
    <s v="2.19"/>
    <s v="0.00"/>
    <s v="97.81"/>
  </r>
  <r>
    <x v="26"/>
    <x v="173"/>
    <n v="3675"/>
    <n v="56"/>
    <n v="1650"/>
    <s v="1.52"/>
    <s v="0.00"/>
    <s v="98.48"/>
  </r>
  <r>
    <x v="26"/>
    <x v="172"/>
    <n v="12184"/>
    <n v="130"/>
    <n v="1147"/>
    <s v="1.07"/>
    <s v="0.00"/>
    <s v="98.93"/>
  </r>
  <r>
    <x v="26"/>
    <x v="174"/>
    <n v="110188"/>
    <n v="3460"/>
    <n v="83634"/>
    <s v="3.14"/>
    <s v="0.00"/>
    <s v="96.86"/>
  </r>
  <r>
    <x v="26"/>
    <x v="175"/>
    <n v="38705"/>
    <n v="2391"/>
    <n v="7696"/>
    <s v="6.18"/>
    <s v="0.00"/>
    <s v="93.82"/>
  </r>
  <r>
    <x v="26"/>
    <x v="176"/>
    <n v="46361"/>
    <n v="1233"/>
    <n v="19722"/>
    <s v="2.66"/>
    <s v="0.00"/>
    <s v="97.34"/>
  </r>
  <r>
    <x v="26"/>
    <x v="177"/>
    <n v="5067"/>
    <n v="174"/>
    <n v="1869"/>
    <s v="3.43"/>
    <s v="0.00"/>
    <s v="96.57"/>
  </r>
  <r>
    <x v="26"/>
    <x v="178"/>
    <n v="25865"/>
    <n v="238"/>
    <n v="17787"/>
    <s v="0.92"/>
    <s v="0.00"/>
    <s v="99.08"/>
  </r>
  <r>
    <x v="26"/>
    <x v="179"/>
    <n v="1772838"/>
    <n v="18205"/>
    <n v="1688786"/>
    <s v="1.03"/>
    <s v="0.00"/>
    <s v="98.97"/>
  </r>
  <r>
    <x v="26"/>
    <x v="180"/>
    <n v="17484"/>
    <n v="125"/>
    <n v="1273"/>
    <s v="0.71"/>
    <s v="0.00"/>
    <s v="99.29"/>
  </r>
  <r>
    <x v="26"/>
    <x v="181"/>
    <n v="19707"/>
    <n v="119"/>
    <n v="13013"/>
    <s v="0.60"/>
    <s v="0.00"/>
    <s v="99.40"/>
  </r>
  <r>
    <x v="26"/>
    <x v="182"/>
    <n v="710773"/>
    <n v="25085"/>
    <n v="574591"/>
    <s v="3.53"/>
    <s v="0.00"/>
    <s v="96.47"/>
  </r>
  <r>
    <x v="26"/>
    <x v="184"/>
    <n v="7630133"/>
    <n v="67437"/>
    <n v="6127408"/>
    <s v="0.88"/>
    <s v="0.00"/>
    <s v="99.12"/>
  </r>
  <r>
    <x v="26"/>
    <x v="185"/>
    <n v="53887"/>
    <n v="1593"/>
    <n v="7557"/>
    <s v="2.96"/>
    <s v="0.00"/>
    <s v="97.04"/>
  </r>
  <r>
    <x v="26"/>
    <x v="186"/>
    <n v="16336"/>
    <n v="846"/>
    <n v="8607"/>
    <s v="5.18"/>
    <s v="0.00"/>
    <s v="94.82"/>
  </r>
  <r>
    <x v="26"/>
    <x v="187"/>
    <n v="26034"/>
    <n v="724"/>
    <n v="10875"/>
    <s v="2.78"/>
    <s v="0.00"/>
    <s v="97.22"/>
  </r>
  <r>
    <x v="26"/>
    <x v="188"/>
    <n v="2745165"/>
    <n v="64367"/>
    <n v="2130191"/>
    <s v="2.34"/>
    <s v="0.00"/>
    <s v="97.66"/>
  </r>
  <r>
    <x v="26"/>
    <x v="189"/>
    <n v="125094"/>
    <n v="3182"/>
    <n v="5834"/>
    <s v="2.54"/>
    <s v="0.00"/>
    <s v="97.46"/>
  </r>
  <r>
    <x v="26"/>
    <x v="190"/>
    <n v="44916737"/>
    <n v="723765"/>
    <n v="34999952"/>
    <s v="1.61"/>
    <s v="0.00"/>
    <s v="98.39"/>
  </r>
  <r>
    <x v="26"/>
    <x v="191"/>
    <n v="390915"/>
    <n v="6067"/>
    <n v="57647"/>
    <s v="1.55"/>
    <s v="0.00"/>
    <s v="98.45"/>
  </r>
  <r>
    <x v="26"/>
    <x v="192"/>
    <n v="180566"/>
    <n v="1285"/>
    <n v="38606"/>
    <s v="0.71"/>
    <s v="0.00"/>
    <s v="99.29"/>
  </r>
  <r>
    <x v="26"/>
    <x v="194"/>
    <n v="4418"/>
    <n v="47"/>
    <n v="4256"/>
    <s v="1.06"/>
    <s v="0.00"/>
    <s v="98.94"/>
  </r>
  <r>
    <x v="26"/>
    <x v="193"/>
    <n v="27"/>
    <n v="0"/>
    <n v="19"/>
    <s v="0.00"/>
    <s v="0.00"/>
    <s v="100.00"/>
  </r>
  <r>
    <x v="26"/>
    <x v="195"/>
    <n v="390045"/>
    <n v="4693"/>
    <n v="69485"/>
    <s v="1.20"/>
    <s v="0.00"/>
    <s v="98.80"/>
  </r>
  <r>
    <x v="26"/>
    <x v="196"/>
    <n v="860860"/>
    <n v="21131"/>
    <n v="134131"/>
    <s v="2.45"/>
    <s v="0.00"/>
    <s v="97.55"/>
  </r>
  <r>
    <x v="26"/>
    <x v="197"/>
    <n v="4"/>
    <n v="1"/>
    <n v="1"/>
    <s v="25.00"/>
    <s v="0.00"/>
    <s v="75.00"/>
  </r>
  <r>
    <x v="26"/>
    <x v="198"/>
    <n v="3"/>
    <n v="0"/>
    <n v="0"/>
    <s v="0.00"/>
    <s v="0.00"/>
    <s v="100.00"/>
  </r>
  <r>
    <x v="26"/>
    <x v="199"/>
    <n v="160530"/>
    <n v="2973"/>
    <n v="100930"/>
    <s v="1.85"/>
    <s v="0.00"/>
    <s v="98.15"/>
  </r>
  <r>
    <x v="26"/>
    <x v="200"/>
    <n v="9512"/>
    <n v="1802"/>
    <n v="5884"/>
    <s v="18.94"/>
    <s v="0.00"/>
    <s v="81.06"/>
  </r>
  <r>
    <x v="26"/>
    <x v="201"/>
    <n v="20439"/>
    <n v="181"/>
    <n v="13914"/>
    <s v="0.89"/>
    <s v="0.00"/>
    <s v="99.11"/>
  </r>
  <r>
    <x v="26"/>
    <x v="202"/>
    <n v="2916179"/>
    <n v="88587"/>
    <n v="879560"/>
    <s v="3.04"/>
    <s v="0.00"/>
    <s v="96.96"/>
  </r>
  <r>
    <x v="26"/>
    <x v="203"/>
    <n v="209505"/>
    <n v="3658"/>
    <n v="128251"/>
    <s v="1.75"/>
    <s v="0.00"/>
    <s v="98.25"/>
  </r>
  <r>
    <x v="26"/>
    <x v="204"/>
    <n v="132333"/>
    <n v="4657"/>
    <n v="22795"/>
    <s v="3.52"/>
    <s v="0.00"/>
    <s v="96.48"/>
  </r>
  <r>
    <x v="26"/>
    <x v="205"/>
    <n v="721"/>
    <n v="15"/>
    <n v="465"/>
    <s v="2.08"/>
    <s v="0.00"/>
    <s v="97.92"/>
  </r>
  <r>
    <x v="27"/>
    <x v="205"/>
    <n v="721"/>
    <n v="15"/>
    <n v="480"/>
    <s v="2.08"/>
    <s v="0.00"/>
    <s v="97.92"/>
  </r>
  <r>
    <x v="27"/>
    <x v="204"/>
    <n v="132285"/>
    <n v="4655"/>
    <n v="39211"/>
    <s v="3.52"/>
    <s v="0.00"/>
    <s v="96.48"/>
  </r>
  <r>
    <x v="27"/>
    <x v="203"/>
    <n v="209477"/>
    <n v="3657"/>
    <n v="5975"/>
    <s v="1.75"/>
    <s v="0.00"/>
    <s v="98.25"/>
  </r>
  <r>
    <x v="27"/>
    <x v="202"/>
    <n v="2915560"/>
    <n v="88562"/>
    <n v="1357234"/>
    <s v="3.04"/>
    <s v="0.00"/>
    <s v="96.96"/>
  </r>
  <r>
    <x v="27"/>
    <x v="201"/>
    <n v="20439"/>
    <n v="181"/>
    <n v="11003"/>
    <s v="0.89"/>
    <s v="0.00"/>
    <s v="99.11"/>
  </r>
  <r>
    <x v="27"/>
    <x v="200"/>
    <n v="9495"/>
    <n v="1798"/>
    <n v="4867"/>
    <s v="18.94"/>
    <s v="0.00"/>
    <s v="81.06"/>
  </r>
  <r>
    <x v="27"/>
    <x v="199"/>
    <n v="160515"/>
    <n v="2973"/>
    <n v="137230"/>
    <s v="1.85"/>
    <s v="0.00"/>
    <s v="98.15"/>
  </r>
  <r>
    <x v="27"/>
    <x v="198"/>
    <n v="3"/>
    <n v="0"/>
    <n v="1"/>
    <s v="0.00"/>
    <s v="0.00"/>
    <s v="100.00"/>
  </r>
  <r>
    <x v="27"/>
    <x v="197"/>
    <n v="4"/>
    <n v="1"/>
    <n v="0"/>
    <s v="25.00"/>
    <s v="0.00"/>
    <s v="75.00"/>
  </r>
  <r>
    <x v="27"/>
    <x v="196"/>
    <n v="857639"/>
    <n v="21043"/>
    <n v="204401"/>
    <s v="2.45"/>
    <s v="0.00"/>
    <s v="97.55"/>
  </r>
  <r>
    <x v="27"/>
    <x v="195"/>
    <n v="390045"/>
    <n v="4693"/>
    <n v="381590"/>
    <s v="1.20"/>
    <s v="0.00"/>
    <s v="98.80"/>
  </r>
  <r>
    <x v="27"/>
    <x v="193"/>
    <n v="27"/>
    <n v="0"/>
    <n v="3"/>
    <s v="0.00"/>
    <s v="0.00"/>
    <s v="100.00"/>
  </r>
  <r>
    <x v="27"/>
    <x v="194"/>
    <n v="4096"/>
    <n v="38"/>
    <n v="1607"/>
    <s v="0.93"/>
    <s v="0.00"/>
    <s v="99.07"/>
  </r>
  <r>
    <x v="27"/>
    <x v="192"/>
    <n v="180162"/>
    <n v="1283"/>
    <n v="1092"/>
    <s v="0.71"/>
    <s v="0.00"/>
    <s v="99.29"/>
  </r>
  <r>
    <x v="27"/>
    <x v="191"/>
    <n v="390762"/>
    <n v="6066"/>
    <n v="285446"/>
    <s v="1.55"/>
    <s v="0.00"/>
    <s v="98.45"/>
  </r>
  <r>
    <x v="27"/>
    <x v="190"/>
    <n v="44884598"/>
    <n v="723368"/>
    <n v="26206786"/>
    <s v="1.61"/>
    <s v="0.00"/>
    <s v="98.39"/>
  </r>
  <r>
    <x v="27"/>
    <x v="189"/>
    <n v="125049"/>
    <n v="3180"/>
    <n v="99744"/>
    <s v="2.54"/>
    <s v="0.00"/>
    <s v="97.46"/>
  </r>
  <r>
    <x v="27"/>
    <x v="188"/>
    <n v="2731325"/>
    <n v="64068"/>
    <n v="308137"/>
    <s v="2.35"/>
    <s v="0.00"/>
    <s v="97.65"/>
  </r>
  <r>
    <x v="27"/>
    <x v="187"/>
    <n v="26034"/>
    <n v="724"/>
    <n v="24188"/>
    <s v="2.78"/>
    <s v="0.00"/>
    <s v="97.22"/>
  </r>
  <r>
    <x v="27"/>
    <x v="186"/>
    <n v="16325"/>
    <n v="846"/>
    <n v="9731"/>
    <s v="5.18"/>
    <s v="0.00"/>
    <s v="94.82"/>
  </r>
  <r>
    <x v="27"/>
    <x v="185"/>
    <n v="53689"/>
    <n v="1584"/>
    <n v="12896"/>
    <s v="2.95"/>
    <s v="0.00"/>
    <s v="97.05"/>
  </r>
  <r>
    <x v="27"/>
    <x v="184"/>
    <n v="7601596"/>
    <n v="67225"/>
    <n v="2747794"/>
    <s v="0.88"/>
    <s v="0.00"/>
    <s v="99.12"/>
  </r>
  <r>
    <x v="27"/>
    <x v="182"/>
    <n v="710673"/>
    <n v="25082"/>
    <n v="276333"/>
    <s v="3.53"/>
    <s v="0.00"/>
    <s v="96.47"/>
  </r>
  <r>
    <x v="27"/>
    <x v="181"/>
    <n v="19703"/>
    <n v="119"/>
    <n v="15430"/>
    <s v="0.60"/>
    <s v="0.00"/>
    <s v="99.40"/>
  </r>
  <r>
    <x v="27"/>
    <x v="180"/>
    <n v="17484"/>
    <n v="125"/>
    <n v="14710"/>
    <s v="0.71"/>
    <s v="0.00"/>
    <s v="99.29"/>
  </r>
  <r>
    <x v="27"/>
    <x v="179"/>
    <n v="1762190"/>
    <n v="18123"/>
    <n v="784364"/>
    <s v="1.03"/>
    <s v="0.00"/>
    <s v="98.97"/>
  </r>
  <r>
    <x v="27"/>
    <x v="178"/>
    <n v="25865"/>
    <n v="238"/>
    <n v="19416"/>
    <s v="0.92"/>
    <s v="0.00"/>
    <s v="99.08"/>
  </r>
  <r>
    <x v="27"/>
    <x v="177"/>
    <n v="5067"/>
    <n v="174"/>
    <n v="1096"/>
    <s v="3.43"/>
    <s v="0.00"/>
    <s v="96.57"/>
  </r>
  <r>
    <x v="27"/>
    <x v="176"/>
    <n v="46359"/>
    <n v="1233"/>
    <n v="21140"/>
    <s v="2.66"/>
    <s v="0.00"/>
    <s v="97.34"/>
  </r>
  <r>
    <x v="27"/>
    <x v="175"/>
    <n v="38365"/>
    <n v="2382"/>
    <n v="12093"/>
    <s v="6.21"/>
    <s v="0.00"/>
    <s v="93.79"/>
  </r>
  <r>
    <x v="27"/>
    <x v="174"/>
    <n v="110188"/>
    <n v="3447"/>
    <n v="74778"/>
    <s v="3.13"/>
    <s v="0.00"/>
    <s v="96.87"/>
  </r>
  <r>
    <x v="27"/>
    <x v="172"/>
    <n v="12184"/>
    <n v="130"/>
    <n v="2283"/>
    <s v="1.07"/>
    <s v="0.00"/>
    <s v="98.93"/>
  </r>
  <r>
    <x v="27"/>
    <x v="173"/>
    <n v="3670"/>
    <n v="56"/>
    <n v="3107"/>
    <s v="1.53"/>
    <s v="0.00"/>
    <s v="98.47"/>
  </r>
  <r>
    <x v="27"/>
    <x v="171"/>
    <n v="46132"/>
    <n v="1007"/>
    <n v="29694"/>
    <s v="2.18"/>
    <s v="0.00"/>
    <s v="97.82"/>
  </r>
  <r>
    <x v="27"/>
    <x v="170"/>
    <n v="21269"/>
    <n v="1180"/>
    <n v="7949"/>
    <s v="5.55"/>
    <s v="0.00"/>
    <s v="94.45"/>
  </r>
  <r>
    <x v="27"/>
    <x v="169"/>
    <n v="73859"/>
    <n v="1871"/>
    <n v="60609"/>
    <s v="2.53"/>
    <s v="0.00"/>
    <s v="97.47"/>
  </r>
  <r>
    <x v="27"/>
    <x v="168"/>
    <n v="5473"/>
    <n v="91"/>
    <n v="1538"/>
    <s v="1.66"/>
    <s v="0.00"/>
    <s v="98.34"/>
  </r>
  <r>
    <x v="27"/>
    <x v="167"/>
    <n v="6396"/>
    <n v="121"/>
    <n v="654"/>
    <s v="1.89"/>
    <s v="0.00"/>
    <s v="98.11"/>
  </r>
  <r>
    <x v="27"/>
    <x v="166"/>
    <n v="433709"/>
    <n v="12816"/>
    <n v="343746"/>
    <s v="2.95"/>
    <s v="0.00"/>
    <s v="97.05"/>
  </r>
  <r>
    <x v="27"/>
    <x v="165"/>
    <n v="306064"/>
    <n v="4631"/>
    <n v="161826"/>
    <s v="1.51"/>
    <s v="0.00"/>
    <s v="98.49"/>
  </r>
  <r>
    <x v="27"/>
    <x v="164"/>
    <n v="141772"/>
    <n v="215"/>
    <n v="94427"/>
    <s v="0.15"/>
    <s v="0.00"/>
    <s v="99.85"/>
  </r>
  <r>
    <x v="27"/>
    <x v="163"/>
    <n v="1161933"/>
    <n v="14956"/>
    <n v="281554"/>
    <s v="1.29"/>
    <s v="0.00"/>
    <s v="98.71"/>
  </r>
  <r>
    <x v="27"/>
    <x v="162"/>
    <n v="39416"/>
    <n v="2976"/>
    <n v="9634"/>
    <s v="7.55"/>
    <s v="0.00"/>
    <s v="92.45"/>
  </r>
  <r>
    <x v="27"/>
    <x v="161"/>
    <n v="21854"/>
    <n v="119"/>
    <n v="4331"/>
    <s v="0.54"/>
    <s v="0.00"/>
    <s v="99.46"/>
  </r>
  <r>
    <x v="27"/>
    <x v="160"/>
    <n v="20"/>
    <n v="0"/>
    <n v="16"/>
    <s v="0.00"/>
    <s v="0.00"/>
    <s v="100.00"/>
  </r>
  <r>
    <x v="27"/>
    <x v="159"/>
    <n v="547845"/>
    <n v="8758"/>
    <n v="436242"/>
    <s v="1.60"/>
    <s v="0.00"/>
    <s v="98.40"/>
  </r>
  <r>
    <x v="27"/>
    <x v="158"/>
    <n v="99067"/>
    <n v="1313"/>
    <n v="22477"/>
    <s v="1.33"/>
    <s v="0.00"/>
    <s v="98.67"/>
  </r>
  <r>
    <x v="27"/>
    <x v="157"/>
    <n v="7804750"/>
    <n v="217382"/>
    <n v="4605916"/>
    <s v="2.79"/>
    <s v="0.00"/>
    <s v="97.21"/>
  </r>
  <r>
    <x v="27"/>
    <x v="156"/>
    <n v="1037707"/>
    <n v="8996"/>
    <n v="684426"/>
    <s v="0.87"/>
    <s v="0.00"/>
    <s v="99.13"/>
  </r>
  <r>
    <x v="27"/>
    <x v="155"/>
    <n v="1430475"/>
    <n v="41130"/>
    <n v="603922"/>
    <s v="2.88"/>
    <s v="0.00"/>
    <s v="97.12"/>
  </r>
  <r>
    <x v="27"/>
    <x v="154"/>
    <n v="54024"/>
    <n v="370"/>
    <n v="4615"/>
    <s v="0.68"/>
    <s v="0.00"/>
    <s v="99.32"/>
  </r>
  <r>
    <x v="27"/>
    <x v="153"/>
    <n v="237798"/>
    <n v="608"/>
    <n v="117737"/>
    <s v="0.26"/>
    <s v="0.00"/>
    <s v="99.74"/>
  </r>
  <r>
    <x v="27"/>
    <x v="152"/>
    <n v="460322"/>
    <n v="16209"/>
    <n v="90280"/>
    <s v="3.52"/>
    <s v="0.00"/>
    <s v="96.48"/>
  </r>
  <r>
    <x v="27"/>
    <x v="151"/>
    <n v="8"/>
    <n v="0"/>
    <n v="5"/>
    <s v="0.00"/>
    <s v="0.00"/>
    <s v="100.00"/>
  </r>
  <r>
    <x v="27"/>
    <x v="150"/>
    <n v="1078729"/>
    <n v="18078"/>
    <n v="898225"/>
    <s v="1.68"/>
    <s v="0.00"/>
    <s v="98.32"/>
  </r>
  <r>
    <x v="27"/>
    <x v="149"/>
    <n v="447032"/>
    <n v="4556"/>
    <n v="421218"/>
    <s v="1.02"/>
    <s v="0.00"/>
    <s v="98.98"/>
  </r>
  <r>
    <x v="27"/>
    <x v="148"/>
    <n v="2933834"/>
    <n v="76067"/>
    <n v="1376594"/>
    <s v="2.59"/>
    <s v="0.00"/>
    <s v="97.41"/>
  </r>
  <r>
    <x v="27"/>
    <x v="146"/>
    <n v="2705792"/>
    <n v="40424"/>
    <n v="1233062"/>
    <s v="1.49"/>
    <s v="0.00"/>
    <s v="98.51"/>
  </r>
  <r>
    <x v="27"/>
    <x v="147"/>
    <n v="1263664"/>
    <n v="28252"/>
    <n v="455892"/>
    <s v="2.24"/>
    <s v="0.00"/>
    <s v="97.76"/>
  </r>
  <r>
    <x v="27"/>
    <x v="145"/>
    <n v="24041"/>
    <n v="266"/>
    <n v="13219"/>
    <s v="1.11"/>
    <s v="0.00"/>
    <s v="98.89"/>
  </r>
  <r>
    <x v="27"/>
    <x v="144"/>
    <n v="45439"/>
    <n v="633"/>
    <n v="42092"/>
    <s v="1.39"/>
    <s v="0.00"/>
    <s v="98.61"/>
  </r>
  <r>
    <x v="27"/>
    <x v="143"/>
    <n v="2188351"/>
    <n v="199792"/>
    <n v="1660518"/>
    <s v="9.13"/>
    <s v="0.00"/>
    <s v="90.87"/>
  </r>
  <r>
    <x v="27"/>
    <x v="142"/>
    <n v="469998"/>
    <n v="7288"/>
    <n v="259636"/>
    <s v="1.55"/>
    <s v="0.00"/>
    <s v="98.45"/>
  </r>
  <r>
    <x v="27"/>
    <x v="141"/>
    <n v="304025"/>
    <n v="4103"/>
    <n v="104324"/>
    <s v="1.35"/>
    <s v="0.00"/>
    <s v="98.65"/>
  </r>
  <r>
    <x v="27"/>
    <x v="140"/>
    <n v="4940"/>
    <n v="28"/>
    <n v="3315"/>
    <s v="0.57"/>
    <s v="0.00"/>
    <s v="99.43"/>
  </r>
  <r>
    <x v="27"/>
    <x v="139"/>
    <n v="804516"/>
    <n v="11277"/>
    <n v="715235"/>
    <s v="1.40"/>
    <s v="0.00"/>
    <s v="98.60"/>
  </r>
  <r>
    <x v="27"/>
    <x v="138"/>
    <n v="195808"/>
    <n v="884"/>
    <n v="37707"/>
    <s v="0.45"/>
    <s v="0.00"/>
    <s v="99.55"/>
  </r>
  <r>
    <x v="27"/>
    <x v="137"/>
    <n v="2079689"/>
    <n v="18669"/>
    <n v="1287998"/>
    <s v="0.90"/>
    <s v="0.00"/>
    <s v="99.10"/>
  </r>
  <r>
    <x v="27"/>
    <x v="136"/>
    <n v="15737"/>
    <n v="206"/>
    <n v="655"/>
    <s v="1.31"/>
    <s v="0.00"/>
    <s v="98.69"/>
  </r>
  <r>
    <x v="27"/>
    <x v="135"/>
    <n v="208797"/>
    <n v="2769"/>
    <n v="77666"/>
    <s v="1.33"/>
    <s v="0.00"/>
    <s v="98.67"/>
  </r>
  <r>
    <x v="27"/>
    <x v="134"/>
    <n v="6143"/>
    <n v="204"/>
    <n v="5593"/>
    <s v="3.32"/>
    <s v="0.00"/>
    <s v="96.68"/>
  </r>
  <r>
    <x v="27"/>
    <x v="133"/>
    <n v="9861"/>
    <n v="231"/>
    <n v="5614"/>
    <s v="2.34"/>
    <s v="0.00"/>
    <s v="97.66"/>
  </r>
  <r>
    <x v="27"/>
    <x v="132"/>
    <n v="128239"/>
    <n v="3538"/>
    <n v="68628"/>
    <s v="2.76"/>
    <s v="0.00"/>
    <s v="97.24"/>
  </r>
  <r>
    <x v="27"/>
    <x v="131"/>
    <n v="151080"/>
    <n v="1925"/>
    <n v="40310"/>
    <s v="1.27"/>
    <s v="0.00"/>
    <s v="98.73"/>
  </r>
  <r>
    <x v="27"/>
    <x v="130"/>
    <n v="2377033"/>
    <n v="27770"/>
    <n v="1214930"/>
    <s v="1.17"/>
    <s v="0.00"/>
    <s v="98.83"/>
  </r>
  <r>
    <x v="27"/>
    <x v="129"/>
    <n v="3749860"/>
    <n v="284008"/>
    <n v="2209246"/>
    <s v="7.57"/>
    <s v="0.00"/>
    <s v="92.43"/>
  </r>
  <r>
    <x v="27"/>
    <x v="128"/>
    <n v="61709"/>
    <n v="2292"/>
    <n v="32937"/>
    <s v="3.71"/>
    <s v="0.00"/>
    <s v="96.29"/>
  </r>
  <r>
    <x v="27"/>
    <x v="127"/>
    <n v="85977"/>
    <n v="237"/>
    <n v="80850"/>
    <s v="0.28"/>
    <s v="0.00"/>
    <s v="99.72"/>
  </r>
  <r>
    <x v="27"/>
    <x v="126"/>
    <n v="16621"/>
    <n v="129"/>
    <n v="13384"/>
    <s v="0.78"/>
    <s v="0.00"/>
    <s v="99.22"/>
  </r>
  <r>
    <x v="27"/>
    <x v="125"/>
    <n v="37437"/>
    <n v="459"/>
    <n v="26772"/>
    <s v="1.23"/>
    <s v="0.00"/>
    <s v="98.77"/>
  </r>
  <r>
    <x v="27"/>
    <x v="124"/>
    <n v="36591"/>
    <n v="787"/>
    <n v="33144"/>
    <s v="2.15"/>
    <s v="0.00"/>
    <s v="97.85"/>
  </r>
  <r>
    <x v="27"/>
    <x v="123"/>
    <n v="42269"/>
    <n v="656"/>
    <n v="1919"/>
    <s v="1.55"/>
    <s v="0.00"/>
    <s v="98.45"/>
  </r>
  <r>
    <x v="27"/>
    <x v="122"/>
    <n v="77"/>
    <n v="0"/>
    <n v="72"/>
    <s v="0.00"/>
    <s v="0.00"/>
    <s v="100.00"/>
  </r>
  <r>
    <x v="27"/>
    <x v="121"/>
    <n v="336508"/>
    <n v="1527"/>
    <n v="3662"/>
    <s v="0.45"/>
    <s v="0.00"/>
    <s v="99.55"/>
  </r>
  <r>
    <x v="27"/>
    <x v="120"/>
    <n v="485646"/>
    <n v="18297"/>
    <n v="124328"/>
    <s v="3.77"/>
    <s v="0.00"/>
    <s v="96.23"/>
  </r>
  <r>
    <x v="27"/>
    <x v="119"/>
    <n v="15577"/>
    <n v="555"/>
    <n v="7888"/>
    <s v="3.56"/>
    <s v="0.00"/>
    <s v="96.44"/>
  </r>
  <r>
    <x v="27"/>
    <x v="118"/>
    <n v="196376"/>
    <n v="6901"/>
    <n v="25136"/>
    <s v="3.51"/>
    <s v="0.00"/>
    <s v="96.49"/>
  </r>
  <r>
    <x v="27"/>
    <x v="117"/>
    <n v="4"/>
    <n v="0"/>
    <n v="0"/>
    <s v="0.00"/>
    <s v="0.00"/>
    <s v="100.00"/>
  </r>
  <r>
    <x v="27"/>
    <x v="116"/>
    <n v="43616"/>
    <n v="960"/>
    <n v="3893"/>
    <s v="2.20"/>
    <s v="0.00"/>
    <s v="97.80"/>
  </r>
  <r>
    <x v="27"/>
    <x v="115"/>
    <n v="3878"/>
    <n v="55"/>
    <n v="442"/>
    <s v="1.42"/>
    <s v="0.00"/>
    <s v="98.58"/>
  </r>
  <r>
    <x v="27"/>
    <x v="114"/>
    <n v="137046"/>
    <n v="2018"/>
    <n v="87903"/>
    <s v="1.47"/>
    <s v="0.00"/>
    <s v="98.53"/>
  </r>
  <r>
    <x v="27"/>
    <x v="113"/>
    <n v="313849"/>
    <n v="7172"/>
    <n v="121555"/>
    <s v="2.29"/>
    <s v="0.00"/>
    <s v="97.71"/>
  </r>
  <r>
    <x v="27"/>
    <x v="112"/>
    <n v="3357"/>
    <n v="35"/>
    <n v="622"/>
    <s v="1.04"/>
    <s v="0.00"/>
    <s v="98.96"/>
  </r>
  <r>
    <x v="27"/>
    <x v="111"/>
    <n v="941446"/>
    <n v="14533"/>
    <n v="313971"/>
    <s v="1.54"/>
    <s v="0.00"/>
    <s v="98.46"/>
  </r>
  <r>
    <x v="27"/>
    <x v="110"/>
    <n v="349210"/>
    <n v="4860"/>
    <n v="197016"/>
    <s v="1.39"/>
    <s v="0.00"/>
    <s v="98.61"/>
  </r>
  <r>
    <x v="27"/>
    <x v="109"/>
    <n v="180440"/>
    <n v="2869"/>
    <n v="10980"/>
    <s v="1.59"/>
    <s v="0.00"/>
    <s v="98.41"/>
  </r>
  <r>
    <x v="27"/>
    <x v="108"/>
    <n v="79720"/>
    <n v="839"/>
    <n v="78122"/>
    <s v="1.05"/>
    <s v="0.00"/>
    <s v="98.95"/>
  </r>
  <r>
    <x v="27"/>
    <x v="107"/>
    <n v="363630"/>
    <n v="5376"/>
    <n v="26024"/>
    <s v="1.48"/>
    <s v="0.00"/>
    <s v="98.52"/>
  </r>
  <r>
    <x v="27"/>
    <x v="106"/>
    <n v="21524"/>
    <n v="655"/>
    <n v="12968"/>
    <s v="3.04"/>
    <s v="0.00"/>
    <s v="96.96"/>
  </r>
  <r>
    <x v="27"/>
    <x v="105"/>
    <n v="5803"/>
    <n v="286"/>
    <n v="5141"/>
    <s v="4.93"/>
    <s v="0.00"/>
    <s v="95.07"/>
  </r>
  <r>
    <x v="27"/>
    <x v="104"/>
    <n v="530421"/>
    <n v="13449"/>
    <n v="121458"/>
    <s v="2.54"/>
    <s v="0.00"/>
    <s v="97.46"/>
  </r>
  <r>
    <x v="27"/>
    <x v="103"/>
    <n v="3584"/>
    <n v="60"/>
    <n v="3116"/>
    <s v="1.67"/>
    <s v="0.00"/>
    <s v="98.33"/>
  </r>
  <r>
    <x v="27"/>
    <x v="102"/>
    <n v="12129"/>
    <n v="232"/>
    <n v="11364"/>
    <s v="1.91"/>
    <s v="0.00"/>
    <s v="98.09"/>
  </r>
  <r>
    <x v="27"/>
    <x v="101"/>
    <n v="632781"/>
    <n v="8413"/>
    <n v="124260"/>
    <s v="1.33"/>
    <s v="0.00"/>
    <s v="98.67"/>
  </r>
  <r>
    <x v="27"/>
    <x v="100"/>
    <n v="31188"/>
    <n v="36"/>
    <n v="6537"/>
    <s v="0.12"/>
    <s v="0.00"/>
    <s v="99.88"/>
  </r>
  <r>
    <x v="27"/>
    <x v="99"/>
    <n v="992488"/>
    <n v="16618"/>
    <n v="152772"/>
    <s v="1.67"/>
    <s v="0.00"/>
    <s v="98.33"/>
  </r>
  <r>
    <x v="27"/>
    <x v="98"/>
    <n v="412258"/>
    <n v="2455"/>
    <n v="91545"/>
    <s v="0.60"/>
    <s v="0.00"/>
    <s v="99.40"/>
  </r>
  <r>
    <x v="27"/>
    <x v="97"/>
    <n v="340978"/>
    <n v="2644"/>
    <n v="156231"/>
    <s v="0.78"/>
    <s v="0.00"/>
    <s v="99.22"/>
  </r>
  <r>
    <x v="27"/>
    <x v="96"/>
    <n v="2525"/>
    <n v="21"/>
    <n v="696"/>
    <s v="0.83"/>
    <s v="0.00"/>
    <s v="99.17"/>
  </r>
  <r>
    <x v="27"/>
    <x v="95"/>
    <n v="4184"/>
    <n v="147"/>
    <n v="3590"/>
    <s v="3.51"/>
    <s v="0.00"/>
    <s v="96.49"/>
  </r>
  <r>
    <x v="27"/>
    <x v="93"/>
    <n v="116140"/>
    <n v="2610"/>
    <n v="64261"/>
    <s v="2.25"/>
    <s v="0.00"/>
    <s v="97.75"/>
  </r>
  <r>
    <x v="27"/>
    <x v="94"/>
    <n v="2"/>
    <n v="0"/>
    <n v="0"/>
    <s v="0.00"/>
    <s v="0.00"/>
    <s v="100.00"/>
  </r>
  <r>
    <x v="27"/>
    <x v="92"/>
    <n v="179681"/>
    <n v="2629"/>
    <n v="93500"/>
    <s v="1.46"/>
    <s v="0.00"/>
    <s v="98.54"/>
  </r>
  <r>
    <x v="27"/>
    <x v="90"/>
    <n v="1714201"/>
    <n v="18084"/>
    <n v="1381060"/>
    <s v="1.05"/>
    <s v="0.00"/>
    <s v="98.95"/>
  </r>
  <r>
    <x v="27"/>
    <x v="91"/>
    <n v="251803"/>
    <n v="5210"/>
    <n v="28918"/>
    <s v="2.07"/>
    <s v="0.00"/>
    <s v="97.93"/>
  </r>
  <r>
    <x v="27"/>
    <x v="89"/>
    <n v="839544"/>
    <n v="10859"/>
    <n v="177431"/>
    <s v="1.29"/>
    <s v="0.00"/>
    <s v="98.71"/>
  </r>
  <r>
    <x v="27"/>
    <x v="88"/>
    <n v="86986"/>
    <n v="2072"/>
    <n v="76870"/>
    <s v="2.38"/>
    <s v="0.00"/>
    <s v="97.62"/>
  </r>
  <r>
    <x v="27"/>
    <x v="87"/>
    <n v="4712482"/>
    <n v="131503"/>
    <n v="2272654"/>
    <s v="2.79"/>
    <s v="0.00"/>
    <s v="97.21"/>
  </r>
  <r>
    <x v="27"/>
    <x v="86"/>
    <n v="12455"/>
    <n v="33"/>
    <n v="1199"/>
    <s v="0.26"/>
    <s v="0.00"/>
    <s v="99.74"/>
  </r>
  <r>
    <x v="27"/>
    <x v="85"/>
    <n v="5765904"/>
    <n v="123695"/>
    <n v="5150330"/>
    <s v="2.15"/>
    <s v="0.00"/>
    <s v="97.85"/>
  </r>
  <r>
    <x v="27"/>
    <x v="84"/>
    <n v="2032660"/>
    <n v="22713"/>
    <n v="35138"/>
    <s v="1.12"/>
    <s v="0.00"/>
    <s v="98.88"/>
  </r>
  <r>
    <x v="27"/>
    <x v="83"/>
    <n v="34053573"/>
    <n v="451980"/>
    <n v="28438146"/>
    <s v="1.33"/>
    <s v="0.00"/>
    <s v="98.67"/>
  </r>
  <r>
    <x v="27"/>
    <x v="82"/>
    <n v="1314213"/>
    <n v="7976"/>
    <n v="842606"/>
    <s v="0.61"/>
    <s v="0.00"/>
    <s v="99.39"/>
  </r>
  <r>
    <x v="27"/>
    <x v="81"/>
    <n v="411554"/>
    <n v="5306"/>
    <n v="382284"/>
    <s v="1.29"/>
    <s v="0.00"/>
    <s v="98.71"/>
  </r>
  <r>
    <x v="27"/>
    <x v="80"/>
    <n v="4233014"/>
    <n v="142889"/>
    <n v="3638792"/>
    <s v="3.38"/>
    <s v="0.00"/>
    <s v="96.62"/>
  </r>
  <r>
    <x v="27"/>
    <x v="79"/>
    <n v="833115"/>
    <n v="30351"/>
    <n v="694964"/>
    <s v="3.64"/>
    <s v="0.00"/>
    <s v="96.36"/>
  </r>
  <r>
    <x v="27"/>
    <x v="78"/>
    <n v="22827"/>
    <n v="649"/>
    <n v="15723"/>
    <s v="2.84"/>
    <s v="0.00"/>
    <s v="97.16"/>
  </r>
  <r>
    <x v="27"/>
    <x v="77"/>
    <n v="424666"/>
    <n v="8862"/>
    <n v="241400"/>
    <s v="2.09"/>
    <s v="0.00"/>
    <s v="97.91"/>
  </r>
  <r>
    <x v="27"/>
    <x v="76"/>
    <n v="371861"/>
    <n v="10083"/>
    <n v="325206"/>
    <s v="2.71"/>
    <s v="0.00"/>
    <s v="97.29"/>
  </r>
  <r>
    <x v="27"/>
    <x v="75"/>
    <n v="12285"/>
    <n v="213"/>
    <n v="7191"/>
    <s v="1.73"/>
    <s v="0.00"/>
    <s v="98.27"/>
  </r>
  <r>
    <x v="27"/>
    <x v="74"/>
    <n v="34240"/>
    <n v="862"/>
    <n v="27629"/>
    <s v="2.52"/>
    <s v="0.00"/>
    <s v="97.48"/>
  </r>
  <r>
    <x v="27"/>
    <x v="73"/>
    <n v="6129"/>
    <n v="141"/>
    <n v="926"/>
    <s v="2.30"/>
    <s v="0.00"/>
    <s v="97.70"/>
  </r>
  <r>
    <x v="27"/>
    <x v="72"/>
    <n v="586318"/>
    <n v="14236"/>
    <n v="17109"/>
    <s v="2.43"/>
    <s v="0.00"/>
    <s v="97.57"/>
  </r>
  <r>
    <x v="27"/>
    <x v="71"/>
    <n v="689896"/>
    <n v="15317"/>
    <n v="400743"/>
    <s v="2.22"/>
    <s v="0.00"/>
    <s v="97.78"/>
  </r>
  <r>
    <x v="27"/>
    <x v="70"/>
    <n v="12840"/>
    <n v="156"/>
    <n v="3715"/>
    <s v="1.21"/>
    <s v="0.00"/>
    <s v="98.79"/>
  </r>
  <r>
    <x v="27"/>
    <x v="69"/>
    <n v="53836"/>
    <n v="800"/>
    <n v="35380"/>
    <s v="1.49"/>
    <s v="0.00"/>
    <s v="98.51"/>
  </r>
  <r>
    <x v="27"/>
    <x v="67"/>
    <n v="9946"/>
    <n v="339"/>
    <n v="6351"/>
    <s v="3.41"/>
    <s v="0.00"/>
    <s v="96.59"/>
  </r>
  <r>
    <x v="27"/>
    <x v="68"/>
    <n v="30572"/>
    <n v="385"/>
    <n v="4302"/>
    <s v="1.26"/>
    <s v="0.00"/>
    <s v="98.74"/>
  </r>
  <r>
    <x v="27"/>
    <x v="66"/>
    <n v="5740"/>
    <n v="98"/>
    <n v="3795"/>
    <s v="1.71"/>
    <s v="0.00"/>
    <s v="98.29"/>
  </r>
  <r>
    <x v="27"/>
    <x v="65"/>
    <n v="128368"/>
    <n v="1158"/>
    <n v="38060"/>
    <s v="0.90"/>
    <s v="0.00"/>
    <s v="99.10"/>
  </r>
  <r>
    <x v="27"/>
    <x v="64"/>
    <n v="43255"/>
    <n v="293"/>
    <n v="9898"/>
    <s v="0.68"/>
    <s v="0.00"/>
    <s v="99.32"/>
  </r>
  <r>
    <x v="27"/>
    <x v="62"/>
    <n v="5721"/>
    <n v="192"/>
    <n v="4210"/>
    <s v="3.36"/>
    <s v="0.00"/>
    <s v="96.64"/>
  </r>
  <r>
    <x v="27"/>
    <x v="63"/>
    <n v="652677"/>
    <n v="9396"/>
    <n v="346783"/>
    <s v="1.44"/>
    <s v="0.00"/>
    <s v="98.56"/>
  </r>
  <r>
    <x v="27"/>
    <x v="61"/>
    <n v="8395243"/>
    <n v="138694"/>
    <n v="914339"/>
    <s v="1.65"/>
    <s v="0.00"/>
    <s v="98.35"/>
  </r>
  <r>
    <x v="27"/>
    <x v="60"/>
    <n v="33442"/>
    <n v="213"/>
    <n v="4832"/>
    <s v="0.64"/>
    <s v="0.00"/>
    <s v="99.36"/>
  </r>
  <r>
    <x v="27"/>
    <x v="59"/>
    <n v="6906114"/>
    <n v="114928"/>
    <n v="1365819"/>
    <s v="1.66"/>
    <s v="0.00"/>
    <s v="98.34"/>
  </r>
  <r>
    <x v="27"/>
    <x v="58"/>
    <n v="1332"/>
    <n v="2"/>
    <n v="893"/>
    <s v="0.15"/>
    <s v="0.00"/>
    <s v="99.85"/>
  </r>
  <r>
    <x v="27"/>
    <x v="57"/>
    <n v="51701"/>
    <n v="663"/>
    <n v="25215"/>
    <s v="1.28"/>
    <s v="0.00"/>
    <s v="98.72"/>
  </r>
  <r>
    <x v="27"/>
    <x v="56"/>
    <n v="149897"/>
    <n v="1116"/>
    <n v="25492"/>
    <s v="0.74"/>
    <s v="0.00"/>
    <s v="99.26"/>
  </r>
  <r>
    <x v="27"/>
    <x v="55"/>
    <n v="358345"/>
    <n v="6169"/>
    <n v="135386"/>
    <s v="1.72"/>
    <s v="0.00"/>
    <s v="98.28"/>
  </r>
  <r>
    <x v="27"/>
    <x v="54"/>
    <n v="4984386"/>
    <n v="86974"/>
    <n v="4691738"/>
    <s v="1.74"/>
    <s v="0.00"/>
    <s v="98.26"/>
  </r>
  <r>
    <x v="27"/>
    <x v="53"/>
    <n v="6767"/>
    <n v="44"/>
    <n v="3670"/>
    <s v="0.65"/>
    <s v="0.00"/>
    <s v="99.35"/>
  </r>
  <r>
    <x v="27"/>
    <x v="52"/>
    <n v="316711"/>
    <n v="17884"/>
    <n v="56184"/>
    <s v="5.65"/>
    <s v="0.00"/>
    <s v="94.35"/>
  </r>
  <r>
    <x v="27"/>
    <x v="51"/>
    <n v="170159"/>
    <n v="1415"/>
    <n v="26273"/>
    <s v="0.83"/>
    <s v="0.00"/>
    <s v="99.17"/>
  </r>
  <r>
    <x v="27"/>
    <x v="50"/>
    <n v="513026"/>
    <n v="32899"/>
    <n v="399206"/>
    <s v="6.41"/>
    <s v="0.00"/>
    <s v="93.59"/>
  </r>
  <r>
    <x v="27"/>
    <x v="49"/>
    <n v="205106"/>
    <n v="5867"/>
    <n v="195512"/>
    <s v="2.86"/>
    <s v="0.00"/>
    <s v="97.14"/>
  </r>
  <r>
    <x v="27"/>
    <x v="48"/>
    <n v="368830"/>
    <n v="4082"/>
    <n v="86870"/>
    <s v="1.11"/>
    <s v="0.00"/>
    <s v="98.89"/>
  </r>
  <r>
    <x v="27"/>
    <x v="47"/>
    <n v="4153"/>
    <n v="28"/>
    <n v="2127"/>
    <s v="0.67"/>
    <s v="0.00"/>
    <s v="99.33"/>
  </r>
  <r>
    <x v="27"/>
    <x v="46"/>
    <n v="367961"/>
    <n v="2679"/>
    <n v="79969"/>
    <s v="0.73"/>
    <s v="0.00"/>
    <s v="99.27"/>
  </r>
  <r>
    <x v="27"/>
    <x v="45"/>
    <n v="13377"/>
    <n v="179"/>
    <n v="7110"/>
    <s v="1.34"/>
    <s v="0.00"/>
    <s v="98.66"/>
  </r>
  <r>
    <x v="27"/>
    <x v="44"/>
    <n v="4366833"/>
    <n v="94605"/>
    <n v="221222"/>
    <s v="2.17"/>
    <s v="0.00"/>
    <s v="97.83"/>
  </r>
  <r>
    <x v="27"/>
    <x v="43"/>
    <n v="1705971"/>
    <n v="30528"/>
    <n v="80200"/>
    <s v="1.79"/>
    <s v="0.00"/>
    <s v="98.21"/>
  </r>
  <r>
    <x v="27"/>
    <x v="42"/>
    <n v="121995"/>
    <n v="560"/>
    <n v="28267"/>
    <s v="0.46"/>
    <s v="0.00"/>
    <s v="99.54"/>
  </r>
  <r>
    <x v="27"/>
    <x v="41"/>
    <n v="38006"/>
    <n v="347"/>
    <n v="29280"/>
    <s v="0.91"/>
    <s v="0.00"/>
    <s v="99.09"/>
  </r>
  <r>
    <x v="27"/>
    <x v="40"/>
    <n v="930822"/>
    <n v="8018"/>
    <n v="104315"/>
    <s v="0.86"/>
    <s v="0.00"/>
    <s v="99.14"/>
  </r>
  <r>
    <x v="27"/>
    <x v="39"/>
    <n v="551144"/>
    <n v="6797"/>
    <n v="482698"/>
    <s v="1.23"/>
    <s v="0.00"/>
    <s v="98.77"/>
  </r>
  <r>
    <x v="27"/>
    <x v="38"/>
    <n v="4978689"/>
    <n v="126796"/>
    <n v="3841497"/>
    <s v="2.55"/>
    <s v="0.00"/>
    <s v="97.45"/>
  </r>
  <r>
    <x v="27"/>
    <x v="37"/>
    <n v="96502"/>
    <n v="4636"/>
    <n v="74101"/>
    <s v="4.80"/>
    <s v="0.00"/>
    <s v="95.20"/>
  </r>
  <r>
    <x v="27"/>
    <x v="36"/>
    <n v="98402"/>
    <n v="1550"/>
    <n v="61501"/>
    <s v="1.58"/>
    <s v="0.00"/>
    <s v="98.42"/>
  </r>
  <r>
    <x v="27"/>
    <x v="35"/>
    <n v="1667547"/>
    <n v="37594"/>
    <n v="1063604"/>
    <s v="2.25"/>
    <s v="0.00"/>
    <s v="97.75"/>
  </r>
  <r>
    <x v="27"/>
    <x v="34"/>
    <n v="60982"/>
    <n v="674"/>
    <n v="50036"/>
    <s v="1.11"/>
    <s v="0.00"/>
    <s v="98.89"/>
  </r>
  <r>
    <x v="27"/>
    <x v="33"/>
    <n v="854591"/>
    <n v="11158"/>
    <n v="239918"/>
    <s v="1.31"/>
    <s v="0.00"/>
    <s v="98.69"/>
  </r>
  <r>
    <x v="27"/>
    <x v="32"/>
    <n v="15514"/>
    <n v="222"/>
    <n v="4157"/>
    <s v="1.43"/>
    <s v="0.00"/>
    <s v="98.57"/>
  </r>
  <r>
    <x v="27"/>
    <x v="31"/>
    <n v="11469"/>
    <n v="100"/>
    <n v="6862"/>
    <s v="0.87"/>
    <s v="0.00"/>
    <s v="99.13"/>
  </r>
  <r>
    <x v="27"/>
    <x v="30"/>
    <n v="57269"/>
    <n v="1089"/>
    <n v="201"/>
    <s v="1.90"/>
    <s v="0.00"/>
    <s v="98.10"/>
  </r>
  <r>
    <x v="27"/>
    <x v="29"/>
    <n v="1685112"/>
    <n v="28521"/>
    <n v="728660"/>
    <s v="1.69"/>
    <s v="0.00"/>
    <s v="98.31"/>
  </r>
  <r>
    <x v="27"/>
    <x v="28"/>
    <n v="23990"/>
    <n v="461"/>
    <n v="11920"/>
    <s v="1.92"/>
    <s v="0.00"/>
    <s v="98.08"/>
  </r>
  <r>
    <x v="27"/>
    <x v="27"/>
    <n v="567938"/>
    <n v="4369"/>
    <n v="70872"/>
    <s v="0.77"/>
    <s v="0.00"/>
    <s v="99.23"/>
  </r>
  <r>
    <x v="27"/>
    <x v="26"/>
    <n v="181856"/>
    <n v="2386"/>
    <n v="167895"/>
    <s v="1.31"/>
    <s v="0.00"/>
    <s v="98.69"/>
  </r>
  <r>
    <x v="27"/>
    <x v="25"/>
    <n v="2617"/>
    <n v="3"/>
    <n v="672"/>
    <s v="0.11"/>
    <s v="0.00"/>
    <s v="99.89"/>
  </r>
  <r>
    <x v="27"/>
    <x v="24"/>
    <n v="21580"/>
    <n v="590"/>
    <n v="2007"/>
    <s v="2.73"/>
    <s v="0.00"/>
    <s v="97.27"/>
  </r>
  <r>
    <x v="27"/>
    <x v="23"/>
    <n v="21627476"/>
    <n v="602669"/>
    <n v="6439566"/>
    <s v="2.79"/>
    <s v="0.00"/>
    <s v="97.21"/>
  </r>
  <r>
    <x v="27"/>
    <x v="22"/>
    <n v="506150"/>
    <n v="18824"/>
    <n v="381625"/>
    <s v="3.72"/>
    <s v="0.00"/>
    <s v="96.28"/>
  </r>
  <r>
    <x v="27"/>
    <x v="21"/>
    <n v="10251"/>
    <n v="68"/>
    <n v="8442"/>
    <s v="0.66"/>
    <s v="0.00"/>
    <s v="99.34"/>
  </r>
  <r>
    <x v="27"/>
    <x v="20"/>
    <n v="1658"/>
    <n v="6"/>
    <n v="138"/>
    <s v="0.36"/>
    <s v="0.00"/>
    <s v="99.64"/>
  </r>
  <r>
    <x v="27"/>
    <x v="19"/>
    <n v="24560"/>
    <n v="161"/>
    <n v="19776"/>
    <s v="0.66"/>
    <s v="0.00"/>
    <s v="99.34"/>
  </r>
  <r>
    <x v="27"/>
    <x v="18"/>
    <n v="19555"/>
    <n v="38"/>
    <n v="17348"/>
    <s v="0.19"/>
    <s v="0.00"/>
    <s v="99.81"/>
  </r>
  <r>
    <x v="27"/>
    <x v="17"/>
    <n v="275975"/>
    <n v="1391"/>
    <n v="150929"/>
    <s v="0.50"/>
    <s v="0.00"/>
    <s v="99.50"/>
  </r>
  <r>
    <x v="27"/>
    <x v="16"/>
    <n v="537752"/>
    <n v="22188"/>
    <n v="250964"/>
    <s v="4.13"/>
    <s v="0.00"/>
    <s v="95.87"/>
  </r>
  <r>
    <x v="27"/>
    <x v="15"/>
    <n v="14657"/>
    <n v="203"/>
    <n v="1718"/>
    <s v="1.39"/>
    <s v="0.00"/>
    <s v="98.61"/>
  </r>
  <r>
    <x v="27"/>
    <x v="14"/>
    <n v="1279869"/>
    <n v="25747"/>
    <n v="759099"/>
    <s v="2.01"/>
    <s v="0.00"/>
    <s v="97.99"/>
  </r>
  <r>
    <x v="27"/>
    <x v="13"/>
    <n v="1564881"/>
    <n v="27746"/>
    <n v="1347871"/>
    <s v="1.77"/>
    <s v="0.00"/>
    <s v="98.23"/>
  </r>
  <r>
    <x v="27"/>
    <x v="12"/>
    <n v="12427"/>
    <n v="109"/>
    <n v="10378"/>
    <s v="0.88"/>
    <s v="0.00"/>
    <s v="99.12"/>
  </r>
  <r>
    <x v="27"/>
    <x v="11"/>
    <n v="243914"/>
    <n v="11110"/>
    <n v="31503"/>
    <s v="4.55"/>
    <s v="0.00"/>
    <s v="95.45"/>
  </r>
  <r>
    <x v="27"/>
    <x v="10"/>
    <n v="498630"/>
    <n v="6734"/>
    <n v="7927"/>
    <s v="1.35"/>
    <s v="0.00"/>
    <s v="98.65"/>
  </r>
  <r>
    <x v="27"/>
    <x v="9"/>
    <n v="141031"/>
    <n v="1515"/>
    <n v="74014"/>
    <s v="1.07"/>
    <s v="0.00"/>
    <s v="98.93"/>
  </r>
  <r>
    <x v="27"/>
    <x v="8"/>
    <n v="771143"/>
    <n v="11151"/>
    <n v="632080"/>
    <s v="1.45"/>
    <s v="0.00"/>
    <s v="98.55"/>
  </r>
  <r>
    <x v="27"/>
    <x v="7"/>
    <n v="5271361"/>
    <n v="115660"/>
    <n v="3343974"/>
    <s v="2.19"/>
    <s v="0.00"/>
    <s v="97.81"/>
  </r>
  <r>
    <x v="27"/>
    <x v="6"/>
    <n v="62606"/>
    <n v="1660"/>
    <n v="82"/>
    <s v="2.65"/>
    <s v="0.00"/>
    <s v="97.35"/>
  </r>
  <r>
    <x v="27"/>
    <x v="5"/>
    <n v="278431"/>
    <n v="5713"/>
    <n v="137320"/>
    <s v="2.05"/>
    <s v="0.00"/>
    <s v="97.95"/>
  </r>
  <r>
    <x v="27"/>
    <x v="4"/>
    <n v="177108"/>
    <n v="2807"/>
    <n v="71047"/>
    <s v="1.58"/>
    <s v="0.00"/>
    <s v="98.42"/>
  </r>
  <r>
    <x v="27"/>
    <x v="3"/>
    <n v="3858"/>
    <n v="93"/>
    <n v="2539"/>
    <s v="2.41"/>
    <s v="0.00"/>
    <s v="97.59"/>
  </r>
  <r>
    <x v="27"/>
    <x v="2"/>
    <n v="155688"/>
    <n v="7238"/>
    <n v="13642"/>
    <s v="4.65"/>
    <s v="0.00"/>
    <s v="95.35"/>
  </r>
  <r>
    <x v="27"/>
    <x v="1"/>
    <n v="738372"/>
    <n v="2118"/>
    <n v="168146"/>
    <s v="0.29"/>
    <s v="0.00"/>
    <s v="99.71"/>
  </r>
  <r>
    <x v="27"/>
    <x v="0"/>
    <n v="15338"/>
    <n v="130"/>
    <n v="10193"/>
    <s v="0.85"/>
    <s v="0.00"/>
    <s v="99.15"/>
  </r>
  <r>
    <x v="28"/>
    <x v="0"/>
    <n v="15326"/>
    <n v="130"/>
    <n v="9270"/>
    <s v="0.85"/>
    <s v="0.00"/>
    <s v="99.15"/>
  </r>
  <r>
    <x v="28"/>
    <x v="1"/>
    <n v="738268"/>
    <n v="2117"/>
    <n v="584656"/>
    <s v="0.29"/>
    <s v="0.00"/>
    <s v="99.71"/>
  </r>
  <r>
    <x v="28"/>
    <x v="2"/>
    <n v="155682"/>
    <n v="7238"/>
    <n v="49619"/>
    <s v="4.65"/>
    <s v="0.00"/>
    <s v="95.35"/>
  </r>
  <r>
    <x v="28"/>
    <x v="3"/>
    <n v="3830"/>
    <n v="93"/>
    <n v="865"/>
    <s v="2.43"/>
    <s v="0.00"/>
    <s v="97.57"/>
  </r>
  <r>
    <x v="28"/>
    <x v="4"/>
    <n v="176667"/>
    <n v="2797"/>
    <n v="103587"/>
    <s v="1.58"/>
    <s v="0.00"/>
    <s v="98.42"/>
  </r>
  <r>
    <x v="28"/>
    <x v="5"/>
    <n v="276666"/>
    <n v="5675"/>
    <n v="235801"/>
    <s v="2.05"/>
    <s v="0.00"/>
    <s v="97.95"/>
  </r>
  <r>
    <x v="28"/>
    <x v="6"/>
    <n v="62385"/>
    <n v="1653"/>
    <n v="10222"/>
    <s v="2.65"/>
    <s v="0.00"/>
    <s v="97.35"/>
  </r>
  <r>
    <x v="28"/>
    <x v="7"/>
    <n v="5270003"/>
    <n v="115633"/>
    <n v="4287431"/>
    <s v="2.19"/>
    <s v="0.00"/>
    <s v="97.81"/>
  </r>
  <r>
    <x v="28"/>
    <x v="8"/>
    <n v="768711"/>
    <n v="11143"/>
    <n v="737696"/>
    <s v="1.45"/>
    <s v="0.00"/>
    <s v="98.55"/>
  </r>
  <r>
    <x v="28"/>
    <x v="9"/>
    <n v="138720"/>
    <n v="1507"/>
    <n v="84585"/>
    <s v="1.09"/>
    <s v="0.00"/>
    <s v="98.91"/>
  </r>
  <r>
    <x v="28"/>
    <x v="10"/>
    <n v="496780"/>
    <n v="6720"/>
    <n v="328611"/>
    <s v="1.35"/>
    <s v="0.00"/>
    <s v="98.65"/>
  </r>
  <r>
    <x v="28"/>
    <x v="11"/>
    <n v="243220"/>
    <n v="11078"/>
    <n v="209555"/>
    <s v="4.55"/>
    <s v="0.00"/>
    <s v="95.45"/>
  </r>
  <r>
    <x v="28"/>
    <x v="12"/>
    <n v="12105"/>
    <n v="108"/>
    <n v="4067"/>
    <s v="0.89"/>
    <s v="0.00"/>
    <s v="99.11"/>
  </r>
  <r>
    <x v="28"/>
    <x v="13"/>
    <n v="1564485"/>
    <n v="27737"/>
    <n v="486951"/>
    <s v="1.77"/>
    <s v="0.00"/>
    <s v="98.23"/>
  </r>
  <r>
    <x v="28"/>
    <x v="14"/>
    <n v="1276221"/>
    <n v="25732"/>
    <n v="478962"/>
    <s v="2.02"/>
    <s v="0.00"/>
    <s v="97.98"/>
  </r>
  <r>
    <x v="28"/>
    <x v="15"/>
    <n v="14640"/>
    <n v="203"/>
    <n v="5339"/>
    <s v="1.39"/>
    <s v="0.00"/>
    <s v="98.61"/>
  </r>
  <r>
    <x v="28"/>
    <x v="16"/>
    <n v="534312"/>
    <n v="22102"/>
    <n v="123056"/>
    <s v="4.14"/>
    <s v="0.00"/>
    <s v="95.86"/>
  </r>
  <r>
    <x v="28"/>
    <x v="17"/>
    <n v="275912"/>
    <n v="1391"/>
    <n v="26730"/>
    <s v="0.50"/>
    <s v="0.00"/>
    <s v="99.50"/>
  </r>
  <r>
    <x v="28"/>
    <x v="18"/>
    <n v="19513"/>
    <n v="38"/>
    <n v="9092"/>
    <s v="0.19"/>
    <s v="0.00"/>
    <s v="99.81"/>
  </r>
  <r>
    <x v="28"/>
    <x v="19"/>
    <n v="24560"/>
    <n v="161"/>
    <n v="18409"/>
    <s v="0.66"/>
    <s v="0.00"/>
    <s v="99.34"/>
  </r>
  <r>
    <x v="28"/>
    <x v="20"/>
    <n v="1658"/>
    <n v="6"/>
    <n v="1204"/>
    <s v="0.36"/>
    <s v="0.00"/>
    <s v="99.64"/>
  </r>
  <r>
    <x v="28"/>
    <x v="21"/>
    <n v="9828"/>
    <n v="67"/>
    <n v="2757"/>
    <s v="0.68"/>
    <s v="0.00"/>
    <s v="99.32"/>
  </r>
  <r>
    <x v="28"/>
    <x v="22"/>
    <n v="505157"/>
    <n v="18811"/>
    <n v="43656"/>
    <s v="3.72"/>
    <s v="0.00"/>
    <s v="96.28"/>
  </r>
  <r>
    <x v="28"/>
    <x v="23"/>
    <n v="21612237"/>
    <n v="602099"/>
    <n v="7847140"/>
    <s v="2.79"/>
    <s v="0.00"/>
    <s v="97.21"/>
  </r>
  <r>
    <x v="28"/>
    <x v="24"/>
    <n v="21580"/>
    <n v="590"/>
    <n v="12387"/>
    <s v="2.73"/>
    <s v="0.00"/>
    <s v="97.27"/>
  </r>
  <r>
    <x v="28"/>
    <x v="25"/>
    <n v="2616"/>
    <n v="3"/>
    <n v="645"/>
    <s v="0.11"/>
    <s v="0.00"/>
    <s v="99.89"/>
  </r>
  <r>
    <x v="28"/>
    <x v="26"/>
    <n v="181856"/>
    <n v="2386"/>
    <n v="162313"/>
    <s v="1.31"/>
    <s v="0.00"/>
    <s v="98.69"/>
  </r>
  <r>
    <x v="28"/>
    <x v="27"/>
    <n v="565865"/>
    <n v="4353"/>
    <n v="166803"/>
    <s v="0.77"/>
    <s v="0.00"/>
    <s v="99.23"/>
  </r>
  <r>
    <x v="28"/>
    <x v="28"/>
    <n v="23762"/>
    <n v="457"/>
    <n v="9399"/>
    <s v="1.92"/>
    <s v="0.00"/>
    <s v="98.08"/>
  </r>
  <r>
    <x v="28"/>
    <x v="29"/>
    <n v="1681669"/>
    <n v="28474"/>
    <n v="1610739"/>
    <s v="1.69"/>
    <s v="0.00"/>
    <s v="98.31"/>
  </r>
  <r>
    <x v="28"/>
    <x v="30"/>
    <n v="57269"/>
    <n v="1089"/>
    <n v="20539"/>
    <s v="1.90"/>
    <s v="0.00"/>
    <s v="98.10"/>
  </r>
  <r>
    <x v="28"/>
    <x v="31"/>
    <n v="11469"/>
    <n v="100"/>
    <n v="2191"/>
    <s v="0.87"/>
    <s v="0.00"/>
    <s v="99.13"/>
  </r>
  <r>
    <x v="28"/>
    <x v="32"/>
    <n v="15255"/>
    <n v="219"/>
    <n v="9458"/>
    <s v="1.44"/>
    <s v="0.00"/>
    <s v="98.56"/>
  </r>
  <r>
    <x v="28"/>
    <x v="33"/>
    <n v="853637"/>
    <n v="11152"/>
    <n v="131438"/>
    <s v="1.31"/>
    <s v="0.00"/>
    <s v="98.69"/>
  </r>
  <r>
    <x v="28"/>
    <x v="34"/>
    <n v="60942"/>
    <n v="673"/>
    <n v="48741"/>
    <s v="1.10"/>
    <s v="0.00"/>
    <s v="98.90"/>
  </r>
  <r>
    <x v="28"/>
    <x v="35"/>
    <n v="1665916"/>
    <n v="37583"/>
    <n v="1546102"/>
    <s v="2.26"/>
    <s v="0.00"/>
    <s v="97.74"/>
  </r>
  <r>
    <x v="28"/>
    <x v="36"/>
    <n v="98402"/>
    <n v="1550"/>
    <n v="30265"/>
    <s v="1.58"/>
    <s v="0.00"/>
    <s v="98.42"/>
  </r>
  <r>
    <x v="28"/>
    <x v="37"/>
    <n v="96488"/>
    <n v="4636"/>
    <n v="31343"/>
    <s v="4.80"/>
    <s v="0.00"/>
    <s v="95.20"/>
  </r>
  <r>
    <x v="28"/>
    <x v="38"/>
    <n v="4977043"/>
    <n v="126759"/>
    <n v="678017"/>
    <s v="2.55"/>
    <s v="0.00"/>
    <s v="97.45"/>
  </r>
  <r>
    <x v="28"/>
    <x v="39"/>
    <n v="550134"/>
    <n v="6771"/>
    <n v="288614"/>
    <s v="1.23"/>
    <s v="0.00"/>
    <s v="98.77"/>
  </r>
  <r>
    <x v="28"/>
    <x v="40"/>
    <n v="928684"/>
    <n v="7994"/>
    <n v="106107"/>
    <s v="0.86"/>
    <s v="0.00"/>
    <s v="99.14"/>
  </r>
  <r>
    <x v="28"/>
    <x v="41"/>
    <n v="37976"/>
    <n v="347"/>
    <n v="8059"/>
    <s v="0.91"/>
    <s v="0.00"/>
    <s v="99.09"/>
  </r>
  <r>
    <x v="28"/>
    <x v="42"/>
    <n v="121842"/>
    <n v="560"/>
    <n v="58635"/>
    <s v="0.46"/>
    <s v="0.00"/>
    <s v="99.54"/>
  </r>
  <r>
    <x v="28"/>
    <x v="43"/>
    <n v="1704436"/>
    <n v="30524"/>
    <n v="499250"/>
    <s v="1.79"/>
    <s v="0.00"/>
    <s v="98.21"/>
  </r>
  <r>
    <x v="28"/>
    <x v="44"/>
    <n v="4355169"/>
    <n v="94530"/>
    <n v="1869159"/>
    <s v="2.17"/>
    <s v="0.00"/>
    <s v="97.83"/>
  </r>
  <r>
    <x v="28"/>
    <x v="45"/>
    <n v="13369"/>
    <n v="179"/>
    <n v="1900"/>
    <s v="1.34"/>
    <s v="0.00"/>
    <s v="98.66"/>
  </r>
  <r>
    <x v="28"/>
    <x v="46"/>
    <n v="367252"/>
    <n v="2676"/>
    <n v="64558"/>
    <s v="0.73"/>
    <s v="0.00"/>
    <s v="99.27"/>
  </r>
  <r>
    <x v="28"/>
    <x v="47"/>
    <n v="4153"/>
    <n v="28"/>
    <n v="3314"/>
    <s v="0.67"/>
    <s v="0.00"/>
    <s v="99.33"/>
  </r>
  <r>
    <x v="28"/>
    <x v="48"/>
    <n v="368131"/>
    <n v="4082"/>
    <n v="176049"/>
    <s v="1.11"/>
    <s v="0.00"/>
    <s v="98.89"/>
  </r>
  <r>
    <x v="28"/>
    <x v="49"/>
    <n v="205005"/>
    <n v="5864"/>
    <n v="159106"/>
    <s v="2.86"/>
    <s v="0.00"/>
    <s v="97.14"/>
  </r>
  <r>
    <x v="28"/>
    <x v="50"/>
    <n v="513026"/>
    <n v="32899"/>
    <n v="81367"/>
    <s v="6.41"/>
    <s v="0.00"/>
    <s v="93.59"/>
  </r>
  <r>
    <x v="28"/>
    <x v="51"/>
    <n v="168884"/>
    <n v="1409"/>
    <n v="72302"/>
    <s v="0.83"/>
    <s v="0.00"/>
    <s v="99.17"/>
  </r>
  <r>
    <x v="28"/>
    <x v="52"/>
    <n v="315842"/>
    <n v="17846"/>
    <n v="49903"/>
    <s v="5.65"/>
    <s v="0.00"/>
    <s v="94.35"/>
  </r>
  <r>
    <x v="28"/>
    <x v="53"/>
    <n v="6764"/>
    <n v="44"/>
    <n v="4016"/>
    <s v="0.65"/>
    <s v="0.00"/>
    <s v="99.35"/>
  </r>
  <r>
    <x v="28"/>
    <x v="54"/>
    <n v="4982138"/>
    <n v="86917"/>
    <n v="4005014"/>
    <s v="1.74"/>
    <s v="0.00"/>
    <s v="98.26"/>
  </r>
  <r>
    <x v="28"/>
    <x v="55"/>
    <n v="357550"/>
    <n v="6141"/>
    <n v="234801"/>
    <s v="1.72"/>
    <s v="0.00"/>
    <s v="98.28"/>
  </r>
  <r>
    <x v="28"/>
    <x v="56"/>
    <n v="149174"/>
    <n v="1112"/>
    <n v="29528"/>
    <s v="0.75"/>
    <s v="0.00"/>
    <s v="99.25"/>
  </r>
  <r>
    <x v="28"/>
    <x v="57"/>
    <n v="51648"/>
    <n v="663"/>
    <n v="13816"/>
    <s v="1.28"/>
    <s v="0.00"/>
    <s v="98.72"/>
  </r>
  <r>
    <x v="28"/>
    <x v="58"/>
    <n v="1323"/>
    <n v="2"/>
    <n v="826"/>
    <s v="0.15"/>
    <s v="0.00"/>
    <s v="99.85"/>
  </r>
  <r>
    <x v="28"/>
    <x v="59"/>
    <n v="6900325"/>
    <n v="114894"/>
    <n v="542942"/>
    <s v="1.67"/>
    <s v="0.00"/>
    <s v="98.33"/>
  </r>
  <r>
    <x v="28"/>
    <x v="60"/>
    <n v="33115"/>
    <n v="209"/>
    <n v="20617"/>
    <s v="0.63"/>
    <s v="0.00"/>
    <s v="99.37"/>
  </r>
  <r>
    <x v="28"/>
    <x v="61"/>
    <n v="8350869"/>
    <n v="138550"/>
    <n v="7470372"/>
    <s v="1.66"/>
    <s v="0.00"/>
    <s v="98.34"/>
  </r>
  <r>
    <x v="28"/>
    <x v="63"/>
    <n v="649407"/>
    <n v="9370"/>
    <n v="52604"/>
    <s v="1.44"/>
    <s v="0.00"/>
    <s v="98.56"/>
  </r>
  <r>
    <x v="28"/>
    <x v="62"/>
    <n v="5704"/>
    <n v="191"/>
    <n v="4852"/>
    <s v="3.35"/>
    <s v="0.00"/>
    <s v="96.65"/>
  </r>
  <r>
    <x v="28"/>
    <x v="64"/>
    <n v="42962"/>
    <n v="291"/>
    <n v="28186"/>
    <s v="0.68"/>
    <s v="0.00"/>
    <s v="99.32"/>
  </r>
  <r>
    <x v="28"/>
    <x v="65"/>
    <n v="128368"/>
    <n v="1158"/>
    <n v="20503"/>
    <s v="0.90"/>
    <s v="0.00"/>
    <s v="99.10"/>
  </r>
  <r>
    <x v="28"/>
    <x v="66"/>
    <n v="5727"/>
    <n v="97"/>
    <n v="1085"/>
    <s v="1.69"/>
    <s v="0.00"/>
    <s v="98.31"/>
  </r>
  <r>
    <x v="28"/>
    <x v="68"/>
    <n v="30560"/>
    <n v="385"/>
    <n v="26874"/>
    <s v="1.26"/>
    <s v="0.00"/>
    <s v="98.74"/>
  </r>
  <r>
    <x v="28"/>
    <x v="67"/>
    <n v="9943"/>
    <n v="339"/>
    <n v="1830"/>
    <s v="3.41"/>
    <s v="0.00"/>
    <s v="96.59"/>
  </r>
  <r>
    <x v="28"/>
    <x v="69"/>
    <n v="53836"/>
    <n v="800"/>
    <n v="22483"/>
    <s v="1.49"/>
    <s v="0.00"/>
    <s v="98.51"/>
  </r>
  <r>
    <x v="28"/>
    <x v="70"/>
    <n v="12840"/>
    <n v="156"/>
    <n v="3405"/>
    <s v="1.21"/>
    <s v="0.00"/>
    <s v="98.79"/>
  </r>
  <r>
    <x v="28"/>
    <x v="71"/>
    <n v="687278"/>
    <n v="15289"/>
    <n v="512073"/>
    <s v="2.22"/>
    <s v="0.00"/>
    <s v="97.78"/>
  </r>
  <r>
    <x v="28"/>
    <x v="72"/>
    <n v="584613"/>
    <n v="14204"/>
    <n v="398380"/>
    <s v="2.43"/>
    <s v="0.00"/>
    <s v="97.57"/>
  </r>
  <r>
    <x v="28"/>
    <x v="73"/>
    <n v="6124"/>
    <n v="141"/>
    <n v="5975"/>
    <s v="2.30"/>
    <s v="0.00"/>
    <s v="97.70"/>
  </r>
  <r>
    <x v="28"/>
    <x v="74"/>
    <n v="34132"/>
    <n v="857"/>
    <n v="21080"/>
    <s v="2.51"/>
    <s v="0.00"/>
    <s v="97.49"/>
  </r>
  <r>
    <x v="28"/>
    <x v="75"/>
    <n v="12276"/>
    <n v="213"/>
    <n v="10587"/>
    <s v="1.74"/>
    <s v="0.00"/>
    <s v="98.26"/>
  </r>
  <r>
    <x v="28"/>
    <x v="76"/>
    <n v="371861"/>
    <n v="10083"/>
    <n v="248873"/>
    <s v="2.71"/>
    <s v="0.00"/>
    <s v="97.29"/>
  </r>
  <r>
    <x v="28"/>
    <x v="77"/>
    <n v="422908"/>
    <n v="8847"/>
    <n v="281407"/>
    <s v="2.09"/>
    <s v="0.00"/>
    <s v="97.91"/>
  </r>
  <r>
    <x v="28"/>
    <x v="78"/>
    <n v="22827"/>
    <n v="649"/>
    <n v="4163"/>
    <s v="2.84"/>
    <s v="0.00"/>
    <s v="97.16"/>
  </r>
  <r>
    <x v="28"/>
    <x v="79"/>
    <n v="831866"/>
    <n v="30341"/>
    <n v="690041"/>
    <s v="3.65"/>
    <s v="0.00"/>
    <s v="96.35"/>
  </r>
  <r>
    <x v="28"/>
    <x v="80"/>
    <n v="4232099"/>
    <n v="142848"/>
    <n v="900181"/>
    <s v="3.38"/>
    <s v="0.00"/>
    <s v="96.62"/>
  </r>
  <r>
    <x v="28"/>
    <x v="81"/>
    <n v="409647"/>
    <n v="5306"/>
    <n v="317173"/>
    <s v="1.30"/>
    <s v="0.00"/>
    <s v="98.70"/>
  </r>
  <r>
    <x v="28"/>
    <x v="82"/>
    <n v="1312908"/>
    <n v="7972"/>
    <n v="441244"/>
    <s v="0.61"/>
    <s v="0.00"/>
    <s v="99.39"/>
  </r>
  <r>
    <x v="28"/>
    <x v="83"/>
    <n v="34037592"/>
    <n v="451814"/>
    <n v="5567609"/>
    <s v="1.33"/>
    <s v="0.00"/>
    <s v="98.67"/>
  </r>
  <r>
    <x v="28"/>
    <x v="84"/>
    <n v="2030498"/>
    <n v="22681"/>
    <n v="165291"/>
    <s v="1.12"/>
    <s v="0.00"/>
    <s v="98.88"/>
  </r>
  <r>
    <x v="28"/>
    <x v="85"/>
    <n v="5754047"/>
    <n v="123498"/>
    <n v="3239638"/>
    <s v="2.15"/>
    <s v="0.00"/>
    <s v="97.85"/>
  </r>
  <r>
    <x v="28"/>
    <x v="86"/>
    <n v="12390"/>
    <n v="33"/>
    <n v="3113"/>
    <s v="0.27"/>
    <s v="0.00"/>
    <s v="99.73"/>
  </r>
  <r>
    <x v="28"/>
    <x v="87"/>
    <n v="4709753"/>
    <n v="131461"/>
    <n v="3299297"/>
    <s v="2.79"/>
    <s v="0.00"/>
    <s v="97.21"/>
  </r>
  <r>
    <x v="28"/>
    <x v="88"/>
    <n v="86722"/>
    <n v="2059"/>
    <n v="75839"/>
    <s v="2.37"/>
    <s v="0.00"/>
    <s v="97.63"/>
  </r>
  <r>
    <x v="28"/>
    <x v="89"/>
    <n v="838523"/>
    <n v="10847"/>
    <n v="336057"/>
    <s v="1.29"/>
    <s v="0.00"/>
    <s v="98.71"/>
  </r>
  <r>
    <x v="28"/>
    <x v="91"/>
    <n v="251669"/>
    <n v="5202"/>
    <n v="94313"/>
    <s v="2.07"/>
    <s v="0.00"/>
    <s v="97.93"/>
  </r>
  <r>
    <x v="28"/>
    <x v="90"/>
    <n v="1714060"/>
    <n v="18063"/>
    <n v="820185"/>
    <s v="1.05"/>
    <s v="0.00"/>
    <s v="98.95"/>
  </r>
  <r>
    <x v="28"/>
    <x v="92"/>
    <n v="179583"/>
    <n v="2627"/>
    <n v="76975"/>
    <s v="1.46"/>
    <s v="0.00"/>
    <s v="98.54"/>
  </r>
  <r>
    <x v="28"/>
    <x v="94"/>
    <n v="2"/>
    <n v="0"/>
    <n v="0"/>
    <s v="0.00"/>
    <s v="0.00"/>
    <s v="100.00"/>
  </r>
  <r>
    <x v="28"/>
    <x v="93"/>
    <n v="115875"/>
    <n v="2584"/>
    <n v="67119"/>
    <s v="2.23"/>
    <s v="0.00"/>
    <s v="97.77"/>
  </r>
  <r>
    <x v="28"/>
    <x v="95"/>
    <n v="4176"/>
    <n v="147"/>
    <n v="1930"/>
    <s v="3.52"/>
    <s v="0.00"/>
    <s v="96.48"/>
  </r>
  <r>
    <x v="28"/>
    <x v="96"/>
    <n v="2511"/>
    <n v="21"/>
    <n v="2328"/>
    <s v="0.84"/>
    <s v="0.00"/>
    <s v="99.16"/>
  </r>
  <r>
    <x v="28"/>
    <x v="97"/>
    <n v="339361"/>
    <n v="2626"/>
    <n v="245794"/>
    <s v="0.77"/>
    <s v="0.00"/>
    <s v="99.23"/>
  </r>
  <r>
    <x v="28"/>
    <x v="98"/>
    <n v="412228"/>
    <n v="2455"/>
    <n v="164626"/>
    <s v="0.60"/>
    <s v="0.00"/>
    <s v="99.40"/>
  </r>
  <r>
    <x v="28"/>
    <x v="99"/>
    <n v="990461"/>
    <n v="16583"/>
    <n v="136691"/>
    <s v="1.67"/>
    <s v="0.00"/>
    <s v="98.33"/>
  </r>
  <r>
    <x v="28"/>
    <x v="100"/>
    <n v="30615"/>
    <n v="36"/>
    <n v="12071"/>
    <s v="0.12"/>
    <s v="0.00"/>
    <s v="99.88"/>
  </r>
  <r>
    <x v="28"/>
    <x v="101"/>
    <n v="632271"/>
    <n v="8406"/>
    <n v="42968"/>
    <s v="1.33"/>
    <s v="0.00"/>
    <s v="98.67"/>
  </r>
  <r>
    <x v="28"/>
    <x v="102"/>
    <n v="12129"/>
    <n v="232"/>
    <n v="4701"/>
    <s v="1.91"/>
    <s v="0.00"/>
    <s v="98.09"/>
  </r>
  <r>
    <x v="28"/>
    <x v="103"/>
    <n v="3580"/>
    <n v="60"/>
    <n v="2480"/>
    <s v="1.68"/>
    <s v="0.00"/>
    <s v="98.32"/>
  </r>
  <r>
    <x v="28"/>
    <x v="104"/>
    <n v="529755"/>
    <n v="13429"/>
    <n v="44926"/>
    <s v="2.53"/>
    <s v="0.00"/>
    <s v="97.47"/>
  </r>
  <r>
    <x v="28"/>
    <x v="105"/>
    <n v="5803"/>
    <n v="286"/>
    <n v="3872"/>
    <s v="4.93"/>
    <s v="0.00"/>
    <s v="95.07"/>
  </r>
  <r>
    <x v="28"/>
    <x v="106"/>
    <n v="21490"/>
    <n v="655"/>
    <n v="2852"/>
    <s v="3.05"/>
    <s v="0.00"/>
    <s v="96.95"/>
  </r>
  <r>
    <x v="28"/>
    <x v="107"/>
    <n v="360763"/>
    <n v="5349"/>
    <n v="140128"/>
    <s v="1.48"/>
    <s v="0.00"/>
    <s v="98.52"/>
  </r>
  <r>
    <x v="28"/>
    <x v="108"/>
    <n v="79628"/>
    <n v="838"/>
    <n v="63440"/>
    <s v="1.05"/>
    <s v="0.00"/>
    <s v="98.95"/>
  </r>
  <r>
    <x v="28"/>
    <x v="109"/>
    <n v="178298"/>
    <n v="2857"/>
    <n v="28583"/>
    <s v="1.60"/>
    <s v="0.00"/>
    <s v="98.40"/>
  </r>
  <r>
    <x v="28"/>
    <x v="110"/>
    <n v="348647"/>
    <n v="4849"/>
    <n v="257826"/>
    <s v="1.39"/>
    <s v="0.00"/>
    <s v="98.61"/>
  </r>
  <r>
    <x v="28"/>
    <x v="111"/>
    <n v="941009"/>
    <n v="14520"/>
    <n v="756929"/>
    <s v="1.54"/>
    <s v="0.00"/>
    <s v="98.46"/>
  </r>
  <r>
    <x v="28"/>
    <x v="112"/>
    <n v="3354"/>
    <n v="35"/>
    <n v="1449"/>
    <s v="1.04"/>
    <s v="0.00"/>
    <s v="98.96"/>
  </r>
  <r>
    <x v="28"/>
    <x v="113"/>
    <n v="312442"/>
    <n v="7137"/>
    <n v="257012"/>
    <s v="2.28"/>
    <s v="0.00"/>
    <s v="97.72"/>
  </r>
  <r>
    <x v="28"/>
    <x v="114"/>
    <n v="136681"/>
    <n v="2010"/>
    <n v="60709"/>
    <s v="1.47"/>
    <s v="0.00"/>
    <s v="98.53"/>
  </r>
  <r>
    <x v="28"/>
    <x v="115"/>
    <n v="3878"/>
    <n v="55"/>
    <n v="3335"/>
    <s v="1.42"/>
    <s v="0.00"/>
    <s v="98.58"/>
  </r>
  <r>
    <x v="28"/>
    <x v="116"/>
    <n v="43616"/>
    <n v="960"/>
    <n v="30081"/>
    <s v="2.20"/>
    <s v="0.00"/>
    <s v="97.80"/>
  </r>
  <r>
    <x v="28"/>
    <x v="117"/>
    <n v="4"/>
    <n v="0"/>
    <n v="1"/>
    <s v="0.00"/>
    <s v="0.00"/>
    <s v="100.00"/>
  </r>
  <r>
    <x v="28"/>
    <x v="118"/>
    <n v="195963"/>
    <n v="6888"/>
    <n v="103202"/>
    <s v="3.51"/>
    <s v="0.00"/>
    <s v="96.49"/>
  </r>
  <r>
    <x v="28"/>
    <x v="119"/>
    <n v="15563"/>
    <n v="555"/>
    <n v="11964"/>
    <s v="3.57"/>
    <s v="0.00"/>
    <s v="96.43"/>
  </r>
  <r>
    <x v="28"/>
    <x v="120"/>
    <n v="484317"/>
    <n v="18255"/>
    <n v="324654"/>
    <s v="3.77"/>
    <s v="0.00"/>
    <s v="96.23"/>
  </r>
  <r>
    <x v="28"/>
    <x v="121"/>
    <n v="332789"/>
    <n v="1497"/>
    <n v="135887"/>
    <s v="0.45"/>
    <s v="0.00"/>
    <s v="99.55"/>
  </r>
  <r>
    <x v="28"/>
    <x v="122"/>
    <n v="77"/>
    <n v="0"/>
    <n v="5"/>
    <s v="0.00"/>
    <s v="0.00"/>
    <s v="100.00"/>
  </r>
  <r>
    <x v="28"/>
    <x v="123"/>
    <n v="42269"/>
    <n v="656"/>
    <n v="11850"/>
    <s v="1.55"/>
    <s v="0.00"/>
    <s v="98.45"/>
  </r>
  <r>
    <x v="28"/>
    <x v="124"/>
    <n v="36550"/>
    <n v="786"/>
    <n v="24479"/>
    <s v="2.15"/>
    <s v="0.00"/>
    <s v="97.85"/>
  </r>
  <r>
    <x v="28"/>
    <x v="125"/>
    <n v="37412"/>
    <n v="459"/>
    <n v="27235"/>
    <s v="1.23"/>
    <s v="0.00"/>
    <s v="98.77"/>
  </r>
  <r>
    <x v="28"/>
    <x v="126"/>
    <n v="16472"/>
    <n v="123"/>
    <n v="3045"/>
    <s v="0.75"/>
    <s v="0.00"/>
    <s v="99.25"/>
  </r>
  <r>
    <x v="28"/>
    <x v="127"/>
    <n v="85932"/>
    <n v="237"/>
    <n v="56934"/>
    <s v="0.28"/>
    <s v="0.00"/>
    <s v="99.72"/>
  </r>
  <r>
    <x v="28"/>
    <x v="128"/>
    <n v="61702"/>
    <n v="2292"/>
    <n v="19981"/>
    <s v="3.71"/>
    <s v="0.00"/>
    <s v="96.29"/>
  </r>
  <r>
    <x v="28"/>
    <x v="129"/>
    <n v="3744574"/>
    <n v="283574"/>
    <n v="2051666"/>
    <s v="7.57"/>
    <s v="0.00"/>
    <s v="92.43"/>
  </r>
  <r>
    <x v="28"/>
    <x v="130"/>
    <n v="2369613"/>
    <n v="27681"/>
    <n v="2236772"/>
    <s v="1.17"/>
    <s v="0.00"/>
    <s v="98.83"/>
  </r>
  <r>
    <x v="28"/>
    <x v="131"/>
    <n v="151061"/>
    <n v="1924"/>
    <n v="29683"/>
    <s v="1.27"/>
    <s v="0.00"/>
    <s v="98.73"/>
  </r>
  <r>
    <x v="28"/>
    <x v="132"/>
    <n v="128187"/>
    <n v="3529"/>
    <n v="40909"/>
    <s v="2.75"/>
    <s v="0.00"/>
    <s v="97.25"/>
  </r>
  <r>
    <x v="28"/>
    <x v="133"/>
    <n v="9767"/>
    <n v="226"/>
    <n v="320"/>
    <s v="2.31"/>
    <s v="0.00"/>
    <s v="97.69"/>
  </r>
  <r>
    <x v="28"/>
    <x v="134"/>
    <n v="6139"/>
    <n v="204"/>
    <n v="1179"/>
    <s v="3.32"/>
    <s v="0.00"/>
    <s v="96.68"/>
  </r>
  <r>
    <x v="28"/>
    <x v="135"/>
    <n v="208404"/>
    <n v="2761"/>
    <n v="124081"/>
    <s v="1.32"/>
    <s v="0.00"/>
    <s v="98.68"/>
  </r>
  <r>
    <x v="28"/>
    <x v="136"/>
    <n v="15737"/>
    <n v="206"/>
    <n v="5514"/>
    <s v="1.31"/>
    <s v="0.00"/>
    <s v="98.69"/>
  </r>
  <r>
    <x v="28"/>
    <x v="137"/>
    <n v="2075949"/>
    <n v="18660"/>
    <n v="547399"/>
    <s v="0.90"/>
    <s v="0.00"/>
    <s v="99.10"/>
  </r>
  <r>
    <x v="28"/>
    <x v="138"/>
    <n v="195385"/>
    <n v="884"/>
    <n v="77495"/>
    <s v="0.45"/>
    <s v="0.00"/>
    <s v="99.55"/>
  </r>
  <r>
    <x v="28"/>
    <x v="139"/>
    <n v="804276"/>
    <n v="11269"/>
    <n v="296553"/>
    <s v="1.40"/>
    <s v="0.00"/>
    <s v="98.60"/>
  </r>
  <r>
    <x v="28"/>
    <x v="140"/>
    <n v="4898"/>
    <n v="28"/>
    <n v="2568"/>
    <s v="0.57"/>
    <s v="0.00"/>
    <s v="99.43"/>
  </r>
  <r>
    <x v="28"/>
    <x v="141"/>
    <n v="304025"/>
    <n v="4103"/>
    <n v="4605"/>
    <s v="1.35"/>
    <s v="0.00"/>
    <s v="98.65"/>
  </r>
  <r>
    <x v="28"/>
    <x v="142"/>
    <n v="469569"/>
    <n v="7275"/>
    <n v="438515"/>
    <s v="1.55"/>
    <s v="0.00"/>
    <s v="98.45"/>
  </r>
  <r>
    <x v="28"/>
    <x v="143"/>
    <n v="2187368"/>
    <n v="199775"/>
    <n v="1771974"/>
    <s v="9.13"/>
    <s v="0.00"/>
    <s v="90.87"/>
  </r>
  <r>
    <x v="28"/>
    <x v="144"/>
    <n v="45439"/>
    <n v="632"/>
    <n v="33264"/>
    <s v="1.39"/>
    <s v="0.00"/>
    <s v="98.61"/>
  </r>
  <r>
    <x v="28"/>
    <x v="145"/>
    <n v="24041"/>
    <n v="266"/>
    <n v="11021"/>
    <s v="1.11"/>
    <s v="0.00"/>
    <s v="98.89"/>
  </r>
  <r>
    <x v="28"/>
    <x v="147"/>
    <n v="1262771"/>
    <n v="28228"/>
    <n v="268054"/>
    <s v="2.24"/>
    <s v="0.00"/>
    <s v="97.76"/>
  </r>
  <r>
    <x v="28"/>
    <x v="146"/>
    <n v="2698232"/>
    <n v="40221"/>
    <n v="2228608"/>
    <s v="1.49"/>
    <s v="0.00"/>
    <s v="98.51"/>
  </r>
  <r>
    <x v="28"/>
    <x v="148"/>
    <n v="2931064"/>
    <n v="76018"/>
    <n v="1573359"/>
    <s v="2.59"/>
    <s v="0.00"/>
    <s v="97.41"/>
  </r>
  <r>
    <x v="28"/>
    <x v="149"/>
    <n v="446294"/>
    <n v="4547"/>
    <n v="69572"/>
    <s v="1.02"/>
    <s v="0.00"/>
    <s v="98.98"/>
  </r>
  <r>
    <x v="28"/>
    <x v="150"/>
    <n v="1077963"/>
    <n v="18071"/>
    <n v="310943"/>
    <s v="1.68"/>
    <s v="0.00"/>
    <s v="98.32"/>
  </r>
  <r>
    <x v="28"/>
    <x v="151"/>
    <n v="8"/>
    <n v="0"/>
    <n v="8"/>
    <s v="0.00"/>
    <s v="0.00"/>
    <s v="100.00"/>
  </r>
  <r>
    <x v="28"/>
    <x v="152"/>
    <n v="460301"/>
    <n v="16208"/>
    <n v="429933"/>
    <s v="3.52"/>
    <s v="0.00"/>
    <s v="96.48"/>
  </r>
  <r>
    <x v="28"/>
    <x v="153"/>
    <n v="237741"/>
    <n v="607"/>
    <n v="194609"/>
    <s v="0.26"/>
    <s v="0.00"/>
    <s v="99.74"/>
  </r>
  <r>
    <x v="28"/>
    <x v="154"/>
    <n v="54024"/>
    <n v="370"/>
    <n v="46359"/>
    <s v="0.68"/>
    <s v="0.00"/>
    <s v="99.32"/>
  </r>
  <r>
    <x v="28"/>
    <x v="155"/>
    <n v="1414647"/>
    <n v="40765"/>
    <n v="929088"/>
    <s v="2.88"/>
    <s v="0.00"/>
    <s v="97.12"/>
  </r>
  <r>
    <x v="28"/>
    <x v="156"/>
    <n v="1031283"/>
    <n v="8946"/>
    <n v="821087"/>
    <s v="0.87"/>
    <s v="0.00"/>
    <s v="99.13"/>
  </r>
  <r>
    <x v="28"/>
    <x v="157"/>
    <n v="7773388"/>
    <n v="216403"/>
    <n v="6831045"/>
    <s v="2.78"/>
    <s v="0.00"/>
    <s v="97.22"/>
  </r>
  <r>
    <x v="28"/>
    <x v="158"/>
    <n v="98987"/>
    <n v="1313"/>
    <n v="36415"/>
    <s v="1.33"/>
    <s v="0.00"/>
    <s v="98.67"/>
  </r>
  <r>
    <x v="28"/>
    <x v="159"/>
    <n v="547797"/>
    <n v="8755"/>
    <n v="42569"/>
    <s v="1.60"/>
    <s v="0.00"/>
    <s v="98.40"/>
  </r>
  <r>
    <x v="28"/>
    <x v="160"/>
    <n v="20"/>
    <n v="0"/>
    <n v="4"/>
    <s v="0.00"/>
    <s v="0.00"/>
    <s v="100.00"/>
  </r>
  <r>
    <x v="28"/>
    <x v="161"/>
    <n v="21854"/>
    <n v="118"/>
    <n v="16571"/>
    <s v="0.54"/>
    <s v="0.00"/>
    <s v="99.46"/>
  </r>
  <r>
    <x v="28"/>
    <x v="162"/>
    <n v="39416"/>
    <n v="2976"/>
    <n v="11950"/>
    <s v="7.55"/>
    <s v="0.00"/>
    <s v="92.45"/>
  </r>
  <r>
    <x v="28"/>
    <x v="163"/>
    <n v="1161264"/>
    <n v="14926"/>
    <n v="265037"/>
    <s v="1.29"/>
    <s v="0.00"/>
    <s v="98.71"/>
  </r>
  <r>
    <x v="28"/>
    <x v="164"/>
    <n v="138327"/>
    <n v="207"/>
    <n v="36156"/>
    <s v="0.15"/>
    <s v="0.00"/>
    <s v="99.85"/>
  </r>
  <r>
    <x v="28"/>
    <x v="165"/>
    <n v="304963"/>
    <n v="4627"/>
    <n v="169915"/>
    <s v="1.52"/>
    <s v="0.00"/>
    <s v="98.48"/>
  </r>
  <r>
    <x v="28"/>
    <x v="166"/>
    <n v="431757"/>
    <n v="12791"/>
    <n v="236561"/>
    <s v="2.96"/>
    <s v="0.00"/>
    <s v="97.04"/>
  </r>
  <r>
    <x v="28"/>
    <x v="167"/>
    <n v="6396"/>
    <n v="121"/>
    <n v="433"/>
    <s v="1.89"/>
    <s v="0.00"/>
    <s v="98.11"/>
  </r>
  <r>
    <x v="28"/>
    <x v="168"/>
    <n v="5470"/>
    <n v="91"/>
    <n v="296"/>
    <s v="1.66"/>
    <s v="0.00"/>
    <s v="98.34"/>
  </r>
  <r>
    <x v="28"/>
    <x v="169"/>
    <n v="73853"/>
    <n v="1869"/>
    <n v="29657"/>
    <s v="2.53"/>
    <s v="0.00"/>
    <s v="97.47"/>
  </r>
  <r>
    <x v="28"/>
    <x v="170"/>
    <n v="21269"/>
    <n v="1180"/>
    <n v="16336"/>
    <s v="5.55"/>
    <s v="0.00"/>
    <s v="94.45"/>
  </r>
  <r>
    <x v="28"/>
    <x v="171"/>
    <n v="45861"/>
    <n v="1000"/>
    <n v="14947"/>
    <s v="2.18"/>
    <s v="0.00"/>
    <s v="97.82"/>
  </r>
  <r>
    <x v="28"/>
    <x v="173"/>
    <n v="3659"/>
    <n v="56"/>
    <n v="2029"/>
    <s v="1.53"/>
    <s v="0.00"/>
    <s v="98.47"/>
  </r>
  <r>
    <x v="28"/>
    <x v="172"/>
    <n v="12184"/>
    <n v="130"/>
    <n v="11470"/>
    <s v="1.07"/>
    <s v="0.00"/>
    <s v="98.93"/>
  </r>
  <r>
    <x v="28"/>
    <x v="174"/>
    <n v="109881"/>
    <n v="3435"/>
    <n v="87716"/>
    <s v="3.13"/>
    <s v="0.00"/>
    <s v="96.87"/>
  </r>
  <r>
    <x v="28"/>
    <x v="175"/>
    <n v="38067"/>
    <n v="2375"/>
    <n v="8103"/>
    <s v="6.24"/>
    <s v="0.00"/>
    <s v="93.76"/>
  </r>
  <r>
    <x v="28"/>
    <x v="176"/>
    <n v="46344"/>
    <n v="1232"/>
    <n v="6941"/>
    <s v="2.66"/>
    <s v="0.00"/>
    <s v="97.34"/>
  </r>
  <r>
    <x v="28"/>
    <x v="177"/>
    <n v="5065"/>
    <n v="174"/>
    <n v="4373"/>
    <s v="3.44"/>
    <s v="0.00"/>
    <s v="96.56"/>
  </r>
  <r>
    <x v="28"/>
    <x v="178"/>
    <n v="25836"/>
    <n v="237"/>
    <n v="4835"/>
    <s v="0.92"/>
    <s v="0.00"/>
    <s v="99.08"/>
  </r>
  <r>
    <x v="28"/>
    <x v="179"/>
    <n v="1751704"/>
    <n v="18029"/>
    <n v="1585243"/>
    <s v="1.03"/>
    <s v="0.00"/>
    <s v="98.97"/>
  </r>
  <r>
    <x v="28"/>
    <x v="180"/>
    <n v="17484"/>
    <n v="125"/>
    <n v="7956"/>
    <s v="0.71"/>
    <s v="0.00"/>
    <s v="99.29"/>
  </r>
  <r>
    <x v="28"/>
    <x v="181"/>
    <n v="19696"/>
    <n v="119"/>
    <n v="12859"/>
    <s v="0.60"/>
    <s v="0.00"/>
    <s v="99.40"/>
  </r>
  <r>
    <x v="28"/>
    <x v="182"/>
    <n v="710322"/>
    <n v="25053"/>
    <n v="569341"/>
    <s v="3.53"/>
    <s v="0.00"/>
    <s v="96.47"/>
  </r>
  <r>
    <x v="28"/>
    <x v="184"/>
    <n v="7570902"/>
    <n v="67044"/>
    <n v="2193388"/>
    <s v="0.89"/>
    <s v="0.00"/>
    <s v="99.11"/>
  </r>
  <r>
    <x v="28"/>
    <x v="185"/>
    <n v="53392"/>
    <n v="1573"/>
    <n v="43431"/>
    <s v="2.95"/>
    <s v="0.00"/>
    <s v="97.05"/>
  </r>
  <r>
    <x v="28"/>
    <x v="186"/>
    <n v="16321"/>
    <n v="846"/>
    <n v="2606"/>
    <s v="5.18"/>
    <s v="0.00"/>
    <s v="94.82"/>
  </r>
  <r>
    <x v="28"/>
    <x v="187"/>
    <n v="26034"/>
    <n v="724"/>
    <n v="4320"/>
    <s v="2.78"/>
    <s v="0.00"/>
    <s v="97.22"/>
  </r>
  <r>
    <x v="28"/>
    <x v="188"/>
    <n v="2716867"/>
    <n v="63847"/>
    <n v="2608984"/>
    <s v="2.35"/>
    <s v="0.00"/>
    <s v="97.65"/>
  </r>
  <r>
    <x v="28"/>
    <x v="189"/>
    <n v="124924"/>
    <n v="3179"/>
    <n v="18224"/>
    <s v="2.54"/>
    <s v="0.00"/>
    <s v="97.46"/>
  </r>
  <r>
    <x v="28"/>
    <x v="190"/>
    <n v="44770279"/>
    <n v="721642"/>
    <n v="39133620"/>
    <s v="1.61"/>
    <s v="0.00"/>
    <s v="98.39"/>
  </r>
  <r>
    <x v="28"/>
    <x v="191"/>
    <n v="390575"/>
    <n v="6065"/>
    <n v="125346"/>
    <s v="1.55"/>
    <s v="0.00"/>
    <s v="98.45"/>
  </r>
  <r>
    <x v="28"/>
    <x v="192"/>
    <n v="179711"/>
    <n v="1280"/>
    <n v="26453"/>
    <s v="0.71"/>
    <s v="0.00"/>
    <s v="99.29"/>
  </r>
  <r>
    <x v="28"/>
    <x v="194"/>
    <n v="4096"/>
    <n v="38"/>
    <n v="3036"/>
    <s v="0.93"/>
    <s v="0.00"/>
    <s v="99.07"/>
  </r>
  <r>
    <x v="28"/>
    <x v="193"/>
    <n v="27"/>
    <n v="0"/>
    <n v="5"/>
    <s v="0.00"/>
    <s v="0.00"/>
    <s v="100.00"/>
  </r>
  <r>
    <x v="28"/>
    <x v="195"/>
    <n v="388743"/>
    <n v="4681"/>
    <n v="75846"/>
    <s v="1.20"/>
    <s v="0.00"/>
    <s v="98.80"/>
  </r>
  <r>
    <x v="28"/>
    <x v="196"/>
    <n v="853842"/>
    <n v="20950"/>
    <n v="440309"/>
    <s v="2.45"/>
    <s v="0.00"/>
    <s v="97.55"/>
  </r>
  <r>
    <x v="28"/>
    <x v="197"/>
    <n v="4"/>
    <n v="1"/>
    <n v="3"/>
    <s v="25.00"/>
    <s v="0.00"/>
    <s v="75.00"/>
  </r>
  <r>
    <x v="28"/>
    <x v="198"/>
    <n v="3"/>
    <n v="0"/>
    <n v="2"/>
    <s v="0.00"/>
    <s v="0.00"/>
    <s v="100.00"/>
  </r>
  <r>
    <x v="28"/>
    <x v="199"/>
    <n v="160495"/>
    <n v="2973"/>
    <n v="79052"/>
    <s v="1.85"/>
    <s v="0.00"/>
    <s v="98.15"/>
  </r>
  <r>
    <x v="28"/>
    <x v="200"/>
    <n v="9467"/>
    <n v="1793"/>
    <n v="394"/>
    <s v="18.94"/>
    <s v="0.00"/>
    <s v="81.06"/>
  </r>
  <r>
    <x v="28"/>
    <x v="201"/>
    <n v="20422"/>
    <n v="181"/>
    <n v="17014"/>
    <s v="0.89"/>
    <s v="0.00"/>
    <s v="99.11"/>
  </r>
  <r>
    <x v="28"/>
    <x v="202"/>
    <n v="2914827"/>
    <n v="88506"/>
    <n v="2479709"/>
    <s v="3.04"/>
    <s v="0.00"/>
    <s v="96.96"/>
  </r>
  <r>
    <x v="28"/>
    <x v="203"/>
    <n v="209431"/>
    <n v="3657"/>
    <n v="78750"/>
    <s v="1.75"/>
    <s v="0.00"/>
    <s v="98.25"/>
  </r>
  <r>
    <x v="28"/>
    <x v="204"/>
    <n v="132251"/>
    <n v="4655"/>
    <n v="37155"/>
    <s v="3.52"/>
    <s v="0.00"/>
    <s v="96.48"/>
  </r>
  <r>
    <x v="28"/>
    <x v="205"/>
    <n v="721"/>
    <n v="15"/>
    <n v="369"/>
    <s v="2.08"/>
    <s v="0.00"/>
    <s v="97.92"/>
  </r>
  <r>
    <x v="29"/>
    <x v="205"/>
    <n v="721"/>
    <n v="15"/>
    <n v="566"/>
    <s v="2.08"/>
    <s v="0.00"/>
    <s v="97.92"/>
  </r>
  <r>
    <x v="29"/>
    <x v="204"/>
    <n v="132108"/>
    <n v="4648"/>
    <n v="9572"/>
    <s v="3.52"/>
    <s v="0.00"/>
    <s v="96.48"/>
  </r>
  <r>
    <x v="29"/>
    <x v="203"/>
    <n v="209411"/>
    <n v="3657"/>
    <n v="26643"/>
    <s v="1.75"/>
    <s v="0.00"/>
    <s v="98.25"/>
  </r>
  <r>
    <x v="29"/>
    <x v="202"/>
    <n v="2913880"/>
    <n v="88466"/>
    <n v="120346"/>
    <s v="3.04"/>
    <s v="0.00"/>
    <s v="96.96"/>
  </r>
  <r>
    <x v="29"/>
    <x v="201"/>
    <n v="20422"/>
    <n v="181"/>
    <n v="15254"/>
    <s v="0.89"/>
    <s v="0.00"/>
    <s v="99.11"/>
  </r>
  <r>
    <x v="29"/>
    <x v="200"/>
    <n v="9439"/>
    <n v="1789"/>
    <n v="5190"/>
    <s v="18.95"/>
    <s v="0.00"/>
    <s v="81.05"/>
  </r>
  <r>
    <x v="29"/>
    <x v="199"/>
    <n v="160464"/>
    <n v="2973"/>
    <n v="84832"/>
    <s v="1.85"/>
    <s v="0.00"/>
    <s v="98.15"/>
  </r>
  <r>
    <x v="29"/>
    <x v="198"/>
    <n v="3"/>
    <n v="0"/>
    <n v="2"/>
    <s v="0.00"/>
    <s v="0.00"/>
    <s v="100.00"/>
  </r>
  <r>
    <x v="29"/>
    <x v="197"/>
    <n v="4"/>
    <n v="1"/>
    <n v="2"/>
    <s v="25.00"/>
    <s v="0.00"/>
    <s v="75.00"/>
  </r>
  <r>
    <x v="29"/>
    <x v="196"/>
    <n v="849691"/>
    <n v="20869"/>
    <n v="255892"/>
    <s v="2.46"/>
    <s v="0.00"/>
    <s v="97.54"/>
  </r>
  <r>
    <x v="29"/>
    <x v="195"/>
    <n v="385952"/>
    <n v="4652"/>
    <n v="302623"/>
    <s v="1.21"/>
    <s v="0.00"/>
    <s v="98.79"/>
  </r>
  <r>
    <x v="29"/>
    <x v="193"/>
    <n v="27"/>
    <n v="0"/>
    <n v="15"/>
    <s v="0.00"/>
    <s v="0.00"/>
    <s v="100.00"/>
  </r>
  <r>
    <x v="29"/>
    <x v="194"/>
    <n v="4096"/>
    <n v="38"/>
    <n v="3401"/>
    <s v="0.93"/>
    <s v="0.00"/>
    <s v="99.07"/>
  </r>
  <r>
    <x v="29"/>
    <x v="192"/>
    <n v="179371"/>
    <n v="1276"/>
    <n v="127712"/>
    <s v="0.71"/>
    <s v="0.00"/>
    <s v="99.29"/>
  </r>
  <r>
    <x v="29"/>
    <x v="191"/>
    <n v="390394"/>
    <n v="6065"/>
    <n v="188704"/>
    <s v="1.55"/>
    <s v="0.00"/>
    <s v="98.45"/>
  </r>
  <r>
    <x v="29"/>
    <x v="190"/>
    <n v="44684150"/>
    <n v="719601"/>
    <n v="3008975"/>
    <s v="1.61"/>
    <s v="0.00"/>
    <s v="98.39"/>
  </r>
  <r>
    <x v="29"/>
    <x v="189"/>
    <n v="124864"/>
    <n v="3179"/>
    <n v="120547"/>
    <s v="2.55"/>
    <s v="0.00"/>
    <s v="97.45"/>
  </r>
  <r>
    <x v="29"/>
    <x v="188"/>
    <n v="2697176"/>
    <n v="63414"/>
    <n v="538649"/>
    <s v="2.35"/>
    <s v="0.00"/>
    <s v="97.65"/>
  </r>
  <r>
    <x v="29"/>
    <x v="187"/>
    <n v="26034"/>
    <n v="724"/>
    <n v="14349"/>
    <s v="2.78"/>
    <s v="0.00"/>
    <s v="97.22"/>
  </r>
  <r>
    <x v="29"/>
    <x v="186"/>
    <n v="16313"/>
    <n v="846"/>
    <n v="5646"/>
    <s v="5.19"/>
    <s v="0.00"/>
    <s v="94.81"/>
  </r>
  <r>
    <x v="29"/>
    <x v="185"/>
    <n v="53216"/>
    <n v="1572"/>
    <n v="19002"/>
    <s v="2.95"/>
    <s v="0.00"/>
    <s v="97.05"/>
  </r>
  <r>
    <x v="29"/>
    <x v="184"/>
    <n v="7540193"/>
    <n v="66841"/>
    <n v="2610446"/>
    <s v="0.89"/>
    <s v="0.00"/>
    <s v="99.11"/>
  </r>
  <r>
    <x v="29"/>
    <x v="182"/>
    <n v="710322"/>
    <n v="25053"/>
    <n v="325686"/>
    <s v="3.53"/>
    <s v="0.00"/>
    <s v="96.47"/>
  </r>
  <r>
    <x v="29"/>
    <x v="181"/>
    <n v="19690"/>
    <n v="119"/>
    <n v="14412"/>
    <s v="0.60"/>
    <s v="0.00"/>
    <s v="99.40"/>
  </r>
  <r>
    <x v="29"/>
    <x v="180"/>
    <n v="17484"/>
    <n v="125"/>
    <n v="1450"/>
    <s v="0.71"/>
    <s v="0.00"/>
    <s v="99.29"/>
  </r>
  <r>
    <x v="29"/>
    <x v="179"/>
    <n v="1740428"/>
    <n v="17917"/>
    <n v="524904"/>
    <s v="1.03"/>
    <s v="0.00"/>
    <s v="98.97"/>
  </r>
  <r>
    <x v="29"/>
    <x v="178"/>
    <n v="25826"/>
    <n v="237"/>
    <n v="9773"/>
    <s v="0.92"/>
    <s v="0.00"/>
    <s v="99.08"/>
  </r>
  <r>
    <x v="29"/>
    <x v="177"/>
    <n v="5063"/>
    <n v="174"/>
    <n v="849"/>
    <s v="3.44"/>
    <s v="0.00"/>
    <s v="96.56"/>
  </r>
  <r>
    <x v="29"/>
    <x v="176"/>
    <n v="46330"/>
    <n v="1231"/>
    <n v="206"/>
    <s v="2.66"/>
    <s v="0.00"/>
    <s v="97.34"/>
  </r>
  <r>
    <x v="29"/>
    <x v="175"/>
    <n v="37794"/>
    <n v="2366"/>
    <n v="17239"/>
    <s v="6.26"/>
    <s v="0.00"/>
    <s v="93.74"/>
  </r>
  <r>
    <x v="29"/>
    <x v="174"/>
    <n v="107664"/>
    <n v="3420"/>
    <n v="97254"/>
    <s v="3.18"/>
    <s v="0.00"/>
    <s v="96.82"/>
  </r>
  <r>
    <x v="29"/>
    <x v="172"/>
    <n v="12168"/>
    <n v="130"/>
    <n v="7172"/>
    <s v="1.07"/>
    <s v="0.00"/>
    <s v="98.93"/>
  </r>
  <r>
    <x v="29"/>
    <x v="173"/>
    <n v="3649"/>
    <n v="56"/>
    <n v="2410"/>
    <s v="1.53"/>
    <s v="0.00"/>
    <s v="98.47"/>
  </r>
  <r>
    <x v="29"/>
    <x v="171"/>
    <n v="45592"/>
    <n v="994"/>
    <n v="15159"/>
    <s v="2.18"/>
    <s v="0.00"/>
    <s v="97.82"/>
  </r>
  <r>
    <x v="29"/>
    <x v="170"/>
    <n v="21269"/>
    <n v="1180"/>
    <n v="19715"/>
    <s v="5.55"/>
    <s v="0.00"/>
    <s v="94.45"/>
  </r>
  <r>
    <x v="29"/>
    <x v="169"/>
    <n v="73848"/>
    <n v="1869"/>
    <n v="33604"/>
    <s v="2.53"/>
    <s v="0.00"/>
    <s v="97.47"/>
  </r>
  <r>
    <x v="29"/>
    <x v="168"/>
    <n v="5470"/>
    <n v="91"/>
    <n v="268"/>
    <s v="1.66"/>
    <s v="0.00"/>
    <s v="98.34"/>
  </r>
  <r>
    <x v="29"/>
    <x v="167"/>
    <n v="6396"/>
    <n v="121"/>
    <n v="3362"/>
    <s v="1.89"/>
    <s v="0.00"/>
    <s v="98.11"/>
  </r>
  <r>
    <x v="29"/>
    <x v="166"/>
    <n v="429886"/>
    <n v="12772"/>
    <n v="205039"/>
    <s v="2.97"/>
    <s v="0.00"/>
    <s v="97.03"/>
  </r>
  <r>
    <x v="29"/>
    <x v="165"/>
    <n v="303882"/>
    <n v="4623"/>
    <n v="167749"/>
    <s v="1.52"/>
    <s v="0.00"/>
    <s v="98.48"/>
  </r>
  <r>
    <x v="29"/>
    <x v="164"/>
    <n v="135395"/>
    <n v="192"/>
    <n v="110554"/>
    <s v="0.14"/>
    <s v="0.00"/>
    <s v="99.86"/>
  </r>
  <r>
    <x v="29"/>
    <x v="163"/>
    <n v="1160465"/>
    <n v="14922"/>
    <n v="42519"/>
    <s v="1.29"/>
    <s v="0.00"/>
    <s v="98.71"/>
  </r>
  <r>
    <x v="29"/>
    <x v="162"/>
    <n v="39119"/>
    <n v="2976"/>
    <n v="3777"/>
    <s v="7.61"/>
    <s v="0.00"/>
    <s v="92.39"/>
  </r>
  <r>
    <x v="29"/>
    <x v="161"/>
    <n v="21826"/>
    <n v="118"/>
    <n v="21628"/>
    <s v="0.54"/>
    <s v="0.00"/>
    <s v="99.46"/>
  </r>
  <r>
    <x v="29"/>
    <x v="160"/>
    <n v="20"/>
    <n v="0"/>
    <n v="14"/>
    <s v="0.00"/>
    <s v="0.00"/>
    <s v="100.00"/>
  </r>
  <r>
    <x v="29"/>
    <x v="159"/>
    <n v="547761"/>
    <n v="8753"/>
    <n v="112436"/>
    <s v="1.60"/>
    <s v="0.00"/>
    <s v="98.40"/>
  </r>
  <r>
    <x v="29"/>
    <x v="158"/>
    <n v="98926"/>
    <n v="1312"/>
    <n v="18802"/>
    <s v="1.33"/>
    <s v="0.00"/>
    <s v="98.67"/>
  </r>
  <r>
    <x v="29"/>
    <x v="157"/>
    <n v="7742899"/>
    <n v="215438"/>
    <n v="5364218"/>
    <s v="2.78"/>
    <s v="0.00"/>
    <s v="97.22"/>
  </r>
  <r>
    <x v="29"/>
    <x v="156"/>
    <n v="1024497"/>
    <n v="8892"/>
    <n v="291398"/>
    <s v="0.87"/>
    <s v="0.00"/>
    <s v="99.13"/>
  </r>
  <r>
    <x v="29"/>
    <x v="155"/>
    <n v="1398264"/>
    <n v="40461"/>
    <n v="1176413"/>
    <s v="2.89"/>
    <s v="0.00"/>
    <s v="97.11"/>
  </r>
  <r>
    <x v="29"/>
    <x v="154"/>
    <n v="54024"/>
    <n v="370"/>
    <n v="19046"/>
    <s v="0.68"/>
    <s v="0.00"/>
    <s v="99.32"/>
  </r>
  <r>
    <x v="29"/>
    <x v="153"/>
    <n v="237662"/>
    <n v="607"/>
    <n v="231906"/>
    <s v="0.26"/>
    <s v="0.00"/>
    <s v="99.74"/>
  </r>
  <r>
    <x v="29"/>
    <x v="152"/>
    <n v="460277"/>
    <n v="16207"/>
    <n v="347746"/>
    <s v="3.52"/>
    <s v="0.00"/>
    <s v="96.48"/>
  </r>
  <r>
    <x v="29"/>
    <x v="151"/>
    <n v="5"/>
    <n v="0"/>
    <n v="3"/>
    <s v="0.00"/>
    <s v="0.00"/>
    <s v="100.00"/>
  </r>
  <r>
    <x v="29"/>
    <x v="150"/>
    <n v="1077186"/>
    <n v="18065"/>
    <n v="620929"/>
    <s v="1.68"/>
    <s v="0.00"/>
    <s v="98.32"/>
  </r>
  <r>
    <x v="29"/>
    <x v="149"/>
    <n v="445538"/>
    <n v="4532"/>
    <n v="177225"/>
    <s v="1.02"/>
    <s v="0.00"/>
    <s v="98.98"/>
  </r>
  <r>
    <x v="29"/>
    <x v="148"/>
    <n v="2928065"/>
    <n v="75958"/>
    <n v="2605494"/>
    <s v="2.59"/>
    <s v="0.00"/>
    <s v="97.41"/>
  </r>
  <r>
    <x v="29"/>
    <x v="146"/>
    <n v="2690455"/>
    <n v="40069"/>
    <n v="2423294"/>
    <s v="1.49"/>
    <s v="0.00"/>
    <s v="98.51"/>
  </r>
  <r>
    <x v="29"/>
    <x v="147"/>
    <n v="1261685"/>
    <n v="28201"/>
    <n v="101685"/>
    <s v="2.24"/>
    <s v="0.00"/>
    <s v="97.76"/>
  </r>
  <r>
    <x v="29"/>
    <x v="145"/>
    <n v="23629"/>
    <n v="262"/>
    <n v="19071"/>
    <s v="1.11"/>
    <s v="0.00"/>
    <s v="98.89"/>
  </r>
  <r>
    <x v="29"/>
    <x v="144"/>
    <n v="45359"/>
    <n v="631"/>
    <n v="41392"/>
    <s v="1.39"/>
    <s v="0.00"/>
    <s v="98.61"/>
  </r>
  <r>
    <x v="29"/>
    <x v="143"/>
    <n v="2186246"/>
    <n v="199746"/>
    <n v="375612"/>
    <s v="9.14"/>
    <s v="0.00"/>
    <s v="90.86"/>
  </r>
  <r>
    <x v="29"/>
    <x v="142"/>
    <n v="469569"/>
    <n v="7275"/>
    <n v="223554"/>
    <s v="1.55"/>
    <s v="0.00"/>
    <s v="98.45"/>
  </r>
  <r>
    <x v="29"/>
    <x v="141"/>
    <n v="304013"/>
    <n v="4103"/>
    <n v="77415"/>
    <s v="1.35"/>
    <s v="0.00"/>
    <s v="98.65"/>
  </r>
  <r>
    <x v="29"/>
    <x v="140"/>
    <n v="4832"/>
    <n v="28"/>
    <n v="3513"/>
    <s v="0.58"/>
    <s v="0.00"/>
    <s v="99.42"/>
  </r>
  <r>
    <x v="29"/>
    <x v="139"/>
    <n v="803878"/>
    <n v="11261"/>
    <n v="181707"/>
    <s v="1.40"/>
    <s v="0.00"/>
    <s v="98.60"/>
  </r>
  <r>
    <x v="29"/>
    <x v="138"/>
    <n v="195029"/>
    <n v="884"/>
    <n v="96980"/>
    <s v="0.45"/>
    <s v="0.00"/>
    <s v="99.55"/>
  </r>
  <r>
    <x v="29"/>
    <x v="137"/>
    <n v="2072255"/>
    <n v="18656"/>
    <n v="1171883"/>
    <s v="0.90"/>
    <s v="0.00"/>
    <s v="99.10"/>
  </r>
  <r>
    <x v="29"/>
    <x v="136"/>
    <n v="15737"/>
    <n v="206"/>
    <n v="9726"/>
    <s v="1.31"/>
    <s v="0.00"/>
    <s v="98.69"/>
  </r>
  <r>
    <x v="29"/>
    <x v="135"/>
    <n v="208404"/>
    <n v="2761"/>
    <n v="155251"/>
    <s v="1.32"/>
    <s v="0.00"/>
    <s v="98.68"/>
  </r>
  <r>
    <x v="29"/>
    <x v="134"/>
    <n v="6139"/>
    <n v="204"/>
    <n v="4405"/>
    <s v="3.32"/>
    <s v="0.00"/>
    <s v="96.68"/>
  </r>
  <r>
    <x v="29"/>
    <x v="133"/>
    <n v="9665"/>
    <n v="225"/>
    <n v="8148"/>
    <s v="2.33"/>
    <s v="0.00"/>
    <s v="97.67"/>
  </r>
  <r>
    <x v="29"/>
    <x v="132"/>
    <n v="128187"/>
    <n v="3529"/>
    <n v="58426"/>
    <s v="2.75"/>
    <s v="0.00"/>
    <s v="97.25"/>
  </r>
  <r>
    <x v="29"/>
    <x v="131"/>
    <n v="151046"/>
    <n v="1924"/>
    <n v="78117"/>
    <s v="1.27"/>
    <s v="0.00"/>
    <s v="98.73"/>
  </r>
  <r>
    <x v="29"/>
    <x v="130"/>
    <n v="2361529"/>
    <n v="27593"/>
    <n v="1566471"/>
    <s v="1.17"/>
    <s v="0.00"/>
    <s v="98.83"/>
  </r>
  <r>
    <x v="29"/>
    <x v="129"/>
    <n v="3738749"/>
    <n v="283193"/>
    <n v="1740126"/>
    <s v="7.57"/>
    <s v="0.00"/>
    <s v="92.43"/>
  </r>
  <r>
    <x v="29"/>
    <x v="128"/>
    <n v="61699"/>
    <n v="2292"/>
    <n v="36626"/>
    <s v="3.71"/>
    <s v="0.00"/>
    <s v="96.29"/>
  </r>
  <r>
    <x v="29"/>
    <x v="127"/>
    <n v="85838"/>
    <n v="237"/>
    <n v="44764"/>
    <s v="0.28"/>
    <s v="0.00"/>
    <s v="99.72"/>
  </r>
  <r>
    <x v="29"/>
    <x v="126"/>
    <n v="16472"/>
    <n v="123"/>
    <n v="6082"/>
    <s v="0.75"/>
    <s v="0.00"/>
    <s v="99.25"/>
  </r>
  <r>
    <x v="29"/>
    <x v="125"/>
    <n v="37393"/>
    <n v="459"/>
    <n v="5157"/>
    <s v="1.23"/>
    <s v="0.00"/>
    <s v="98.77"/>
  </r>
  <r>
    <x v="29"/>
    <x v="124"/>
    <n v="36509"/>
    <n v="785"/>
    <n v="14673"/>
    <s v="2.15"/>
    <s v="0.00"/>
    <s v="97.85"/>
  </r>
  <r>
    <x v="29"/>
    <x v="123"/>
    <n v="42183"/>
    <n v="656"/>
    <n v="34797"/>
    <s v="1.56"/>
    <s v="0.00"/>
    <s v="98.44"/>
  </r>
  <r>
    <x v="29"/>
    <x v="122"/>
    <n v="77"/>
    <n v="0"/>
    <n v="1"/>
    <s v="0.00"/>
    <s v="0.00"/>
    <s v="100.00"/>
  </r>
  <r>
    <x v="29"/>
    <x v="121"/>
    <n v="332789"/>
    <n v="1497"/>
    <n v="195546"/>
    <s v="0.45"/>
    <s v="0.00"/>
    <s v="99.55"/>
  </r>
  <r>
    <x v="29"/>
    <x v="120"/>
    <n v="482803"/>
    <n v="18222"/>
    <n v="400413"/>
    <s v="3.77"/>
    <s v="0.00"/>
    <s v="96.23"/>
  </r>
  <r>
    <x v="29"/>
    <x v="119"/>
    <n v="15536"/>
    <n v="555"/>
    <n v="774"/>
    <s v="3.57"/>
    <s v="0.00"/>
    <s v="96.43"/>
  </r>
  <r>
    <x v="29"/>
    <x v="118"/>
    <n v="195542"/>
    <n v="6875"/>
    <n v="177483"/>
    <s v="3.52"/>
    <s v="0.00"/>
    <s v="96.48"/>
  </r>
  <r>
    <x v="29"/>
    <x v="117"/>
    <n v="4"/>
    <n v="0"/>
    <n v="3"/>
    <s v="0.00"/>
    <s v="0.00"/>
    <s v="100.00"/>
  </r>
  <r>
    <x v="29"/>
    <x v="116"/>
    <n v="43610"/>
    <n v="960"/>
    <n v="38586"/>
    <s v="2.20"/>
    <s v="0.00"/>
    <s v="97.80"/>
  </r>
  <r>
    <x v="29"/>
    <x v="115"/>
    <n v="3878"/>
    <n v="55"/>
    <n v="1883"/>
    <s v="1.42"/>
    <s v="0.00"/>
    <s v="98.58"/>
  </r>
  <r>
    <x v="29"/>
    <x v="114"/>
    <n v="136322"/>
    <n v="2005"/>
    <n v="26624"/>
    <s v="1.47"/>
    <s v="0.00"/>
    <s v="98.53"/>
  </r>
  <r>
    <x v="29"/>
    <x v="113"/>
    <n v="310776"/>
    <n v="7105"/>
    <n v="283355"/>
    <s v="2.29"/>
    <s v="0.00"/>
    <s v="97.71"/>
  </r>
  <r>
    <x v="29"/>
    <x v="112"/>
    <n v="3337"/>
    <n v="35"/>
    <n v="437"/>
    <s v="1.05"/>
    <s v="0.00"/>
    <s v="98.95"/>
  </r>
  <r>
    <x v="29"/>
    <x v="111"/>
    <n v="940503"/>
    <n v="14500"/>
    <n v="575052"/>
    <s v="1.54"/>
    <s v="0.00"/>
    <s v="98.46"/>
  </r>
  <r>
    <x v="29"/>
    <x v="110"/>
    <n v="348088"/>
    <n v="4832"/>
    <n v="284922"/>
    <s v="1.39"/>
    <s v="0.00"/>
    <s v="98.61"/>
  </r>
  <r>
    <x v="29"/>
    <x v="109"/>
    <n v="175890"/>
    <n v="2836"/>
    <n v="85250"/>
    <s v="1.61"/>
    <s v="0.00"/>
    <s v="98.39"/>
  </r>
  <r>
    <x v="29"/>
    <x v="108"/>
    <n v="79463"/>
    <n v="838"/>
    <n v="3048"/>
    <s v="1.05"/>
    <s v="0.00"/>
    <s v="98.95"/>
  </r>
  <r>
    <x v="29"/>
    <x v="107"/>
    <n v="357801"/>
    <n v="5308"/>
    <n v="314553"/>
    <s v="1.48"/>
    <s v="0.00"/>
    <s v="98.52"/>
  </r>
  <r>
    <x v="29"/>
    <x v="106"/>
    <n v="21481"/>
    <n v="653"/>
    <n v="3268"/>
    <s v="3.04"/>
    <s v="0.00"/>
    <s v="96.96"/>
  </r>
  <r>
    <x v="29"/>
    <x v="105"/>
    <n v="5802"/>
    <n v="286"/>
    <n v="486"/>
    <s v="4.93"/>
    <s v="0.00"/>
    <s v="95.07"/>
  </r>
  <r>
    <x v="29"/>
    <x v="104"/>
    <n v="528415"/>
    <n v="13408"/>
    <n v="226800"/>
    <s v="2.54"/>
    <s v="0.00"/>
    <s v="97.46"/>
  </r>
  <r>
    <x v="29"/>
    <x v="103"/>
    <n v="3576"/>
    <n v="60"/>
    <n v="1069"/>
    <s v="1.68"/>
    <s v="0.00"/>
    <s v="98.32"/>
  </r>
  <r>
    <x v="29"/>
    <x v="102"/>
    <n v="12095"/>
    <n v="232"/>
    <n v="10369"/>
    <s v="1.92"/>
    <s v="0.00"/>
    <s v="98.08"/>
  </r>
  <r>
    <x v="29"/>
    <x v="101"/>
    <n v="631642"/>
    <n v="8400"/>
    <n v="280416"/>
    <s v="1.33"/>
    <s v="0.00"/>
    <s v="98.67"/>
  </r>
  <r>
    <x v="29"/>
    <x v="100"/>
    <n v="29964"/>
    <n v="35"/>
    <n v="620"/>
    <s v="0.12"/>
    <s v="0.00"/>
    <s v="99.88"/>
  </r>
  <r>
    <x v="29"/>
    <x v="99"/>
    <n v="988365"/>
    <n v="16544"/>
    <n v="709600"/>
    <s v="1.67"/>
    <s v="0.00"/>
    <s v="98.33"/>
  </r>
  <r>
    <x v="29"/>
    <x v="98"/>
    <n v="412196"/>
    <n v="2455"/>
    <n v="49183"/>
    <s v="0.60"/>
    <s v="0.00"/>
    <s v="99.40"/>
  </r>
  <r>
    <x v="29"/>
    <x v="97"/>
    <n v="337679"/>
    <n v="2618"/>
    <n v="314255"/>
    <s v="0.78"/>
    <s v="0.00"/>
    <s v="99.22"/>
  </r>
  <r>
    <x v="29"/>
    <x v="96"/>
    <n v="2466"/>
    <n v="21"/>
    <n v="172"/>
    <s v="0.85"/>
    <s v="0.00"/>
    <s v="99.15"/>
  </r>
  <r>
    <x v="29"/>
    <x v="95"/>
    <n v="4173"/>
    <n v="147"/>
    <n v="644"/>
    <s v="3.52"/>
    <s v="0.00"/>
    <s v="96.48"/>
  </r>
  <r>
    <x v="29"/>
    <x v="93"/>
    <n v="115607"/>
    <n v="2559"/>
    <n v="62200"/>
    <s v="2.21"/>
    <s v="0.00"/>
    <s v="97.79"/>
  </r>
  <r>
    <x v="29"/>
    <x v="94"/>
    <n v="2"/>
    <n v="0"/>
    <n v="1"/>
    <s v="0.00"/>
    <s v="0.00"/>
    <s v="100.00"/>
  </r>
  <r>
    <x v="29"/>
    <x v="92"/>
    <n v="179492"/>
    <n v="2624"/>
    <n v="110614"/>
    <s v="1.46"/>
    <s v="0.00"/>
    <s v="98.54"/>
  </r>
  <r>
    <x v="29"/>
    <x v="90"/>
    <n v="1713471"/>
    <n v="18032"/>
    <n v="1682229"/>
    <s v="1.05"/>
    <s v="0.00"/>
    <s v="98.95"/>
  </r>
  <r>
    <x v="29"/>
    <x v="91"/>
    <n v="251483"/>
    <n v="5198"/>
    <n v="212033"/>
    <s v="2.07"/>
    <s v="0.00"/>
    <s v="97.93"/>
  </r>
  <r>
    <x v="29"/>
    <x v="89"/>
    <n v="837255"/>
    <n v="10841"/>
    <n v="256922"/>
    <s v="1.29"/>
    <s v="0.00"/>
    <s v="98.71"/>
  </r>
  <r>
    <x v="29"/>
    <x v="88"/>
    <n v="86507"/>
    <n v="2053"/>
    <n v="74256"/>
    <s v="2.37"/>
    <s v="0.00"/>
    <s v="97.63"/>
  </r>
  <r>
    <x v="29"/>
    <x v="87"/>
    <n v="4707087"/>
    <n v="131421"/>
    <n v="3502227"/>
    <s v="2.79"/>
    <s v="0.00"/>
    <s v="97.21"/>
  </r>
  <r>
    <x v="29"/>
    <x v="86"/>
    <n v="12342"/>
    <n v="33"/>
    <n v="1768"/>
    <s v="0.27"/>
    <s v="0.00"/>
    <s v="99.73"/>
  </r>
  <r>
    <x v="29"/>
    <x v="85"/>
    <n v="5742083"/>
    <n v="123275"/>
    <n v="5271839"/>
    <s v="2.15"/>
    <s v="0.00"/>
    <s v="97.85"/>
  </r>
  <r>
    <x v="29"/>
    <x v="84"/>
    <n v="2028115"/>
    <n v="22655"/>
    <n v="1134975"/>
    <s v="1.12"/>
    <s v="0.00"/>
    <s v="98.88"/>
  </r>
  <r>
    <x v="29"/>
    <x v="83"/>
    <n v="34020730"/>
    <n v="451435"/>
    <n v="15493047"/>
    <s v="1.33"/>
    <s v="0.00"/>
    <s v="98.67"/>
  </r>
  <r>
    <x v="29"/>
    <x v="82"/>
    <n v="1311295"/>
    <n v="7959"/>
    <n v="99535"/>
    <s v="0.61"/>
    <s v="0.00"/>
    <s v="99.39"/>
  </r>
  <r>
    <x v="29"/>
    <x v="81"/>
    <n v="408021"/>
    <n v="5306"/>
    <n v="3681"/>
    <s v="1.30"/>
    <s v="0.00"/>
    <s v="98.70"/>
  </r>
  <r>
    <x v="29"/>
    <x v="80"/>
    <n v="4231046"/>
    <n v="142811"/>
    <n v="1516228"/>
    <s v="3.38"/>
    <s v="0.00"/>
    <s v="96.62"/>
  </r>
  <r>
    <x v="29"/>
    <x v="79"/>
    <n v="830725"/>
    <n v="30330"/>
    <n v="358554"/>
    <s v="3.65"/>
    <s v="0.00"/>
    <s v="96.35"/>
  </r>
  <r>
    <x v="29"/>
    <x v="78"/>
    <n v="22731"/>
    <n v="649"/>
    <n v="20235"/>
    <s v="2.86"/>
    <s v="0.00"/>
    <s v="97.14"/>
  </r>
  <r>
    <x v="29"/>
    <x v="77"/>
    <n v="421057"/>
    <n v="8829"/>
    <n v="274024"/>
    <s v="2.10"/>
    <s v="0.00"/>
    <s v="97.90"/>
  </r>
  <r>
    <x v="29"/>
    <x v="76"/>
    <n v="371431"/>
    <n v="10064"/>
    <n v="346431"/>
    <s v="2.71"/>
    <s v="0.00"/>
    <s v="97.29"/>
  </r>
  <r>
    <x v="29"/>
    <x v="75"/>
    <n v="12275"/>
    <n v="213"/>
    <n v="2380"/>
    <s v="1.74"/>
    <s v="0.00"/>
    <s v="98.26"/>
  </r>
  <r>
    <x v="29"/>
    <x v="74"/>
    <n v="33973"/>
    <n v="851"/>
    <n v="30174"/>
    <s v="2.50"/>
    <s v="0.00"/>
    <s v="97.50"/>
  </r>
  <r>
    <x v="29"/>
    <x v="73"/>
    <n v="6123"/>
    <n v="141"/>
    <n v="871"/>
    <s v="2.30"/>
    <s v="0.00"/>
    <s v="97.70"/>
  </r>
  <r>
    <x v="29"/>
    <x v="72"/>
    <n v="583201"/>
    <n v="14177"/>
    <n v="194604"/>
    <s v="2.43"/>
    <s v="0.00"/>
    <s v="97.57"/>
  </r>
  <r>
    <x v="29"/>
    <x v="71"/>
    <n v="684706"/>
    <n v="15241"/>
    <n v="651280"/>
    <s v="2.23"/>
    <s v="0.00"/>
    <s v="97.77"/>
  </r>
  <r>
    <x v="29"/>
    <x v="70"/>
    <n v="12840"/>
    <n v="156"/>
    <n v="2214"/>
    <s v="1.21"/>
    <s v="0.00"/>
    <s v="98.79"/>
  </r>
  <r>
    <x v="29"/>
    <x v="69"/>
    <n v="53836"/>
    <n v="800"/>
    <n v="36344"/>
    <s v="1.49"/>
    <s v="0.00"/>
    <s v="98.51"/>
  </r>
  <r>
    <x v="29"/>
    <x v="67"/>
    <n v="9943"/>
    <n v="339"/>
    <n v="577"/>
    <s v="3.41"/>
    <s v="0.00"/>
    <s v="96.59"/>
  </r>
  <r>
    <x v="29"/>
    <x v="68"/>
    <n v="30535"/>
    <n v="385"/>
    <n v="6278"/>
    <s v="1.26"/>
    <s v="0.00"/>
    <s v="98.74"/>
  </r>
  <r>
    <x v="29"/>
    <x v="66"/>
    <n v="5707"/>
    <n v="97"/>
    <n v="780"/>
    <s v="1.70"/>
    <s v="0.00"/>
    <s v="98.30"/>
  </r>
  <r>
    <x v="29"/>
    <x v="65"/>
    <n v="128368"/>
    <n v="1158"/>
    <n v="90075"/>
    <s v="0.90"/>
    <s v="0.00"/>
    <s v="99.10"/>
  </r>
  <r>
    <x v="29"/>
    <x v="64"/>
    <n v="42794"/>
    <n v="289"/>
    <n v="26821"/>
    <s v="0.68"/>
    <s v="0.00"/>
    <s v="99.32"/>
  </r>
  <r>
    <x v="29"/>
    <x v="62"/>
    <n v="5670"/>
    <n v="184"/>
    <n v="3783"/>
    <s v="3.25"/>
    <s v="0.00"/>
    <s v="96.75"/>
  </r>
  <r>
    <x v="29"/>
    <x v="63"/>
    <n v="645195"/>
    <n v="9332"/>
    <n v="304302"/>
    <s v="1.45"/>
    <s v="0.00"/>
    <s v="98.55"/>
  </r>
  <r>
    <x v="29"/>
    <x v="61"/>
    <n v="8306144"/>
    <n v="138390"/>
    <n v="3005026"/>
    <s v="1.67"/>
    <s v="0.00"/>
    <s v="98.33"/>
  </r>
  <r>
    <x v="29"/>
    <x v="60"/>
    <n v="32576"/>
    <n v="205"/>
    <n v="11052"/>
    <s v="0.63"/>
    <s v="0.00"/>
    <s v="99.37"/>
  </r>
  <r>
    <x v="29"/>
    <x v="59"/>
    <n v="6891105"/>
    <n v="114867"/>
    <n v="3423165"/>
    <s v="1.67"/>
    <s v="0.00"/>
    <s v="98.33"/>
  </r>
  <r>
    <x v="29"/>
    <x v="58"/>
    <n v="1319"/>
    <n v="2"/>
    <n v="1133"/>
    <s v="0.15"/>
    <s v="0.00"/>
    <s v="99.85"/>
  </r>
  <r>
    <x v="29"/>
    <x v="57"/>
    <n v="51648"/>
    <n v="663"/>
    <n v="24600"/>
    <s v="1.28"/>
    <s v="0.00"/>
    <s v="98.72"/>
  </r>
  <r>
    <x v="29"/>
    <x v="56"/>
    <n v="148672"/>
    <n v="1111"/>
    <n v="19870"/>
    <s v="0.75"/>
    <s v="0.00"/>
    <s v="99.25"/>
  </r>
  <r>
    <x v="29"/>
    <x v="55"/>
    <n v="356772"/>
    <n v="6103"/>
    <n v="106610"/>
    <s v="1.71"/>
    <s v="0.00"/>
    <s v="98.29"/>
  </r>
  <r>
    <x v="29"/>
    <x v="54"/>
    <n v="4980206"/>
    <n v="86869"/>
    <n v="4169383"/>
    <s v="1.74"/>
    <s v="0.00"/>
    <s v="98.26"/>
  </r>
  <r>
    <x v="29"/>
    <x v="53"/>
    <n v="6764"/>
    <n v="43"/>
    <n v="3061"/>
    <s v="0.64"/>
    <s v="0.00"/>
    <s v="99.36"/>
  </r>
  <r>
    <x v="29"/>
    <x v="52"/>
    <n v="314977"/>
    <n v="17806"/>
    <n v="205681"/>
    <s v="5.65"/>
    <s v="0.00"/>
    <s v="94.35"/>
  </r>
  <r>
    <x v="29"/>
    <x v="51"/>
    <n v="167828"/>
    <n v="1404"/>
    <n v="93993"/>
    <s v="0.84"/>
    <s v="0.00"/>
    <s v="99.16"/>
  </r>
  <r>
    <x v="29"/>
    <x v="50"/>
    <n v="512071"/>
    <n v="32848"/>
    <n v="411274"/>
    <s v="6.41"/>
    <s v="0.00"/>
    <s v="93.59"/>
  </r>
  <r>
    <x v="29"/>
    <x v="49"/>
    <n v="204900"/>
    <n v="5862"/>
    <n v="165666"/>
    <s v="2.86"/>
    <s v="0.00"/>
    <s v="97.14"/>
  </r>
  <r>
    <x v="29"/>
    <x v="48"/>
    <n v="367379"/>
    <n v="4077"/>
    <n v="197798"/>
    <s v="1.11"/>
    <s v="0.00"/>
    <s v="98.89"/>
  </r>
  <r>
    <x v="29"/>
    <x v="47"/>
    <n v="4113"/>
    <n v="28"/>
    <n v="2700"/>
    <s v="0.68"/>
    <s v="0.00"/>
    <s v="99.32"/>
  </r>
  <r>
    <x v="29"/>
    <x v="46"/>
    <n v="366478"/>
    <n v="2674"/>
    <n v="322663"/>
    <s v="0.73"/>
    <s v="0.00"/>
    <s v="99.27"/>
  </r>
  <r>
    <x v="29"/>
    <x v="45"/>
    <n v="13347"/>
    <n v="179"/>
    <n v="2172"/>
    <s v="1.34"/>
    <s v="0.00"/>
    <s v="98.66"/>
  </r>
  <r>
    <x v="29"/>
    <x v="44"/>
    <n v="4343591"/>
    <n v="94407"/>
    <n v="2162781"/>
    <s v="2.17"/>
    <s v="0.00"/>
    <s v="97.83"/>
  </r>
  <r>
    <x v="29"/>
    <x v="43"/>
    <n v="1705532"/>
    <n v="30518"/>
    <n v="929171"/>
    <s v="1.79"/>
    <s v="0.00"/>
    <s v="98.21"/>
  </r>
  <r>
    <x v="29"/>
    <x v="42"/>
    <n v="121700"/>
    <n v="560"/>
    <n v="48942"/>
    <s v="0.46"/>
    <s v="0.00"/>
    <s v="99.54"/>
  </r>
  <r>
    <x v="29"/>
    <x v="41"/>
    <n v="37951"/>
    <n v="347"/>
    <n v="33074"/>
    <s v="0.91"/>
    <s v="0.00"/>
    <s v="99.09"/>
  </r>
  <r>
    <x v="29"/>
    <x v="40"/>
    <n v="926320"/>
    <n v="7956"/>
    <n v="737379"/>
    <s v="0.86"/>
    <s v="0.00"/>
    <s v="99.14"/>
  </r>
  <r>
    <x v="29"/>
    <x v="39"/>
    <n v="549084"/>
    <n v="6744"/>
    <n v="218426"/>
    <s v="1.23"/>
    <s v="0.00"/>
    <s v="98.77"/>
  </r>
  <r>
    <x v="29"/>
    <x v="38"/>
    <n v="4975656"/>
    <n v="126726"/>
    <n v="2398744"/>
    <s v="2.55"/>
    <s v="0.00"/>
    <s v="97.45"/>
  </r>
  <r>
    <x v="29"/>
    <x v="37"/>
    <n v="96483"/>
    <n v="4636"/>
    <n v="41781"/>
    <s v="4.80"/>
    <s v="0.00"/>
    <s v="95.20"/>
  </r>
  <r>
    <x v="29"/>
    <x v="36"/>
    <n v="98402"/>
    <n v="1550"/>
    <n v="7960"/>
    <s v="1.58"/>
    <s v="0.00"/>
    <s v="98.42"/>
  </r>
  <r>
    <x v="29"/>
    <x v="35"/>
    <n v="1664725"/>
    <n v="37578"/>
    <n v="56955"/>
    <s v="2.26"/>
    <s v="0.00"/>
    <s v="97.74"/>
  </r>
  <r>
    <x v="29"/>
    <x v="34"/>
    <n v="60878"/>
    <n v="672"/>
    <n v="38119"/>
    <s v="1.10"/>
    <s v="0.00"/>
    <s v="98.90"/>
  </r>
  <r>
    <x v="29"/>
    <x v="33"/>
    <n v="852658"/>
    <n v="11146"/>
    <n v="740943"/>
    <s v="1.31"/>
    <s v="0.00"/>
    <s v="98.69"/>
  </r>
  <r>
    <x v="29"/>
    <x v="32"/>
    <n v="15255"/>
    <n v="219"/>
    <n v="3504"/>
    <s v="1.44"/>
    <s v="0.00"/>
    <s v="98.56"/>
  </r>
  <r>
    <x v="29"/>
    <x v="31"/>
    <n v="11469"/>
    <n v="100"/>
    <n v="10942"/>
    <s v="0.87"/>
    <s v="0.00"/>
    <s v="99.13"/>
  </r>
  <r>
    <x v="29"/>
    <x v="30"/>
    <n v="57269"/>
    <n v="1089"/>
    <n v="21563"/>
    <s v="1.90"/>
    <s v="0.00"/>
    <s v="98.10"/>
  </r>
  <r>
    <x v="29"/>
    <x v="29"/>
    <n v="1678511"/>
    <n v="28422"/>
    <n v="830742"/>
    <s v="1.69"/>
    <s v="0.00"/>
    <s v="98.31"/>
  </r>
  <r>
    <x v="29"/>
    <x v="28"/>
    <n v="22947"/>
    <n v="442"/>
    <n v="6238"/>
    <s v="1.93"/>
    <s v="0.00"/>
    <s v="98.07"/>
  </r>
  <r>
    <x v="29"/>
    <x v="27"/>
    <n v="563813"/>
    <n v="4336"/>
    <n v="524432"/>
    <s v="0.77"/>
    <s v="0.00"/>
    <s v="99.23"/>
  </r>
  <r>
    <x v="29"/>
    <x v="26"/>
    <n v="181251"/>
    <n v="2381"/>
    <n v="100121"/>
    <s v="1.31"/>
    <s v="0.00"/>
    <s v="98.69"/>
  </r>
  <r>
    <x v="29"/>
    <x v="25"/>
    <n v="2615"/>
    <n v="3"/>
    <n v="2586"/>
    <s v="0.11"/>
    <s v="0.00"/>
    <s v="99.89"/>
  </r>
  <r>
    <x v="29"/>
    <x v="24"/>
    <n v="21580"/>
    <n v="590"/>
    <n v="2378"/>
    <s v="2.73"/>
    <s v="0.00"/>
    <s v="97.27"/>
  </r>
  <r>
    <x v="29"/>
    <x v="23"/>
    <n v="21597949"/>
    <n v="601574"/>
    <n v="18195248"/>
    <s v="2.79"/>
    <s v="0.00"/>
    <s v="97.21"/>
  </r>
  <r>
    <x v="29"/>
    <x v="22"/>
    <n v="505157"/>
    <n v="18811"/>
    <n v="274733"/>
    <s v="3.72"/>
    <s v="0.00"/>
    <s v="96.28"/>
  </r>
  <r>
    <x v="29"/>
    <x v="21"/>
    <n v="9665"/>
    <n v="67"/>
    <n v="3754"/>
    <s v="0.69"/>
    <s v="0.00"/>
    <s v="99.31"/>
  </r>
  <r>
    <x v="29"/>
    <x v="20"/>
    <n v="1658"/>
    <n v="6"/>
    <n v="498"/>
    <s v="0.36"/>
    <s v="0.00"/>
    <s v="99.64"/>
  </r>
  <r>
    <x v="29"/>
    <x v="19"/>
    <n v="24560"/>
    <n v="161"/>
    <n v="23624"/>
    <s v="0.66"/>
    <s v="0.00"/>
    <s v="99.34"/>
  </r>
  <r>
    <x v="29"/>
    <x v="18"/>
    <n v="19441"/>
    <n v="38"/>
    <n v="1281"/>
    <s v="0.20"/>
    <s v="0.00"/>
    <s v="99.80"/>
  </r>
  <r>
    <x v="29"/>
    <x v="17"/>
    <n v="275862"/>
    <n v="1390"/>
    <n v="78571"/>
    <s v="0.50"/>
    <s v="0.00"/>
    <s v="99.50"/>
  </r>
  <r>
    <x v="29"/>
    <x v="16"/>
    <n v="531129"/>
    <n v="22004"/>
    <n v="71401"/>
    <s v="4.14"/>
    <s v="0.00"/>
    <s v="95.86"/>
  </r>
  <r>
    <x v="29"/>
    <x v="15"/>
    <n v="14586"/>
    <n v="203"/>
    <n v="10028"/>
    <s v="1.39"/>
    <s v="0.00"/>
    <s v="98.61"/>
  </r>
  <r>
    <x v="29"/>
    <x v="14"/>
    <n v="1272669"/>
    <n v="25726"/>
    <n v="431681"/>
    <s v="2.02"/>
    <s v="0.00"/>
    <s v="97.98"/>
  </r>
  <r>
    <x v="29"/>
    <x v="13"/>
    <n v="1564019"/>
    <n v="27730"/>
    <n v="7255"/>
    <s v="1.77"/>
    <s v="0.00"/>
    <s v="98.23"/>
  </r>
  <r>
    <x v="29"/>
    <x v="12"/>
    <n v="11785"/>
    <n v="103"/>
    <n v="2610"/>
    <s v="0.87"/>
    <s v="0.00"/>
    <s v="99.13"/>
  </r>
  <r>
    <x v="29"/>
    <x v="11"/>
    <n v="242469"/>
    <n v="11046"/>
    <n v="197515"/>
    <s v="4.56"/>
    <s v="0.00"/>
    <s v="95.44"/>
  </r>
  <r>
    <x v="29"/>
    <x v="10"/>
    <n v="495332"/>
    <n v="6709"/>
    <n v="296723"/>
    <s v="1.35"/>
    <s v="0.00"/>
    <s v="98.65"/>
  </r>
  <r>
    <x v="29"/>
    <x v="9"/>
    <n v="136188"/>
    <n v="1496"/>
    <n v="107954"/>
    <s v="1.10"/>
    <s v="0.00"/>
    <s v="98.90"/>
  </r>
  <r>
    <x v="29"/>
    <x v="8"/>
    <n v="766542"/>
    <n v="11135"/>
    <n v="681846"/>
    <s v="1.45"/>
    <s v="0.00"/>
    <s v="98.55"/>
  </r>
  <r>
    <x v="29"/>
    <x v="7"/>
    <n v="5268653"/>
    <n v="115582"/>
    <n v="415860"/>
    <s v="2.19"/>
    <s v="0.00"/>
    <s v="97.81"/>
  </r>
  <r>
    <x v="29"/>
    <x v="6"/>
    <n v="62143"/>
    <n v="1650"/>
    <n v="12252"/>
    <s v="2.66"/>
    <s v="0.00"/>
    <s v="97.34"/>
  </r>
  <r>
    <x v="29"/>
    <x v="5"/>
    <n v="275077"/>
    <n v="5646"/>
    <n v="69387"/>
    <s v="2.05"/>
    <s v="0.00"/>
    <s v="97.95"/>
  </r>
  <r>
    <x v="29"/>
    <x v="4"/>
    <n v="176172"/>
    <n v="2788"/>
    <n v="116522"/>
    <s v="1.58"/>
    <s v="0.00"/>
    <s v="98.42"/>
  </r>
  <r>
    <x v="29"/>
    <x v="3"/>
    <n v="3817"/>
    <n v="93"/>
    <n v="1987"/>
    <s v="2.44"/>
    <s v="0.00"/>
    <s v="97.56"/>
  </r>
  <r>
    <x v="29"/>
    <x v="2"/>
    <n v="155627"/>
    <n v="7234"/>
    <n v="51848"/>
    <s v="4.65"/>
    <s v="0.00"/>
    <s v="95.35"/>
  </r>
  <r>
    <x v="29"/>
    <x v="1"/>
    <n v="738152"/>
    <n v="2116"/>
    <n v="628578"/>
    <s v="0.29"/>
    <s v="0.00"/>
    <s v="99.71"/>
  </r>
  <r>
    <x v="29"/>
    <x v="0"/>
    <n v="15314"/>
    <n v="130"/>
    <n v="15174"/>
    <s v="0.85"/>
    <s v="0.00"/>
    <s v="99.15"/>
  </r>
  <r>
    <x v="30"/>
    <x v="0"/>
    <n v="15307"/>
    <n v="130"/>
    <n v="10831"/>
    <s v="0.85"/>
    <s v="0.00"/>
    <s v="99.15"/>
  </r>
  <r>
    <x v="30"/>
    <x v="1"/>
    <n v="738026"/>
    <n v="2115"/>
    <n v="347197"/>
    <s v="0.29"/>
    <s v="0.00"/>
    <s v="99.71"/>
  </r>
  <r>
    <x v="30"/>
    <x v="2"/>
    <n v="155599"/>
    <n v="7230"/>
    <n v="97518"/>
    <s v="4.65"/>
    <s v="0.00"/>
    <s v="95.35"/>
  </r>
  <r>
    <x v="30"/>
    <x v="3"/>
    <n v="3772"/>
    <n v="93"/>
    <n v="2185"/>
    <s v="2.47"/>
    <s v="0.00"/>
    <s v="97.53"/>
  </r>
  <r>
    <x v="30"/>
    <x v="4"/>
    <n v="175664"/>
    <n v="2783"/>
    <n v="100180"/>
    <s v="1.58"/>
    <s v="0.00"/>
    <s v="98.42"/>
  </r>
  <r>
    <x v="30"/>
    <x v="5"/>
    <n v="273860"/>
    <n v="5618"/>
    <n v="139529"/>
    <s v="2.05"/>
    <s v="0.00"/>
    <s v="97.95"/>
  </r>
  <r>
    <x v="30"/>
    <x v="6"/>
    <n v="61794"/>
    <n v="1642"/>
    <n v="43848"/>
    <s v="2.66"/>
    <s v="0.00"/>
    <s v="97.34"/>
  </r>
  <r>
    <x v="30"/>
    <x v="7"/>
    <n v="5267339"/>
    <n v="115547"/>
    <n v="2355761"/>
    <s v="2.19"/>
    <s v="0.00"/>
    <s v="97.81"/>
  </r>
  <r>
    <x v="30"/>
    <x v="8"/>
    <n v="763928"/>
    <n v="11120"/>
    <n v="238781"/>
    <s v="1.46"/>
    <s v="0.00"/>
    <s v="98.54"/>
  </r>
  <r>
    <x v="30"/>
    <x v="9"/>
    <n v="133444"/>
    <n v="1478"/>
    <n v="119889"/>
    <s v="1.11"/>
    <s v="0.00"/>
    <s v="98.89"/>
  </r>
  <r>
    <x v="30"/>
    <x v="10"/>
    <n v="494067"/>
    <n v="6692"/>
    <n v="385651"/>
    <s v="1.35"/>
    <s v="0.00"/>
    <s v="98.65"/>
  </r>
  <r>
    <x v="30"/>
    <x v="11"/>
    <n v="241946"/>
    <n v="11009"/>
    <n v="148508"/>
    <s v="4.55"/>
    <s v="0.00"/>
    <s v="95.45"/>
  </r>
  <r>
    <x v="30"/>
    <x v="12"/>
    <n v="11474"/>
    <n v="101"/>
    <n v="865"/>
    <s v="0.88"/>
    <s v="0.00"/>
    <s v="99.12"/>
  </r>
  <r>
    <x v="30"/>
    <x v="13"/>
    <n v="1563501"/>
    <n v="27713"/>
    <n v="728352"/>
    <s v="1.77"/>
    <s v="0.00"/>
    <s v="98.23"/>
  </r>
  <r>
    <x v="30"/>
    <x v="14"/>
    <n v="1269002"/>
    <n v="25713"/>
    <n v="958352"/>
    <s v="2.03"/>
    <s v="0.00"/>
    <s v="97.97"/>
  </r>
  <r>
    <x v="30"/>
    <x v="15"/>
    <n v="14546"/>
    <n v="200"/>
    <n v="11829"/>
    <s v="1.37"/>
    <s v="0.00"/>
    <s v="98.63"/>
  </r>
  <r>
    <x v="30"/>
    <x v="16"/>
    <n v="527802"/>
    <n v="21906"/>
    <n v="262311"/>
    <s v="4.15"/>
    <s v="0.00"/>
    <s v="95.85"/>
  </r>
  <r>
    <x v="30"/>
    <x v="17"/>
    <n v="275803"/>
    <n v="1390"/>
    <n v="230424"/>
    <s v="0.50"/>
    <s v="0.00"/>
    <s v="99.50"/>
  </r>
  <r>
    <x v="30"/>
    <x v="18"/>
    <n v="19334"/>
    <n v="38"/>
    <n v="6517"/>
    <s v="0.20"/>
    <s v="0.00"/>
    <s v="99.80"/>
  </r>
  <r>
    <x v="30"/>
    <x v="19"/>
    <n v="24335"/>
    <n v="159"/>
    <n v="13287"/>
    <s v="0.65"/>
    <s v="0.00"/>
    <s v="99.35"/>
  </r>
  <r>
    <x v="30"/>
    <x v="20"/>
    <n v="1649"/>
    <n v="6"/>
    <n v="898"/>
    <s v="0.36"/>
    <s v="0.00"/>
    <s v="99.64"/>
  </r>
  <r>
    <x v="30"/>
    <x v="21"/>
    <n v="9472"/>
    <n v="64"/>
    <n v="2991"/>
    <s v="0.68"/>
    <s v="0.00"/>
    <s v="99.32"/>
  </r>
  <r>
    <x v="30"/>
    <x v="22"/>
    <n v="504601"/>
    <n v="18806"/>
    <n v="178360"/>
    <s v="3.73"/>
    <s v="0.00"/>
    <s v="96.27"/>
  </r>
  <r>
    <x v="30"/>
    <x v="23"/>
    <n v="21590097"/>
    <n v="601398"/>
    <n v="11659892"/>
    <s v="2.79"/>
    <s v="0.00"/>
    <s v="97.21"/>
  </r>
  <r>
    <x v="30"/>
    <x v="24"/>
    <n v="21580"/>
    <n v="590"/>
    <n v="20195"/>
    <s v="2.73"/>
    <s v="0.00"/>
    <s v="97.27"/>
  </r>
  <r>
    <x v="30"/>
    <x v="25"/>
    <n v="2613"/>
    <n v="3"/>
    <n v="877"/>
    <s v="0.11"/>
    <s v="0.00"/>
    <s v="99.89"/>
  </r>
  <r>
    <x v="30"/>
    <x v="26"/>
    <n v="181251"/>
    <n v="2381"/>
    <n v="126893"/>
    <s v="1.31"/>
    <s v="0.00"/>
    <s v="98.69"/>
  </r>
  <r>
    <x v="30"/>
    <x v="27"/>
    <n v="561753"/>
    <n v="4319"/>
    <n v="85685"/>
    <s v="0.77"/>
    <s v="0.00"/>
    <s v="99.23"/>
  </r>
  <r>
    <x v="30"/>
    <x v="28"/>
    <n v="22187"/>
    <n v="427"/>
    <n v="19061"/>
    <s v="1.92"/>
    <s v="0.00"/>
    <s v="98.08"/>
  </r>
  <r>
    <x v="30"/>
    <x v="29"/>
    <n v="1675805"/>
    <n v="28343"/>
    <n v="538609"/>
    <s v="1.69"/>
    <s v="0.00"/>
    <s v="98.31"/>
  </r>
  <r>
    <x v="30"/>
    <x v="30"/>
    <n v="57247"/>
    <n v="1087"/>
    <n v="32390"/>
    <s v="1.90"/>
    <s v="0.00"/>
    <s v="98.10"/>
  </r>
  <r>
    <x v="30"/>
    <x v="31"/>
    <n v="11401"/>
    <n v="100"/>
    <n v="757"/>
    <s v="0.88"/>
    <s v="0.00"/>
    <s v="99.12"/>
  </r>
  <r>
    <x v="30"/>
    <x v="32"/>
    <n v="15255"/>
    <n v="219"/>
    <n v="7698"/>
    <s v="1.44"/>
    <s v="0.00"/>
    <s v="98.56"/>
  </r>
  <r>
    <x v="30"/>
    <x v="33"/>
    <n v="851610"/>
    <n v="11140"/>
    <n v="14928"/>
    <s v="1.31"/>
    <s v="0.00"/>
    <s v="98.69"/>
  </r>
  <r>
    <x v="30"/>
    <x v="34"/>
    <n v="60878"/>
    <n v="672"/>
    <n v="23118"/>
    <s v="1.10"/>
    <s v="0.00"/>
    <s v="98.90"/>
  </r>
  <r>
    <x v="30"/>
    <x v="35"/>
    <n v="1663992"/>
    <n v="37574"/>
    <n v="529282"/>
    <s v="2.26"/>
    <s v="0.00"/>
    <s v="97.74"/>
  </r>
  <r>
    <x v="30"/>
    <x v="36"/>
    <n v="95399"/>
    <n v="1517"/>
    <n v="43346"/>
    <s v="1.59"/>
    <s v="0.00"/>
    <s v="98.41"/>
  </r>
  <r>
    <x v="30"/>
    <x v="37"/>
    <n v="96457"/>
    <n v="4636"/>
    <n v="40598"/>
    <s v="4.81"/>
    <s v="0.00"/>
    <s v="95.19"/>
  </r>
  <r>
    <x v="30"/>
    <x v="38"/>
    <n v="4974400"/>
    <n v="126692"/>
    <n v="4209791"/>
    <s v="2.55"/>
    <s v="0.00"/>
    <s v="97.45"/>
  </r>
  <r>
    <x v="30"/>
    <x v="39"/>
    <n v="547914"/>
    <n v="6718"/>
    <n v="127109"/>
    <s v="1.23"/>
    <s v="0.00"/>
    <s v="98.77"/>
  </r>
  <r>
    <x v="30"/>
    <x v="40"/>
    <n v="923966"/>
    <n v="7928"/>
    <n v="606846"/>
    <s v="0.86"/>
    <s v="0.00"/>
    <s v="99.14"/>
  </r>
  <r>
    <x v="30"/>
    <x v="41"/>
    <n v="37920"/>
    <n v="347"/>
    <n v="10476"/>
    <s v="0.92"/>
    <s v="0.00"/>
    <s v="99.08"/>
  </r>
  <r>
    <x v="30"/>
    <x v="42"/>
    <n v="121534"/>
    <n v="560"/>
    <n v="41969"/>
    <s v="0.46"/>
    <s v="0.00"/>
    <s v="99.54"/>
  </r>
  <r>
    <x v="30"/>
    <x v="43"/>
    <n v="1704003"/>
    <n v="30512"/>
    <n v="282920"/>
    <s v="1.79"/>
    <s v="0.00"/>
    <s v="98.21"/>
  </r>
  <r>
    <x v="30"/>
    <x v="44"/>
    <n v="4331274"/>
    <n v="94393"/>
    <n v="3787987"/>
    <s v="2.18"/>
    <s v="0.00"/>
    <s v="97.82"/>
  </r>
  <r>
    <x v="30"/>
    <x v="45"/>
    <n v="13320"/>
    <n v="178"/>
    <n v="8159"/>
    <s v="1.34"/>
    <s v="0.00"/>
    <s v="98.66"/>
  </r>
  <r>
    <x v="30"/>
    <x v="46"/>
    <n v="365681"/>
    <n v="2674"/>
    <n v="209817"/>
    <s v="0.73"/>
    <s v="0.00"/>
    <s v="99.27"/>
  </r>
  <r>
    <x v="30"/>
    <x v="47"/>
    <n v="4086"/>
    <n v="27"/>
    <n v="3004"/>
    <s v="0.66"/>
    <s v="0.00"/>
    <s v="99.34"/>
  </r>
  <r>
    <x v="30"/>
    <x v="48"/>
    <n v="366711"/>
    <n v="4072"/>
    <n v="301223"/>
    <s v="1.11"/>
    <s v="0.00"/>
    <s v="98.89"/>
  </r>
  <r>
    <x v="30"/>
    <x v="49"/>
    <n v="204790"/>
    <n v="5859"/>
    <n v="137768"/>
    <s v="2.86"/>
    <s v="0.00"/>
    <s v="97.14"/>
  </r>
  <r>
    <x v="30"/>
    <x v="50"/>
    <n v="512071"/>
    <n v="32848"/>
    <n v="193461"/>
    <s v="6.41"/>
    <s v="0.00"/>
    <s v="93.59"/>
  </r>
  <r>
    <x v="30"/>
    <x v="51"/>
    <n v="166601"/>
    <n v="1402"/>
    <n v="110013"/>
    <s v="0.84"/>
    <s v="0.00"/>
    <s v="99.16"/>
  </r>
  <r>
    <x v="30"/>
    <x v="52"/>
    <n v="314116"/>
    <n v="17765"/>
    <n v="83939"/>
    <s v="5.66"/>
    <s v="0.00"/>
    <s v="94.34"/>
  </r>
  <r>
    <x v="30"/>
    <x v="53"/>
    <n v="6758"/>
    <n v="43"/>
    <n v="230"/>
    <s v="0.64"/>
    <s v="0.00"/>
    <s v="99.36"/>
  </r>
  <r>
    <x v="30"/>
    <x v="54"/>
    <n v="4977448"/>
    <n v="86827"/>
    <n v="3971749"/>
    <s v="1.74"/>
    <s v="0.00"/>
    <s v="98.26"/>
  </r>
  <r>
    <x v="30"/>
    <x v="55"/>
    <n v="355843"/>
    <n v="6066"/>
    <n v="105003"/>
    <s v="1.70"/>
    <s v="0.00"/>
    <s v="98.30"/>
  </r>
  <r>
    <x v="30"/>
    <x v="56"/>
    <n v="147919"/>
    <n v="1109"/>
    <n v="77098"/>
    <s v="0.75"/>
    <s v="0.00"/>
    <s v="99.25"/>
  </r>
  <r>
    <x v="30"/>
    <x v="57"/>
    <n v="51535"/>
    <n v="653"/>
    <n v="4296"/>
    <s v="1.27"/>
    <s v="0.00"/>
    <s v="98.73"/>
  </r>
  <r>
    <x v="30"/>
    <x v="58"/>
    <n v="1311"/>
    <n v="2"/>
    <n v="339"/>
    <s v="0.15"/>
    <s v="0.00"/>
    <s v="99.85"/>
  </r>
  <r>
    <x v="30"/>
    <x v="59"/>
    <n v="6891105"/>
    <n v="114867"/>
    <n v="1540160"/>
    <s v="1.67"/>
    <s v="0.00"/>
    <s v="98.33"/>
  </r>
  <r>
    <x v="30"/>
    <x v="60"/>
    <n v="32576"/>
    <n v="205"/>
    <n v="19347"/>
    <s v="0.63"/>
    <s v="0.00"/>
    <s v="99.37"/>
  </r>
  <r>
    <x v="30"/>
    <x v="61"/>
    <n v="8264500"/>
    <n v="138254"/>
    <n v="8051674"/>
    <s v="1.67"/>
    <s v="0.00"/>
    <s v="98.33"/>
  </r>
  <r>
    <x v="30"/>
    <x v="63"/>
    <n v="640358"/>
    <n v="9306"/>
    <n v="3770"/>
    <s v="1.45"/>
    <s v="0.00"/>
    <s v="98.55"/>
  </r>
  <r>
    <x v="30"/>
    <x v="62"/>
    <n v="5653"/>
    <n v="183"/>
    <n v="4214"/>
    <s v="3.24"/>
    <s v="0.00"/>
    <s v="96.76"/>
  </r>
  <r>
    <x v="30"/>
    <x v="64"/>
    <n v="42157"/>
    <n v="281"/>
    <n v="25663"/>
    <s v="0.67"/>
    <s v="0.00"/>
    <s v="99.33"/>
  </r>
  <r>
    <x v="30"/>
    <x v="65"/>
    <n v="128368"/>
    <n v="1158"/>
    <n v="96115"/>
    <s v="0.90"/>
    <s v="0.00"/>
    <s v="99.10"/>
  </r>
  <r>
    <x v="30"/>
    <x v="66"/>
    <n v="5682"/>
    <n v="97"/>
    <n v="1756"/>
    <s v="1.71"/>
    <s v="0.00"/>
    <s v="98.29"/>
  </r>
  <r>
    <x v="30"/>
    <x v="68"/>
    <n v="30526"/>
    <n v="383"/>
    <n v="4734"/>
    <s v="1.25"/>
    <s v="0.00"/>
    <s v="98.75"/>
  </r>
  <r>
    <x v="30"/>
    <x v="67"/>
    <n v="9943"/>
    <n v="339"/>
    <n v="3742"/>
    <s v="3.41"/>
    <s v="0.00"/>
    <s v="96.59"/>
  </r>
  <r>
    <x v="30"/>
    <x v="69"/>
    <n v="53544"/>
    <n v="785"/>
    <n v="25328"/>
    <s v="1.47"/>
    <s v="0.00"/>
    <s v="98.53"/>
  </r>
  <r>
    <x v="30"/>
    <x v="70"/>
    <n v="12786"/>
    <n v="155"/>
    <n v="2843"/>
    <s v="1.21"/>
    <s v="0.00"/>
    <s v="98.79"/>
  </r>
  <r>
    <x v="30"/>
    <x v="71"/>
    <n v="682394"/>
    <n v="15210"/>
    <n v="424375"/>
    <s v="2.23"/>
    <s v="0.00"/>
    <s v="97.77"/>
  </r>
  <r>
    <x v="30"/>
    <x v="72"/>
    <n v="581498"/>
    <n v="14118"/>
    <n v="459184"/>
    <s v="2.43"/>
    <s v="0.00"/>
    <s v="97.57"/>
  </r>
  <r>
    <x v="30"/>
    <x v="73"/>
    <n v="6121"/>
    <n v="141"/>
    <n v="2796"/>
    <s v="2.30"/>
    <s v="0.00"/>
    <s v="97.70"/>
  </r>
  <r>
    <x v="30"/>
    <x v="74"/>
    <n v="33823"/>
    <n v="848"/>
    <n v="1912"/>
    <s v="2.51"/>
    <s v="0.00"/>
    <s v="97.49"/>
  </r>
  <r>
    <x v="30"/>
    <x v="75"/>
    <n v="12272"/>
    <n v="213"/>
    <n v="3793"/>
    <s v="1.74"/>
    <s v="0.00"/>
    <s v="98.26"/>
  </r>
  <r>
    <x v="30"/>
    <x v="76"/>
    <n v="370968"/>
    <n v="10044"/>
    <n v="183754"/>
    <s v="2.71"/>
    <s v="0.00"/>
    <s v="97.29"/>
  </r>
  <r>
    <x v="30"/>
    <x v="77"/>
    <n v="419035"/>
    <n v="8802"/>
    <n v="344954"/>
    <s v="2.10"/>
    <s v="0.00"/>
    <s v="97.90"/>
  </r>
  <r>
    <x v="30"/>
    <x v="78"/>
    <n v="22675"/>
    <n v="647"/>
    <n v="4181"/>
    <s v="2.85"/>
    <s v="0.00"/>
    <s v="97.15"/>
  </r>
  <r>
    <x v="30"/>
    <x v="79"/>
    <n v="829911"/>
    <n v="30320"/>
    <n v="751584"/>
    <s v="3.65"/>
    <s v="0.00"/>
    <s v="96.35"/>
  </r>
  <r>
    <x v="30"/>
    <x v="80"/>
    <n v="4229813"/>
    <n v="142763"/>
    <n v="810090"/>
    <s v="3.38"/>
    <s v="0.00"/>
    <s v="96.62"/>
  </r>
  <r>
    <x v="30"/>
    <x v="81"/>
    <n v="405970"/>
    <n v="5280"/>
    <n v="271849"/>
    <s v="1.30"/>
    <s v="0.00"/>
    <s v="98.70"/>
  </r>
  <r>
    <x v="30"/>
    <x v="82"/>
    <n v="1309738"/>
    <n v="7952"/>
    <n v="268798"/>
    <s v="0.61"/>
    <s v="0.00"/>
    <s v="99.39"/>
  </r>
  <r>
    <x v="30"/>
    <x v="83"/>
    <n v="34001743"/>
    <n v="451189"/>
    <n v="851785"/>
    <s v="1.33"/>
    <s v="0.00"/>
    <s v="98.67"/>
  </r>
  <r>
    <x v="30"/>
    <x v="84"/>
    <n v="2026349"/>
    <n v="22620"/>
    <n v="166483"/>
    <s v="1.12"/>
    <s v="0.00"/>
    <s v="98.88"/>
  </r>
  <r>
    <x v="30"/>
    <x v="85"/>
    <n v="5729785"/>
    <n v="123081"/>
    <n v="4619363"/>
    <s v="2.15"/>
    <s v="0.00"/>
    <s v="97.85"/>
  </r>
  <r>
    <x v="30"/>
    <x v="86"/>
    <n v="12287"/>
    <n v="33"/>
    <n v="5815"/>
    <s v="0.27"/>
    <s v="0.00"/>
    <s v="99.73"/>
  </r>
  <r>
    <x v="30"/>
    <x v="87"/>
    <n v="4704318"/>
    <n v="131384"/>
    <n v="2350184"/>
    <s v="2.79"/>
    <s v="0.00"/>
    <s v="97.21"/>
  </r>
  <r>
    <x v="30"/>
    <x v="88"/>
    <n v="86456"/>
    <n v="2034"/>
    <n v="32205"/>
    <s v="2.35"/>
    <s v="0.00"/>
    <s v="97.65"/>
  </r>
  <r>
    <x v="30"/>
    <x v="89"/>
    <n v="835969"/>
    <n v="10827"/>
    <n v="393929"/>
    <s v="1.30"/>
    <s v="0.00"/>
    <s v="98.70"/>
  </r>
  <r>
    <x v="30"/>
    <x v="91"/>
    <n v="251313"/>
    <n v="5195"/>
    <n v="2695"/>
    <s v="2.07"/>
    <s v="0.00"/>
    <s v="97.93"/>
  </r>
  <r>
    <x v="30"/>
    <x v="90"/>
    <n v="1712740"/>
    <n v="17999"/>
    <n v="324318"/>
    <s v="1.05"/>
    <s v="0.00"/>
    <s v="98.95"/>
  </r>
  <r>
    <x v="30"/>
    <x v="92"/>
    <n v="179429"/>
    <n v="2622"/>
    <n v="34756"/>
    <s v="1.46"/>
    <s v="0.00"/>
    <s v="98.54"/>
  </r>
  <r>
    <x v="30"/>
    <x v="94"/>
    <n v="2"/>
    <n v="0"/>
    <n v="2"/>
    <s v="0.00"/>
    <s v="0.00"/>
    <s v="100.00"/>
  </r>
  <r>
    <x v="30"/>
    <x v="93"/>
    <n v="115335"/>
    <n v="2544"/>
    <n v="83260"/>
    <s v="2.21"/>
    <s v="0.00"/>
    <s v="97.79"/>
  </r>
  <r>
    <x v="30"/>
    <x v="95"/>
    <n v="4169"/>
    <n v="147"/>
    <n v="2603"/>
    <s v="3.53"/>
    <s v="0.00"/>
    <s v="96.47"/>
  </r>
  <r>
    <x v="30"/>
    <x v="96"/>
    <n v="2435"/>
    <n v="20"/>
    <n v="752"/>
    <s v="0.82"/>
    <s v="0.00"/>
    <s v="99.18"/>
  </r>
  <r>
    <x v="30"/>
    <x v="97"/>
    <n v="335742"/>
    <n v="2605"/>
    <n v="98263"/>
    <s v="0.78"/>
    <s v="0.00"/>
    <s v="99.22"/>
  </r>
  <r>
    <x v="30"/>
    <x v="98"/>
    <n v="412158"/>
    <n v="2455"/>
    <n v="103724"/>
    <s v="0.60"/>
    <s v="0.00"/>
    <s v="99.40"/>
  </r>
  <r>
    <x v="30"/>
    <x v="99"/>
    <n v="986281"/>
    <n v="16509"/>
    <n v="70627"/>
    <s v="1.67"/>
    <s v="0.00"/>
    <s v="98.33"/>
  </r>
  <r>
    <x v="30"/>
    <x v="100"/>
    <n v="29398"/>
    <n v="33"/>
    <n v="19206"/>
    <s v="0.11"/>
    <s v="0.00"/>
    <s v="99.89"/>
  </r>
  <r>
    <x v="30"/>
    <x v="101"/>
    <n v="630950"/>
    <n v="8394"/>
    <n v="405888"/>
    <s v="1.33"/>
    <s v="0.00"/>
    <s v="98.67"/>
  </r>
  <r>
    <x v="30"/>
    <x v="102"/>
    <n v="12054"/>
    <n v="231"/>
    <n v="5881"/>
    <s v="1.92"/>
    <s v="0.00"/>
    <s v="98.08"/>
  </r>
  <r>
    <x v="30"/>
    <x v="103"/>
    <n v="3572"/>
    <n v="60"/>
    <n v="2315"/>
    <s v="1.68"/>
    <s v="0.00"/>
    <s v="98.32"/>
  </r>
  <r>
    <x v="30"/>
    <x v="104"/>
    <n v="527735"/>
    <n v="13377"/>
    <n v="375074"/>
    <s v="2.53"/>
    <s v="0.00"/>
    <s v="97.47"/>
  </r>
  <r>
    <x v="30"/>
    <x v="105"/>
    <n v="5802"/>
    <n v="286"/>
    <n v="602"/>
    <s v="4.93"/>
    <s v="0.00"/>
    <s v="95.07"/>
  </r>
  <r>
    <x v="30"/>
    <x v="106"/>
    <n v="21481"/>
    <n v="653"/>
    <n v="6147"/>
    <s v="3.04"/>
    <s v="0.00"/>
    <s v="96.96"/>
  </r>
  <r>
    <x v="30"/>
    <x v="107"/>
    <n v="355061"/>
    <n v="5282"/>
    <n v="112041"/>
    <s v="1.49"/>
    <s v="0.00"/>
    <s v="98.51"/>
  </r>
  <r>
    <x v="30"/>
    <x v="108"/>
    <n v="79300"/>
    <n v="837"/>
    <n v="28231"/>
    <s v="1.06"/>
    <s v="0.00"/>
    <s v="98.94"/>
  </r>
  <r>
    <x v="30"/>
    <x v="109"/>
    <n v="173654"/>
    <n v="2819"/>
    <n v="153432"/>
    <s v="1.62"/>
    <s v="0.00"/>
    <s v="98.38"/>
  </r>
  <r>
    <x v="30"/>
    <x v="110"/>
    <n v="347364"/>
    <n v="4808"/>
    <n v="140534"/>
    <s v="1.38"/>
    <s v="0.00"/>
    <s v="98.62"/>
  </r>
  <r>
    <x v="30"/>
    <x v="111"/>
    <n v="939922"/>
    <n v="14485"/>
    <n v="212417"/>
    <s v="1.54"/>
    <s v="0.00"/>
    <s v="98.46"/>
  </r>
  <r>
    <x v="30"/>
    <x v="112"/>
    <n v="3337"/>
    <n v="35"/>
    <n v="394"/>
    <s v="1.05"/>
    <s v="0.00"/>
    <s v="98.95"/>
  </r>
  <r>
    <x v="30"/>
    <x v="113"/>
    <n v="308724"/>
    <n v="7076"/>
    <n v="232191"/>
    <s v="2.29"/>
    <s v="0.00"/>
    <s v="97.71"/>
  </r>
  <r>
    <x v="30"/>
    <x v="114"/>
    <n v="135981"/>
    <n v="2000"/>
    <n v="96416"/>
    <s v="1.47"/>
    <s v="0.00"/>
    <s v="98.53"/>
  </r>
  <r>
    <x v="30"/>
    <x v="115"/>
    <n v="3819"/>
    <n v="55"/>
    <n v="983"/>
    <s v="1.44"/>
    <s v="0.00"/>
    <s v="98.56"/>
  </r>
  <r>
    <x v="30"/>
    <x v="116"/>
    <n v="43610"/>
    <n v="960"/>
    <n v="19984"/>
    <s v="2.20"/>
    <s v="0.00"/>
    <s v="97.80"/>
  </r>
  <r>
    <x v="30"/>
    <x v="117"/>
    <n v="4"/>
    <n v="0"/>
    <n v="2"/>
    <s v="0.00"/>
    <s v="0.00"/>
    <s v="100.00"/>
  </r>
  <r>
    <x v="30"/>
    <x v="118"/>
    <n v="195132"/>
    <n v="6855"/>
    <n v="100357"/>
    <s v="3.51"/>
    <s v="0.00"/>
    <s v="96.49"/>
  </r>
  <r>
    <x v="30"/>
    <x v="119"/>
    <n v="15511"/>
    <n v="554"/>
    <n v="4368"/>
    <s v="3.57"/>
    <s v="0.00"/>
    <s v="96.43"/>
  </r>
  <r>
    <x v="30"/>
    <x v="120"/>
    <n v="481230"/>
    <n v="18188"/>
    <n v="160548"/>
    <s v="3.78"/>
    <s v="0.00"/>
    <s v="96.22"/>
  </r>
  <r>
    <x v="30"/>
    <x v="121"/>
    <n v="330869"/>
    <n v="1482"/>
    <n v="328876"/>
    <s v="0.45"/>
    <s v="0.00"/>
    <s v="99.55"/>
  </r>
  <r>
    <x v="30"/>
    <x v="122"/>
    <n v="77"/>
    <n v="0"/>
    <n v="53"/>
    <s v="0.00"/>
    <s v="0.00"/>
    <s v="100.00"/>
  </r>
  <r>
    <x v="30"/>
    <x v="123"/>
    <n v="41846"/>
    <n v="645"/>
    <n v="5864"/>
    <s v="1.54"/>
    <s v="0.00"/>
    <s v="98.46"/>
  </r>
  <r>
    <x v="30"/>
    <x v="124"/>
    <n v="36465"/>
    <n v="785"/>
    <n v="7675"/>
    <s v="2.15"/>
    <s v="0.00"/>
    <s v="97.85"/>
  </r>
  <r>
    <x v="30"/>
    <x v="125"/>
    <n v="37375"/>
    <n v="459"/>
    <n v="14100"/>
    <s v="1.23"/>
    <s v="0.00"/>
    <s v="98.77"/>
  </r>
  <r>
    <x v="30"/>
    <x v="126"/>
    <n v="16437"/>
    <n v="115"/>
    <n v="3980"/>
    <s v="0.70"/>
    <s v="0.00"/>
    <s v="99.30"/>
  </r>
  <r>
    <x v="30"/>
    <x v="127"/>
    <n v="85732"/>
    <n v="235"/>
    <n v="10819"/>
    <s v="0.27"/>
    <s v="0.00"/>
    <s v="99.73"/>
  </r>
  <r>
    <x v="30"/>
    <x v="128"/>
    <n v="61694"/>
    <n v="2292"/>
    <n v="36736"/>
    <s v="3.72"/>
    <s v="0.00"/>
    <s v="96.28"/>
  </r>
  <r>
    <x v="30"/>
    <x v="129"/>
    <n v="3732429"/>
    <n v="282773"/>
    <n v="1073705"/>
    <s v="7.58"/>
    <s v="0.00"/>
    <s v="92.42"/>
  </r>
  <r>
    <x v="30"/>
    <x v="130"/>
    <n v="2353579"/>
    <n v="27525"/>
    <n v="126902"/>
    <s v="1.17"/>
    <s v="0.00"/>
    <s v="98.83"/>
  </r>
  <r>
    <x v="30"/>
    <x v="131"/>
    <n v="151018"/>
    <n v="1924"/>
    <n v="134262"/>
    <s v="1.27"/>
    <s v="0.00"/>
    <s v="98.73"/>
  </r>
  <r>
    <x v="30"/>
    <x v="132"/>
    <n v="128167"/>
    <n v="3527"/>
    <n v="24550"/>
    <s v="2.75"/>
    <s v="0.00"/>
    <s v="97.25"/>
  </r>
  <r>
    <x v="30"/>
    <x v="133"/>
    <n v="9417"/>
    <n v="209"/>
    <n v="5633"/>
    <s v="2.22"/>
    <s v="0.00"/>
    <s v="97.78"/>
  </r>
  <r>
    <x v="30"/>
    <x v="134"/>
    <n v="6122"/>
    <n v="204"/>
    <n v="4892"/>
    <s v="3.33"/>
    <s v="0.00"/>
    <s v="96.67"/>
  </r>
  <r>
    <x v="30"/>
    <x v="135"/>
    <n v="207979"/>
    <n v="2756"/>
    <n v="147360"/>
    <s v="1.33"/>
    <s v="0.00"/>
    <s v="98.67"/>
  </r>
  <r>
    <x v="30"/>
    <x v="136"/>
    <n v="15737"/>
    <n v="206"/>
    <n v="11468"/>
    <s v="1.31"/>
    <s v="0.00"/>
    <s v="98.69"/>
  </r>
  <r>
    <x v="30"/>
    <x v="137"/>
    <n v="2068483"/>
    <n v="18643"/>
    <n v="1149106"/>
    <s v="0.90"/>
    <s v="0.00"/>
    <s v="99.10"/>
  </r>
  <r>
    <x v="30"/>
    <x v="138"/>
    <n v="194630"/>
    <n v="871"/>
    <n v="129378"/>
    <s v="0.45"/>
    <s v="0.00"/>
    <s v="99.55"/>
  </r>
  <r>
    <x v="30"/>
    <x v="139"/>
    <n v="803552"/>
    <n v="11257"/>
    <n v="652167"/>
    <s v="1.40"/>
    <s v="0.00"/>
    <s v="98.60"/>
  </r>
  <r>
    <x v="30"/>
    <x v="140"/>
    <n v="4760"/>
    <n v="28"/>
    <n v="3706"/>
    <s v="0.59"/>
    <s v="0.00"/>
    <s v="99.41"/>
  </r>
  <r>
    <x v="30"/>
    <x v="141"/>
    <n v="303999"/>
    <n v="4103"/>
    <n v="179727"/>
    <s v="1.35"/>
    <s v="0.00"/>
    <s v="98.65"/>
  </r>
  <r>
    <x v="30"/>
    <x v="142"/>
    <n v="469440"/>
    <n v="7275"/>
    <n v="399529"/>
    <s v="1.55"/>
    <s v="0.00"/>
    <s v="98.45"/>
  </r>
  <r>
    <x v="30"/>
    <x v="143"/>
    <n v="2185355"/>
    <n v="199727"/>
    <n v="739764"/>
    <s v="9.14"/>
    <s v="0.00"/>
    <s v="90.86"/>
  </r>
  <r>
    <x v="30"/>
    <x v="144"/>
    <n v="45359"/>
    <n v="629"/>
    <n v="21016"/>
    <s v="1.39"/>
    <s v="0.00"/>
    <s v="98.61"/>
  </r>
  <r>
    <x v="30"/>
    <x v="145"/>
    <n v="23365"/>
    <n v="252"/>
    <n v="3279"/>
    <s v="1.08"/>
    <s v="0.00"/>
    <s v="98.92"/>
  </r>
  <r>
    <x v="30"/>
    <x v="147"/>
    <n v="1260669"/>
    <n v="28173"/>
    <n v="939313"/>
    <s v="2.23"/>
    <s v="0.00"/>
    <s v="97.77"/>
  </r>
  <r>
    <x v="30"/>
    <x v="146"/>
    <n v="2683372"/>
    <n v="39896"/>
    <n v="1518825"/>
    <s v="1.49"/>
    <s v="0.00"/>
    <s v="98.51"/>
  </r>
  <r>
    <x v="30"/>
    <x v="148"/>
    <n v="2925425"/>
    <n v="75918"/>
    <n v="127444"/>
    <s v="2.60"/>
    <s v="0.00"/>
    <s v="97.40"/>
  </r>
  <r>
    <x v="30"/>
    <x v="149"/>
    <n v="444729"/>
    <n v="4521"/>
    <n v="248866"/>
    <s v="1.02"/>
    <s v="0.00"/>
    <s v="98.98"/>
  </r>
  <r>
    <x v="30"/>
    <x v="150"/>
    <n v="1076358"/>
    <n v="18056"/>
    <n v="628079"/>
    <s v="1.68"/>
    <s v="0.00"/>
    <s v="98.32"/>
  </r>
  <r>
    <x v="30"/>
    <x v="151"/>
    <n v="5"/>
    <n v="0"/>
    <n v="0"/>
    <s v="0.00"/>
    <s v="0.00"/>
    <s v="100.00"/>
  </r>
  <r>
    <x v="30"/>
    <x v="152"/>
    <n v="460244"/>
    <n v="16207"/>
    <n v="308346"/>
    <s v="3.52"/>
    <s v="0.00"/>
    <s v="96.48"/>
  </r>
  <r>
    <x v="30"/>
    <x v="153"/>
    <n v="237579"/>
    <n v="607"/>
    <n v="39361"/>
    <s v="0.26"/>
    <s v="0.00"/>
    <s v="99.74"/>
  </r>
  <r>
    <x v="30"/>
    <x v="154"/>
    <n v="54024"/>
    <n v="370"/>
    <n v="50655"/>
    <s v="0.68"/>
    <s v="0.00"/>
    <s v="99.32"/>
  </r>
  <r>
    <x v="30"/>
    <x v="155"/>
    <n v="1382531"/>
    <n v="40071"/>
    <n v="686315"/>
    <s v="2.90"/>
    <s v="0.00"/>
    <s v="97.10"/>
  </r>
  <r>
    <x v="30"/>
    <x v="156"/>
    <n v="1017798"/>
    <n v="8841"/>
    <n v="427184"/>
    <s v="0.87"/>
    <s v="0.00"/>
    <s v="99.13"/>
  </r>
  <r>
    <x v="30"/>
    <x v="157"/>
    <n v="7714973"/>
    <n v="214476"/>
    <n v="5256040"/>
    <s v="2.78"/>
    <s v="0.00"/>
    <s v="97.22"/>
  </r>
  <r>
    <x v="30"/>
    <x v="158"/>
    <n v="98840"/>
    <n v="1311"/>
    <n v="51670"/>
    <s v="1.33"/>
    <s v="0.00"/>
    <s v="98.67"/>
  </r>
  <r>
    <x v="30"/>
    <x v="159"/>
    <n v="547704"/>
    <n v="8751"/>
    <n v="194584"/>
    <s v="1.60"/>
    <s v="0.00"/>
    <s v="98.40"/>
  </r>
  <r>
    <x v="30"/>
    <x v="160"/>
    <n v="20"/>
    <n v="0"/>
    <n v="13"/>
    <s v="0.00"/>
    <s v="0.00"/>
    <s v="100.00"/>
  </r>
  <r>
    <x v="30"/>
    <x v="161"/>
    <n v="21799"/>
    <n v="118"/>
    <n v="18197"/>
    <s v="0.54"/>
    <s v="0.00"/>
    <s v="99.46"/>
  </r>
  <r>
    <x v="30"/>
    <x v="162"/>
    <n v="38884"/>
    <n v="2955"/>
    <n v="32904"/>
    <s v="7.60"/>
    <s v="0.00"/>
    <s v="92.40"/>
  </r>
  <r>
    <x v="30"/>
    <x v="163"/>
    <n v="1159560"/>
    <n v="14920"/>
    <n v="772396"/>
    <s v="1.29"/>
    <s v="0.00"/>
    <s v="98.71"/>
  </r>
  <r>
    <x v="30"/>
    <x v="164"/>
    <n v="132205"/>
    <n v="183"/>
    <n v="87507"/>
    <s v="0.14"/>
    <s v="0.00"/>
    <s v="99.86"/>
  </r>
  <r>
    <x v="30"/>
    <x v="165"/>
    <n v="302654"/>
    <n v="4618"/>
    <n v="166376"/>
    <s v="1.53"/>
    <s v="0.00"/>
    <s v="98.47"/>
  </r>
  <r>
    <x v="30"/>
    <x v="166"/>
    <n v="427480"/>
    <n v="12752"/>
    <n v="31947"/>
    <s v="2.98"/>
    <s v="0.00"/>
    <s v="97.02"/>
  </r>
  <r>
    <x v="30"/>
    <x v="167"/>
    <n v="6396"/>
    <n v="121"/>
    <n v="491"/>
    <s v="1.89"/>
    <s v="0.00"/>
    <s v="98.11"/>
  </r>
  <r>
    <x v="30"/>
    <x v="168"/>
    <n v="5470"/>
    <n v="91"/>
    <n v="3853"/>
    <s v="1.66"/>
    <s v="0.00"/>
    <s v="98.34"/>
  </r>
  <r>
    <x v="30"/>
    <x v="169"/>
    <n v="73842"/>
    <n v="1868"/>
    <n v="47716"/>
    <s v="2.53"/>
    <s v="0.00"/>
    <s v="97.47"/>
  </r>
  <r>
    <x v="30"/>
    <x v="170"/>
    <n v="21269"/>
    <n v="1180"/>
    <n v="2638"/>
    <s v="5.55"/>
    <s v="0.00"/>
    <s v="94.45"/>
  </r>
  <r>
    <x v="30"/>
    <x v="171"/>
    <n v="44873"/>
    <n v="974"/>
    <n v="29907"/>
    <s v="2.17"/>
    <s v="0.00"/>
    <s v="97.83"/>
  </r>
  <r>
    <x v="30"/>
    <x v="173"/>
    <n v="3639"/>
    <n v="56"/>
    <n v="471"/>
    <s v="1.54"/>
    <s v="0.00"/>
    <s v="98.46"/>
  </r>
  <r>
    <x v="30"/>
    <x v="172"/>
    <n v="12134"/>
    <n v="130"/>
    <n v="5327"/>
    <s v="1.07"/>
    <s v="0.00"/>
    <s v="98.93"/>
  </r>
  <r>
    <x v="30"/>
    <x v="174"/>
    <n v="107664"/>
    <n v="3405"/>
    <n v="24822"/>
    <s v="3.16"/>
    <s v="0.00"/>
    <s v="96.84"/>
  </r>
  <r>
    <x v="30"/>
    <x v="175"/>
    <n v="37509"/>
    <n v="2358"/>
    <n v="21030"/>
    <s v="6.29"/>
    <s v="0.00"/>
    <s v="93.71"/>
  </r>
  <r>
    <x v="30"/>
    <x v="176"/>
    <n v="46313"/>
    <n v="1230"/>
    <n v="16875"/>
    <s v="2.66"/>
    <s v="0.00"/>
    <s v="97.34"/>
  </r>
  <r>
    <x v="30"/>
    <x v="177"/>
    <n v="5061"/>
    <n v="174"/>
    <n v="1135"/>
    <s v="3.44"/>
    <s v="0.00"/>
    <s v="96.56"/>
  </r>
  <r>
    <x v="30"/>
    <x v="178"/>
    <n v="25807"/>
    <n v="237"/>
    <n v="7292"/>
    <s v="0.92"/>
    <s v="0.00"/>
    <s v="99.08"/>
  </r>
  <r>
    <x v="30"/>
    <x v="179"/>
    <n v="1730364"/>
    <n v="17835"/>
    <n v="1492155"/>
    <s v="1.03"/>
    <s v="0.00"/>
    <s v="98.97"/>
  </r>
  <r>
    <x v="30"/>
    <x v="180"/>
    <n v="17484"/>
    <n v="125"/>
    <n v="14536"/>
    <s v="0.71"/>
    <s v="0.00"/>
    <s v="99.29"/>
  </r>
  <r>
    <x v="30"/>
    <x v="181"/>
    <n v="19681"/>
    <n v="119"/>
    <n v="10013"/>
    <s v="0.60"/>
    <s v="0.00"/>
    <s v="99.40"/>
  </r>
  <r>
    <x v="30"/>
    <x v="182"/>
    <n v="710096"/>
    <n v="25046"/>
    <n v="5920"/>
    <s v="3.53"/>
    <s v="0.00"/>
    <s v="96.47"/>
  </r>
  <r>
    <x v="30"/>
    <x v="184"/>
    <n v="7508945"/>
    <n v="66605"/>
    <n v="3697071"/>
    <s v="0.89"/>
    <s v="0.00"/>
    <s v="99.11"/>
  </r>
  <r>
    <x v="30"/>
    <x v="185"/>
    <n v="52999"/>
    <n v="1566"/>
    <n v="37279"/>
    <s v="2.95"/>
    <s v="0.00"/>
    <s v="97.05"/>
  </r>
  <r>
    <x v="30"/>
    <x v="186"/>
    <n v="16309"/>
    <n v="846"/>
    <n v="12302"/>
    <s v="5.19"/>
    <s v="0.00"/>
    <s v="94.81"/>
  </r>
  <r>
    <x v="30"/>
    <x v="187"/>
    <n v="26034"/>
    <n v="724"/>
    <n v="4700"/>
    <s v="2.78"/>
    <s v="0.00"/>
    <s v="97.22"/>
  </r>
  <r>
    <x v="30"/>
    <x v="188"/>
    <n v="2680076"/>
    <n v="62921"/>
    <n v="276389"/>
    <s v="2.35"/>
    <s v="0.00"/>
    <s v="97.65"/>
  </r>
  <r>
    <x v="30"/>
    <x v="189"/>
    <n v="124808"/>
    <n v="3179"/>
    <n v="81411"/>
    <s v="2.55"/>
    <s v="0.00"/>
    <s v="97.45"/>
  </r>
  <r>
    <x v="30"/>
    <x v="190"/>
    <n v="44562693"/>
    <n v="716777"/>
    <n v="6091113"/>
    <s v="1.61"/>
    <s v="0.00"/>
    <s v="98.39"/>
  </r>
  <r>
    <x v="30"/>
    <x v="191"/>
    <n v="390234"/>
    <n v="6064"/>
    <n v="21669"/>
    <s v="1.55"/>
    <s v="0.00"/>
    <s v="98.45"/>
  </r>
  <r>
    <x v="30"/>
    <x v="192"/>
    <n v="178986"/>
    <n v="1273"/>
    <n v="33807"/>
    <s v="0.71"/>
    <s v="0.00"/>
    <s v="99.29"/>
  </r>
  <r>
    <x v="30"/>
    <x v="194"/>
    <n v="4096"/>
    <n v="38"/>
    <n v="1746"/>
    <s v="0.93"/>
    <s v="0.00"/>
    <s v="99.07"/>
  </r>
  <r>
    <x v="30"/>
    <x v="193"/>
    <n v="27"/>
    <n v="0"/>
    <n v="13"/>
    <s v="0.00"/>
    <s v="0.00"/>
    <s v="100.00"/>
  </r>
  <r>
    <x v="30"/>
    <x v="195"/>
    <n v="384668"/>
    <n v="4634"/>
    <n v="72094"/>
    <s v="1.20"/>
    <s v="0.00"/>
    <s v="98.80"/>
  </r>
  <r>
    <x v="30"/>
    <x v="196"/>
    <n v="846230"/>
    <n v="20763"/>
    <n v="814720"/>
    <s v="2.45"/>
    <s v="0.00"/>
    <s v="97.55"/>
  </r>
  <r>
    <x v="30"/>
    <x v="197"/>
    <n v="4"/>
    <n v="1"/>
    <n v="2"/>
    <s v="25.00"/>
    <s v="0.00"/>
    <s v="75.00"/>
  </r>
  <r>
    <x v="30"/>
    <x v="198"/>
    <n v="3"/>
    <n v="0"/>
    <n v="2"/>
    <s v="0.00"/>
    <s v="0.00"/>
    <s v="100.00"/>
  </r>
  <r>
    <x v="30"/>
    <x v="199"/>
    <n v="160435"/>
    <n v="2972"/>
    <n v="93598"/>
    <s v="1.85"/>
    <s v="0.00"/>
    <s v="98.15"/>
  </r>
  <r>
    <x v="30"/>
    <x v="200"/>
    <n v="9412"/>
    <n v="1787"/>
    <n v="5930"/>
    <s v="18.99"/>
    <s v="0.00"/>
    <s v="81.01"/>
  </r>
  <r>
    <x v="30"/>
    <x v="201"/>
    <n v="20397"/>
    <n v="180"/>
    <n v="19999"/>
    <s v="0.88"/>
    <s v="0.00"/>
    <s v="99.12"/>
  </r>
  <r>
    <x v="30"/>
    <x v="202"/>
    <n v="2912938"/>
    <n v="88429"/>
    <n v="2509913"/>
    <s v="3.04"/>
    <s v="0.00"/>
    <s v="96.96"/>
  </r>
  <r>
    <x v="30"/>
    <x v="203"/>
    <n v="209396"/>
    <n v="3654"/>
    <n v="159609"/>
    <s v="1.75"/>
    <s v="0.00"/>
    <s v="98.25"/>
  </r>
  <r>
    <x v="30"/>
    <x v="204"/>
    <n v="132016"/>
    <n v="4645"/>
    <n v="7748"/>
    <s v="3.52"/>
    <s v="0.00"/>
    <s v="96.48"/>
  </r>
  <r>
    <x v="30"/>
    <x v="205"/>
    <n v="721"/>
    <n v="15"/>
    <n v="463"/>
    <s v="2.08"/>
    <s v="0.00"/>
    <s v="97.9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3" cacheId="6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4">
  <location ref="E3:F35" firstHeaderRow="1" firstDataRow="1" firstDataCol="1"/>
  <pivotFields count="8">
    <pivotField axis="axisRow" showAll="0">
      <items count="32"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/>
    <pivotField numFmtId="1" showAll="0"/>
    <pivotField numFmtId="1" showAll="0"/>
    <pivotField dataField="1" showAll="0"/>
    <pivotField showAll="0"/>
    <pivotField showAll="0"/>
    <pivotField showAll="0"/>
  </pivotFields>
  <rowFields count="1">
    <field x="0"/>
  </rowFields>
  <rowItems count="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 t="grand">
      <x/>
    </i>
  </rowItems>
  <colItems count="1">
    <i/>
  </colItems>
  <dataFields count="1">
    <dataField name="Somme de Guerisons" fld="4" baseField="0" baseItem="0"/>
  </dataFields>
  <chartFormats count="2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Tableau croisé dynamique2" cacheId="6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3">
  <location ref="A3:B35" firstHeaderRow="1" firstDataRow="1" firstDataCol="1"/>
  <pivotFields count="8">
    <pivotField axis="axisRow" showAll="0">
      <items count="32"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>
      <items count="207">
        <item x="2"/>
        <item x="202"/>
        <item x="4"/>
        <item x="49"/>
        <item x="44"/>
        <item x="0"/>
        <item x="6"/>
        <item x="3"/>
        <item x="159"/>
        <item x="7"/>
        <item x="5"/>
        <item x="9"/>
        <item x="205"/>
        <item x="8"/>
        <item x="10"/>
        <item x="24"/>
        <item x="17"/>
        <item x="13"/>
        <item x="12"/>
        <item x="27"/>
        <item x="14"/>
        <item x="28"/>
        <item x="19"/>
        <item x="25"/>
        <item x="120"/>
        <item x="22"/>
        <item x="11"/>
        <item x="26"/>
        <item x="23"/>
        <item x="21"/>
        <item x="16"/>
        <item x="15"/>
        <item x="18"/>
        <item x="93"/>
        <item x="36"/>
        <item x="29"/>
        <item x="41"/>
        <item x="35"/>
        <item x="37"/>
        <item x="42"/>
        <item x="38"/>
        <item x="95"/>
        <item x="32"/>
        <item x="97"/>
        <item x="39"/>
        <item x="34"/>
        <item x="77"/>
        <item x="40"/>
        <item x="46"/>
        <item x="45"/>
        <item x="47"/>
        <item x="52"/>
        <item x="174"/>
        <item x="1"/>
        <item x="50"/>
        <item x="53"/>
        <item x="54"/>
        <item x="51"/>
        <item x="176"/>
        <item x="190"/>
        <item x="55"/>
        <item x="57"/>
        <item x="56"/>
        <item x="59"/>
        <item x="60"/>
        <item x="67"/>
        <item x="63"/>
        <item x="65"/>
        <item x="66"/>
        <item x="71"/>
        <item x="62"/>
        <item x="69"/>
        <item x="72"/>
        <item x="68"/>
        <item x="70"/>
        <item x="73"/>
        <item x="74"/>
        <item x="64"/>
        <item x="78"/>
        <item x="76"/>
        <item x="75"/>
        <item x="79"/>
        <item x="58"/>
        <item x="117"/>
        <item x="160"/>
        <item x="83"/>
        <item x="80"/>
        <item x="85"/>
        <item x="84"/>
        <item x="81"/>
        <item x="86"/>
        <item x="82"/>
        <item x="87"/>
        <item x="88"/>
        <item x="90"/>
        <item x="89"/>
        <item x="99"/>
        <item x="91"/>
        <item x="92"/>
        <item x="94"/>
        <item x="199"/>
        <item x="98"/>
        <item x="100"/>
        <item x="106"/>
        <item x="109"/>
        <item x="101"/>
        <item x="105"/>
        <item x="110"/>
        <item x="103"/>
        <item x="107"/>
        <item x="108"/>
        <item x="122"/>
        <item x="118"/>
        <item x="116"/>
        <item x="130"/>
        <item x="128"/>
        <item x="127"/>
        <item x="119"/>
        <item x="125"/>
        <item x="111"/>
        <item x="123"/>
        <item x="126"/>
        <item x="124"/>
        <item x="201"/>
        <item x="129"/>
        <item x="113"/>
        <item x="112"/>
        <item x="121"/>
        <item x="114"/>
        <item x="131"/>
        <item x="132"/>
        <item x="139"/>
        <item x="136"/>
        <item x="134"/>
        <item x="135"/>
        <item x="138"/>
        <item x="133"/>
        <item x="140"/>
        <item x="141"/>
        <item x="189"/>
        <item x="192"/>
        <item x="147"/>
        <item x="151"/>
        <item x="149"/>
        <item x="142"/>
        <item x="145"/>
        <item x="152"/>
        <item x="137"/>
        <item x="143"/>
        <item x="146"/>
        <item x="148"/>
        <item x="144"/>
        <item x="150"/>
        <item x="153"/>
        <item x="30"/>
        <item x="31"/>
        <item x="48"/>
        <item x="43"/>
        <item x="154"/>
        <item x="155"/>
        <item x="61"/>
        <item x="157"/>
        <item x="158"/>
        <item x="20"/>
        <item x="115"/>
        <item x="102"/>
        <item x="96"/>
        <item x="168"/>
        <item x="198"/>
        <item x="173"/>
        <item x="169"/>
        <item x="156"/>
        <item x="161"/>
        <item x="167"/>
        <item x="164"/>
        <item x="166"/>
        <item x="165"/>
        <item x="170"/>
        <item x="162"/>
        <item x="172"/>
        <item x="104"/>
        <item x="194"/>
        <item x="163"/>
        <item x="33"/>
        <item x="171"/>
        <item x="175"/>
        <item x="180"/>
        <item x="186"/>
        <item x="187"/>
        <item x="177"/>
        <item x="179"/>
        <item x="181"/>
        <item x="178"/>
        <item x="183"/>
        <item x="185"/>
        <item x="182"/>
        <item x="184"/>
        <item x="188"/>
        <item x="191"/>
        <item x="197"/>
        <item x="193"/>
        <item x="195"/>
        <item x="196"/>
        <item x="200"/>
        <item x="203"/>
        <item x="204"/>
        <item t="default"/>
      </items>
    </pivotField>
    <pivotField dataField="1" numFmtId="1" showAll="0"/>
    <pivotField numFmtId="1" showAll="0"/>
    <pivotField showAll="0"/>
    <pivotField showAll="0"/>
    <pivotField showAll="0"/>
    <pivotField showAll="0"/>
  </pivotFields>
  <rowFields count="1">
    <field x="0"/>
  </rowFields>
  <rowItems count="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 t="grand">
      <x/>
    </i>
  </rowItems>
  <colItems count="1">
    <i/>
  </colItems>
  <dataFields count="1">
    <dataField name="Somme de Infections" fld="2" baseField="0" baseItem="0"/>
  </dataField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Tableau croisé dynamique4" cacheId="6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3">
  <location ref="I3:J35" firstHeaderRow="1" firstDataRow="1" firstDataCol="1"/>
  <pivotFields count="8">
    <pivotField axis="axisRow" showAll="0">
      <items count="32"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/>
    <pivotField numFmtId="1" showAll="0"/>
    <pivotField dataField="1" numFmtId="1" showAll="0"/>
    <pivotField showAll="0"/>
    <pivotField showAll="0"/>
    <pivotField showAll="0"/>
    <pivotField showAll="0"/>
  </pivotFields>
  <rowFields count="1">
    <field x="0"/>
  </rowFields>
  <rowItems count="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 t="grand">
      <x/>
    </i>
  </rowItems>
  <colItems count="1">
    <i/>
  </colItems>
  <dataFields count="1">
    <dataField name="Somme de Deces" fld="3" baseField="0" baseItem="0"/>
  </dataField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Tableau croisé dynamique9" cacheId="6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16">
  <location ref="G3:H35" firstHeaderRow="1" firstDataRow="1" firstDataCol="1" rowPageCount="1" colPageCount="1"/>
  <pivotFields count="8">
    <pivotField axis="axisRow" showAll="0">
      <items count="32"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axis="axisPage" multipleItemSelectionAllowed="1" showAll="0">
      <items count="207">
        <item h="1" x="2"/>
        <item h="1" x="202"/>
        <item h="1" x="4"/>
        <item h="1" x="49"/>
        <item h="1" x="44"/>
        <item h="1" x="0"/>
        <item h="1" x="6"/>
        <item x="3"/>
        <item h="1" x="159"/>
        <item h="1" x="7"/>
        <item h="1" x="5"/>
        <item h="1" x="9"/>
        <item h="1" x="205"/>
        <item h="1" x="8"/>
        <item h="1" x="10"/>
        <item h="1" x="24"/>
        <item h="1" x="17"/>
        <item h="1" x="13"/>
        <item h="1" x="12"/>
        <item h="1" x="27"/>
        <item h="1" x="14"/>
        <item h="1" x="28"/>
        <item h="1" x="19"/>
        <item h="1" x="25"/>
        <item h="1" x="120"/>
        <item h="1" x="22"/>
        <item h="1" x="11"/>
        <item h="1" x="26"/>
        <item h="1" x="23"/>
        <item h="1" x="21"/>
        <item h="1" x="16"/>
        <item h="1" x="15"/>
        <item h="1" x="18"/>
        <item h="1" x="93"/>
        <item h="1" x="36"/>
        <item h="1" x="29"/>
        <item h="1" x="41"/>
        <item h="1" x="35"/>
        <item h="1" x="37"/>
        <item h="1" x="42"/>
        <item h="1" x="38"/>
        <item h="1" x="95"/>
        <item h="1" x="32"/>
        <item h="1" x="97"/>
        <item h="1" x="39"/>
        <item h="1" x="34"/>
        <item h="1" x="77"/>
        <item h="1" x="40"/>
        <item h="1" x="46"/>
        <item h="1" x="45"/>
        <item h="1" x="47"/>
        <item h="1" x="52"/>
        <item h="1" x="174"/>
        <item h="1" x="1"/>
        <item h="1" x="50"/>
        <item h="1" x="53"/>
        <item h="1" x="54"/>
        <item h="1" x="51"/>
        <item h="1" x="176"/>
        <item h="1" x="190"/>
        <item h="1" x="55"/>
        <item h="1" x="57"/>
        <item h="1" x="56"/>
        <item h="1" x="59"/>
        <item h="1" x="60"/>
        <item h="1" x="67"/>
        <item h="1" x="63"/>
        <item h="1" x="65"/>
        <item h="1" x="66"/>
        <item h="1" x="71"/>
        <item h="1" x="62"/>
        <item h="1" x="69"/>
        <item h="1" x="72"/>
        <item h="1" x="68"/>
        <item h="1" x="70"/>
        <item h="1" x="73"/>
        <item h="1" x="74"/>
        <item h="1" x="64"/>
        <item h="1" x="78"/>
        <item h="1" x="76"/>
        <item h="1" x="75"/>
        <item h="1" x="79"/>
        <item h="1" x="58"/>
        <item h="1" x="117"/>
        <item h="1" x="160"/>
        <item h="1" x="83"/>
        <item h="1" x="80"/>
        <item h="1" x="85"/>
        <item h="1" x="84"/>
        <item h="1" x="81"/>
        <item h="1" x="86"/>
        <item h="1" x="82"/>
        <item h="1" x="87"/>
        <item h="1" x="88"/>
        <item h="1" x="90"/>
        <item h="1" x="89"/>
        <item h="1" x="99"/>
        <item h="1" x="91"/>
        <item h="1" x="92"/>
        <item h="1" x="94"/>
        <item h="1" x="199"/>
        <item h="1" x="98"/>
        <item h="1" x="100"/>
        <item h="1" x="106"/>
        <item h="1" x="109"/>
        <item h="1" x="101"/>
        <item h="1" x="105"/>
        <item h="1" x="110"/>
        <item h="1" x="103"/>
        <item h="1" x="107"/>
        <item h="1" x="108"/>
        <item h="1" x="122"/>
        <item h="1" x="118"/>
        <item h="1" x="116"/>
        <item h="1" x="130"/>
        <item h="1" x="128"/>
        <item h="1" x="127"/>
        <item h="1" x="119"/>
        <item h="1" x="125"/>
        <item h="1" x="111"/>
        <item h="1" x="123"/>
        <item h="1" x="126"/>
        <item h="1" x="124"/>
        <item h="1" x="201"/>
        <item h="1" x="129"/>
        <item h="1" x="113"/>
        <item h="1" x="112"/>
        <item h="1" x="121"/>
        <item h="1" x="114"/>
        <item h="1" x="131"/>
        <item h="1" x="132"/>
        <item h="1" x="139"/>
        <item h="1" x="136"/>
        <item h="1" x="134"/>
        <item h="1" x="135"/>
        <item h="1" x="138"/>
        <item h="1" x="133"/>
        <item h="1" x="140"/>
        <item h="1" x="141"/>
        <item h="1" x="189"/>
        <item h="1" x="192"/>
        <item h="1" x="147"/>
        <item h="1" x="151"/>
        <item h="1" x="149"/>
        <item h="1" x="142"/>
        <item h="1" x="145"/>
        <item h="1" x="152"/>
        <item h="1" x="137"/>
        <item h="1" x="143"/>
        <item h="1" x="146"/>
        <item h="1" x="148"/>
        <item h="1" x="144"/>
        <item h="1" x="150"/>
        <item h="1" x="153"/>
        <item h="1" x="30"/>
        <item h="1" x="31"/>
        <item h="1" x="48"/>
        <item h="1" x="43"/>
        <item h="1" x="154"/>
        <item h="1" x="155"/>
        <item h="1" x="61"/>
        <item h="1" x="157"/>
        <item h="1" x="158"/>
        <item h="1" x="20"/>
        <item h="1" x="115"/>
        <item h="1" x="102"/>
        <item h="1" x="96"/>
        <item h="1" x="168"/>
        <item h="1" x="198"/>
        <item h="1" x="173"/>
        <item h="1" x="169"/>
        <item h="1" x="156"/>
        <item h="1" x="161"/>
        <item h="1" x="167"/>
        <item h="1" x="164"/>
        <item h="1" x="166"/>
        <item h="1" x="165"/>
        <item h="1" x="170"/>
        <item h="1" x="162"/>
        <item h="1" x="172"/>
        <item h="1" x="104"/>
        <item h="1" x="194"/>
        <item h="1" x="163"/>
        <item h="1" x="33"/>
        <item h="1" x="171"/>
        <item h="1" x="175"/>
        <item h="1" x="180"/>
        <item h="1" x="186"/>
        <item h="1" x="187"/>
        <item h="1" x="177"/>
        <item h="1" x="179"/>
        <item h="1" x="181"/>
        <item h="1" x="178"/>
        <item h="1" x="183"/>
        <item h="1" x="185"/>
        <item h="1" x="182"/>
        <item h="1" x="184"/>
        <item h="1" x="188"/>
        <item h="1" x="191"/>
        <item h="1" x="197"/>
        <item h="1" x="193"/>
        <item h="1" x="195"/>
        <item h="1" x="196"/>
        <item h="1" x="200"/>
        <item h="1" x="203"/>
        <item h="1" x="204"/>
        <item t="default"/>
      </items>
    </pivotField>
    <pivotField numFmtId="1" showAll="0"/>
    <pivotField dataField="1" numFmtId="1" showAll="0"/>
    <pivotField showAll="0"/>
    <pivotField showAll="0"/>
    <pivotField showAll="0"/>
    <pivotField showAll="0"/>
  </pivotFields>
  <rowFields count="1">
    <field x="0"/>
  </rowFields>
  <rowItems count="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 t="grand">
      <x/>
    </i>
  </rowItems>
  <colItems count="1">
    <i/>
  </colItems>
  <pageFields count="1">
    <pageField fld="1" hier="-1"/>
  </pageFields>
  <dataFields count="1">
    <dataField name="Somme de Deces" fld="3" baseField="0" baseItem="0"/>
  </dataFields>
  <chartFormats count="2">
    <chartFormat chart="1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Tableau croisé dynamique1" cacheId="6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5">
  <location ref="W3:X24" firstHeaderRow="1" firstDataRow="1" firstDataCol="1"/>
  <pivotFields count="8">
    <pivotField showAll="0"/>
    <pivotField axis="axisRow" showAll="0" measureFilter="1" sortType="ascending">
      <items count="207">
        <item x="2"/>
        <item x="202"/>
        <item x="4"/>
        <item x="49"/>
        <item x="44"/>
        <item x="0"/>
        <item x="6"/>
        <item x="3"/>
        <item x="159"/>
        <item x="7"/>
        <item x="5"/>
        <item x="9"/>
        <item x="205"/>
        <item x="8"/>
        <item x="10"/>
        <item x="24"/>
        <item x="17"/>
        <item x="13"/>
        <item x="12"/>
        <item x="27"/>
        <item x="14"/>
        <item x="28"/>
        <item x="19"/>
        <item x="25"/>
        <item x="120"/>
        <item x="22"/>
        <item x="11"/>
        <item x="26"/>
        <item x="23"/>
        <item x="21"/>
        <item x="16"/>
        <item x="15"/>
        <item x="18"/>
        <item x="93"/>
        <item x="36"/>
        <item x="29"/>
        <item x="41"/>
        <item x="35"/>
        <item x="37"/>
        <item x="42"/>
        <item x="38"/>
        <item x="95"/>
        <item x="32"/>
        <item x="97"/>
        <item x="39"/>
        <item x="34"/>
        <item x="77"/>
        <item x="40"/>
        <item x="46"/>
        <item x="45"/>
        <item x="47"/>
        <item x="52"/>
        <item x="174"/>
        <item x="1"/>
        <item x="50"/>
        <item x="53"/>
        <item x="54"/>
        <item x="51"/>
        <item x="176"/>
        <item x="190"/>
        <item x="55"/>
        <item x="57"/>
        <item x="56"/>
        <item x="59"/>
        <item x="60"/>
        <item x="67"/>
        <item x="63"/>
        <item x="65"/>
        <item x="66"/>
        <item x="71"/>
        <item x="62"/>
        <item x="69"/>
        <item x="72"/>
        <item x="68"/>
        <item x="70"/>
        <item x="73"/>
        <item x="74"/>
        <item x="64"/>
        <item x="78"/>
        <item x="76"/>
        <item x="75"/>
        <item x="79"/>
        <item x="58"/>
        <item x="117"/>
        <item x="160"/>
        <item x="83"/>
        <item x="80"/>
        <item x="85"/>
        <item x="84"/>
        <item x="81"/>
        <item x="86"/>
        <item x="82"/>
        <item x="87"/>
        <item x="88"/>
        <item x="90"/>
        <item x="89"/>
        <item x="99"/>
        <item x="91"/>
        <item x="92"/>
        <item x="94"/>
        <item x="199"/>
        <item x="98"/>
        <item x="100"/>
        <item x="106"/>
        <item x="109"/>
        <item x="101"/>
        <item x="105"/>
        <item x="110"/>
        <item x="103"/>
        <item x="107"/>
        <item x="108"/>
        <item x="122"/>
        <item x="118"/>
        <item x="116"/>
        <item x="130"/>
        <item x="128"/>
        <item x="127"/>
        <item x="119"/>
        <item x="125"/>
        <item x="111"/>
        <item x="123"/>
        <item x="126"/>
        <item x="124"/>
        <item x="201"/>
        <item x="129"/>
        <item x="113"/>
        <item x="112"/>
        <item x="121"/>
        <item x="114"/>
        <item x="131"/>
        <item x="132"/>
        <item x="139"/>
        <item x="136"/>
        <item x="134"/>
        <item x="135"/>
        <item x="138"/>
        <item x="133"/>
        <item x="140"/>
        <item x="141"/>
        <item x="189"/>
        <item x="192"/>
        <item x="147"/>
        <item x="151"/>
        <item x="149"/>
        <item x="142"/>
        <item x="145"/>
        <item x="152"/>
        <item x="137"/>
        <item x="143"/>
        <item x="146"/>
        <item x="148"/>
        <item x="144"/>
        <item x="150"/>
        <item x="153"/>
        <item x="30"/>
        <item x="31"/>
        <item x="48"/>
        <item x="43"/>
        <item x="154"/>
        <item x="155"/>
        <item x="61"/>
        <item x="157"/>
        <item x="158"/>
        <item x="20"/>
        <item x="115"/>
        <item x="102"/>
        <item x="96"/>
        <item x="168"/>
        <item x="198"/>
        <item x="173"/>
        <item x="169"/>
        <item x="156"/>
        <item x="161"/>
        <item x="167"/>
        <item x="164"/>
        <item x="166"/>
        <item x="165"/>
        <item x="170"/>
        <item x="162"/>
        <item x="172"/>
        <item x="104"/>
        <item x="194"/>
        <item x="163"/>
        <item x="33"/>
        <item x="171"/>
        <item x="175"/>
        <item x="180"/>
        <item x="186"/>
        <item x="187"/>
        <item x="177"/>
        <item x="179"/>
        <item x="181"/>
        <item x="178"/>
        <item x="183"/>
        <item x="185"/>
        <item x="182"/>
        <item x="184"/>
        <item x="188"/>
        <item x="191"/>
        <item x="197"/>
        <item x="193"/>
        <item x="195"/>
        <item x="196"/>
        <item x="200"/>
        <item x="203"/>
        <item x="20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" showAll="0"/>
    <pivotField dataField="1" numFmtId="1" showAll="0"/>
    <pivotField showAll="0"/>
    <pivotField showAll="0"/>
    <pivotField showAll="0"/>
    <pivotField showAll="0"/>
  </pivotFields>
  <rowFields count="1">
    <field x="1"/>
  </rowFields>
  <rowItems count="21">
    <i>
      <x v="159"/>
    </i>
    <i>
      <x v="196"/>
    </i>
    <i>
      <x v="197"/>
    </i>
    <i>
      <x v="150"/>
    </i>
    <i>
      <x v="56"/>
    </i>
    <i>
      <x v="1"/>
    </i>
    <i>
      <x v="4"/>
    </i>
    <i>
      <x v="63"/>
    </i>
    <i>
      <x v="9"/>
    </i>
    <i>
      <x v="87"/>
    </i>
    <i>
      <x v="40"/>
    </i>
    <i>
      <x v="92"/>
    </i>
    <i>
      <x v="160"/>
    </i>
    <i>
      <x v="86"/>
    </i>
    <i>
      <x v="148"/>
    </i>
    <i>
      <x v="161"/>
    </i>
    <i>
      <x v="124"/>
    </i>
    <i>
      <x v="85"/>
    </i>
    <i>
      <x v="28"/>
    </i>
    <i>
      <x v="59"/>
    </i>
    <i t="grand">
      <x/>
    </i>
  </rowItems>
  <colItems count="1">
    <i/>
  </colItems>
  <dataFields count="1">
    <dataField name="Somme de Deces" fld="3" baseField="0" baseItem="0"/>
  </dataFields>
  <chartFormats count="1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20" filterVal="2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name="Tableau croisé dynamique8" cacheId="6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2">
  <location ref="A3:B35" firstHeaderRow="1" firstDataRow="1" firstDataCol="1" rowPageCount="1" colPageCount="1"/>
  <pivotFields count="8">
    <pivotField axis="axisRow" showAll="0">
      <items count="32"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axis="axisPage" multipleItemSelectionAllowed="1" showAll="0">
      <items count="207">
        <item h="1" x="2"/>
        <item h="1" x="202"/>
        <item h="1" x="4"/>
        <item h="1" x="49"/>
        <item h="1" x="44"/>
        <item h="1" x="0"/>
        <item h="1" x="6"/>
        <item x="3"/>
        <item h="1" x="159"/>
        <item h="1" x="7"/>
        <item h="1" x="5"/>
        <item h="1" x="9"/>
        <item h="1" x="205"/>
        <item h="1" x="8"/>
        <item h="1" x="10"/>
        <item h="1" x="24"/>
        <item h="1" x="17"/>
        <item h="1" x="13"/>
        <item h="1" x="12"/>
        <item h="1" x="27"/>
        <item h="1" x="14"/>
        <item h="1" x="28"/>
        <item h="1" x="19"/>
        <item h="1" x="25"/>
        <item h="1" x="120"/>
        <item h="1" x="22"/>
        <item h="1" x="11"/>
        <item h="1" x="26"/>
        <item h="1" x="23"/>
        <item h="1" x="21"/>
        <item h="1" x="16"/>
        <item h="1" x="15"/>
        <item h="1" x="18"/>
        <item h="1" x="93"/>
        <item h="1" x="36"/>
        <item h="1" x="29"/>
        <item h="1" x="41"/>
        <item h="1" x="35"/>
        <item h="1" x="37"/>
        <item h="1" x="42"/>
        <item h="1" x="38"/>
        <item h="1" x="95"/>
        <item h="1" x="32"/>
        <item h="1" x="97"/>
        <item h="1" x="39"/>
        <item h="1" x="34"/>
        <item h="1" x="77"/>
        <item h="1" x="40"/>
        <item h="1" x="46"/>
        <item h="1" x="45"/>
        <item h="1" x="47"/>
        <item h="1" x="52"/>
        <item h="1" x="174"/>
        <item h="1" x="1"/>
        <item h="1" x="50"/>
        <item h="1" x="53"/>
        <item h="1" x="54"/>
        <item h="1" x="51"/>
        <item h="1" x="176"/>
        <item h="1" x="190"/>
        <item h="1" x="55"/>
        <item h="1" x="57"/>
        <item h="1" x="56"/>
        <item h="1" x="59"/>
        <item h="1" x="60"/>
        <item h="1" x="67"/>
        <item h="1" x="63"/>
        <item h="1" x="65"/>
        <item h="1" x="66"/>
        <item h="1" x="71"/>
        <item h="1" x="62"/>
        <item h="1" x="69"/>
        <item h="1" x="72"/>
        <item h="1" x="68"/>
        <item h="1" x="70"/>
        <item h="1" x="73"/>
        <item h="1" x="74"/>
        <item h="1" x="64"/>
        <item h="1" x="78"/>
        <item h="1" x="76"/>
        <item h="1" x="75"/>
        <item h="1" x="79"/>
        <item h="1" x="58"/>
        <item h="1" x="117"/>
        <item h="1" x="160"/>
        <item h="1" x="83"/>
        <item h="1" x="80"/>
        <item h="1" x="85"/>
        <item h="1" x="84"/>
        <item h="1" x="81"/>
        <item h="1" x="86"/>
        <item h="1" x="82"/>
        <item h="1" x="87"/>
        <item h="1" x="88"/>
        <item h="1" x="90"/>
        <item h="1" x="89"/>
        <item h="1" x="99"/>
        <item h="1" x="91"/>
        <item h="1" x="92"/>
        <item h="1" x="94"/>
        <item h="1" x="199"/>
        <item h="1" x="98"/>
        <item h="1" x="100"/>
        <item h="1" x="106"/>
        <item h="1" x="109"/>
        <item h="1" x="101"/>
        <item h="1" x="105"/>
        <item h="1" x="110"/>
        <item h="1" x="103"/>
        <item h="1" x="107"/>
        <item h="1" x="108"/>
        <item h="1" x="122"/>
        <item h="1" x="118"/>
        <item h="1" x="116"/>
        <item h="1" x="130"/>
        <item h="1" x="128"/>
        <item h="1" x="127"/>
        <item h="1" x="119"/>
        <item h="1" x="125"/>
        <item h="1" x="111"/>
        <item h="1" x="123"/>
        <item h="1" x="126"/>
        <item h="1" x="124"/>
        <item h="1" x="201"/>
        <item h="1" x="129"/>
        <item h="1" x="113"/>
        <item h="1" x="112"/>
        <item h="1" x="121"/>
        <item h="1" x="114"/>
        <item h="1" x="131"/>
        <item h="1" x="132"/>
        <item h="1" x="139"/>
        <item h="1" x="136"/>
        <item h="1" x="134"/>
        <item h="1" x="135"/>
        <item h="1" x="138"/>
        <item h="1" x="133"/>
        <item h="1" x="140"/>
        <item h="1" x="141"/>
        <item h="1" x="189"/>
        <item h="1" x="192"/>
        <item h="1" x="147"/>
        <item h="1" x="151"/>
        <item h="1" x="149"/>
        <item h="1" x="142"/>
        <item h="1" x="145"/>
        <item h="1" x="152"/>
        <item h="1" x="137"/>
        <item h="1" x="143"/>
        <item h="1" x="146"/>
        <item h="1" x="148"/>
        <item h="1" x="144"/>
        <item h="1" x="150"/>
        <item h="1" x="153"/>
        <item h="1" x="30"/>
        <item h="1" x="31"/>
        <item h="1" x="48"/>
        <item h="1" x="43"/>
        <item h="1" x="154"/>
        <item h="1" x="155"/>
        <item h="1" x="61"/>
        <item h="1" x="157"/>
        <item h="1" x="158"/>
        <item h="1" x="20"/>
        <item h="1" x="115"/>
        <item h="1" x="102"/>
        <item h="1" x="96"/>
        <item h="1" x="168"/>
        <item h="1" x="198"/>
        <item h="1" x="173"/>
        <item h="1" x="169"/>
        <item h="1" x="156"/>
        <item h="1" x="161"/>
        <item h="1" x="167"/>
        <item h="1" x="164"/>
        <item h="1" x="166"/>
        <item h="1" x="165"/>
        <item h="1" x="170"/>
        <item h="1" x="162"/>
        <item h="1" x="172"/>
        <item h="1" x="104"/>
        <item h="1" x="194"/>
        <item h="1" x="163"/>
        <item h="1" x="33"/>
        <item h="1" x="171"/>
        <item h="1" x="175"/>
        <item h="1" x="180"/>
        <item h="1" x="186"/>
        <item h="1" x="187"/>
        <item h="1" x="177"/>
        <item h="1" x="179"/>
        <item h="1" x="181"/>
        <item h="1" x="178"/>
        <item h="1" x="183"/>
        <item h="1" x="185"/>
        <item h="1" x="182"/>
        <item h="1" x="184"/>
        <item h="1" x="188"/>
        <item h="1" x="191"/>
        <item h="1" x="197"/>
        <item h="1" x="193"/>
        <item h="1" x="195"/>
        <item h="1" x="196"/>
        <item h="1" x="200"/>
        <item h="1" x="203"/>
        <item h="1" x="204"/>
        <item t="default"/>
      </items>
    </pivotField>
    <pivotField dataField="1" numFmtId="1" showAll="0"/>
    <pivotField numFmtId="1" showAll="0"/>
    <pivotField showAll="0"/>
    <pivotField showAll="0"/>
    <pivotField showAll="0"/>
    <pivotField showAll="0"/>
  </pivotFields>
  <rowFields count="1">
    <field x="0"/>
  </rowFields>
  <rowItems count="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 t="grand">
      <x/>
    </i>
  </rowItems>
  <colItems count="1">
    <i/>
  </colItems>
  <pageFields count="1">
    <pageField fld="1" hier="-1"/>
  </pageFields>
  <dataFields count="1">
    <dataField name="Somme de Infections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name="Tableau croisé dynamique12" cacheId="6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7">
  <location ref="S3:T24" firstHeaderRow="1" firstDataRow="1" firstDataCol="1"/>
  <pivotFields count="8">
    <pivotField showAll="0">
      <items count="32"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axis="axisRow" showAll="0" measureFilter="1" sortType="ascending">
      <items count="207">
        <item x="2"/>
        <item x="202"/>
        <item x="4"/>
        <item x="49"/>
        <item x="44"/>
        <item x="0"/>
        <item x="6"/>
        <item x="3"/>
        <item x="159"/>
        <item x="7"/>
        <item x="5"/>
        <item x="9"/>
        <item x="205"/>
        <item x="8"/>
        <item x="10"/>
        <item x="24"/>
        <item x="17"/>
        <item x="13"/>
        <item x="12"/>
        <item x="27"/>
        <item x="14"/>
        <item x="28"/>
        <item x="19"/>
        <item x="25"/>
        <item x="120"/>
        <item x="22"/>
        <item x="11"/>
        <item x="26"/>
        <item x="23"/>
        <item x="21"/>
        <item x="16"/>
        <item x="15"/>
        <item x="18"/>
        <item x="93"/>
        <item x="36"/>
        <item x="29"/>
        <item x="41"/>
        <item x="35"/>
        <item x="37"/>
        <item x="42"/>
        <item x="38"/>
        <item x="95"/>
        <item x="32"/>
        <item x="97"/>
        <item x="39"/>
        <item x="34"/>
        <item x="77"/>
        <item x="40"/>
        <item x="46"/>
        <item x="45"/>
        <item x="47"/>
        <item x="52"/>
        <item x="174"/>
        <item x="1"/>
        <item x="50"/>
        <item x="53"/>
        <item x="54"/>
        <item x="51"/>
        <item x="176"/>
        <item x="190"/>
        <item x="55"/>
        <item x="57"/>
        <item x="56"/>
        <item x="59"/>
        <item x="60"/>
        <item x="67"/>
        <item x="63"/>
        <item x="65"/>
        <item x="66"/>
        <item x="71"/>
        <item x="62"/>
        <item x="69"/>
        <item x="72"/>
        <item x="68"/>
        <item x="70"/>
        <item x="73"/>
        <item x="74"/>
        <item x="64"/>
        <item x="78"/>
        <item x="76"/>
        <item x="75"/>
        <item x="79"/>
        <item x="58"/>
        <item x="117"/>
        <item x="160"/>
        <item x="83"/>
        <item x="80"/>
        <item x="85"/>
        <item x="84"/>
        <item x="81"/>
        <item x="86"/>
        <item x="82"/>
        <item x="87"/>
        <item x="88"/>
        <item x="90"/>
        <item x="89"/>
        <item x="99"/>
        <item x="91"/>
        <item x="92"/>
        <item x="94"/>
        <item x="199"/>
        <item x="98"/>
        <item x="100"/>
        <item x="106"/>
        <item x="109"/>
        <item x="101"/>
        <item x="105"/>
        <item x="110"/>
        <item x="103"/>
        <item x="107"/>
        <item x="108"/>
        <item x="122"/>
        <item x="118"/>
        <item x="116"/>
        <item x="130"/>
        <item x="128"/>
        <item x="127"/>
        <item x="119"/>
        <item x="125"/>
        <item x="111"/>
        <item x="123"/>
        <item x="126"/>
        <item x="124"/>
        <item x="201"/>
        <item x="129"/>
        <item x="113"/>
        <item x="112"/>
        <item x="121"/>
        <item x="114"/>
        <item x="131"/>
        <item x="132"/>
        <item x="139"/>
        <item x="136"/>
        <item x="134"/>
        <item x="135"/>
        <item x="138"/>
        <item x="133"/>
        <item x="140"/>
        <item x="141"/>
        <item x="189"/>
        <item x="192"/>
        <item x="147"/>
        <item x="151"/>
        <item x="149"/>
        <item x="142"/>
        <item x="145"/>
        <item x="152"/>
        <item x="137"/>
        <item x="143"/>
        <item x="146"/>
        <item x="148"/>
        <item x="144"/>
        <item x="150"/>
        <item x="153"/>
        <item x="30"/>
        <item x="31"/>
        <item x="48"/>
        <item x="43"/>
        <item x="154"/>
        <item x="155"/>
        <item x="61"/>
        <item x="157"/>
        <item x="158"/>
        <item x="20"/>
        <item x="115"/>
        <item x="102"/>
        <item x="96"/>
        <item x="168"/>
        <item x="198"/>
        <item x="173"/>
        <item x="169"/>
        <item x="156"/>
        <item x="161"/>
        <item x="167"/>
        <item x="164"/>
        <item x="166"/>
        <item x="165"/>
        <item x="170"/>
        <item x="162"/>
        <item x="172"/>
        <item x="104"/>
        <item x="194"/>
        <item x="163"/>
        <item x="33"/>
        <item x="171"/>
        <item x="175"/>
        <item x="180"/>
        <item x="186"/>
        <item x="187"/>
        <item x="177"/>
        <item x="179"/>
        <item x="181"/>
        <item x="178"/>
        <item x="183"/>
        <item x="185"/>
        <item x="182"/>
        <item x="184"/>
        <item x="188"/>
        <item x="191"/>
        <item x="197"/>
        <item x="193"/>
        <item x="195"/>
        <item x="196"/>
        <item x="200"/>
        <item x="203"/>
        <item x="20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numFmtId="1" showAll="0"/>
    <pivotField numFmtId="1" showAll="0"/>
    <pivotField showAll="0"/>
    <pivotField showAll="0"/>
    <pivotField showAll="0"/>
    <pivotField showAll="0"/>
  </pivotFields>
  <rowFields count="1">
    <field x="1"/>
  </rowFields>
  <rowItems count="21">
    <i>
      <x v="114"/>
    </i>
    <i>
      <x v="149"/>
    </i>
    <i>
      <x v="1"/>
    </i>
    <i>
      <x v="197"/>
    </i>
    <i>
      <x v="150"/>
    </i>
    <i>
      <x v="124"/>
    </i>
    <i>
      <x v="86"/>
    </i>
    <i>
      <x v="4"/>
    </i>
    <i>
      <x v="92"/>
    </i>
    <i>
      <x v="40"/>
    </i>
    <i>
      <x v="56"/>
    </i>
    <i>
      <x v="9"/>
    </i>
    <i>
      <x v="87"/>
    </i>
    <i>
      <x v="63"/>
    </i>
    <i>
      <x v="196"/>
    </i>
    <i>
      <x v="161"/>
    </i>
    <i>
      <x v="160"/>
    </i>
    <i>
      <x v="28"/>
    </i>
    <i>
      <x v="85"/>
    </i>
    <i>
      <x v="59"/>
    </i>
    <i t="grand">
      <x/>
    </i>
  </rowItems>
  <colItems count="1">
    <i/>
  </colItems>
  <dataFields count="1">
    <dataField name="Somme de Infections" fld="2" baseField="1" baseItem="1"/>
  </dataFields>
  <chartFormats count="2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2" iMeasureFld="0">
      <autoFilter ref="A1">
        <filterColumn colId="0">
          <top10 val="20" filterVal="2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name="Tableau croisé dynamique11" cacheId="6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9">
  <location ref="M3:N35" firstHeaderRow="1" firstDataRow="1" firstDataCol="1" rowPageCount="1" colPageCount="1"/>
  <pivotFields count="8">
    <pivotField axis="axisRow" showAll="0">
      <items count="32"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axis="axisPage" multipleItemSelectionAllowed="1" showAll="0">
      <items count="207">
        <item h="1" x="2"/>
        <item h="1" x="202"/>
        <item h="1" x="4"/>
        <item h="1" x="49"/>
        <item h="1" x="44"/>
        <item h="1" x="0"/>
        <item h="1" x="6"/>
        <item x="3"/>
        <item h="1" x="159"/>
        <item h="1" x="7"/>
        <item h="1" x="5"/>
        <item h="1" x="9"/>
        <item h="1" x="205"/>
        <item h="1" x="8"/>
        <item h="1" x="10"/>
        <item h="1" x="24"/>
        <item h="1" x="17"/>
        <item h="1" x="13"/>
        <item h="1" x="12"/>
        <item h="1" x="27"/>
        <item h="1" x="14"/>
        <item h="1" x="28"/>
        <item h="1" x="19"/>
        <item h="1" x="25"/>
        <item h="1" x="120"/>
        <item h="1" x="22"/>
        <item h="1" x="11"/>
        <item h="1" x="26"/>
        <item h="1" x="23"/>
        <item h="1" x="21"/>
        <item h="1" x="16"/>
        <item h="1" x="15"/>
        <item h="1" x="18"/>
        <item h="1" x="93"/>
        <item h="1" x="36"/>
        <item h="1" x="29"/>
        <item h="1" x="41"/>
        <item h="1" x="35"/>
        <item h="1" x="37"/>
        <item h="1" x="42"/>
        <item h="1" x="38"/>
        <item h="1" x="95"/>
        <item h="1" x="32"/>
        <item h="1" x="97"/>
        <item h="1" x="39"/>
        <item h="1" x="34"/>
        <item h="1" x="77"/>
        <item h="1" x="40"/>
        <item h="1" x="46"/>
        <item h="1" x="45"/>
        <item h="1" x="47"/>
        <item h="1" x="52"/>
        <item h="1" x="174"/>
        <item h="1" x="1"/>
        <item h="1" x="50"/>
        <item h="1" x="53"/>
        <item h="1" x="54"/>
        <item h="1" x="51"/>
        <item h="1" x="176"/>
        <item h="1" x="190"/>
        <item h="1" x="55"/>
        <item h="1" x="57"/>
        <item h="1" x="56"/>
        <item h="1" x="59"/>
        <item h="1" x="60"/>
        <item h="1" x="67"/>
        <item h="1" x="63"/>
        <item h="1" x="65"/>
        <item h="1" x="66"/>
        <item h="1" x="71"/>
        <item h="1" x="62"/>
        <item h="1" x="69"/>
        <item h="1" x="72"/>
        <item h="1" x="68"/>
        <item h="1" x="70"/>
        <item h="1" x="73"/>
        <item h="1" x="74"/>
        <item h="1" x="64"/>
        <item h="1" x="78"/>
        <item h="1" x="76"/>
        <item h="1" x="75"/>
        <item h="1" x="79"/>
        <item h="1" x="58"/>
        <item h="1" x="117"/>
        <item h="1" x="160"/>
        <item h="1" x="83"/>
        <item h="1" x="80"/>
        <item h="1" x="85"/>
        <item h="1" x="84"/>
        <item h="1" x="81"/>
        <item h="1" x="86"/>
        <item h="1" x="82"/>
        <item h="1" x="87"/>
        <item h="1" x="88"/>
        <item h="1" x="90"/>
        <item h="1" x="89"/>
        <item h="1" x="99"/>
        <item h="1" x="91"/>
        <item h="1" x="92"/>
        <item h="1" x="94"/>
        <item h="1" x="199"/>
        <item h="1" x="98"/>
        <item h="1" x="100"/>
        <item h="1" x="106"/>
        <item h="1" x="109"/>
        <item h="1" x="101"/>
        <item h="1" x="105"/>
        <item h="1" x="110"/>
        <item h="1" x="103"/>
        <item h="1" x="107"/>
        <item h="1" x="108"/>
        <item h="1" x="122"/>
        <item h="1" x="118"/>
        <item h="1" x="116"/>
        <item h="1" x="130"/>
        <item h="1" x="128"/>
        <item h="1" x="127"/>
        <item h="1" x="119"/>
        <item h="1" x="125"/>
        <item h="1" x="111"/>
        <item h="1" x="123"/>
        <item h="1" x="126"/>
        <item h="1" x="124"/>
        <item h="1" x="201"/>
        <item h="1" x="129"/>
        <item h="1" x="113"/>
        <item h="1" x="112"/>
        <item h="1" x="121"/>
        <item h="1" x="114"/>
        <item h="1" x="131"/>
        <item h="1" x="132"/>
        <item h="1" x="139"/>
        <item h="1" x="136"/>
        <item h="1" x="134"/>
        <item h="1" x="135"/>
        <item h="1" x="138"/>
        <item h="1" x="133"/>
        <item h="1" x="140"/>
        <item h="1" x="141"/>
        <item h="1" x="189"/>
        <item h="1" x="192"/>
        <item h="1" x="147"/>
        <item h="1" x="151"/>
        <item h="1" x="149"/>
        <item h="1" x="142"/>
        <item h="1" x="145"/>
        <item h="1" x="152"/>
        <item h="1" x="137"/>
        <item h="1" x="143"/>
        <item h="1" x="146"/>
        <item h="1" x="148"/>
        <item h="1" x="144"/>
        <item h="1" x="150"/>
        <item h="1" x="153"/>
        <item h="1" x="30"/>
        <item h="1" x="31"/>
        <item h="1" x="48"/>
        <item h="1" x="43"/>
        <item h="1" x="154"/>
        <item h="1" x="155"/>
        <item h="1" x="61"/>
        <item h="1" x="157"/>
        <item h="1" x="158"/>
        <item h="1" x="20"/>
        <item h="1" x="115"/>
        <item h="1" x="102"/>
        <item h="1" x="96"/>
        <item h="1" x="168"/>
        <item h="1" x="198"/>
        <item h="1" x="173"/>
        <item h="1" x="169"/>
        <item h="1" x="156"/>
        <item h="1" x="161"/>
        <item h="1" x="167"/>
        <item h="1" x="164"/>
        <item h="1" x="166"/>
        <item h="1" x="165"/>
        <item h="1" x="170"/>
        <item h="1" x="162"/>
        <item h="1" x="172"/>
        <item h="1" x="104"/>
        <item h="1" x="194"/>
        <item h="1" x="163"/>
        <item h="1" x="33"/>
        <item h="1" x="171"/>
        <item h="1" x="175"/>
        <item h="1" x="180"/>
        <item h="1" x="186"/>
        <item h="1" x="187"/>
        <item h="1" x="177"/>
        <item h="1" x="179"/>
        <item h="1" x="181"/>
        <item h="1" x="178"/>
        <item h="1" x="183"/>
        <item h="1" x="185"/>
        <item h="1" x="182"/>
        <item h="1" x="184"/>
        <item h="1" x="188"/>
        <item h="1" x="191"/>
        <item h="1" x="197"/>
        <item h="1" x="193"/>
        <item h="1" x="195"/>
        <item h="1" x="196"/>
        <item h="1" x="200"/>
        <item h="1" x="203"/>
        <item h="1" x="204"/>
        <item t="default"/>
      </items>
    </pivotField>
    <pivotField numFmtId="1" showAll="0"/>
    <pivotField numFmtId="1" showAll="0"/>
    <pivotField dataField="1" showAll="0"/>
    <pivotField showAll="0"/>
    <pivotField showAll="0"/>
    <pivotField showAll="0"/>
  </pivotFields>
  <rowFields count="1">
    <field x="0"/>
  </rowFields>
  <rowItems count="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 t="grand">
      <x/>
    </i>
  </rowItems>
  <colItems count="1">
    <i/>
  </colItems>
  <pageFields count="1">
    <pageField fld="1" hier="-1"/>
  </pageFields>
  <dataFields count="1">
    <dataField name="Somme de Guerisons" fld="4" baseField="0" baseItem="0"/>
  </dataFields>
  <chartFormats count="1">
    <chartFormat chart="5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name="DonnéesExternes_1" connectionId="3" autoFormatId="16" applyNumberFormats="0" applyBorderFormats="0" applyFontFormats="0" applyPatternFormats="0" applyAlignmentFormats="0" applyWidthHeightFormats="0">
  <queryTableRefresh nextId="11">
    <queryTableFields count="8">
      <queryTableField id="1" name="Date" tableColumnId="1"/>
      <queryTableField id="2" name="Pays" tableColumnId="2"/>
      <queryTableField id="3" name="Infections" tableColumnId="3"/>
      <queryTableField id="4" name="Deces" tableColumnId="4"/>
      <queryTableField id="5" name="Guerisons" tableColumnId="5"/>
      <queryTableField id="6" name="TauxDeces" tableColumnId="6"/>
      <queryTableField id="7" name="TauxGuerison" tableColumnId="7"/>
      <queryTableField id="8" name="TauxInfection" tableColumnId="8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_Pays" sourceName="Pays">
  <data>
    <tabular pivotCacheId="548290552">
      <items count="206">
        <i x="2" s="1"/>
        <i x="202" s="1"/>
        <i x="4" s="1"/>
        <i x="49" s="1"/>
        <i x="44" s="1"/>
        <i x="0" s="1"/>
        <i x="6" s="1"/>
        <i x="3" s="1"/>
        <i x="159" s="1"/>
        <i x="7" s="1"/>
        <i x="5" s="1"/>
        <i x="9" s="1"/>
        <i x="205" s="1"/>
        <i x="8" s="1"/>
        <i x="10" s="1"/>
        <i x="24" s="1"/>
        <i x="17" s="1"/>
        <i x="13" s="1"/>
        <i x="12" s="1"/>
        <i x="27" s="1"/>
        <i x="14" s="1"/>
        <i x="28" s="1"/>
        <i x="19" s="1"/>
        <i x="25" s="1"/>
        <i x="120" s="1"/>
        <i x="22" s="1"/>
        <i x="11" s="1"/>
        <i x="26" s="1"/>
        <i x="23" s="1"/>
        <i x="21" s="1"/>
        <i x="16" s="1"/>
        <i x="15" s="1"/>
        <i x="18" s="1"/>
        <i x="93" s="1"/>
        <i x="36" s="1"/>
        <i x="29" s="1"/>
        <i x="41" s="1"/>
        <i x="35" s="1"/>
        <i x="37" s="1"/>
        <i x="42" s="1"/>
        <i x="38" s="1"/>
        <i x="95" s="1"/>
        <i x="32" s="1"/>
        <i x="97" s="1"/>
        <i x="39" s="1"/>
        <i x="34" s="1"/>
        <i x="77" s="1"/>
        <i x="40" s="1"/>
        <i x="46" s="1"/>
        <i x="45" s="1"/>
        <i x="47" s="1"/>
        <i x="52" s="1"/>
        <i x="174" s="1"/>
        <i x="1" s="1"/>
        <i x="50" s="1"/>
        <i x="53" s="1"/>
        <i x="54" s="1"/>
        <i x="51" s="1"/>
        <i x="176" s="1"/>
        <i x="190" s="1"/>
        <i x="55" s="1"/>
        <i x="57" s="1"/>
        <i x="56" s="1"/>
        <i x="59" s="1"/>
        <i x="60" s="1"/>
        <i x="67" s="1"/>
        <i x="63" s="1"/>
        <i x="65" s="1"/>
        <i x="66" s="1"/>
        <i x="71" s="1"/>
        <i x="62" s="1"/>
        <i x="69" s="1"/>
        <i x="72" s="1"/>
        <i x="68" s="1"/>
        <i x="70" s="1"/>
        <i x="73" s="1"/>
        <i x="74" s="1"/>
        <i x="64" s="1"/>
        <i x="78" s="1"/>
        <i x="76" s="1"/>
        <i x="75" s="1"/>
        <i x="79" s="1"/>
        <i x="58" s="1"/>
        <i x="117" s="1"/>
        <i x="160" s="1"/>
        <i x="83" s="1"/>
        <i x="80" s="1"/>
        <i x="85" s="1"/>
        <i x="84" s="1"/>
        <i x="81" s="1"/>
        <i x="86" s="1"/>
        <i x="82" s="1"/>
        <i x="87" s="1"/>
        <i x="88" s="1"/>
        <i x="90" s="1"/>
        <i x="89" s="1"/>
        <i x="99" s="1"/>
        <i x="91" s="1"/>
        <i x="92" s="1"/>
        <i x="94" s="1"/>
        <i x="199" s="1"/>
        <i x="98" s="1"/>
        <i x="100" s="1"/>
        <i x="106" s="1"/>
        <i x="109" s="1"/>
        <i x="101" s="1"/>
        <i x="105" s="1"/>
        <i x="110" s="1"/>
        <i x="103" s="1"/>
        <i x="107" s="1"/>
        <i x="108" s="1"/>
        <i x="122" s="1"/>
        <i x="118" s="1"/>
        <i x="116" s="1"/>
        <i x="130" s="1"/>
        <i x="128" s="1"/>
        <i x="127" s="1"/>
        <i x="119" s="1"/>
        <i x="125" s="1"/>
        <i x="111" s="1"/>
        <i x="123" s="1"/>
        <i x="126" s="1"/>
        <i x="124" s="1"/>
        <i x="201" s="1"/>
        <i x="129" s="1"/>
        <i x="113" s="1"/>
        <i x="112" s="1"/>
        <i x="121" s="1"/>
        <i x="114" s="1"/>
        <i x="131" s="1"/>
        <i x="132" s="1"/>
        <i x="139" s="1"/>
        <i x="136" s="1"/>
        <i x="134" s="1"/>
        <i x="135" s="1"/>
        <i x="138" s="1"/>
        <i x="133" s="1"/>
        <i x="140" s="1"/>
        <i x="141" s="1"/>
        <i x="189" s="1"/>
        <i x="192" s="1"/>
        <i x="147" s="1"/>
        <i x="151" s="1"/>
        <i x="149" s="1"/>
        <i x="142" s="1"/>
        <i x="145" s="1"/>
        <i x="152" s="1"/>
        <i x="137" s="1"/>
        <i x="143" s="1"/>
        <i x="146" s="1"/>
        <i x="148" s="1"/>
        <i x="144" s="1"/>
        <i x="150" s="1"/>
        <i x="153" s="1"/>
        <i x="30" s="1"/>
        <i x="31" s="1"/>
        <i x="48" s="1"/>
        <i x="43" s="1"/>
        <i x="154" s="1"/>
        <i x="155" s="1"/>
        <i x="61" s="1"/>
        <i x="157" s="1"/>
        <i x="158" s="1"/>
        <i x="20" s="1"/>
        <i x="115" s="1"/>
        <i x="102" s="1"/>
        <i x="96" s="1"/>
        <i x="168" s="1"/>
        <i x="198" s="1"/>
        <i x="173" s="1"/>
        <i x="169" s="1"/>
        <i x="156" s="1"/>
        <i x="161" s="1"/>
        <i x="167" s="1"/>
        <i x="164" s="1"/>
        <i x="166" s="1"/>
        <i x="165" s="1"/>
        <i x="170" s="1"/>
        <i x="162" s="1"/>
        <i x="172" s="1"/>
        <i x="104" s="1"/>
        <i x="194" s="1"/>
        <i x="163" s="1"/>
        <i x="33" s="1"/>
        <i x="171" s="1"/>
        <i x="175" s="1"/>
        <i x="180" s="1"/>
        <i x="186" s="1"/>
        <i x="187" s="1"/>
        <i x="177" s="1"/>
        <i x="179" s="1"/>
        <i x="181" s="1"/>
        <i x="178" s="1"/>
        <i x="183" s="1"/>
        <i x="185" s="1"/>
        <i x="182" s="1"/>
        <i x="184" s="1"/>
        <i x="188" s="1"/>
        <i x="191" s="1"/>
        <i x="197" s="1"/>
        <i x="193" s="1"/>
        <i x="195" s="1"/>
        <i x="196" s="1"/>
        <i x="200" s="1"/>
        <i x="203" s="1"/>
        <i x="204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_Pays1" sourceName="Pays">
  <pivotTables>
    <pivotTable tabId="16" name="Tableau croisé dynamique9"/>
    <pivotTable tabId="16" name="Tableau croisé dynamique11"/>
    <pivotTable tabId="16" name="Tableau croisé dynamique8"/>
  </pivotTables>
  <data>
    <tabular pivotCacheId="1007661205">
      <items count="206">
        <i x="2"/>
        <i x="202"/>
        <i x="4"/>
        <i x="49"/>
        <i x="44"/>
        <i x="0"/>
        <i x="6"/>
        <i x="3" s="1"/>
        <i x="159"/>
        <i x="7"/>
        <i x="5"/>
        <i x="9"/>
        <i x="205"/>
        <i x="8"/>
        <i x="10"/>
        <i x="24"/>
        <i x="17"/>
        <i x="13"/>
        <i x="12"/>
        <i x="27"/>
        <i x="14"/>
        <i x="28"/>
        <i x="19"/>
        <i x="25"/>
        <i x="120"/>
        <i x="22"/>
        <i x="11"/>
        <i x="26"/>
        <i x="23"/>
        <i x="21"/>
        <i x="16"/>
        <i x="15"/>
        <i x="18"/>
        <i x="93"/>
        <i x="36"/>
        <i x="29"/>
        <i x="41"/>
        <i x="35"/>
        <i x="37"/>
        <i x="42"/>
        <i x="38"/>
        <i x="95"/>
        <i x="32"/>
        <i x="97"/>
        <i x="39"/>
        <i x="34"/>
        <i x="77"/>
        <i x="40"/>
        <i x="46"/>
        <i x="45"/>
        <i x="47"/>
        <i x="52"/>
        <i x="174"/>
        <i x="1"/>
        <i x="50"/>
        <i x="53"/>
        <i x="54"/>
        <i x="51"/>
        <i x="176"/>
        <i x="190"/>
        <i x="55"/>
        <i x="57"/>
        <i x="56"/>
        <i x="59"/>
        <i x="60"/>
        <i x="67"/>
        <i x="63"/>
        <i x="65"/>
        <i x="66"/>
        <i x="71"/>
        <i x="62"/>
        <i x="69"/>
        <i x="72"/>
        <i x="68"/>
        <i x="70"/>
        <i x="73"/>
        <i x="74"/>
        <i x="64"/>
        <i x="78"/>
        <i x="76"/>
        <i x="75"/>
        <i x="79"/>
        <i x="58"/>
        <i x="117"/>
        <i x="160"/>
        <i x="83"/>
        <i x="80"/>
        <i x="85"/>
        <i x="84"/>
        <i x="81"/>
        <i x="86"/>
        <i x="82"/>
        <i x="87"/>
        <i x="88"/>
        <i x="90"/>
        <i x="89"/>
        <i x="99"/>
        <i x="91"/>
        <i x="92"/>
        <i x="94"/>
        <i x="199"/>
        <i x="98"/>
        <i x="100"/>
        <i x="106"/>
        <i x="109"/>
        <i x="101"/>
        <i x="105"/>
        <i x="110"/>
        <i x="103"/>
        <i x="107"/>
        <i x="108"/>
        <i x="122"/>
        <i x="118"/>
        <i x="116"/>
        <i x="130"/>
        <i x="128"/>
        <i x="127"/>
        <i x="119"/>
        <i x="125"/>
        <i x="111"/>
        <i x="123"/>
        <i x="126"/>
        <i x="124"/>
        <i x="201"/>
        <i x="129"/>
        <i x="113"/>
        <i x="112"/>
        <i x="121"/>
        <i x="114"/>
        <i x="131"/>
        <i x="132"/>
        <i x="139"/>
        <i x="136"/>
        <i x="134"/>
        <i x="135"/>
        <i x="138"/>
        <i x="133"/>
        <i x="140"/>
        <i x="141"/>
        <i x="189"/>
        <i x="192"/>
        <i x="147"/>
        <i x="151"/>
        <i x="149"/>
        <i x="142"/>
        <i x="145"/>
        <i x="152"/>
        <i x="137"/>
        <i x="143"/>
        <i x="146"/>
        <i x="148"/>
        <i x="144"/>
        <i x="150"/>
        <i x="153"/>
        <i x="30"/>
        <i x="31"/>
        <i x="48"/>
        <i x="43"/>
        <i x="154"/>
        <i x="155"/>
        <i x="61"/>
        <i x="157"/>
        <i x="158"/>
        <i x="20"/>
        <i x="115"/>
        <i x="102"/>
        <i x="96"/>
        <i x="168"/>
        <i x="198"/>
        <i x="173"/>
        <i x="169"/>
        <i x="156"/>
        <i x="161"/>
        <i x="167"/>
        <i x="164"/>
        <i x="166"/>
        <i x="165"/>
        <i x="170"/>
        <i x="162"/>
        <i x="172"/>
        <i x="104"/>
        <i x="194"/>
        <i x="163"/>
        <i x="33"/>
        <i x="171"/>
        <i x="175"/>
        <i x="180"/>
        <i x="186"/>
        <i x="187"/>
        <i x="177"/>
        <i x="179"/>
        <i x="181"/>
        <i x="178"/>
        <i x="183"/>
        <i x="185"/>
        <i x="182"/>
        <i x="184"/>
        <i x="188"/>
        <i x="191"/>
        <i x="197"/>
        <i x="193"/>
        <i x="195"/>
        <i x="196"/>
        <i x="200"/>
        <i x="203"/>
        <i x="204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Pays" cache="Segment_Pays" caption="Pays" startItem="189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Pays 2" cache="Segment_Pays1" caption="Pays" startItem="1" rowHeight="241300"/>
</slicer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au1" displayName="Tableau1" ref="A1:H206" totalsRowShown="0">
  <tableColumns count="8">
    <tableColumn id="1" name="Date"/>
    <tableColumn id="2" name="Pays"/>
    <tableColumn id="3" name="Infections"/>
    <tableColumn id="4" name="Deces"/>
    <tableColumn id="5" name="Guerisons"/>
    <tableColumn id="6" name="TauxDeces"/>
    <tableColumn id="7" name="TauxGuerison"/>
    <tableColumn id="8" name="TauxInfectio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coronavirus_politologue_com_pays_2021_11_11__2" displayName="coronavirus_politologue_com_pays_2021_11_11__2" ref="A1:H6373" tableType="queryTable" totalsRowShown="0">
  <tableColumns count="8">
    <tableColumn id="1" uniqueName="1" name="Date" queryTableFieldId="1" dataDxfId="7"/>
    <tableColumn id="2" uniqueName="2" name="Pays" queryTableFieldId="2" dataDxfId="6"/>
    <tableColumn id="3" uniqueName="3" name="Infections" queryTableFieldId="3" dataDxfId="5"/>
    <tableColumn id="4" uniqueName="4" name="Deces" queryTableFieldId="4" dataDxfId="4"/>
    <tableColumn id="5" uniqueName="5" name="Guerisons" queryTableFieldId="5" dataDxfId="3"/>
    <tableColumn id="6" uniqueName="6" name="TauxDeces" queryTableFieldId="6" dataDxfId="2"/>
    <tableColumn id="7" uniqueName="7" name="TauxGuerison" queryTableFieldId="7" dataDxfId="1"/>
    <tableColumn id="8" uniqueName="8" name="TauxInfection" queryTableFieldId="8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5" Type="http://schemas.openxmlformats.org/officeDocument/2006/relationships/pivotTable" Target="../pivotTables/pivotTable8.xml"/><Relationship Id="rId4" Type="http://schemas.openxmlformats.org/officeDocument/2006/relationships/pivotTable" Target="../pivotTables/pivot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microsoft.com/office/2007/relationships/slicer" Target="../slicers/slicer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2:F6"/>
  <sheetViews>
    <sheetView workbookViewId="0">
      <selection activeCell="D10" sqref="D10"/>
    </sheetView>
  </sheetViews>
  <sheetFormatPr defaultColWidth="11.42578125" defaultRowHeight="15" x14ac:dyDescent="0.25"/>
  <cols>
    <col min="1" max="1" width="31.5703125" customWidth="1"/>
    <col min="3" max="3" width="16.42578125" customWidth="1"/>
    <col min="6" max="6" width="15" customWidth="1"/>
    <col min="7" max="7" width="8.5703125" customWidth="1"/>
    <col min="8" max="8" width="11.85546875" customWidth="1"/>
    <col min="9" max="9" width="11.42578125" customWidth="1"/>
    <col min="10" max="10" width="9" customWidth="1"/>
  </cols>
  <sheetData>
    <row r="2" spans="1:6" ht="30" x14ac:dyDescent="0.25">
      <c r="B2" s="6" t="s">
        <v>0</v>
      </c>
      <c r="C2" s="6" t="s">
        <v>1</v>
      </c>
      <c r="D2" s="6" t="s">
        <v>2</v>
      </c>
      <c r="E2" s="6" t="s">
        <v>3</v>
      </c>
      <c r="F2" s="6" t="s">
        <v>4</v>
      </c>
    </row>
    <row r="3" spans="1:6" x14ac:dyDescent="0.25">
      <c r="A3" s="3">
        <v>2007</v>
      </c>
      <c r="B3" s="1">
        <v>22000</v>
      </c>
      <c r="C3" s="1">
        <v>24600</v>
      </c>
      <c r="D3" s="1">
        <v>14100</v>
      </c>
      <c r="E3" s="1">
        <v>19300</v>
      </c>
      <c r="F3" s="1">
        <v>11700</v>
      </c>
    </row>
    <row r="4" spans="1:6" x14ac:dyDescent="0.25">
      <c r="A4" s="3">
        <v>2008</v>
      </c>
      <c r="B4" s="1">
        <v>23400</v>
      </c>
      <c r="C4" s="1">
        <v>26600</v>
      </c>
      <c r="D4" s="1">
        <v>16500</v>
      </c>
      <c r="E4" s="1">
        <v>15100</v>
      </c>
      <c r="F4" s="1">
        <v>12200</v>
      </c>
    </row>
    <row r="5" spans="1:6" x14ac:dyDescent="0.25">
      <c r="A5" s="3">
        <v>2009</v>
      </c>
      <c r="B5" s="1">
        <v>23200</v>
      </c>
      <c r="C5" s="1">
        <v>25100</v>
      </c>
      <c r="D5" s="1">
        <v>17800</v>
      </c>
      <c r="E5" s="1">
        <v>16300</v>
      </c>
      <c r="F5" s="1">
        <v>12800</v>
      </c>
    </row>
    <row r="6" spans="1:6" x14ac:dyDescent="0.25">
      <c r="A6" s="3">
        <v>2010</v>
      </c>
      <c r="B6" s="1">
        <v>25100</v>
      </c>
      <c r="C6" s="1">
        <v>27600</v>
      </c>
      <c r="D6" s="1">
        <v>18200</v>
      </c>
      <c r="E6" s="1">
        <v>16700</v>
      </c>
      <c r="F6" s="1">
        <v>12900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B2:D14"/>
  <sheetViews>
    <sheetView workbookViewId="0">
      <selection activeCell="C29" sqref="C29"/>
    </sheetView>
  </sheetViews>
  <sheetFormatPr defaultColWidth="11.42578125" defaultRowHeight="15" x14ac:dyDescent="0.25"/>
  <cols>
    <col min="1" max="1" width="6.5703125" customWidth="1"/>
    <col min="3" max="3" width="15.85546875" bestFit="1" customWidth="1"/>
    <col min="4" max="4" width="12.28515625" bestFit="1" customWidth="1"/>
  </cols>
  <sheetData>
    <row r="2" spans="2:4" x14ac:dyDescent="0.25">
      <c r="C2" s="3" t="s">
        <v>5</v>
      </c>
      <c r="D2" s="3" t="s">
        <v>6</v>
      </c>
    </row>
    <row r="3" spans="2:4" x14ac:dyDescent="0.25">
      <c r="B3" s="3" t="s">
        <v>7</v>
      </c>
      <c r="C3" s="2">
        <v>185000000</v>
      </c>
      <c r="D3" s="2">
        <v>52100000</v>
      </c>
    </row>
    <row r="4" spans="2:4" x14ac:dyDescent="0.25">
      <c r="B4" s="3" t="s">
        <v>0</v>
      </c>
      <c r="C4" s="2">
        <v>142900000</v>
      </c>
      <c r="D4" s="2">
        <v>20000000</v>
      </c>
    </row>
    <row r="5" spans="2:4" x14ac:dyDescent="0.25">
      <c r="B5" s="3" t="s">
        <v>8</v>
      </c>
      <c r="C5" s="2">
        <v>75900000</v>
      </c>
      <c r="D5" s="2">
        <v>42000000</v>
      </c>
    </row>
    <row r="6" spans="2:4" x14ac:dyDescent="0.25">
      <c r="B6" s="3" t="s">
        <v>9</v>
      </c>
      <c r="C6" s="2">
        <v>175812000</v>
      </c>
      <c r="D6" s="2">
        <v>32250000</v>
      </c>
    </row>
    <row r="7" spans="2:4" x14ac:dyDescent="0.25">
      <c r="B7" s="3" t="s">
        <v>10</v>
      </c>
      <c r="C7" s="2">
        <v>75000000</v>
      </c>
      <c r="D7" s="2">
        <v>17000000</v>
      </c>
    </row>
    <row r="8" spans="2:4" x14ac:dyDescent="0.25">
      <c r="B8" s="3" t="s">
        <v>11</v>
      </c>
      <c r="C8" s="2">
        <v>58470000</v>
      </c>
      <c r="D8" s="2">
        <v>12500000</v>
      </c>
    </row>
    <row r="9" spans="2:4" x14ac:dyDescent="0.25">
      <c r="B9" s="3" t="s">
        <v>12</v>
      </c>
      <c r="C9" s="2">
        <v>356785100</v>
      </c>
      <c r="D9" s="2">
        <v>157000000</v>
      </c>
    </row>
    <row r="10" spans="2:4" x14ac:dyDescent="0.25">
      <c r="B10" s="3" t="s">
        <v>13</v>
      </c>
      <c r="C10" s="2">
        <v>41000000</v>
      </c>
      <c r="D10" s="2">
        <v>14000000</v>
      </c>
    </row>
    <row r="11" spans="2:4" x14ac:dyDescent="0.25">
      <c r="B11" s="3" t="s">
        <v>14</v>
      </c>
      <c r="C11" s="2">
        <v>25860000</v>
      </c>
      <c r="D11" s="2">
        <v>9040000</v>
      </c>
    </row>
    <row r="12" spans="2:4" x14ac:dyDescent="0.25">
      <c r="B12" s="3" t="s">
        <v>15</v>
      </c>
      <c r="C12" s="2">
        <v>140582000</v>
      </c>
      <c r="D12" s="2">
        <v>28963000</v>
      </c>
    </row>
    <row r="13" spans="2:4" x14ac:dyDescent="0.25">
      <c r="B13" s="3" t="s">
        <v>16</v>
      </c>
      <c r="C13" s="2">
        <v>78250000</v>
      </c>
      <c r="D13" s="2">
        <v>20010800</v>
      </c>
    </row>
    <row r="14" spans="2:4" x14ac:dyDescent="0.25">
      <c r="B14" s="3" t="s">
        <v>17</v>
      </c>
      <c r="C14" s="2">
        <v>48702500</v>
      </c>
      <c r="D14" s="2">
        <v>19870000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H208"/>
  <sheetViews>
    <sheetView topLeftCell="A184" workbookViewId="0">
      <selection activeCell="C208" sqref="C208"/>
    </sheetView>
  </sheetViews>
  <sheetFormatPr defaultColWidth="11.42578125" defaultRowHeight="15" x14ac:dyDescent="0.25"/>
  <cols>
    <col min="3" max="3" width="12" customWidth="1"/>
    <col min="5" max="5" width="12.140625" customWidth="1"/>
    <col min="6" max="6" width="12.5703125" customWidth="1"/>
    <col min="7" max="7" width="15.42578125" customWidth="1"/>
    <col min="8" max="8" width="15.28515625" customWidth="1"/>
  </cols>
  <sheetData>
    <row r="1" spans="1:8" x14ac:dyDescent="0.25">
      <c r="A1" t="s">
        <v>18</v>
      </c>
      <c r="B1" t="s">
        <v>19</v>
      </c>
      <c r="C1" t="s">
        <v>20</v>
      </c>
      <c r="D1" t="s">
        <v>21</v>
      </c>
      <c r="E1" t="s">
        <v>22</v>
      </c>
      <c r="F1" t="s">
        <v>23</v>
      </c>
      <c r="G1" t="s">
        <v>24</v>
      </c>
      <c r="H1" t="s">
        <v>25</v>
      </c>
    </row>
    <row r="2" spans="1:8" x14ac:dyDescent="0.25">
      <c r="A2" t="s">
        <v>1150</v>
      </c>
      <c r="B2" t="s">
        <v>548</v>
      </c>
      <c r="C2">
        <v>721</v>
      </c>
      <c r="D2">
        <v>15</v>
      </c>
      <c r="E2">
        <v>463</v>
      </c>
      <c r="F2" t="s">
        <v>549</v>
      </c>
      <c r="G2" t="s">
        <v>29</v>
      </c>
      <c r="H2" t="s">
        <v>550</v>
      </c>
    </row>
    <row r="3" spans="1:8" x14ac:dyDescent="0.25">
      <c r="A3" t="s">
        <v>1150</v>
      </c>
      <c r="B3" t="s">
        <v>547</v>
      </c>
      <c r="C3">
        <v>132016</v>
      </c>
      <c r="D3">
        <v>4645</v>
      </c>
      <c r="E3">
        <v>7748</v>
      </c>
      <c r="F3" t="s">
        <v>353</v>
      </c>
      <c r="G3" t="s">
        <v>29</v>
      </c>
      <c r="H3" t="s">
        <v>354</v>
      </c>
    </row>
    <row r="4" spans="1:8" x14ac:dyDescent="0.25">
      <c r="A4" t="s">
        <v>1150</v>
      </c>
      <c r="B4" t="s">
        <v>544</v>
      </c>
      <c r="C4">
        <v>209396</v>
      </c>
      <c r="D4">
        <v>3654</v>
      </c>
      <c r="E4">
        <v>159609</v>
      </c>
      <c r="F4" t="s">
        <v>545</v>
      </c>
      <c r="G4" t="s">
        <v>29</v>
      </c>
      <c r="H4" t="s">
        <v>546</v>
      </c>
    </row>
    <row r="5" spans="1:8" x14ac:dyDescent="0.25">
      <c r="A5" t="s">
        <v>1150</v>
      </c>
      <c r="B5" t="s">
        <v>541</v>
      </c>
      <c r="C5">
        <v>2912938</v>
      </c>
      <c r="D5">
        <v>88429</v>
      </c>
      <c r="E5">
        <v>2509913</v>
      </c>
      <c r="F5" t="s">
        <v>320</v>
      </c>
      <c r="G5" t="s">
        <v>29</v>
      </c>
      <c r="H5" t="s">
        <v>321</v>
      </c>
    </row>
    <row r="6" spans="1:8" x14ac:dyDescent="0.25">
      <c r="A6" t="s">
        <v>1150</v>
      </c>
      <c r="B6" t="s">
        <v>540</v>
      </c>
      <c r="C6">
        <v>20397</v>
      </c>
      <c r="D6">
        <v>180</v>
      </c>
      <c r="E6">
        <v>19999</v>
      </c>
      <c r="F6" t="s">
        <v>609</v>
      </c>
      <c r="G6" t="s">
        <v>29</v>
      </c>
      <c r="H6" t="s">
        <v>610</v>
      </c>
    </row>
    <row r="7" spans="1:8" x14ac:dyDescent="0.25">
      <c r="A7" t="s">
        <v>1150</v>
      </c>
      <c r="B7" t="s">
        <v>537</v>
      </c>
      <c r="C7">
        <v>9412</v>
      </c>
      <c r="D7">
        <v>1787</v>
      </c>
      <c r="E7">
        <v>5930</v>
      </c>
      <c r="F7" t="s">
        <v>1163</v>
      </c>
      <c r="G7" t="s">
        <v>29</v>
      </c>
      <c r="H7" t="s">
        <v>1164</v>
      </c>
    </row>
    <row r="8" spans="1:8" x14ac:dyDescent="0.25">
      <c r="A8" t="s">
        <v>1150</v>
      </c>
      <c r="B8" t="s">
        <v>534</v>
      </c>
      <c r="C8">
        <v>160435</v>
      </c>
      <c r="D8">
        <v>2972</v>
      </c>
      <c r="E8">
        <v>93598</v>
      </c>
      <c r="F8" t="s">
        <v>535</v>
      </c>
      <c r="G8" t="s">
        <v>29</v>
      </c>
      <c r="H8" t="s">
        <v>536</v>
      </c>
    </row>
    <row r="9" spans="1:8" x14ac:dyDescent="0.25">
      <c r="A9" t="s">
        <v>1150</v>
      </c>
      <c r="B9" t="s">
        <v>533</v>
      </c>
      <c r="C9">
        <v>3</v>
      </c>
      <c r="D9">
        <v>0</v>
      </c>
      <c r="E9">
        <v>2</v>
      </c>
      <c r="F9" t="s">
        <v>29</v>
      </c>
      <c r="G9" t="s">
        <v>29</v>
      </c>
      <c r="H9" t="s">
        <v>291</v>
      </c>
    </row>
    <row r="10" spans="1:8" x14ac:dyDescent="0.25">
      <c r="A10" t="s">
        <v>1150</v>
      </c>
      <c r="B10" t="s">
        <v>530</v>
      </c>
      <c r="C10">
        <v>4</v>
      </c>
      <c r="D10">
        <v>1</v>
      </c>
      <c r="E10">
        <v>2</v>
      </c>
      <c r="F10" t="s">
        <v>973</v>
      </c>
      <c r="G10" t="s">
        <v>29</v>
      </c>
      <c r="H10" t="s">
        <v>974</v>
      </c>
    </row>
    <row r="11" spans="1:8" x14ac:dyDescent="0.25">
      <c r="A11" t="s">
        <v>1150</v>
      </c>
      <c r="B11" t="s">
        <v>527</v>
      </c>
      <c r="C11">
        <v>846230</v>
      </c>
      <c r="D11">
        <v>20763</v>
      </c>
      <c r="E11">
        <v>814720</v>
      </c>
      <c r="F11" t="s">
        <v>999</v>
      </c>
      <c r="G11" t="s">
        <v>29</v>
      </c>
      <c r="H11" t="s">
        <v>1000</v>
      </c>
    </row>
    <row r="12" spans="1:8" x14ac:dyDescent="0.25">
      <c r="A12" t="s">
        <v>1150</v>
      </c>
      <c r="B12" t="s">
        <v>524</v>
      </c>
      <c r="C12">
        <v>384668</v>
      </c>
      <c r="D12">
        <v>4634</v>
      </c>
      <c r="E12">
        <v>72094</v>
      </c>
      <c r="F12" t="s">
        <v>525</v>
      </c>
      <c r="G12" t="s">
        <v>29</v>
      </c>
      <c r="H12" t="s">
        <v>526</v>
      </c>
    </row>
    <row r="13" spans="1:8" x14ac:dyDescent="0.25">
      <c r="A13" t="s">
        <v>1150</v>
      </c>
      <c r="B13" t="s">
        <v>522</v>
      </c>
      <c r="C13">
        <v>27</v>
      </c>
      <c r="D13">
        <v>0</v>
      </c>
      <c r="E13">
        <v>13</v>
      </c>
      <c r="F13" t="s">
        <v>29</v>
      </c>
      <c r="G13" t="s">
        <v>29</v>
      </c>
      <c r="H13" t="s">
        <v>291</v>
      </c>
    </row>
    <row r="14" spans="1:8" x14ac:dyDescent="0.25">
      <c r="A14" t="s">
        <v>1150</v>
      </c>
      <c r="B14" t="s">
        <v>523</v>
      </c>
      <c r="C14">
        <v>4096</v>
      </c>
      <c r="D14">
        <v>38</v>
      </c>
      <c r="E14">
        <v>1746</v>
      </c>
      <c r="F14" t="s">
        <v>484</v>
      </c>
      <c r="G14" t="s">
        <v>29</v>
      </c>
      <c r="H14" t="s">
        <v>485</v>
      </c>
    </row>
    <row r="15" spans="1:8" x14ac:dyDescent="0.25">
      <c r="A15" t="s">
        <v>1150</v>
      </c>
      <c r="B15" t="s">
        <v>521</v>
      </c>
      <c r="C15">
        <v>178986</v>
      </c>
      <c r="D15">
        <v>1273</v>
      </c>
      <c r="E15">
        <v>33807</v>
      </c>
      <c r="F15" t="s">
        <v>488</v>
      </c>
      <c r="G15" t="s">
        <v>29</v>
      </c>
      <c r="H15" t="s">
        <v>489</v>
      </c>
    </row>
    <row r="16" spans="1:8" x14ac:dyDescent="0.25">
      <c r="A16" t="s">
        <v>1150</v>
      </c>
      <c r="B16" t="s">
        <v>518</v>
      </c>
      <c r="C16">
        <v>390234</v>
      </c>
      <c r="D16">
        <v>6064</v>
      </c>
      <c r="E16">
        <v>21669</v>
      </c>
      <c r="F16" t="s">
        <v>333</v>
      </c>
      <c r="G16" t="s">
        <v>29</v>
      </c>
      <c r="H16" t="s">
        <v>334</v>
      </c>
    </row>
    <row r="17" spans="1:8" x14ac:dyDescent="0.25">
      <c r="A17" t="s">
        <v>1150</v>
      </c>
      <c r="B17" t="s">
        <v>515</v>
      </c>
      <c r="C17">
        <v>44562693</v>
      </c>
      <c r="D17">
        <v>716777</v>
      </c>
      <c r="E17">
        <v>6091113</v>
      </c>
      <c r="F17" t="s">
        <v>587</v>
      </c>
      <c r="G17" t="s">
        <v>29</v>
      </c>
      <c r="H17" t="s">
        <v>588</v>
      </c>
    </row>
    <row r="18" spans="1:8" x14ac:dyDescent="0.25">
      <c r="A18" t="s">
        <v>1150</v>
      </c>
      <c r="B18" t="s">
        <v>512</v>
      </c>
      <c r="C18">
        <v>124808</v>
      </c>
      <c r="D18">
        <v>3179</v>
      </c>
      <c r="E18">
        <v>81411</v>
      </c>
      <c r="F18" t="s">
        <v>513</v>
      </c>
      <c r="G18" t="s">
        <v>29</v>
      </c>
      <c r="H18" t="s">
        <v>514</v>
      </c>
    </row>
    <row r="19" spans="1:8" x14ac:dyDescent="0.25">
      <c r="A19" t="s">
        <v>1150</v>
      </c>
      <c r="B19" t="s">
        <v>509</v>
      </c>
      <c r="C19">
        <v>2680076</v>
      </c>
      <c r="D19">
        <v>62921</v>
      </c>
      <c r="E19">
        <v>276389</v>
      </c>
      <c r="F19" t="s">
        <v>591</v>
      </c>
      <c r="G19" t="s">
        <v>29</v>
      </c>
      <c r="H19" t="s">
        <v>592</v>
      </c>
    </row>
    <row r="20" spans="1:8" x14ac:dyDescent="0.25">
      <c r="A20" t="s">
        <v>1150</v>
      </c>
      <c r="B20" t="s">
        <v>506</v>
      </c>
      <c r="C20">
        <v>26034</v>
      </c>
      <c r="D20">
        <v>724</v>
      </c>
      <c r="E20">
        <v>4700</v>
      </c>
      <c r="F20" t="s">
        <v>98</v>
      </c>
      <c r="G20" t="s">
        <v>29</v>
      </c>
      <c r="H20" t="s">
        <v>99</v>
      </c>
    </row>
    <row r="21" spans="1:8" x14ac:dyDescent="0.25">
      <c r="A21" t="s">
        <v>1150</v>
      </c>
      <c r="B21" t="s">
        <v>503</v>
      </c>
      <c r="C21">
        <v>16309</v>
      </c>
      <c r="D21">
        <v>846</v>
      </c>
      <c r="E21">
        <v>12302</v>
      </c>
      <c r="F21" t="s">
        <v>1138</v>
      </c>
      <c r="G21" t="s">
        <v>29</v>
      </c>
      <c r="H21" t="s">
        <v>1139</v>
      </c>
    </row>
    <row r="22" spans="1:8" x14ac:dyDescent="0.25">
      <c r="A22" t="s">
        <v>1150</v>
      </c>
      <c r="B22" t="s">
        <v>500</v>
      </c>
      <c r="C22">
        <v>52999</v>
      </c>
      <c r="D22">
        <v>1566</v>
      </c>
      <c r="E22">
        <v>37279</v>
      </c>
      <c r="F22" t="s">
        <v>884</v>
      </c>
      <c r="G22" t="s">
        <v>29</v>
      </c>
      <c r="H22" t="s">
        <v>885</v>
      </c>
    </row>
    <row r="23" spans="1:8" x14ac:dyDescent="0.25">
      <c r="A23" t="s">
        <v>1150</v>
      </c>
      <c r="B23" t="s">
        <v>497</v>
      </c>
      <c r="C23">
        <v>7508945</v>
      </c>
      <c r="D23">
        <v>66605</v>
      </c>
      <c r="E23">
        <v>3697071</v>
      </c>
      <c r="F23" t="s">
        <v>65</v>
      </c>
      <c r="G23" t="s">
        <v>29</v>
      </c>
      <c r="H23" t="s">
        <v>66</v>
      </c>
    </row>
    <row r="24" spans="1:8" x14ac:dyDescent="0.25">
      <c r="A24" t="s">
        <v>1150</v>
      </c>
      <c r="B24" t="s">
        <v>493</v>
      </c>
      <c r="C24">
        <v>710096</v>
      </c>
      <c r="D24">
        <v>25046</v>
      </c>
      <c r="E24">
        <v>5920</v>
      </c>
      <c r="F24" t="s">
        <v>430</v>
      </c>
      <c r="G24" t="s">
        <v>29</v>
      </c>
      <c r="H24" t="s">
        <v>431</v>
      </c>
    </row>
    <row r="25" spans="1:8" x14ac:dyDescent="0.25">
      <c r="A25" t="s">
        <v>1150</v>
      </c>
      <c r="B25" t="s">
        <v>490</v>
      </c>
      <c r="C25">
        <v>19681</v>
      </c>
      <c r="D25">
        <v>119</v>
      </c>
      <c r="E25">
        <v>10013</v>
      </c>
      <c r="F25" t="s">
        <v>300</v>
      </c>
      <c r="G25" t="s">
        <v>29</v>
      </c>
      <c r="H25" t="s">
        <v>301</v>
      </c>
    </row>
    <row r="26" spans="1:8" x14ac:dyDescent="0.25">
      <c r="A26" t="s">
        <v>1150</v>
      </c>
      <c r="B26" t="s">
        <v>487</v>
      </c>
      <c r="C26">
        <v>17484</v>
      </c>
      <c r="D26">
        <v>125</v>
      </c>
      <c r="E26">
        <v>14536</v>
      </c>
      <c r="F26" t="s">
        <v>488</v>
      </c>
      <c r="G26" t="s">
        <v>29</v>
      </c>
      <c r="H26" t="s">
        <v>489</v>
      </c>
    </row>
    <row r="27" spans="1:8" x14ac:dyDescent="0.25">
      <c r="A27" t="s">
        <v>1150</v>
      </c>
      <c r="B27" t="s">
        <v>486</v>
      </c>
      <c r="C27">
        <v>1730364</v>
      </c>
      <c r="D27">
        <v>17835</v>
      </c>
      <c r="E27">
        <v>1492155</v>
      </c>
      <c r="F27" t="s">
        <v>687</v>
      </c>
      <c r="G27" t="s">
        <v>29</v>
      </c>
      <c r="H27" t="s">
        <v>688</v>
      </c>
    </row>
    <row r="28" spans="1:8" x14ac:dyDescent="0.25">
      <c r="A28" t="s">
        <v>1150</v>
      </c>
      <c r="B28" t="s">
        <v>483</v>
      </c>
      <c r="C28">
        <v>25807</v>
      </c>
      <c r="D28">
        <v>237</v>
      </c>
      <c r="E28">
        <v>7292</v>
      </c>
      <c r="F28" t="s">
        <v>214</v>
      </c>
      <c r="G28" t="s">
        <v>29</v>
      </c>
      <c r="H28" t="s">
        <v>215</v>
      </c>
    </row>
    <row r="29" spans="1:8" x14ac:dyDescent="0.25">
      <c r="A29" t="s">
        <v>1150</v>
      </c>
      <c r="B29" t="s">
        <v>482</v>
      </c>
      <c r="C29">
        <v>5061</v>
      </c>
      <c r="D29">
        <v>174</v>
      </c>
      <c r="E29">
        <v>1135</v>
      </c>
      <c r="F29" t="s">
        <v>802</v>
      </c>
      <c r="G29" t="s">
        <v>29</v>
      </c>
      <c r="H29" t="s">
        <v>803</v>
      </c>
    </row>
    <row r="30" spans="1:8" x14ac:dyDescent="0.25">
      <c r="A30" t="s">
        <v>1150</v>
      </c>
      <c r="B30" t="s">
        <v>479</v>
      </c>
      <c r="C30">
        <v>46313</v>
      </c>
      <c r="D30">
        <v>1230</v>
      </c>
      <c r="E30">
        <v>16875</v>
      </c>
      <c r="F30" t="s">
        <v>47</v>
      </c>
      <c r="G30" t="s">
        <v>29</v>
      </c>
      <c r="H30" t="s">
        <v>48</v>
      </c>
    </row>
    <row r="31" spans="1:8" x14ac:dyDescent="0.25">
      <c r="A31" t="s">
        <v>1150</v>
      </c>
      <c r="B31" t="s">
        <v>476</v>
      </c>
      <c r="C31">
        <v>37509</v>
      </c>
      <c r="D31">
        <v>2358</v>
      </c>
      <c r="E31">
        <v>21030</v>
      </c>
      <c r="F31" t="s">
        <v>1161</v>
      </c>
      <c r="G31" t="s">
        <v>29</v>
      </c>
      <c r="H31" t="s">
        <v>1162</v>
      </c>
    </row>
    <row r="32" spans="1:8" x14ac:dyDescent="0.25">
      <c r="A32" t="s">
        <v>1150</v>
      </c>
      <c r="B32" t="s">
        <v>473</v>
      </c>
      <c r="C32">
        <v>107664</v>
      </c>
      <c r="D32">
        <v>3405</v>
      </c>
      <c r="E32">
        <v>24822</v>
      </c>
      <c r="F32" t="s">
        <v>474</v>
      </c>
      <c r="G32" t="s">
        <v>29</v>
      </c>
      <c r="H32" t="s">
        <v>475</v>
      </c>
    </row>
    <row r="33" spans="1:8" x14ac:dyDescent="0.25">
      <c r="A33" t="s">
        <v>1150</v>
      </c>
      <c r="B33" t="s">
        <v>471</v>
      </c>
      <c r="C33">
        <v>12134</v>
      </c>
      <c r="D33">
        <v>130</v>
      </c>
      <c r="E33">
        <v>5327</v>
      </c>
      <c r="F33" t="s">
        <v>654</v>
      </c>
      <c r="G33" t="s">
        <v>29</v>
      </c>
      <c r="H33" t="s">
        <v>655</v>
      </c>
    </row>
    <row r="34" spans="1:8" x14ac:dyDescent="0.25">
      <c r="A34" t="s">
        <v>1150</v>
      </c>
      <c r="B34" t="s">
        <v>472</v>
      </c>
      <c r="C34">
        <v>3639</v>
      </c>
      <c r="D34">
        <v>56</v>
      </c>
      <c r="E34">
        <v>471</v>
      </c>
      <c r="F34" t="s">
        <v>519</v>
      </c>
      <c r="G34" t="s">
        <v>29</v>
      </c>
      <c r="H34" t="s">
        <v>520</v>
      </c>
    </row>
    <row r="35" spans="1:8" x14ac:dyDescent="0.25">
      <c r="A35" t="s">
        <v>1150</v>
      </c>
      <c r="B35" t="s">
        <v>468</v>
      </c>
      <c r="C35">
        <v>44873</v>
      </c>
      <c r="D35">
        <v>974</v>
      </c>
      <c r="E35">
        <v>29907</v>
      </c>
      <c r="F35" t="s">
        <v>940</v>
      </c>
      <c r="G35" t="s">
        <v>29</v>
      </c>
      <c r="H35" t="s">
        <v>941</v>
      </c>
    </row>
    <row r="36" spans="1:8" x14ac:dyDescent="0.25">
      <c r="A36" t="s">
        <v>1150</v>
      </c>
      <c r="B36" t="s">
        <v>465</v>
      </c>
      <c r="C36">
        <v>21269</v>
      </c>
      <c r="D36">
        <v>1180</v>
      </c>
      <c r="E36">
        <v>2638</v>
      </c>
      <c r="F36" t="s">
        <v>1005</v>
      </c>
      <c r="G36" t="s">
        <v>29</v>
      </c>
      <c r="H36" t="s">
        <v>1006</v>
      </c>
    </row>
    <row r="37" spans="1:8" x14ac:dyDescent="0.25">
      <c r="A37" t="s">
        <v>1150</v>
      </c>
      <c r="B37" t="s">
        <v>464</v>
      </c>
      <c r="C37">
        <v>73842</v>
      </c>
      <c r="D37">
        <v>1868</v>
      </c>
      <c r="E37">
        <v>47716</v>
      </c>
      <c r="F37" t="s">
        <v>611</v>
      </c>
      <c r="G37" t="s">
        <v>29</v>
      </c>
      <c r="H37" t="s">
        <v>612</v>
      </c>
    </row>
    <row r="38" spans="1:8" x14ac:dyDescent="0.25">
      <c r="A38" t="s">
        <v>1150</v>
      </c>
      <c r="B38" t="s">
        <v>463</v>
      </c>
      <c r="C38">
        <v>5470</v>
      </c>
      <c r="D38">
        <v>91</v>
      </c>
      <c r="E38">
        <v>3853</v>
      </c>
      <c r="F38" t="s">
        <v>135</v>
      </c>
      <c r="G38" t="s">
        <v>29</v>
      </c>
      <c r="H38" t="s">
        <v>136</v>
      </c>
    </row>
    <row r="39" spans="1:8" x14ac:dyDescent="0.25">
      <c r="A39" t="s">
        <v>1150</v>
      </c>
      <c r="B39" t="s">
        <v>460</v>
      </c>
      <c r="C39">
        <v>6396</v>
      </c>
      <c r="D39">
        <v>121</v>
      </c>
      <c r="E39">
        <v>491</v>
      </c>
      <c r="F39" t="s">
        <v>461</v>
      </c>
      <c r="G39" t="s">
        <v>29</v>
      </c>
      <c r="H39" t="s">
        <v>462</v>
      </c>
    </row>
    <row r="40" spans="1:8" x14ac:dyDescent="0.25">
      <c r="A40" t="s">
        <v>1150</v>
      </c>
      <c r="B40" t="s">
        <v>457</v>
      </c>
      <c r="C40">
        <v>427480</v>
      </c>
      <c r="D40">
        <v>12752</v>
      </c>
      <c r="E40">
        <v>31947</v>
      </c>
      <c r="F40" t="s">
        <v>634</v>
      </c>
      <c r="G40" t="s">
        <v>29</v>
      </c>
      <c r="H40" t="s">
        <v>635</v>
      </c>
    </row>
    <row r="41" spans="1:8" x14ac:dyDescent="0.25">
      <c r="A41" t="s">
        <v>1150</v>
      </c>
      <c r="B41" t="s">
        <v>456</v>
      </c>
      <c r="C41">
        <v>302654</v>
      </c>
      <c r="D41">
        <v>4618</v>
      </c>
      <c r="E41">
        <v>166376</v>
      </c>
      <c r="F41" t="s">
        <v>74</v>
      </c>
      <c r="G41" t="s">
        <v>29</v>
      </c>
      <c r="H41" t="s">
        <v>75</v>
      </c>
    </row>
    <row r="42" spans="1:8" x14ac:dyDescent="0.25">
      <c r="A42" t="s">
        <v>1150</v>
      </c>
      <c r="B42" t="s">
        <v>453</v>
      </c>
      <c r="C42">
        <v>132205</v>
      </c>
      <c r="D42">
        <v>183</v>
      </c>
      <c r="E42">
        <v>87507</v>
      </c>
      <c r="F42" t="s">
        <v>821</v>
      </c>
      <c r="G42" t="s">
        <v>29</v>
      </c>
      <c r="H42" t="s">
        <v>822</v>
      </c>
    </row>
    <row r="43" spans="1:8" x14ac:dyDescent="0.25">
      <c r="A43" t="s">
        <v>1150</v>
      </c>
      <c r="B43" t="s">
        <v>452</v>
      </c>
      <c r="C43">
        <v>1159560</v>
      </c>
      <c r="D43">
        <v>14920</v>
      </c>
      <c r="E43">
        <v>772396</v>
      </c>
      <c r="F43" t="s">
        <v>417</v>
      </c>
      <c r="G43" t="s">
        <v>29</v>
      </c>
      <c r="H43" t="s">
        <v>418</v>
      </c>
    </row>
    <row r="44" spans="1:8" x14ac:dyDescent="0.25">
      <c r="A44" t="s">
        <v>1150</v>
      </c>
      <c r="B44" t="s">
        <v>449</v>
      </c>
      <c r="C44">
        <v>38884</v>
      </c>
      <c r="D44">
        <v>2955</v>
      </c>
      <c r="E44">
        <v>32904</v>
      </c>
      <c r="F44" t="s">
        <v>1159</v>
      </c>
      <c r="G44" t="s">
        <v>29</v>
      </c>
      <c r="H44" t="s">
        <v>1160</v>
      </c>
    </row>
    <row r="45" spans="1:8" x14ac:dyDescent="0.25">
      <c r="A45" t="s">
        <v>1150</v>
      </c>
      <c r="B45" t="s">
        <v>446</v>
      </c>
      <c r="C45">
        <v>21799</v>
      </c>
      <c r="D45">
        <v>118</v>
      </c>
      <c r="E45">
        <v>18197</v>
      </c>
      <c r="F45" t="s">
        <v>919</v>
      </c>
      <c r="G45" t="s">
        <v>29</v>
      </c>
      <c r="H45" t="s">
        <v>920</v>
      </c>
    </row>
    <row r="46" spans="1:8" x14ac:dyDescent="0.25">
      <c r="A46" t="s">
        <v>1150</v>
      </c>
      <c r="B46" t="s">
        <v>445</v>
      </c>
      <c r="C46">
        <v>20</v>
      </c>
      <c r="D46">
        <v>0</v>
      </c>
      <c r="E46">
        <v>13</v>
      </c>
      <c r="F46" t="s">
        <v>29</v>
      </c>
      <c r="G46" t="s">
        <v>29</v>
      </c>
      <c r="H46" t="s">
        <v>291</v>
      </c>
    </row>
    <row r="47" spans="1:8" x14ac:dyDescent="0.25">
      <c r="A47" t="s">
        <v>1150</v>
      </c>
      <c r="B47" t="s">
        <v>444</v>
      </c>
      <c r="C47">
        <v>547704</v>
      </c>
      <c r="D47">
        <v>8751</v>
      </c>
      <c r="E47">
        <v>194584</v>
      </c>
      <c r="F47" t="s">
        <v>313</v>
      </c>
      <c r="G47" t="s">
        <v>29</v>
      </c>
      <c r="H47" t="s">
        <v>314</v>
      </c>
    </row>
    <row r="48" spans="1:8" x14ac:dyDescent="0.25">
      <c r="A48" t="s">
        <v>1150</v>
      </c>
      <c r="B48" t="s">
        <v>443</v>
      </c>
      <c r="C48">
        <v>98840</v>
      </c>
      <c r="D48">
        <v>1311</v>
      </c>
      <c r="E48">
        <v>51670</v>
      </c>
      <c r="F48" t="s">
        <v>59</v>
      </c>
      <c r="G48" t="s">
        <v>29</v>
      </c>
      <c r="H48" t="s">
        <v>60</v>
      </c>
    </row>
    <row r="49" spans="1:8" x14ac:dyDescent="0.25">
      <c r="A49" t="s">
        <v>1150</v>
      </c>
      <c r="B49" t="s">
        <v>440</v>
      </c>
      <c r="C49">
        <v>7714973</v>
      </c>
      <c r="D49">
        <v>214476</v>
      </c>
      <c r="E49">
        <v>5256040</v>
      </c>
      <c r="F49" t="s">
        <v>98</v>
      </c>
      <c r="G49" t="s">
        <v>29</v>
      </c>
      <c r="H49" t="s">
        <v>99</v>
      </c>
    </row>
    <row r="50" spans="1:8" x14ac:dyDescent="0.25">
      <c r="A50" t="s">
        <v>1150</v>
      </c>
      <c r="B50" t="s">
        <v>439</v>
      </c>
      <c r="C50">
        <v>1017798</v>
      </c>
      <c r="D50">
        <v>8841</v>
      </c>
      <c r="E50">
        <v>427184</v>
      </c>
      <c r="F50" t="s">
        <v>498</v>
      </c>
      <c r="G50" t="s">
        <v>29</v>
      </c>
      <c r="H50" t="s">
        <v>499</v>
      </c>
    </row>
    <row r="51" spans="1:8" x14ac:dyDescent="0.25">
      <c r="A51" t="s">
        <v>1150</v>
      </c>
      <c r="B51" t="s">
        <v>436</v>
      </c>
      <c r="C51">
        <v>1382531</v>
      </c>
      <c r="D51">
        <v>40071</v>
      </c>
      <c r="E51">
        <v>686315</v>
      </c>
      <c r="F51" t="s">
        <v>249</v>
      </c>
      <c r="G51" t="s">
        <v>29</v>
      </c>
      <c r="H51" t="s">
        <v>250</v>
      </c>
    </row>
    <row r="52" spans="1:8" x14ac:dyDescent="0.25">
      <c r="A52" t="s">
        <v>1150</v>
      </c>
      <c r="B52" t="s">
        <v>435</v>
      </c>
      <c r="C52">
        <v>54024</v>
      </c>
      <c r="D52">
        <v>370</v>
      </c>
      <c r="E52">
        <v>50655</v>
      </c>
      <c r="F52" t="s">
        <v>605</v>
      </c>
      <c r="G52" t="s">
        <v>29</v>
      </c>
      <c r="H52" t="s">
        <v>606</v>
      </c>
    </row>
    <row r="53" spans="1:8" x14ac:dyDescent="0.25">
      <c r="A53" t="s">
        <v>1150</v>
      </c>
      <c r="B53" t="s">
        <v>432</v>
      </c>
      <c r="C53">
        <v>237579</v>
      </c>
      <c r="D53">
        <v>607</v>
      </c>
      <c r="E53">
        <v>39361</v>
      </c>
      <c r="F53" t="s">
        <v>794</v>
      </c>
      <c r="G53" t="s">
        <v>29</v>
      </c>
      <c r="H53" t="s">
        <v>795</v>
      </c>
    </row>
    <row r="54" spans="1:8" x14ac:dyDescent="0.25">
      <c r="A54" t="s">
        <v>1150</v>
      </c>
      <c r="B54" t="s">
        <v>429</v>
      </c>
      <c r="C54">
        <v>460244</v>
      </c>
      <c r="D54">
        <v>16207</v>
      </c>
      <c r="E54">
        <v>308346</v>
      </c>
      <c r="F54" t="s">
        <v>353</v>
      </c>
      <c r="G54" t="s">
        <v>29</v>
      </c>
      <c r="H54" t="s">
        <v>354</v>
      </c>
    </row>
    <row r="55" spans="1:8" x14ac:dyDescent="0.25">
      <c r="A55" t="s">
        <v>1150</v>
      </c>
      <c r="B55" t="s">
        <v>428</v>
      </c>
      <c r="C55">
        <v>5</v>
      </c>
      <c r="D55">
        <v>0</v>
      </c>
      <c r="E55">
        <v>0</v>
      </c>
      <c r="F55" t="s">
        <v>29</v>
      </c>
      <c r="G55" t="s">
        <v>29</v>
      </c>
      <c r="H55" t="s">
        <v>291</v>
      </c>
    </row>
    <row r="56" spans="1:8" x14ac:dyDescent="0.25">
      <c r="A56" t="s">
        <v>1150</v>
      </c>
      <c r="B56" t="s">
        <v>427</v>
      </c>
      <c r="C56">
        <v>1076358</v>
      </c>
      <c r="D56">
        <v>18056</v>
      </c>
      <c r="E56">
        <v>628079</v>
      </c>
      <c r="F56" t="s">
        <v>116</v>
      </c>
      <c r="G56" t="s">
        <v>29</v>
      </c>
      <c r="H56" t="s">
        <v>117</v>
      </c>
    </row>
    <row r="57" spans="1:8" x14ac:dyDescent="0.25">
      <c r="A57" t="s">
        <v>1150</v>
      </c>
      <c r="B57" t="s">
        <v>426</v>
      </c>
      <c r="C57">
        <v>444729</v>
      </c>
      <c r="D57">
        <v>4521</v>
      </c>
      <c r="E57">
        <v>248866</v>
      </c>
      <c r="F57" t="s">
        <v>326</v>
      </c>
      <c r="G57" t="s">
        <v>29</v>
      </c>
      <c r="H57" t="s">
        <v>327</v>
      </c>
    </row>
    <row r="58" spans="1:8" x14ac:dyDescent="0.25">
      <c r="A58" t="s">
        <v>1150</v>
      </c>
      <c r="B58" t="s">
        <v>423</v>
      </c>
      <c r="C58">
        <v>2925425</v>
      </c>
      <c r="D58">
        <v>75918</v>
      </c>
      <c r="E58">
        <v>127444</v>
      </c>
      <c r="F58" t="s">
        <v>733</v>
      </c>
      <c r="G58" t="s">
        <v>29</v>
      </c>
      <c r="H58" t="s">
        <v>734</v>
      </c>
    </row>
    <row r="59" spans="1:8" x14ac:dyDescent="0.25">
      <c r="A59" t="s">
        <v>1150</v>
      </c>
      <c r="B59" t="s">
        <v>419</v>
      </c>
      <c r="C59">
        <v>2683372</v>
      </c>
      <c r="D59">
        <v>39896</v>
      </c>
      <c r="E59">
        <v>1518825</v>
      </c>
      <c r="F59" t="s">
        <v>800</v>
      </c>
      <c r="G59" t="s">
        <v>29</v>
      </c>
      <c r="H59" t="s">
        <v>801</v>
      </c>
    </row>
    <row r="60" spans="1:8" x14ac:dyDescent="0.25">
      <c r="A60" t="s">
        <v>1150</v>
      </c>
      <c r="B60" t="s">
        <v>420</v>
      </c>
      <c r="C60">
        <v>1260669</v>
      </c>
      <c r="D60">
        <v>28173</v>
      </c>
      <c r="E60">
        <v>939313</v>
      </c>
      <c r="F60" t="s">
        <v>421</v>
      </c>
      <c r="G60" t="s">
        <v>29</v>
      </c>
      <c r="H60" t="s">
        <v>422</v>
      </c>
    </row>
    <row r="61" spans="1:8" x14ac:dyDescent="0.25">
      <c r="A61" t="s">
        <v>1150</v>
      </c>
      <c r="B61" t="s">
        <v>416</v>
      </c>
      <c r="C61">
        <v>23365</v>
      </c>
      <c r="D61">
        <v>252</v>
      </c>
      <c r="E61">
        <v>3279</v>
      </c>
      <c r="F61" t="s">
        <v>758</v>
      </c>
      <c r="G61" t="s">
        <v>29</v>
      </c>
      <c r="H61" t="s">
        <v>759</v>
      </c>
    </row>
    <row r="62" spans="1:8" x14ac:dyDescent="0.25">
      <c r="A62" t="s">
        <v>1150</v>
      </c>
      <c r="B62" t="s">
        <v>415</v>
      </c>
      <c r="C62">
        <v>45359</v>
      </c>
      <c r="D62">
        <v>629</v>
      </c>
      <c r="E62">
        <v>21016</v>
      </c>
      <c r="F62" t="s">
        <v>208</v>
      </c>
      <c r="G62" t="s">
        <v>29</v>
      </c>
      <c r="H62" t="s">
        <v>209</v>
      </c>
    </row>
    <row r="63" spans="1:8" x14ac:dyDescent="0.25">
      <c r="A63" t="s">
        <v>1150</v>
      </c>
      <c r="B63" t="s">
        <v>412</v>
      </c>
      <c r="C63">
        <v>2185355</v>
      </c>
      <c r="D63">
        <v>199727</v>
      </c>
      <c r="E63">
        <v>739764</v>
      </c>
      <c r="F63" t="s">
        <v>1144</v>
      </c>
      <c r="G63" t="s">
        <v>29</v>
      </c>
      <c r="H63" t="s">
        <v>1145</v>
      </c>
    </row>
    <row r="64" spans="1:8" x14ac:dyDescent="0.25">
      <c r="A64" t="s">
        <v>1150</v>
      </c>
      <c r="B64" t="s">
        <v>411</v>
      </c>
      <c r="C64">
        <v>469440</v>
      </c>
      <c r="D64">
        <v>7275</v>
      </c>
      <c r="E64">
        <v>399529</v>
      </c>
      <c r="F64" t="s">
        <v>333</v>
      </c>
      <c r="G64" t="s">
        <v>29</v>
      </c>
      <c r="H64" t="s">
        <v>334</v>
      </c>
    </row>
    <row r="65" spans="1:8" x14ac:dyDescent="0.25">
      <c r="A65" t="s">
        <v>1150</v>
      </c>
      <c r="B65" t="s">
        <v>408</v>
      </c>
      <c r="C65">
        <v>303999</v>
      </c>
      <c r="D65">
        <v>4103</v>
      </c>
      <c r="E65">
        <v>179727</v>
      </c>
      <c r="F65" t="s">
        <v>409</v>
      </c>
      <c r="G65" t="s">
        <v>29</v>
      </c>
      <c r="H65" t="s">
        <v>410</v>
      </c>
    </row>
    <row r="66" spans="1:8" x14ac:dyDescent="0.25">
      <c r="A66" t="s">
        <v>1150</v>
      </c>
      <c r="B66" t="s">
        <v>405</v>
      </c>
      <c r="C66">
        <v>4760</v>
      </c>
      <c r="D66">
        <v>28</v>
      </c>
      <c r="E66">
        <v>3706</v>
      </c>
      <c r="F66" t="s">
        <v>1157</v>
      </c>
      <c r="G66" t="s">
        <v>29</v>
      </c>
      <c r="H66" t="s">
        <v>1158</v>
      </c>
    </row>
    <row r="67" spans="1:8" x14ac:dyDescent="0.25">
      <c r="A67" t="s">
        <v>1150</v>
      </c>
      <c r="B67" t="s">
        <v>402</v>
      </c>
      <c r="C67">
        <v>803552</v>
      </c>
      <c r="D67">
        <v>11257</v>
      </c>
      <c r="E67">
        <v>652167</v>
      </c>
      <c r="F67" t="s">
        <v>403</v>
      </c>
      <c r="G67" t="s">
        <v>29</v>
      </c>
      <c r="H67" t="s">
        <v>404</v>
      </c>
    </row>
    <row r="68" spans="1:8" x14ac:dyDescent="0.25">
      <c r="A68" t="s">
        <v>1150</v>
      </c>
      <c r="B68" t="s">
        <v>399</v>
      </c>
      <c r="C68">
        <v>194630</v>
      </c>
      <c r="D68">
        <v>871</v>
      </c>
      <c r="E68">
        <v>129378</v>
      </c>
      <c r="F68" t="s">
        <v>888</v>
      </c>
      <c r="G68" t="s">
        <v>29</v>
      </c>
      <c r="H68" t="s">
        <v>889</v>
      </c>
    </row>
    <row r="69" spans="1:8" x14ac:dyDescent="0.25">
      <c r="A69" t="s">
        <v>1150</v>
      </c>
      <c r="B69" t="s">
        <v>396</v>
      </c>
      <c r="C69">
        <v>2068483</v>
      </c>
      <c r="D69">
        <v>18643</v>
      </c>
      <c r="E69">
        <v>1149106</v>
      </c>
      <c r="F69" t="s">
        <v>667</v>
      </c>
      <c r="G69" t="s">
        <v>29</v>
      </c>
      <c r="H69" t="s">
        <v>668</v>
      </c>
    </row>
    <row r="70" spans="1:8" x14ac:dyDescent="0.25">
      <c r="A70" t="s">
        <v>1150</v>
      </c>
      <c r="B70" t="s">
        <v>393</v>
      </c>
      <c r="C70">
        <v>15737</v>
      </c>
      <c r="D70">
        <v>206</v>
      </c>
      <c r="E70">
        <v>11468</v>
      </c>
      <c r="F70" t="s">
        <v>708</v>
      </c>
      <c r="G70" t="s">
        <v>29</v>
      </c>
      <c r="H70" t="s">
        <v>709</v>
      </c>
    </row>
    <row r="71" spans="1:8" x14ac:dyDescent="0.25">
      <c r="A71" t="s">
        <v>1150</v>
      </c>
      <c r="B71" t="s">
        <v>390</v>
      </c>
      <c r="C71">
        <v>207979</v>
      </c>
      <c r="D71">
        <v>2756</v>
      </c>
      <c r="E71">
        <v>147360</v>
      </c>
      <c r="F71" t="s">
        <v>59</v>
      </c>
      <c r="G71" t="s">
        <v>29</v>
      </c>
      <c r="H71" t="s">
        <v>60</v>
      </c>
    </row>
    <row r="72" spans="1:8" x14ac:dyDescent="0.25">
      <c r="A72" t="s">
        <v>1150</v>
      </c>
      <c r="B72" t="s">
        <v>387</v>
      </c>
      <c r="C72">
        <v>6122</v>
      </c>
      <c r="D72">
        <v>204</v>
      </c>
      <c r="E72">
        <v>4892</v>
      </c>
      <c r="F72" t="s">
        <v>1059</v>
      </c>
      <c r="G72" t="s">
        <v>29</v>
      </c>
      <c r="H72" t="s">
        <v>1060</v>
      </c>
    </row>
    <row r="73" spans="1:8" x14ac:dyDescent="0.25">
      <c r="A73" t="s">
        <v>1150</v>
      </c>
      <c r="B73" t="s">
        <v>386</v>
      </c>
      <c r="C73">
        <v>9417</v>
      </c>
      <c r="D73">
        <v>209</v>
      </c>
      <c r="E73">
        <v>5633</v>
      </c>
      <c r="F73" t="s">
        <v>673</v>
      </c>
      <c r="G73" t="s">
        <v>29</v>
      </c>
      <c r="H73" t="s">
        <v>674</v>
      </c>
    </row>
    <row r="74" spans="1:8" x14ac:dyDescent="0.25">
      <c r="A74" t="s">
        <v>1150</v>
      </c>
      <c r="B74" t="s">
        <v>383</v>
      </c>
      <c r="C74">
        <v>128167</v>
      </c>
      <c r="D74">
        <v>3527</v>
      </c>
      <c r="E74">
        <v>24550</v>
      </c>
      <c r="F74" t="s">
        <v>276</v>
      </c>
      <c r="G74" t="s">
        <v>29</v>
      </c>
      <c r="H74" t="s">
        <v>277</v>
      </c>
    </row>
    <row r="75" spans="1:8" x14ac:dyDescent="0.25">
      <c r="A75" t="s">
        <v>1150</v>
      </c>
      <c r="B75" t="s">
        <v>380</v>
      </c>
      <c r="C75">
        <v>151018</v>
      </c>
      <c r="D75">
        <v>1924</v>
      </c>
      <c r="E75">
        <v>134262</v>
      </c>
      <c r="F75" t="s">
        <v>53</v>
      </c>
      <c r="G75" t="s">
        <v>29</v>
      </c>
      <c r="H75" t="s">
        <v>54</v>
      </c>
    </row>
    <row r="76" spans="1:8" x14ac:dyDescent="0.25">
      <c r="A76" t="s">
        <v>1150</v>
      </c>
      <c r="B76" t="s">
        <v>377</v>
      </c>
      <c r="C76">
        <v>2353579</v>
      </c>
      <c r="D76">
        <v>27525</v>
      </c>
      <c r="E76">
        <v>126902</v>
      </c>
      <c r="F76" t="s">
        <v>378</v>
      </c>
      <c r="G76" t="s">
        <v>29</v>
      </c>
      <c r="H76" t="s">
        <v>379</v>
      </c>
    </row>
    <row r="77" spans="1:8" x14ac:dyDescent="0.25">
      <c r="A77" t="s">
        <v>1150</v>
      </c>
      <c r="B77" t="s">
        <v>374</v>
      </c>
      <c r="C77">
        <v>3732429</v>
      </c>
      <c r="D77">
        <v>282773</v>
      </c>
      <c r="E77">
        <v>1073705</v>
      </c>
      <c r="F77" t="s">
        <v>1029</v>
      </c>
      <c r="G77" t="s">
        <v>29</v>
      </c>
      <c r="H77" t="s">
        <v>1030</v>
      </c>
    </row>
    <row r="78" spans="1:8" x14ac:dyDescent="0.25">
      <c r="A78" t="s">
        <v>1150</v>
      </c>
      <c r="B78" t="s">
        <v>371</v>
      </c>
      <c r="C78">
        <v>61694</v>
      </c>
      <c r="D78">
        <v>2292</v>
      </c>
      <c r="E78">
        <v>36736</v>
      </c>
      <c r="F78" t="s">
        <v>372</v>
      </c>
      <c r="G78" t="s">
        <v>29</v>
      </c>
      <c r="H78" t="s">
        <v>373</v>
      </c>
    </row>
    <row r="79" spans="1:8" x14ac:dyDescent="0.25">
      <c r="A79" t="s">
        <v>1150</v>
      </c>
      <c r="B79" t="s">
        <v>368</v>
      </c>
      <c r="C79">
        <v>85732</v>
      </c>
      <c r="D79">
        <v>235</v>
      </c>
      <c r="E79">
        <v>10819</v>
      </c>
      <c r="F79" t="s">
        <v>1131</v>
      </c>
      <c r="G79" t="s">
        <v>29</v>
      </c>
      <c r="H79" t="s">
        <v>1132</v>
      </c>
    </row>
    <row r="80" spans="1:8" x14ac:dyDescent="0.25">
      <c r="A80" t="s">
        <v>1150</v>
      </c>
      <c r="B80" t="s">
        <v>367</v>
      </c>
      <c r="C80">
        <v>16437</v>
      </c>
      <c r="D80">
        <v>115</v>
      </c>
      <c r="E80">
        <v>3980</v>
      </c>
      <c r="F80" t="s">
        <v>211</v>
      </c>
      <c r="G80" t="s">
        <v>29</v>
      </c>
      <c r="H80" t="s">
        <v>212</v>
      </c>
    </row>
    <row r="81" spans="1:8" x14ac:dyDescent="0.25">
      <c r="A81" t="s">
        <v>1150</v>
      </c>
      <c r="B81" t="s">
        <v>364</v>
      </c>
      <c r="C81">
        <v>37375</v>
      </c>
      <c r="D81">
        <v>459</v>
      </c>
      <c r="E81">
        <v>14100</v>
      </c>
      <c r="F81" t="s">
        <v>798</v>
      </c>
      <c r="G81" t="s">
        <v>29</v>
      </c>
      <c r="H81" t="s">
        <v>799</v>
      </c>
    </row>
    <row r="82" spans="1:8" x14ac:dyDescent="0.25">
      <c r="A82" t="s">
        <v>1150</v>
      </c>
      <c r="B82" t="s">
        <v>363</v>
      </c>
      <c r="C82">
        <v>36465</v>
      </c>
      <c r="D82">
        <v>785</v>
      </c>
      <c r="E82">
        <v>7675</v>
      </c>
      <c r="F82" t="s">
        <v>852</v>
      </c>
      <c r="G82" t="s">
        <v>29</v>
      </c>
      <c r="H82" t="s">
        <v>853</v>
      </c>
    </row>
    <row r="83" spans="1:8" x14ac:dyDescent="0.25">
      <c r="A83" t="s">
        <v>1150</v>
      </c>
      <c r="B83" t="s">
        <v>360</v>
      </c>
      <c r="C83">
        <v>41846</v>
      </c>
      <c r="D83">
        <v>645</v>
      </c>
      <c r="E83">
        <v>5864</v>
      </c>
      <c r="F83" t="s">
        <v>519</v>
      </c>
      <c r="G83" t="s">
        <v>29</v>
      </c>
      <c r="H83" t="s">
        <v>520</v>
      </c>
    </row>
    <row r="84" spans="1:8" x14ac:dyDescent="0.25">
      <c r="A84" t="s">
        <v>1150</v>
      </c>
      <c r="B84" t="s">
        <v>359</v>
      </c>
      <c r="C84">
        <v>77</v>
      </c>
      <c r="D84">
        <v>0</v>
      </c>
      <c r="E84">
        <v>53</v>
      </c>
      <c r="F84" t="s">
        <v>29</v>
      </c>
      <c r="G84" t="s">
        <v>29</v>
      </c>
      <c r="H84" t="s">
        <v>291</v>
      </c>
    </row>
    <row r="85" spans="1:8" x14ac:dyDescent="0.25">
      <c r="A85" t="s">
        <v>1150</v>
      </c>
      <c r="B85" t="s">
        <v>358</v>
      </c>
      <c r="C85">
        <v>330869</v>
      </c>
      <c r="D85">
        <v>1482</v>
      </c>
      <c r="E85">
        <v>328876</v>
      </c>
      <c r="F85" t="s">
        <v>888</v>
      </c>
      <c r="G85" t="s">
        <v>29</v>
      </c>
      <c r="H85" t="s">
        <v>889</v>
      </c>
    </row>
    <row r="86" spans="1:8" x14ac:dyDescent="0.25">
      <c r="A86" t="s">
        <v>1150</v>
      </c>
      <c r="B86" t="s">
        <v>355</v>
      </c>
      <c r="C86">
        <v>481230</v>
      </c>
      <c r="D86">
        <v>18188</v>
      </c>
      <c r="E86">
        <v>160548</v>
      </c>
      <c r="F86" t="s">
        <v>1155</v>
      </c>
      <c r="G86" t="s">
        <v>29</v>
      </c>
      <c r="H86" t="s">
        <v>1156</v>
      </c>
    </row>
    <row r="87" spans="1:8" x14ac:dyDescent="0.25">
      <c r="A87" t="s">
        <v>1150</v>
      </c>
      <c r="B87" t="s">
        <v>352</v>
      </c>
      <c r="C87">
        <v>15511</v>
      </c>
      <c r="D87">
        <v>554</v>
      </c>
      <c r="E87">
        <v>4368</v>
      </c>
      <c r="F87" t="s">
        <v>909</v>
      </c>
      <c r="G87" t="s">
        <v>29</v>
      </c>
      <c r="H87" t="s">
        <v>910</v>
      </c>
    </row>
    <row r="88" spans="1:8" x14ac:dyDescent="0.25">
      <c r="A88" t="s">
        <v>1150</v>
      </c>
      <c r="B88" t="s">
        <v>349</v>
      </c>
      <c r="C88">
        <v>195132</v>
      </c>
      <c r="D88">
        <v>6855</v>
      </c>
      <c r="E88">
        <v>100357</v>
      </c>
      <c r="F88" t="s">
        <v>350</v>
      </c>
      <c r="G88" t="s">
        <v>29</v>
      </c>
      <c r="H88" t="s">
        <v>351</v>
      </c>
    </row>
    <row r="89" spans="1:8" x14ac:dyDescent="0.25">
      <c r="A89" t="s">
        <v>1150</v>
      </c>
      <c r="B89" t="s">
        <v>348</v>
      </c>
      <c r="C89">
        <v>4</v>
      </c>
      <c r="D89">
        <v>0</v>
      </c>
      <c r="E89">
        <v>2</v>
      </c>
      <c r="F89" t="s">
        <v>29</v>
      </c>
      <c r="G89" t="s">
        <v>29</v>
      </c>
      <c r="H89" t="s">
        <v>291</v>
      </c>
    </row>
    <row r="90" spans="1:8" x14ac:dyDescent="0.25">
      <c r="A90" t="s">
        <v>1150</v>
      </c>
      <c r="B90" t="s">
        <v>347</v>
      </c>
      <c r="C90">
        <v>43610</v>
      </c>
      <c r="D90">
        <v>960</v>
      </c>
      <c r="E90">
        <v>19984</v>
      </c>
      <c r="F90" t="s">
        <v>969</v>
      </c>
      <c r="G90" t="s">
        <v>29</v>
      </c>
      <c r="H90" t="s">
        <v>970</v>
      </c>
    </row>
    <row r="91" spans="1:8" x14ac:dyDescent="0.25">
      <c r="A91" t="s">
        <v>1150</v>
      </c>
      <c r="B91" t="s">
        <v>344</v>
      </c>
      <c r="C91">
        <v>3819</v>
      </c>
      <c r="D91">
        <v>55</v>
      </c>
      <c r="E91">
        <v>983</v>
      </c>
      <c r="F91" t="s">
        <v>330</v>
      </c>
      <c r="G91" t="s">
        <v>29</v>
      </c>
      <c r="H91" t="s">
        <v>331</v>
      </c>
    </row>
    <row r="92" spans="1:8" x14ac:dyDescent="0.25">
      <c r="A92" t="s">
        <v>1150</v>
      </c>
      <c r="B92" t="s">
        <v>341</v>
      </c>
      <c r="C92">
        <v>135981</v>
      </c>
      <c r="D92">
        <v>2000</v>
      </c>
      <c r="E92">
        <v>96416</v>
      </c>
      <c r="F92" t="s">
        <v>777</v>
      </c>
      <c r="G92" t="s">
        <v>29</v>
      </c>
      <c r="H92" t="s">
        <v>778</v>
      </c>
    </row>
    <row r="93" spans="1:8" x14ac:dyDescent="0.25">
      <c r="A93" t="s">
        <v>1150</v>
      </c>
      <c r="B93" t="s">
        <v>338</v>
      </c>
      <c r="C93">
        <v>308724</v>
      </c>
      <c r="D93">
        <v>7076</v>
      </c>
      <c r="E93">
        <v>232191</v>
      </c>
      <c r="F93" t="s">
        <v>528</v>
      </c>
      <c r="G93" t="s">
        <v>29</v>
      </c>
      <c r="H93" t="s">
        <v>529</v>
      </c>
    </row>
    <row r="94" spans="1:8" x14ac:dyDescent="0.25">
      <c r="A94" t="s">
        <v>1150</v>
      </c>
      <c r="B94" t="s">
        <v>335</v>
      </c>
      <c r="C94">
        <v>3337</v>
      </c>
      <c r="D94">
        <v>35</v>
      </c>
      <c r="E94">
        <v>394</v>
      </c>
      <c r="F94" t="s">
        <v>642</v>
      </c>
      <c r="G94" t="s">
        <v>29</v>
      </c>
      <c r="H94" t="s">
        <v>643</v>
      </c>
    </row>
    <row r="95" spans="1:8" x14ac:dyDescent="0.25">
      <c r="A95" t="s">
        <v>1150</v>
      </c>
      <c r="B95" t="s">
        <v>332</v>
      </c>
      <c r="C95">
        <v>939922</v>
      </c>
      <c r="D95">
        <v>14485</v>
      </c>
      <c r="E95">
        <v>212417</v>
      </c>
      <c r="F95" t="s">
        <v>519</v>
      </c>
      <c r="G95" t="s">
        <v>29</v>
      </c>
      <c r="H95" t="s">
        <v>520</v>
      </c>
    </row>
    <row r="96" spans="1:8" x14ac:dyDescent="0.25">
      <c r="A96" t="s">
        <v>1150</v>
      </c>
      <c r="B96" t="s">
        <v>329</v>
      </c>
      <c r="C96">
        <v>347364</v>
      </c>
      <c r="D96">
        <v>4808</v>
      </c>
      <c r="E96">
        <v>140534</v>
      </c>
      <c r="F96" t="s">
        <v>158</v>
      </c>
      <c r="G96" t="s">
        <v>29</v>
      </c>
      <c r="H96" t="s">
        <v>159</v>
      </c>
    </row>
    <row r="97" spans="1:8" x14ac:dyDescent="0.25">
      <c r="A97" t="s">
        <v>1150</v>
      </c>
      <c r="B97" t="s">
        <v>328</v>
      </c>
      <c r="C97">
        <v>173654</v>
      </c>
      <c r="D97">
        <v>2819</v>
      </c>
      <c r="E97">
        <v>153432</v>
      </c>
      <c r="F97" t="s">
        <v>516</v>
      </c>
      <c r="G97" t="s">
        <v>29</v>
      </c>
      <c r="H97" t="s">
        <v>517</v>
      </c>
    </row>
    <row r="98" spans="1:8" x14ac:dyDescent="0.25">
      <c r="A98" t="s">
        <v>1150</v>
      </c>
      <c r="B98" t="s">
        <v>325</v>
      </c>
      <c r="C98">
        <v>79300</v>
      </c>
      <c r="D98">
        <v>837</v>
      </c>
      <c r="E98">
        <v>28231</v>
      </c>
      <c r="F98" t="s">
        <v>165</v>
      </c>
      <c r="G98" t="s">
        <v>29</v>
      </c>
      <c r="H98" t="s">
        <v>166</v>
      </c>
    </row>
    <row r="99" spans="1:8" x14ac:dyDescent="0.25">
      <c r="A99" t="s">
        <v>1150</v>
      </c>
      <c r="B99" t="s">
        <v>322</v>
      </c>
      <c r="C99">
        <v>355061</v>
      </c>
      <c r="D99">
        <v>5282</v>
      </c>
      <c r="E99">
        <v>112041</v>
      </c>
      <c r="F99" t="s">
        <v>800</v>
      </c>
      <c r="G99" t="s">
        <v>29</v>
      </c>
      <c r="H99" t="s">
        <v>801</v>
      </c>
    </row>
    <row r="100" spans="1:8" x14ac:dyDescent="0.25">
      <c r="A100" t="s">
        <v>1150</v>
      </c>
      <c r="B100" t="s">
        <v>319</v>
      </c>
      <c r="C100">
        <v>21481</v>
      </c>
      <c r="D100">
        <v>653</v>
      </c>
      <c r="E100">
        <v>6147</v>
      </c>
      <c r="F100" t="s">
        <v>320</v>
      </c>
      <c r="G100" t="s">
        <v>29</v>
      </c>
      <c r="H100" t="s">
        <v>321</v>
      </c>
    </row>
    <row r="101" spans="1:8" x14ac:dyDescent="0.25">
      <c r="A101" t="s">
        <v>1150</v>
      </c>
      <c r="B101" t="s">
        <v>316</v>
      </c>
      <c r="C101">
        <v>5802</v>
      </c>
      <c r="D101">
        <v>286</v>
      </c>
      <c r="E101">
        <v>602</v>
      </c>
      <c r="F101" t="s">
        <v>317</v>
      </c>
      <c r="G101" t="s">
        <v>29</v>
      </c>
      <c r="H101" t="s">
        <v>318</v>
      </c>
    </row>
    <row r="102" spans="1:8" x14ac:dyDescent="0.25">
      <c r="A102" t="s">
        <v>1150</v>
      </c>
      <c r="B102" t="s">
        <v>315</v>
      </c>
      <c r="C102">
        <v>527735</v>
      </c>
      <c r="D102">
        <v>13377</v>
      </c>
      <c r="E102">
        <v>375074</v>
      </c>
      <c r="F102" t="s">
        <v>611</v>
      </c>
      <c r="G102" t="s">
        <v>29</v>
      </c>
      <c r="H102" t="s">
        <v>612</v>
      </c>
    </row>
    <row r="103" spans="1:8" x14ac:dyDescent="0.25">
      <c r="A103" t="s">
        <v>1150</v>
      </c>
      <c r="B103" t="s">
        <v>312</v>
      </c>
      <c r="C103">
        <v>3572</v>
      </c>
      <c r="D103">
        <v>60</v>
      </c>
      <c r="E103">
        <v>2315</v>
      </c>
      <c r="F103" t="s">
        <v>116</v>
      </c>
      <c r="G103" t="s">
        <v>29</v>
      </c>
      <c r="H103" t="s">
        <v>117</v>
      </c>
    </row>
    <row r="104" spans="1:8" x14ac:dyDescent="0.25">
      <c r="A104" t="s">
        <v>1150</v>
      </c>
      <c r="B104" t="s">
        <v>309</v>
      </c>
      <c r="C104">
        <v>12054</v>
      </c>
      <c r="D104">
        <v>231</v>
      </c>
      <c r="E104">
        <v>5881</v>
      </c>
      <c r="F104" t="s">
        <v>721</v>
      </c>
      <c r="G104" t="s">
        <v>29</v>
      </c>
      <c r="H104" t="s">
        <v>722</v>
      </c>
    </row>
    <row r="105" spans="1:8" x14ac:dyDescent="0.25">
      <c r="A105" t="s">
        <v>1150</v>
      </c>
      <c r="B105" t="s">
        <v>306</v>
      </c>
      <c r="C105">
        <v>630950</v>
      </c>
      <c r="D105">
        <v>8394</v>
      </c>
      <c r="E105">
        <v>405888</v>
      </c>
      <c r="F105" t="s">
        <v>59</v>
      </c>
      <c r="G105" t="s">
        <v>29</v>
      </c>
      <c r="H105" t="s">
        <v>60</v>
      </c>
    </row>
    <row r="106" spans="1:8" x14ac:dyDescent="0.25">
      <c r="A106" t="s">
        <v>1150</v>
      </c>
      <c r="B106" t="s">
        <v>303</v>
      </c>
      <c r="C106">
        <v>29398</v>
      </c>
      <c r="D106">
        <v>33</v>
      </c>
      <c r="E106">
        <v>19206</v>
      </c>
      <c r="F106" t="s">
        <v>104</v>
      </c>
      <c r="G106" t="s">
        <v>29</v>
      </c>
      <c r="H106" t="s">
        <v>105</v>
      </c>
    </row>
    <row r="107" spans="1:8" x14ac:dyDescent="0.25">
      <c r="A107" t="s">
        <v>1150</v>
      </c>
      <c r="B107" t="s">
        <v>302</v>
      </c>
      <c r="C107">
        <v>986281</v>
      </c>
      <c r="D107">
        <v>16509</v>
      </c>
      <c r="E107">
        <v>70627</v>
      </c>
      <c r="F107" t="s">
        <v>827</v>
      </c>
      <c r="G107" t="s">
        <v>29</v>
      </c>
      <c r="H107" t="s">
        <v>828</v>
      </c>
    </row>
    <row r="108" spans="1:8" x14ac:dyDescent="0.25">
      <c r="A108" t="s">
        <v>1150</v>
      </c>
      <c r="B108" t="s">
        <v>299</v>
      </c>
      <c r="C108">
        <v>412158</v>
      </c>
      <c r="D108">
        <v>2455</v>
      </c>
      <c r="E108">
        <v>103724</v>
      </c>
      <c r="F108" t="s">
        <v>300</v>
      </c>
      <c r="G108" t="s">
        <v>29</v>
      </c>
      <c r="H108" t="s">
        <v>301</v>
      </c>
    </row>
    <row r="109" spans="1:8" x14ac:dyDescent="0.25">
      <c r="A109" t="s">
        <v>1150</v>
      </c>
      <c r="B109" t="s">
        <v>296</v>
      </c>
      <c r="C109">
        <v>335742</v>
      </c>
      <c r="D109">
        <v>2605</v>
      </c>
      <c r="E109">
        <v>98263</v>
      </c>
      <c r="F109" t="s">
        <v>297</v>
      </c>
      <c r="G109" t="s">
        <v>29</v>
      </c>
      <c r="H109" t="s">
        <v>298</v>
      </c>
    </row>
    <row r="110" spans="1:8" x14ac:dyDescent="0.25">
      <c r="A110" t="s">
        <v>1150</v>
      </c>
      <c r="B110" t="s">
        <v>293</v>
      </c>
      <c r="C110">
        <v>2435</v>
      </c>
      <c r="D110">
        <v>20</v>
      </c>
      <c r="E110">
        <v>752</v>
      </c>
      <c r="F110" t="s">
        <v>1057</v>
      </c>
      <c r="G110" t="s">
        <v>29</v>
      </c>
      <c r="H110" t="s">
        <v>1058</v>
      </c>
    </row>
    <row r="111" spans="1:8" x14ac:dyDescent="0.25">
      <c r="A111" t="s">
        <v>1150</v>
      </c>
      <c r="B111" t="s">
        <v>292</v>
      </c>
      <c r="C111">
        <v>4169</v>
      </c>
      <c r="D111">
        <v>147</v>
      </c>
      <c r="E111">
        <v>2603</v>
      </c>
      <c r="F111" t="s">
        <v>430</v>
      </c>
      <c r="G111" t="s">
        <v>29</v>
      </c>
      <c r="H111" t="s">
        <v>431</v>
      </c>
    </row>
    <row r="112" spans="1:8" x14ac:dyDescent="0.25">
      <c r="A112" t="s">
        <v>1150</v>
      </c>
      <c r="B112" t="s">
        <v>287</v>
      </c>
      <c r="C112">
        <v>115335</v>
      </c>
      <c r="D112">
        <v>2544</v>
      </c>
      <c r="E112">
        <v>83260</v>
      </c>
      <c r="F112" t="s">
        <v>132</v>
      </c>
      <c r="G112" t="s">
        <v>29</v>
      </c>
      <c r="H112" t="s">
        <v>133</v>
      </c>
    </row>
    <row r="113" spans="1:8" x14ac:dyDescent="0.25">
      <c r="A113" t="s">
        <v>1150</v>
      </c>
      <c r="B113" t="s">
        <v>290</v>
      </c>
      <c r="C113">
        <v>2</v>
      </c>
      <c r="D113">
        <v>0</v>
      </c>
      <c r="E113">
        <v>2</v>
      </c>
      <c r="F113" t="s">
        <v>29</v>
      </c>
      <c r="G113" t="s">
        <v>29</v>
      </c>
      <c r="H113" t="s">
        <v>291</v>
      </c>
    </row>
    <row r="114" spans="1:8" x14ac:dyDescent="0.25">
      <c r="A114" t="s">
        <v>1150</v>
      </c>
      <c r="B114" t="s">
        <v>284</v>
      </c>
      <c r="C114">
        <v>179429</v>
      </c>
      <c r="D114">
        <v>2622</v>
      </c>
      <c r="E114">
        <v>34756</v>
      </c>
      <c r="F114" t="s">
        <v>565</v>
      </c>
      <c r="G114" t="s">
        <v>29</v>
      </c>
      <c r="H114" t="s">
        <v>566</v>
      </c>
    </row>
    <row r="115" spans="1:8" x14ac:dyDescent="0.25">
      <c r="A115" t="s">
        <v>1150</v>
      </c>
      <c r="B115" t="s">
        <v>280</v>
      </c>
      <c r="C115">
        <v>1712740</v>
      </c>
      <c r="D115">
        <v>17999</v>
      </c>
      <c r="E115">
        <v>324318</v>
      </c>
      <c r="F115" t="s">
        <v>642</v>
      </c>
      <c r="G115" t="s">
        <v>29</v>
      </c>
      <c r="H115" t="s">
        <v>643</v>
      </c>
    </row>
    <row r="116" spans="1:8" x14ac:dyDescent="0.25">
      <c r="A116" t="s">
        <v>1150</v>
      </c>
      <c r="B116" t="s">
        <v>281</v>
      </c>
      <c r="C116">
        <v>251313</v>
      </c>
      <c r="D116">
        <v>5195</v>
      </c>
      <c r="E116">
        <v>2695</v>
      </c>
      <c r="F116" t="s">
        <v>310</v>
      </c>
      <c r="G116" t="s">
        <v>29</v>
      </c>
      <c r="H116" t="s">
        <v>311</v>
      </c>
    </row>
    <row r="117" spans="1:8" x14ac:dyDescent="0.25">
      <c r="A117" t="s">
        <v>1150</v>
      </c>
      <c r="B117" t="s">
        <v>279</v>
      </c>
      <c r="C117">
        <v>835969</v>
      </c>
      <c r="D117">
        <v>10827</v>
      </c>
      <c r="E117">
        <v>393929</v>
      </c>
      <c r="F117" t="s">
        <v>190</v>
      </c>
      <c r="G117" t="s">
        <v>29</v>
      </c>
      <c r="H117" t="s">
        <v>191</v>
      </c>
    </row>
    <row r="118" spans="1:8" x14ac:dyDescent="0.25">
      <c r="A118" t="s">
        <v>1150</v>
      </c>
      <c r="B118" t="s">
        <v>278</v>
      </c>
      <c r="C118">
        <v>86456</v>
      </c>
      <c r="D118">
        <v>2034</v>
      </c>
      <c r="E118">
        <v>32205</v>
      </c>
      <c r="F118" t="s">
        <v>591</v>
      </c>
      <c r="G118" t="s">
        <v>29</v>
      </c>
      <c r="H118" t="s">
        <v>592</v>
      </c>
    </row>
    <row r="119" spans="1:8" x14ac:dyDescent="0.25">
      <c r="A119" t="s">
        <v>1150</v>
      </c>
      <c r="B119" t="s">
        <v>275</v>
      </c>
      <c r="C119">
        <v>4704318</v>
      </c>
      <c r="D119">
        <v>131384</v>
      </c>
      <c r="E119">
        <v>2350184</v>
      </c>
      <c r="F119" t="s">
        <v>662</v>
      </c>
      <c r="G119" t="s">
        <v>29</v>
      </c>
      <c r="H119" t="s">
        <v>663</v>
      </c>
    </row>
    <row r="120" spans="1:8" x14ac:dyDescent="0.25">
      <c r="A120" t="s">
        <v>1150</v>
      </c>
      <c r="B120" t="s">
        <v>272</v>
      </c>
      <c r="C120">
        <v>12287</v>
      </c>
      <c r="D120">
        <v>33</v>
      </c>
      <c r="E120">
        <v>5815</v>
      </c>
      <c r="F120" t="s">
        <v>1131</v>
      </c>
      <c r="G120" t="s">
        <v>29</v>
      </c>
      <c r="H120" t="s">
        <v>1132</v>
      </c>
    </row>
    <row r="121" spans="1:8" x14ac:dyDescent="0.25">
      <c r="A121" t="s">
        <v>1150</v>
      </c>
      <c r="B121" t="s">
        <v>269</v>
      </c>
      <c r="C121">
        <v>5729785</v>
      </c>
      <c r="D121">
        <v>123081</v>
      </c>
      <c r="E121">
        <v>4619363</v>
      </c>
      <c r="F121" t="s">
        <v>852</v>
      </c>
      <c r="G121" t="s">
        <v>29</v>
      </c>
      <c r="H121" t="s">
        <v>853</v>
      </c>
    </row>
    <row r="122" spans="1:8" x14ac:dyDescent="0.25">
      <c r="A122" t="s">
        <v>1150</v>
      </c>
      <c r="B122" t="s">
        <v>266</v>
      </c>
      <c r="C122">
        <v>2026349</v>
      </c>
      <c r="D122">
        <v>22620</v>
      </c>
      <c r="E122">
        <v>166483</v>
      </c>
      <c r="F122" t="s">
        <v>911</v>
      </c>
      <c r="G122" t="s">
        <v>29</v>
      </c>
      <c r="H122" t="s">
        <v>912</v>
      </c>
    </row>
    <row r="123" spans="1:8" x14ac:dyDescent="0.25">
      <c r="A123" t="s">
        <v>1150</v>
      </c>
      <c r="B123" t="s">
        <v>263</v>
      </c>
      <c r="C123">
        <v>34001743</v>
      </c>
      <c r="D123">
        <v>451189</v>
      </c>
      <c r="E123">
        <v>851785</v>
      </c>
      <c r="F123" t="s">
        <v>59</v>
      </c>
      <c r="G123" t="s">
        <v>29</v>
      </c>
      <c r="H123" t="s">
        <v>60</v>
      </c>
    </row>
    <row r="124" spans="1:8" x14ac:dyDescent="0.25">
      <c r="A124" t="s">
        <v>1150</v>
      </c>
      <c r="B124" t="s">
        <v>260</v>
      </c>
      <c r="C124">
        <v>1309738</v>
      </c>
      <c r="D124">
        <v>7952</v>
      </c>
      <c r="E124">
        <v>268798</v>
      </c>
      <c r="F124" t="s">
        <v>261</v>
      </c>
      <c r="G124" t="s">
        <v>29</v>
      </c>
      <c r="H124" t="s">
        <v>262</v>
      </c>
    </row>
    <row r="125" spans="1:8" x14ac:dyDescent="0.25">
      <c r="A125" t="s">
        <v>1150</v>
      </c>
      <c r="B125" t="s">
        <v>257</v>
      </c>
      <c r="C125">
        <v>405970</v>
      </c>
      <c r="D125">
        <v>5280</v>
      </c>
      <c r="E125">
        <v>271849</v>
      </c>
      <c r="F125" t="s">
        <v>190</v>
      </c>
      <c r="G125" t="s">
        <v>29</v>
      </c>
      <c r="H125" t="s">
        <v>191</v>
      </c>
    </row>
    <row r="126" spans="1:8" x14ac:dyDescent="0.25">
      <c r="A126" t="s">
        <v>1150</v>
      </c>
      <c r="B126" t="s">
        <v>254</v>
      </c>
      <c r="C126">
        <v>4229813</v>
      </c>
      <c r="D126">
        <v>142763</v>
      </c>
      <c r="E126">
        <v>810090</v>
      </c>
      <c r="F126" t="s">
        <v>255</v>
      </c>
      <c r="G126" t="s">
        <v>29</v>
      </c>
      <c r="H126" t="s">
        <v>256</v>
      </c>
    </row>
    <row r="127" spans="1:8" x14ac:dyDescent="0.25">
      <c r="A127" t="s">
        <v>1150</v>
      </c>
      <c r="B127" t="s">
        <v>251</v>
      </c>
      <c r="C127">
        <v>829911</v>
      </c>
      <c r="D127">
        <v>30320</v>
      </c>
      <c r="E127">
        <v>751584</v>
      </c>
      <c r="F127" t="s">
        <v>95</v>
      </c>
      <c r="G127" t="s">
        <v>29</v>
      </c>
      <c r="H127" t="s">
        <v>96</v>
      </c>
    </row>
    <row r="128" spans="1:8" x14ac:dyDescent="0.25">
      <c r="A128" t="s">
        <v>1150</v>
      </c>
      <c r="B128" t="s">
        <v>248</v>
      </c>
      <c r="C128">
        <v>22675</v>
      </c>
      <c r="D128">
        <v>647</v>
      </c>
      <c r="E128">
        <v>4181</v>
      </c>
      <c r="F128" t="s">
        <v>675</v>
      </c>
      <c r="G128" t="s">
        <v>29</v>
      </c>
      <c r="H128" t="s">
        <v>676</v>
      </c>
    </row>
    <row r="129" spans="1:8" x14ac:dyDescent="0.25">
      <c r="A129" t="s">
        <v>1150</v>
      </c>
      <c r="B129" t="s">
        <v>245</v>
      </c>
      <c r="C129">
        <v>419035</v>
      </c>
      <c r="D129">
        <v>8802</v>
      </c>
      <c r="E129">
        <v>344954</v>
      </c>
      <c r="F129" t="s">
        <v>557</v>
      </c>
      <c r="G129" t="s">
        <v>29</v>
      </c>
      <c r="H129" t="s">
        <v>558</v>
      </c>
    </row>
    <row r="130" spans="1:8" x14ac:dyDescent="0.25">
      <c r="A130" t="s">
        <v>1150</v>
      </c>
      <c r="B130" t="s">
        <v>242</v>
      </c>
      <c r="C130">
        <v>370968</v>
      </c>
      <c r="D130">
        <v>10044</v>
      </c>
      <c r="E130">
        <v>183754</v>
      </c>
      <c r="F130" t="s">
        <v>875</v>
      </c>
      <c r="G130" t="s">
        <v>29</v>
      </c>
      <c r="H130" t="s">
        <v>876</v>
      </c>
    </row>
    <row r="131" spans="1:8" x14ac:dyDescent="0.25">
      <c r="A131" t="s">
        <v>1150</v>
      </c>
      <c r="B131" t="s">
        <v>239</v>
      </c>
      <c r="C131">
        <v>12272</v>
      </c>
      <c r="D131">
        <v>213</v>
      </c>
      <c r="E131">
        <v>3793</v>
      </c>
      <c r="F131" t="s">
        <v>183</v>
      </c>
      <c r="G131" t="s">
        <v>29</v>
      </c>
      <c r="H131" t="s">
        <v>184</v>
      </c>
    </row>
    <row r="132" spans="1:8" x14ac:dyDescent="0.25">
      <c r="A132" t="s">
        <v>1150</v>
      </c>
      <c r="B132" t="s">
        <v>236</v>
      </c>
      <c r="C132">
        <v>33823</v>
      </c>
      <c r="D132">
        <v>848</v>
      </c>
      <c r="E132">
        <v>1912</v>
      </c>
      <c r="F132" t="s">
        <v>700</v>
      </c>
      <c r="G132" t="s">
        <v>29</v>
      </c>
      <c r="H132" t="s">
        <v>701</v>
      </c>
    </row>
    <row r="133" spans="1:8" x14ac:dyDescent="0.25">
      <c r="A133" t="s">
        <v>1150</v>
      </c>
      <c r="B133" t="s">
        <v>233</v>
      </c>
      <c r="C133">
        <v>6121</v>
      </c>
      <c r="D133">
        <v>141</v>
      </c>
      <c r="E133">
        <v>2796</v>
      </c>
      <c r="F133" t="s">
        <v>619</v>
      </c>
      <c r="G133" t="s">
        <v>29</v>
      </c>
      <c r="H133" t="s">
        <v>620</v>
      </c>
    </row>
    <row r="134" spans="1:8" x14ac:dyDescent="0.25">
      <c r="A134" t="s">
        <v>1150</v>
      </c>
      <c r="B134" t="s">
        <v>232</v>
      </c>
      <c r="C134">
        <v>581498</v>
      </c>
      <c r="D134">
        <v>14118</v>
      </c>
      <c r="E134">
        <v>459184</v>
      </c>
      <c r="F134" t="s">
        <v>917</v>
      </c>
      <c r="G134" t="s">
        <v>29</v>
      </c>
      <c r="H134" t="s">
        <v>918</v>
      </c>
    </row>
    <row r="135" spans="1:8" x14ac:dyDescent="0.25">
      <c r="A135" t="s">
        <v>1150</v>
      </c>
      <c r="B135" t="s">
        <v>229</v>
      </c>
      <c r="C135">
        <v>682394</v>
      </c>
      <c r="D135">
        <v>15210</v>
      </c>
      <c r="E135">
        <v>424375</v>
      </c>
      <c r="F135" t="s">
        <v>421</v>
      </c>
      <c r="G135" t="s">
        <v>29</v>
      </c>
      <c r="H135" t="s">
        <v>422</v>
      </c>
    </row>
    <row r="136" spans="1:8" x14ac:dyDescent="0.25">
      <c r="A136" t="s">
        <v>1150</v>
      </c>
      <c r="B136" t="s">
        <v>228</v>
      </c>
      <c r="C136">
        <v>12786</v>
      </c>
      <c r="D136">
        <v>155</v>
      </c>
      <c r="E136">
        <v>2843</v>
      </c>
      <c r="F136" t="s">
        <v>775</v>
      </c>
      <c r="G136" t="s">
        <v>29</v>
      </c>
      <c r="H136" t="s">
        <v>776</v>
      </c>
    </row>
    <row r="137" spans="1:8" x14ac:dyDescent="0.25">
      <c r="A137" t="s">
        <v>1150</v>
      </c>
      <c r="B137" t="s">
        <v>225</v>
      </c>
      <c r="C137">
        <v>53544</v>
      </c>
      <c r="D137">
        <v>785</v>
      </c>
      <c r="E137">
        <v>25328</v>
      </c>
      <c r="F137" t="s">
        <v>777</v>
      </c>
      <c r="G137" t="s">
        <v>29</v>
      </c>
      <c r="H137" t="s">
        <v>778</v>
      </c>
    </row>
    <row r="138" spans="1:8" x14ac:dyDescent="0.25">
      <c r="A138" t="s">
        <v>1150</v>
      </c>
      <c r="B138" t="s">
        <v>219</v>
      </c>
      <c r="C138">
        <v>9943</v>
      </c>
      <c r="D138">
        <v>339</v>
      </c>
      <c r="E138">
        <v>3742</v>
      </c>
      <c r="F138" t="s">
        <v>205</v>
      </c>
      <c r="G138" t="s">
        <v>29</v>
      </c>
      <c r="H138" t="s">
        <v>206</v>
      </c>
    </row>
    <row r="139" spans="1:8" x14ac:dyDescent="0.25">
      <c r="A139" t="s">
        <v>1150</v>
      </c>
      <c r="B139" t="s">
        <v>222</v>
      </c>
      <c r="C139">
        <v>30526</v>
      </c>
      <c r="D139">
        <v>383</v>
      </c>
      <c r="E139">
        <v>4734</v>
      </c>
      <c r="F139" t="s">
        <v>107</v>
      </c>
      <c r="G139" t="s">
        <v>29</v>
      </c>
      <c r="H139" t="s">
        <v>108</v>
      </c>
    </row>
    <row r="140" spans="1:8" x14ac:dyDescent="0.25">
      <c r="A140" t="s">
        <v>1150</v>
      </c>
      <c r="B140" t="s">
        <v>216</v>
      </c>
      <c r="C140">
        <v>5682</v>
      </c>
      <c r="D140">
        <v>97</v>
      </c>
      <c r="E140">
        <v>1756</v>
      </c>
      <c r="F140" t="s">
        <v>658</v>
      </c>
      <c r="G140" t="s">
        <v>29</v>
      </c>
      <c r="H140" t="s">
        <v>659</v>
      </c>
    </row>
    <row r="141" spans="1:8" x14ac:dyDescent="0.25">
      <c r="A141" t="s">
        <v>1150</v>
      </c>
      <c r="B141" t="s">
        <v>213</v>
      </c>
      <c r="C141">
        <v>128368</v>
      </c>
      <c r="D141">
        <v>1158</v>
      </c>
      <c r="E141">
        <v>96115</v>
      </c>
      <c r="F141" t="s">
        <v>667</v>
      </c>
      <c r="G141" t="s">
        <v>29</v>
      </c>
      <c r="H141" t="s">
        <v>668</v>
      </c>
    </row>
    <row r="142" spans="1:8" x14ac:dyDescent="0.25">
      <c r="A142" t="s">
        <v>1150</v>
      </c>
      <c r="B142" t="s">
        <v>210</v>
      </c>
      <c r="C142">
        <v>42157</v>
      </c>
      <c r="D142">
        <v>281</v>
      </c>
      <c r="E142">
        <v>25663</v>
      </c>
      <c r="F142" t="s">
        <v>92</v>
      </c>
      <c r="G142" t="s">
        <v>29</v>
      </c>
      <c r="H142" t="s">
        <v>93</v>
      </c>
    </row>
    <row r="143" spans="1:8" x14ac:dyDescent="0.25">
      <c r="A143" t="s">
        <v>1150</v>
      </c>
      <c r="B143" t="s">
        <v>204</v>
      </c>
      <c r="C143">
        <v>5653</v>
      </c>
      <c r="D143">
        <v>183</v>
      </c>
      <c r="E143">
        <v>4214</v>
      </c>
      <c r="F143" t="s">
        <v>735</v>
      </c>
      <c r="G143" t="s">
        <v>29</v>
      </c>
      <c r="H143" t="s">
        <v>736</v>
      </c>
    </row>
    <row r="144" spans="1:8" x14ac:dyDescent="0.25">
      <c r="A144" t="s">
        <v>1150</v>
      </c>
      <c r="B144" t="s">
        <v>207</v>
      </c>
      <c r="C144">
        <v>640358</v>
      </c>
      <c r="D144">
        <v>9306</v>
      </c>
      <c r="E144">
        <v>3770</v>
      </c>
      <c r="F144" t="s">
        <v>342</v>
      </c>
      <c r="G144" t="s">
        <v>29</v>
      </c>
      <c r="H144" t="s">
        <v>343</v>
      </c>
    </row>
    <row r="145" spans="1:8" x14ac:dyDescent="0.25">
      <c r="A145" t="s">
        <v>1150</v>
      </c>
      <c r="B145" t="s">
        <v>201</v>
      </c>
      <c r="C145">
        <v>8264500</v>
      </c>
      <c r="D145">
        <v>138254</v>
      </c>
      <c r="E145">
        <v>8051674</v>
      </c>
      <c r="F145" t="s">
        <v>827</v>
      </c>
      <c r="G145" t="s">
        <v>29</v>
      </c>
      <c r="H145" t="s">
        <v>828</v>
      </c>
    </row>
    <row r="146" spans="1:8" x14ac:dyDescent="0.25">
      <c r="A146" t="s">
        <v>1150</v>
      </c>
      <c r="B146" t="s">
        <v>198</v>
      </c>
      <c r="C146">
        <v>32576</v>
      </c>
      <c r="D146">
        <v>205</v>
      </c>
      <c r="E146">
        <v>19347</v>
      </c>
      <c r="F146" t="s">
        <v>1129</v>
      </c>
      <c r="G146" t="s">
        <v>29</v>
      </c>
      <c r="H146" t="s">
        <v>1130</v>
      </c>
    </row>
    <row r="147" spans="1:8" x14ac:dyDescent="0.25">
      <c r="A147" t="s">
        <v>1150</v>
      </c>
      <c r="B147" t="s">
        <v>195</v>
      </c>
      <c r="C147">
        <v>6891105</v>
      </c>
      <c r="D147">
        <v>114867</v>
      </c>
      <c r="E147">
        <v>1540160</v>
      </c>
      <c r="F147" t="s">
        <v>827</v>
      </c>
      <c r="G147" t="s">
        <v>29</v>
      </c>
      <c r="H147" t="s">
        <v>828</v>
      </c>
    </row>
    <row r="148" spans="1:8" x14ac:dyDescent="0.25">
      <c r="A148" t="s">
        <v>1150</v>
      </c>
      <c r="B148" t="s">
        <v>192</v>
      </c>
      <c r="C148">
        <v>1311</v>
      </c>
      <c r="D148">
        <v>2</v>
      </c>
      <c r="E148">
        <v>339</v>
      </c>
      <c r="F148" t="s">
        <v>915</v>
      </c>
      <c r="G148" t="s">
        <v>29</v>
      </c>
      <c r="H148" t="s">
        <v>916</v>
      </c>
    </row>
    <row r="149" spans="1:8" x14ac:dyDescent="0.25">
      <c r="A149" t="s">
        <v>1150</v>
      </c>
      <c r="B149" t="s">
        <v>189</v>
      </c>
      <c r="C149">
        <v>51535</v>
      </c>
      <c r="D149">
        <v>653</v>
      </c>
      <c r="E149">
        <v>4296</v>
      </c>
      <c r="F149" t="s">
        <v>53</v>
      </c>
      <c r="G149" t="s">
        <v>29</v>
      </c>
      <c r="H149" t="s">
        <v>54</v>
      </c>
    </row>
    <row r="150" spans="1:8" x14ac:dyDescent="0.25">
      <c r="A150" t="s">
        <v>1150</v>
      </c>
      <c r="B150" t="s">
        <v>186</v>
      </c>
      <c r="C150">
        <v>147919</v>
      </c>
      <c r="D150">
        <v>1109</v>
      </c>
      <c r="E150">
        <v>77098</v>
      </c>
      <c r="F150" t="s">
        <v>1127</v>
      </c>
      <c r="G150" t="s">
        <v>29</v>
      </c>
      <c r="H150" t="s">
        <v>1128</v>
      </c>
    </row>
    <row r="151" spans="1:8" x14ac:dyDescent="0.25">
      <c r="A151" t="s">
        <v>1150</v>
      </c>
      <c r="B151" t="s">
        <v>185</v>
      </c>
      <c r="C151">
        <v>355843</v>
      </c>
      <c r="D151">
        <v>6066</v>
      </c>
      <c r="E151">
        <v>105003</v>
      </c>
      <c r="F151" t="s">
        <v>125</v>
      </c>
      <c r="G151" t="s">
        <v>29</v>
      </c>
      <c r="H151" t="s">
        <v>126</v>
      </c>
    </row>
    <row r="152" spans="1:8" x14ac:dyDescent="0.25">
      <c r="A152" t="s">
        <v>1150</v>
      </c>
      <c r="B152" t="s">
        <v>182</v>
      </c>
      <c r="C152">
        <v>4977448</v>
      </c>
      <c r="D152">
        <v>86827</v>
      </c>
      <c r="E152">
        <v>3971749</v>
      </c>
      <c r="F152" t="s">
        <v>183</v>
      </c>
      <c r="G152" t="s">
        <v>29</v>
      </c>
      <c r="H152" t="s">
        <v>184</v>
      </c>
    </row>
    <row r="153" spans="1:8" x14ac:dyDescent="0.25">
      <c r="A153" t="s">
        <v>1150</v>
      </c>
      <c r="B153" t="s">
        <v>179</v>
      </c>
      <c r="C153">
        <v>6758</v>
      </c>
      <c r="D153">
        <v>43</v>
      </c>
      <c r="E153">
        <v>230</v>
      </c>
      <c r="F153" t="s">
        <v>953</v>
      </c>
      <c r="G153" t="s">
        <v>29</v>
      </c>
      <c r="H153" t="s">
        <v>954</v>
      </c>
    </row>
    <row r="154" spans="1:8" x14ac:dyDescent="0.25">
      <c r="A154" t="s">
        <v>1150</v>
      </c>
      <c r="B154" t="s">
        <v>176</v>
      </c>
      <c r="C154">
        <v>314116</v>
      </c>
      <c r="D154">
        <v>17765</v>
      </c>
      <c r="E154">
        <v>83939</v>
      </c>
      <c r="F154" t="s">
        <v>177</v>
      </c>
      <c r="G154" t="s">
        <v>29</v>
      </c>
      <c r="H154" t="s">
        <v>178</v>
      </c>
    </row>
    <row r="155" spans="1:8" x14ac:dyDescent="0.25">
      <c r="A155" t="s">
        <v>1150</v>
      </c>
      <c r="B155" t="s">
        <v>173</v>
      </c>
      <c r="C155">
        <v>166601</v>
      </c>
      <c r="D155">
        <v>1402</v>
      </c>
      <c r="E155">
        <v>110013</v>
      </c>
      <c r="F155" t="s">
        <v>397</v>
      </c>
      <c r="G155" t="s">
        <v>29</v>
      </c>
      <c r="H155" t="s">
        <v>398</v>
      </c>
    </row>
    <row r="156" spans="1:8" x14ac:dyDescent="0.25">
      <c r="A156" t="s">
        <v>1150</v>
      </c>
      <c r="B156" t="s">
        <v>170</v>
      </c>
      <c r="C156">
        <v>512071</v>
      </c>
      <c r="D156">
        <v>32848</v>
      </c>
      <c r="E156">
        <v>193461</v>
      </c>
      <c r="F156" t="s">
        <v>1020</v>
      </c>
      <c r="G156" t="s">
        <v>29</v>
      </c>
      <c r="H156" t="s">
        <v>1021</v>
      </c>
    </row>
    <row r="157" spans="1:8" x14ac:dyDescent="0.25">
      <c r="A157" t="s">
        <v>1150</v>
      </c>
      <c r="B157" t="s">
        <v>167</v>
      </c>
      <c r="C157">
        <v>204790</v>
      </c>
      <c r="D157">
        <v>5859</v>
      </c>
      <c r="E157">
        <v>137768</v>
      </c>
      <c r="F157" t="s">
        <v>955</v>
      </c>
      <c r="G157" t="s">
        <v>29</v>
      </c>
      <c r="H157" t="s">
        <v>956</v>
      </c>
    </row>
    <row r="158" spans="1:8" x14ac:dyDescent="0.25">
      <c r="A158" t="s">
        <v>1150</v>
      </c>
      <c r="B158" t="s">
        <v>164</v>
      </c>
      <c r="C158">
        <v>366711</v>
      </c>
      <c r="D158">
        <v>4072</v>
      </c>
      <c r="E158">
        <v>301223</v>
      </c>
      <c r="F158" t="s">
        <v>1098</v>
      </c>
      <c r="G158" t="s">
        <v>29</v>
      </c>
      <c r="H158" t="s">
        <v>1099</v>
      </c>
    </row>
    <row r="159" spans="1:8" x14ac:dyDescent="0.25">
      <c r="A159" t="s">
        <v>1150</v>
      </c>
      <c r="B159" t="s">
        <v>161</v>
      </c>
      <c r="C159">
        <v>4086</v>
      </c>
      <c r="D159">
        <v>27</v>
      </c>
      <c r="E159">
        <v>3004</v>
      </c>
      <c r="F159" t="s">
        <v>162</v>
      </c>
      <c r="G159" t="s">
        <v>29</v>
      </c>
      <c r="H159" t="s">
        <v>163</v>
      </c>
    </row>
    <row r="160" spans="1:8" x14ac:dyDescent="0.25">
      <c r="A160" t="s">
        <v>1150</v>
      </c>
      <c r="B160" t="s">
        <v>160</v>
      </c>
      <c r="C160">
        <v>365681</v>
      </c>
      <c r="D160">
        <v>2674</v>
      </c>
      <c r="E160">
        <v>209817</v>
      </c>
      <c r="F160" t="s">
        <v>187</v>
      </c>
      <c r="G160" t="s">
        <v>29</v>
      </c>
      <c r="H160" t="s">
        <v>188</v>
      </c>
    </row>
    <row r="161" spans="1:8" x14ac:dyDescent="0.25">
      <c r="A161" t="s">
        <v>1150</v>
      </c>
      <c r="B161" t="s">
        <v>157</v>
      </c>
      <c r="C161">
        <v>13320</v>
      </c>
      <c r="D161">
        <v>178</v>
      </c>
      <c r="E161">
        <v>8159</v>
      </c>
      <c r="F161" t="s">
        <v>264</v>
      </c>
      <c r="G161" t="s">
        <v>29</v>
      </c>
      <c r="H161" t="s">
        <v>265</v>
      </c>
    </row>
    <row r="162" spans="1:8" x14ac:dyDescent="0.25">
      <c r="A162" t="s">
        <v>1150</v>
      </c>
      <c r="B162" t="s">
        <v>154</v>
      </c>
      <c r="C162">
        <v>4331274</v>
      </c>
      <c r="D162">
        <v>94393</v>
      </c>
      <c r="E162">
        <v>3787987</v>
      </c>
      <c r="F162" t="s">
        <v>984</v>
      </c>
      <c r="G162" t="s">
        <v>29</v>
      </c>
      <c r="H162" t="s">
        <v>985</v>
      </c>
    </row>
    <row r="163" spans="1:8" x14ac:dyDescent="0.25">
      <c r="A163" t="s">
        <v>1150</v>
      </c>
      <c r="B163" t="s">
        <v>151</v>
      </c>
      <c r="C163">
        <v>1704003</v>
      </c>
      <c r="D163">
        <v>30512</v>
      </c>
      <c r="E163">
        <v>282920</v>
      </c>
      <c r="F163" t="s">
        <v>71</v>
      </c>
      <c r="G163" t="s">
        <v>29</v>
      </c>
      <c r="H163" t="s">
        <v>72</v>
      </c>
    </row>
    <row r="164" spans="1:8" x14ac:dyDescent="0.25">
      <c r="A164" t="s">
        <v>1150</v>
      </c>
      <c r="B164" t="s">
        <v>148</v>
      </c>
      <c r="C164">
        <v>121534</v>
      </c>
      <c r="D164">
        <v>560</v>
      </c>
      <c r="E164">
        <v>41969</v>
      </c>
      <c r="F164" t="s">
        <v>149</v>
      </c>
      <c r="G164" t="s">
        <v>29</v>
      </c>
      <c r="H164" t="s">
        <v>150</v>
      </c>
    </row>
    <row r="165" spans="1:8" x14ac:dyDescent="0.25">
      <c r="A165" t="s">
        <v>1150</v>
      </c>
      <c r="B165" t="s">
        <v>145</v>
      </c>
      <c r="C165">
        <v>37920</v>
      </c>
      <c r="D165">
        <v>347</v>
      </c>
      <c r="E165">
        <v>10476</v>
      </c>
      <c r="F165" t="s">
        <v>214</v>
      </c>
      <c r="G165" t="s">
        <v>29</v>
      </c>
      <c r="H165" t="s">
        <v>215</v>
      </c>
    </row>
    <row r="166" spans="1:8" x14ac:dyDescent="0.25">
      <c r="A166" t="s">
        <v>1150</v>
      </c>
      <c r="B166" t="s">
        <v>144</v>
      </c>
      <c r="C166">
        <v>923966</v>
      </c>
      <c r="D166">
        <v>7928</v>
      </c>
      <c r="E166">
        <v>606846</v>
      </c>
      <c r="F166" t="s">
        <v>122</v>
      </c>
      <c r="G166" t="s">
        <v>29</v>
      </c>
      <c r="H166" t="s">
        <v>123</v>
      </c>
    </row>
    <row r="167" spans="1:8" x14ac:dyDescent="0.25">
      <c r="A167" t="s">
        <v>1150</v>
      </c>
      <c r="B167" t="s">
        <v>143</v>
      </c>
      <c r="C167">
        <v>547914</v>
      </c>
      <c r="D167">
        <v>6718</v>
      </c>
      <c r="E167">
        <v>127109</v>
      </c>
      <c r="F167" t="s">
        <v>798</v>
      </c>
      <c r="G167" t="s">
        <v>29</v>
      </c>
      <c r="H167" t="s">
        <v>799</v>
      </c>
    </row>
    <row r="168" spans="1:8" x14ac:dyDescent="0.25">
      <c r="A168" t="s">
        <v>1150</v>
      </c>
      <c r="B168" t="s">
        <v>140</v>
      </c>
      <c r="C168">
        <v>4974400</v>
      </c>
      <c r="D168">
        <v>126692</v>
      </c>
      <c r="E168">
        <v>4209791</v>
      </c>
      <c r="F168" t="s">
        <v>513</v>
      </c>
      <c r="G168" t="s">
        <v>29</v>
      </c>
      <c r="H168" t="s">
        <v>514</v>
      </c>
    </row>
    <row r="169" spans="1:8" x14ac:dyDescent="0.25">
      <c r="A169" t="s">
        <v>1150</v>
      </c>
      <c r="B169" t="s">
        <v>137</v>
      </c>
      <c r="C169">
        <v>96457</v>
      </c>
      <c r="D169">
        <v>4636</v>
      </c>
      <c r="E169">
        <v>40598</v>
      </c>
      <c r="F169" t="s">
        <v>1153</v>
      </c>
      <c r="G169" t="s">
        <v>29</v>
      </c>
      <c r="H169" t="s">
        <v>1154</v>
      </c>
    </row>
    <row r="170" spans="1:8" x14ac:dyDescent="0.25">
      <c r="A170" t="s">
        <v>1150</v>
      </c>
      <c r="B170" t="s">
        <v>134</v>
      </c>
      <c r="C170">
        <v>95399</v>
      </c>
      <c r="D170">
        <v>1517</v>
      </c>
      <c r="E170">
        <v>43346</v>
      </c>
      <c r="F170" t="s">
        <v>361</v>
      </c>
      <c r="G170" t="s">
        <v>29</v>
      </c>
      <c r="H170" t="s">
        <v>362</v>
      </c>
    </row>
    <row r="171" spans="1:8" x14ac:dyDescent="0.25">
      <c r="A171" t="s">
        <v>1150</v>
      </c>
      <c r="B171" t="s">
        <v>131</v>
      </c>
      <c r="C171">
        <v>1663992</v>
      </c>
      <c r="D171">
        <v>37574</v>
      </c>
      <c r="E171">
        <v>529282</v>
      </c>
      <c r="F171" t="s">
        <v>469</v>
      </c>
      <c r="G171" t="s">
        <v>29</v>
      </c>
      <c r="H171" t="s">
        <v>470</v>
      </c>
    </row>
    <row r="172" spans="1:8" x14ac:dyDescent="0.25">
      <c r="A172" t="s">
        <v>1150</v>
      </c>
      <c r="B172" t="s">
        <v>128</v>
      </c>
      <c r="C172">
        <v>60878</v>
      </c>
      <c r="D172">
        <v>672</v>
      </c>
      <c r="E172">
        <v>23118</v>
      </c>
      <c r="F172" t="s">
        <v>1044</v>
      </c>
      <c r="G172" t="s">
        <v>29</v>
      </c>
      <c r="H172" t="s">
        <v>1045</v>
      </c>
    </row>
    <row r="173" spans="1:8" x14ac:dyDescent="0.25">
      <c r="A173" t="s">
        <v>1150</v>
      </c>
      <c r="B173" t="s">
        <v>127</v>
      </c>
      <c r="C173">
        <v>851610</v>
      </c>
      <c r="D173">
        <v>11140</v>
      </c>
      <c r="E173">
        <v>14928</v>
      </c>
      <c r="F173" t="s">
        <v>708</v>
      </c>
      <c r="G173" t="s">
        <v>29</v>
      </c>
      <c r="H173" t="s">
        <v>709</v>
      </c>
    </row>
    <row r="174" spans="1:8" x14ac:dyDescent="0.25">
      <c r="A174" t="s">
        <v>1150</v>
      </c>
      <c r="B174" t="s">
        <v>124</v>
      </c>
      <c r="C174">
        <v>15255</v>
      </c>
      <c r="D174">
        <v>219</v>
      </c>
      <c r="E174">
        <v>7698</v>
      </c>
      <c r="F174" t="s">
        <v>330</v>
      </c>
      <c r="G174" t="s">
        <v>29</v>
      </c>
      <c r="H174" t="s">
        <v>331</v>
      </c>
    </row>
    <row r="175" spans="1:8" x14ac:dyDescent="0.25">
      <c r="A175" t="s">
        <v>1150</v>
      </c>
      <c r="B175" t="s">
        <v>121</v>
      </c>
      <c r="C175">
        <v>11401</v>
      </c>
      <c r="D175">
        <v>100</v>
      </c>
      <c r="E175">
        <v>757</v>
      </c>
      <c r="F175" t="s">
        <v>609</v>
      </c>
      <c r="G175" t="s">
        <v>29</v>
      </c>
      <c r="H175" t="s">
        <v>610</v>
      </c>
    </row>
    <row r="176" spans="1:8" x14ac:dyDescent="0.25">
      <c r="A176" t="s">
        <v>1150</v>
      </c>
      <c r="B176" t="s">
        <v>118</v>
      </c>
      <c r="C176">
        <v>57247</v>
      </c>
      <c r="D176">
        <v>1087</v>
      </c>
      <c r="E176">
        <v>32390</v>
      </c>
      <c r="F176" t="s">
        <v>652</v>
      </c>
      <c r="G176" t="s">
        <v>29</v>
      </c>
      <c r="H176" t="s">
        <v>653</v>
      </c>
    </row>
    <row r="177" spans="1:8" x14ac:dyDescent="0.25">
      <c r="A177" t="s">
        <v>1150</v>
      </c>
      <c r="B177" t="s">
        <v>115</v>
      </c>
      <c r="C177">
        <v>1675805</v>
      </c>
      <c r="D177">
        <v>28343</v>
      </c>
      <c r="E177">
        <v>538609</v>
      </c>
      <c r="F177" t="s">
        <v>152</v>
      </c>
      <c r="G177" t="s">
        <v>29</v>
      </c>
      <c r="H177" t="s">
        <v>153</v>
      </c>
    </row>
    <row r="178" spans="1:8" x14ac:dyDescent="0.25">
      <c r="A178" t="s">
        <v>1150</v>
      </c>
      <c r="B178" t="s">
        <v>112</v>
      </c>
      <c r="C178">
        <v>22187</v>
      </c>
      <c r="D178">
        <v>427</v>
      </c>
      <c r="E178">
        <v>19061</v>
      </c>
      <c r="F178" t="s">
        <v>721</v>
      </c>
      <c r="G178" t="s">
        <v>29</v>
      </c>
      <c r="H178" t="s">
        <v>722</v>
      </c>
    </row>
    <row r="179" spans="1:8" x14ac:dyDescent="0.25">
      <c r="A179" t="s">
        <v>1150</v>
      </c>
      <c r="B179" t="s">
        <v>109</v>
      </c>
      <c r="C179">
        <v>561753</v>
      </c>
      <c r="D179">
        <v>4319</v>
      </c>
      <c r="E179">
        <v>85685</v>
      </c>
      <c r="F179" t="s">
        <v>110</v>
      </c>
      <c r="G179" t="s">
        <v>29</v>
      </c>
      <c r="H179" t="s">
        <v>111</v>
      </c>
    </row>
    <row r="180" spans="1:8" x14ac:dyDescent="0.25">
      <c r="A180" t="s">
        <v>1150</v>
      </c>
      <c r="B180" t="s">
        <v>106</v>
      </c>
      <c r="C180">
        <v>181251</v>
      </c>
      <c r="D180">
        <v>2381</v>
      </c>
      <c r="E180">
        <v>126893</v>
      </c>
      <c r="F180" t="s">
        <v>708</v>
      </c>
      <c r="G180" t="s">
        <v>29</v>
      </c>
      <c r="H180" t="s">
        <v>709</v>
      </c>
    </row>
    <row r="181" spans="1:8" x14ac:dyDescent="0.25">
      <c r="A181" t="s">
        <v>1150</v>
      </c>
      <c r="B181" t="s">
        <v>103</v>
      </c>
      <c r="C181">
        <v>2613</v>
      </c>
      <c r="D181">
        <v>3</v>
      </c>
      <c r="E181">
        <v>877</v>
      </c>
      <c r="F181" t="s">
        <v>104</v>
      </c>
      <c r="G181" t="s">
        <v>29</v>
      </c>
      <c r="H181" t="s">
        <v>105</v>
      </c>
    </row>
    <row r="182" spans="1:8" x14ac:dyDescent="0.25">
      <c r="A182" t="s">
        <v>1150</v>
      </c>
      <c r="B182" t="s">
        <v>100</v>
      </c>
      <c r="C182">
        <v>21580</v>
      </c>
      <c r="D182">
        <v>590</v>
      </c>
      <c r="E182">
        <v>20195</v>
      </c>
      <c r="F182" t="s">
        <v>806</v>
      </c>
      <c r="G182" t="s">
        <v>29</v>
      </c>
      <c r="H182" t="s">
        <v>807</v>
      </c>
    </row>
    <row r="183" spans="1:8" x14ac:dyDescent="0.25">
      <c r="A183" t="s">
        <v>1150</v>
      </c>
      <c r="B183" t="s">
        <v>97</v>
      </c>
      <c r="C183">
        <v>21590097</v>
      </c>
      <c r="D183">
        <v>601398</v>
      </c>
      <c r="E183">
        <v>11659892</v>
      </c>
      <c r="F183" t="s">
        <v>662</v>
      </c>
      <c r="G183" t="s">
        <v>29</v>
      </c>
      <c r="H183" t="s">
        <v>663</v>
      </c>
    </row>
    <row r="184" spans="1:8" x14ac:dyDescent="0.25">
      <c r="A184" t="s">
        <v>1150</v>
      </c>
      <c r="B184" t="s">
        <v>94</v>
      </c>
      <c r="C184">
        <v>504601</v>
      </c>
      <c r="D184">
        <v>18806</v>
      </c>
      <c r="E184">
        <v>178360</v>
      </c>
      <c r="F184" t="s">
        <v>779</v>
      </c>
      <c r="G184" t="s">
        <v>29</v>
      </c>
      <c r="H184" t="s">
        <v>780</v>
      </c>
    </row>
    <row r="185" spans="1:8" x14ac:dyDescent="0.25">
      <c r="A185" t="s">
        <v>1150</v>
      </c>
      <c r="B185" t="s">
        <v>91</v>
      </c>
      <c r="C185">
        <v>9472</v>
      </c>
      <c r="D185">
        <v>64</v>
      </c>
      <c r="E185">
        <v>2991</v>
      </c>
      <c r="F185" t="s">
        <v>605</v>
      </c>
      <c r="G185" t="s">
        <v>29</v>
      </c>
      <c r="H185" t="s">
        <v>606</v>
      </c>
    </row>
    <row r="186" spans="1:8" x14ac:dyDescent="0.25">
      <c r="A186" t="s">
        <v>1150</v>
      </c>
      <c r="B186" t="s">
        <v>88</v>
      </c>
      <c r="C186">
        <v>1649</v>
      </c>
      <c r="D186">
        <v>6</v>
      </c>
      <c r="E186">
        <v>898</v>
      </c>
      <c r="F186" t="s">
        <v>89</v>
      </c>
      <c r="G186" t="s">
        <v>29</v>
      </c>
      <c r="H186" t="s">
        <v>90</v>
      </c>
    </row>
    <row r="187" spans="1:8" x14ac:dyDescent="0.25">
      <c r="A187" t="s">
        <v>1150</v>
      </c>
      <c r="B187" t="s">
        <v>85</v>
      </c>
      <c r="C187">
        <v>24335</v>
      </c>
      <c r="D187">
        <v>159</v>
      </c>
      <c r="E187">
        <v>13287</v>
      </c>
      <c r="F187" t="s">
        <v>86</v>
      </c>
      <c r="G187" t="s">
        <v>29</v>
      </c>
      <c r="H187" t="s">
        <v>87</v>
      </c>
    </row>
    <row r="188" spans="1:8" x14ac:dyDescent="0.25">
      <c r="A188" t="s">
        <v>1150</v>
      </c>
      <c r="B188" t="s">
        <v>82</v>
      </c>
      <c r="C188">
        <v>19334</v>
      </c>
      <c r="D188">
        <v>38</v>
      </c>
      <c r="E188">
        <v>6517</v>
      </c>
      <c r="F188" t="s">
        <v>717</v>
      </c>
      <c r="G188" t="s">
        <v>29</v>
      </c>
      <c r="H188" t="s">
        <v>718</v>
      </c>
    </row>
    <row r="189" spans="1:8" x14ac:dyDescent="0.25">
      <c r="A189" t="s">
        <v>1150</v>
      </c>
      <c r="B189" t="s">
        <v>79</v>
      </c>
      <c r="C189">
        <v>275803</v>
      </c>
      <c r="D189">
        <v>1390</v>
      </c>
      <c r="E189">
        <v>230424</v>
      </c>
      <c r="F189" t="s">
        <v>80</v>
      </c>
      <c r="G189" t="s">
        <v>29</v>
      </c>
      <c r="H189" t="s">
        <v>81</v>
      </c>
    </row>
    <row r="190" spans="1:8" x14ac:dyDescent="0.25">
      <c r="A190" t="s">
        <v>1150</v>
      </c>
      <c r="B190" t="s">
        <v>76</v>
      </c>
      <c r="C190">
        <v>527802</v>
      </c>
      <c r="D190">
        <v>21906</v>
      </c>
      <c r="E190">
        <v>262311</v>
      </c>
      <c r="F190" t="s">
        <v>1151</v>
      </c>
      <c r="G190" t="s">
        <v>29</v>
      </c>
      <c r="H190" t="s">
        <v>1152</v>
      </c>
    </row>
    <row r="191" spans="1:8" x14ac:dyDescent="0.25">
      <c r="A191" t="s">
        <v>1150</v>
      </c>
      <c r="B191" t="s">
        <v>73</v>
      </c>
      <c r="C191">
        <v>14546</v>
      </c>
      <c r="D191">
        <v>200</v>
      </c>
      <c r="E191">
        <v>11829</v>
      </c>
      <c r="F191" t="s">
        <v>391</v>
      </c>
      <c r="G191" t="s">
        <v>29</v>
      </c>
      <c r="H191" t="s">
        <v>392</v>
      </c>
    </row>
    <row r="192" spans="1:8" x14ac:dyDescent="0.25">
      <c r="A192" t="s">
        <v>1150</v>
      </c>
      <c r="B192" t="s">
        <v>70</v>
      </c>
      <c r="C192">
        <v>1269002</v>
      </c>
      <c r="D192">
        <v>25713</v>
      </c>
      <c r="E192">
        <v>958352</v>
      </c>
      <c r="F192" t="s">
        <v>713</v>
      </c>
      <c r="G192" t="s">
        <v>29</v>
      </c>
      <c r="H192" t="s">
        <v>714</v>
      </c>
    </row>
    <row r="193" spans="1:8" x14ac:dyDescent="0.25">
      <c r="A193" t="s">
        <v>1150</v>
      </c>
      <c r="B193" t="s">
        <v>67</v>
      </c>
      <c r="C193">
        <v>1563501</v>
      </c>
      <c r="D193">
        <v>27713</v>
      </c>
      <c r="E193">
        <v>728352</v>
      </c>
      <c r="F193" t="s">
        <v>769</v>
      </c>
      <c r="G193" t="s">
        <v>29</v>
      </c>
      <c r="H193" t="s">
        <v>770</v>
      </c>
    </row>
    <row r="194" spans="1:8" x14ac:dyDescent="0.25">
      <c r="A194" t="s">
        <v>1150</v>
      </c>
      <c r="B194" t="s">
        <v>64</v>
      </c>
      <c r="C194">
        <v>11474</v>
      </c>
      <c r="D194">
        <v>101</v>
      </c>
      <c r="E194">
        <v>865</v>
      </c>
      <c r="F194" t="s">
        <v>609</v>
      </c>
      <c r="G194" t="s">
        <v>29</v>
      </c>
      <c r="H194" t="s">
        <v>610</v>
      </c>
    </row>
    <row r="195" spans="1:8" x14ac:dyDescent="0.25">
      <c r="A195" t="s">
        <v>1150</v>
      </c>
      <c r="B195" t="s">
        <v>61</v>
      </c>
      <c r="C195">
        <v>241946</v>
      </c>
      <c r="D195">
        <v>11009</v>
      </c>
      <c r="E195">
        <v>148508</v>
      </c>
      <c r="F195" t="s">
        <v>561</v>
      </c>
      <c r="G195" t="s">
        <v>29</v>
      </c>
      <c r="H195" t="s">
        <v>562</v>
      </c>
    </row>
    <row r="196" spans="1:8" x14ac:dyDescent="0.25">
      <c r="A196" t="s">
        <v>1150</v>
      </c>
      <c r="B196" t="s">
        <v>58</v>
      </c>
      <c r="C196">
        <v>494067</v>
      </c>
      <c r="D196">
        <v>6692</v>
      </c>
      <c r="E196">
        <v>385651</v>
      </c>
      <c r="F196" t="s">
        <v>409</v>
      </c>
      <c r="G196" t="s">
        <v>29</v>
      </c>
      <c r="H196" t="s">
        <v>410</v>
      </c>
    </row>
    <row r="197" spans="1:8" x14ac:dyDescent="0.25">
      <c r="A197" t="s">
        <v>1150</v>
      </c>
      <c r="B197" t="s">
        <v>55</v>
      </c>
      <c r="C197">
        <v>133444</v>
      </c>
      <c r="D197">
        <v>1478</v>
      </c>
      <c r="E197">
        <v>119889</v>
      </c>
      <c r="F197" t="s">
        <v>1098</v>
      </c>
      <c r="G197" t="s">
        <v>29</v>
      </c>
      <c r="H197" t="s">
        <v>1099</v>
      </c>
    </row>
    <row r="198" spans="1:8" x14ac:dyDescent="0.25">
      <c r="A198" t="s">
        <v>1150</v>
      </c>
      <c r="B198" t="s">
        <v>52</v>
      </c>
      <c r="C198">
        <v>763928</v>
      </c>
      <c r="D198">
        <v>11120</v>
      </c>
      <c r="E198">
        <v>238781</v>
      </c>
      <c r="F198" t="s">
        <v>565</v>
      </c>
      <c r="G198" t="s">
        <v>29</v>
      </c>
      <c r="H198" t="s">
        <v>566</v>
      </c>
    </row>
    <row r="199" spans="1:8" x14ac:dyDescent="0.25">
      <c r="A199" t="s">
        <v>1150</v>
      </c>
      <c r="B199" t="s">
        <v>49</v>
      </c>
      <c r="C199">
        <v>5267339</v>
      </c>
      <c r="D199">
        <v>115547</v>
      </c>
      <c r="E199">
        <v>2355761</v>
      </c>
      <c r="F199" t="s">
        <v>50</v>
      </c>
      <c r="G199" t="s">
        <v>29</v>
      </c>
      <c r="H199" t="s">
        <v>51</v>
      </c>
    </row>
    <row r="200" spans="1:8" x14ac:dyDescent="0.25">
      <c r="A200" t="s">
        <v>1150</v>
      </c>
      <c r="B200" t="s">
        <v>46</v>
      </c>
      <c r="C200">
        <v>61794</v>
      </c>
      <c r="D200">
        <v>1642</v>
      </c>
      <c r="E200">
        <v>43848</v>
      </c>
      <c r="F200" t="s">
        <v>47</v>
      </c>
      <c r="G200" t="s">
        <v>29</v>
      </c>
      <c r="H200" t="s">
        <v>48</v>
      </c>
    </row>
    <row r="201" spans="1:8" x14ac:dyDescent="0.25">
      <c r="A201" t="s">
        <v>1150</v>
      </c>
      <c r="B201" t="s">
        <v>43</v>
      </c>
      <c r="C201">
        <v>273860</v>
      </c>
      <c r="D201">
        <v>5618</v>
      </c>
      <c r="E201">
        <v>139529</v>
      </c>
      <c r="F201" t="s">
        <v>579</v>
      </c>
      <c r="G201" t="s">
        <v>29</v>
      </c>
      <c r="H201" t="s">
        <v>580</v>
      </c>
    </row>
    <row r="202" spans="1:8" x14ac:dyDescent="0.25">
      <c r="A202" t="s">
        <v>1150</v>
      </c>
      <c r="B202" t="s">
        <v>40</v>
      </c>
      <c r="C202">
        <v>175664</v>
      </c>
      <c r="D202">
        <v>2783</v>
      </c>
      <c r="E202">
        <v>100180</v>
      </c>
      <c r="F202" t="s">
        <v>577</v>
      </c>
      <c r="G202" t="s">
        <v>29</v>
      </c>
      <c r="H202" t="s">
        <v>578</v>
      </c>
    </row>
    <row r="203" spans="1:8" x14ac:dyDescent="0.25">
      <c r="A203" t="s">
        <v>1150</v>
      </c>
      <c r="B203" t="s">
        <v>37</v>
      </c>
      <c r="C203">
        <v>3772</v>
      </c>
      <c r="D203">
        <v>93</v>
      </c>
      <c r="E203">
        <v>2185</v>
      </c>
      <c r="F203" t="s">
        <v>961</v>
      </c>
      <c r="G203" t="s">
        <v>29</v>
      </c>
      <c r="H203" t="s">
        <v>962</v>
      </c>
    </row>
    <row r="204" spans="1:8" x14ac:dyDescent="0.25">
      <c r="A204" t="s">
        <v>1150</v>
      </c>
      <c r="B204" t="s">
        <v>34</v>
      </c>
      <c r="C204">
        <v>155599</v>
      </c>
      <c r="D204">
        <v>7230</v>
      </c>
      <c r="E204">
        <v>97518</v>
      </c>
      <c r="F204" t="s">
        <v>900</v>
      </c>
      <c r="G204" t="s">
        <v>29</v>
      </c>
      <c r="H204" t="s">
        <v>901</v>
      </c>
    </row>
    <row r="205" spans="1:8" x14ac:dyDescent="0.25">
      <c r="A205" t="s">
        <v>1150</v>
      </c>
      <c r="B205" t="s">
        <v>31</v>
      </c>
      <c r="C205">
        <v>738026</v>
      </c>
      <c r="D205">
        <v>2115</v>
      </c>
      <c r="E205">
        <v>347197</v>
      </c>
      <c r="F205" t="s">
        <v>32</v>
      </c>
      <c r="G205" t="s">
        <v>29</v>
      </c>
      <c r="H205" t="s">
        <v>33</v>
      </c>
    </row>
    <row r="206" spans="1:8" x14ac:dyDescent="0.25">
      <c r="A206" t="s">
        <v>1150</v>
      </c>
      <c r="B206" t="s">
        <v>27</v>
      </c>
      <c r="C206">
        <v>15307</v>
      </c>
      <c r="D206">
        <v>130</v>
      </c>
      <c r="E206">
        <v>10831</v>
      </c>
      <c r="F206" t="s">
        <v>685</v>
      </c>
      <c r="G206" t="s">
        <v>29</v>
      </c>
      <c r="H206" t="s">
        <v>686</v>
      </c>
    </row>
    <row r="208" spans="1:8" x14ac:dyDescent="0.25">
      <c r="C208">
        <f>SUM(Tableau1[Infections])</f>
        <v>238704327</v>
      </c>
      <c r="D208">
        <f>SUM(Tableau1[Deces])</f>
        <v>4865925</v>
      </c>
      <c r="E208">
        <f>SUM(Tableau1[Guerisons])</f>
        <v>90751309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3:J35"/>
  <sheetViews>
    <sheetView workbookViewId="0">
      <selection activeCell="D28" sqref="D28"/>
    </sheetView>
  </sheetViews>
  <sheetFormatPr defaultColWidth="11.42578125" defaultRowHeight="15" x14ac:dyDescent="0.25"/>
  <cols>
    <col min="1" max="1" width="21" bestFit="1" customWidth="1"/>
    <col min="2" max="2" width="19.85546875" bestFit="1" customWidth="1"/>
    <col min="5" max="5" width="21" bestFit="1" customWidth="1"/>
    <col min="6" max="6" width="20" bestFit="1" customWidth="1"/>
    <col min="9" max="9" width="21" bestFit="1" customWidth="1"/>
    <col min="10" max="10" width="16.28515625" bestFit="1" customWidth="1"/>
  </cols>
  <sheetData>
    <row r="3" spans="1:10" x14ac:dyDescent="0.25">
      <c r="A3" s="7" t="s">
        <v>1165</v>
      </c>
      <c r="B3" t="s">
        <v>1167</v>
      </c>
      <c r="E3" s="7" t="s">
        <v>1165</v>
      </c>
      <c r="F3" t="s">
        <v>1172</v>
      </c>
      <c r="I3" s="7" t="s">
        <v>1165</v>
      </c>
      <c r="J3" t="s">
        <v>1168</v>
      </c>
    </row>
    <row r="4" spans="1:10" x14ac:dyDescent="0.25">
      <c r="A4" s="8" t="s">
        <v>1150</v>
      </c>
      <c r="B4" s="9">
        <v>238704327</v>
      </c>
      <c r="E4" s="8" t="s">
        <v>1150</v>
      </c>
      <c r="F4" s="9">
        <v>90751309</v>
      </c>
      <c r="I4" s="8" t="s">
        <v>1150</v>
      </c>
      <c r="J4" s="9">
        <v>4865925</v>
      </c>
    </row>
    <row r="5" spans="1:10" x14ac:dyDescent="0.25">
      <c r="A5" s="8" t="s">
        <v>1135</v>
      </c>
      <c r="B5" s="9">
        <v>239166993</v>
      </c>
      <c r="E5" s="8" t="s">
        <v>1135</v>
      </c>
      <c r="F5" s="9">
        <v>107062654</v>
      </c>
      <c r="I5" s="8" t="s">
        <v>1135</v>
      </c>
      <c r="J5" s="9">
        <v>4874301</v>
      </c>
    </row>
    <row r="6" spans="1:10" x14ac:dyDescent="0.25">
      <c r="A6" s="8" t="s">
        <v>1124</v>
      </c>
      <c r="B6" s="9">
        <v>239610768</v>
      </c>
      <c r="E6" s="8" t="s">
        <v>1124</v>
      </c>
      <c r="F6" s="9">
        <v>128554211</v>
      </c>
      <c r="I6" s="8" t="s">
        <v>1124</v>
      </c>
      <c r="J6" s="9">
        <v>4882174</v>
      </c>
    </row>
    <row r="7" spans="1:10" x14ac:dyDescent="0.25">
      <c r="A7" s="8" t="s">
        <v>1111</v>
      </c>
      <c r="B7" s="9">
        <v>240071516</v>
      </c>
      <c r="E7" s="8" t="s">
        <v>1111</v>
      </c>
      <c r="F7" s="9">
        <v>128575154</v>
      </c>
      <c r="I7" s="8" t="s">
        <v>1111</v>
      </c>
      <c r="J7" s="9">
        <v>4889368</v>
      </c>
    </row>
    <row r="8" spans="1:10" x14ac:dyDescent="0.25">
      <c r="A8" s="8" t="s">
        <v>1104</v>
      </c>
      <c r="B8" s="9">
        <v>240404151</v>
      </c>
      <c r="E8" s="8" t="s">
        <v>1104</v>
      </c>
      <c r="F8" s="9">
        <v>134583597</v>
      </c>
      <c r="I8" s="8" t="s">
        <v>1104</v>
      </c>
      <c r="J8" s="9">
        <v>4894513</v>
      </c>
    </row>
    <row r="9" spans="1:10" x14ac:dyDescent="0.25">
      <c r="A9" s="8" t="s">
        <v>1091</v>
      </c>
      <c r="B9" s="9">
        <v>240705478</v>
      </c>
      <c r="E9" s="8" t="s">
        <v>1091</v>
      </c>
      <c r="F9" s="9">
        <v>99941987</v>
      </c>
      <c r="I9" s="8" t="s">
        <v>1091</v>
      </c>
      <c r="J9" s="9">
        <v>4898674</v>
      </c>
    </row>
    <row r="10" spans="1:10" x14ac:dyDescent="0.25">
      <c r="A10" s="8" t="s">
        <v>1082</v>
      </c>
      <c r="B10" s="9">
        <v>241131400</v>
      </c>
      <c r="E10" s="8" t="s">
        <v>1082</v>
      </c>
      <c r="F10" s="9">
        <v>140955366</v>
      </c>
      <c r="I10" s="8" t="s">
        <v>1082</v>
      </c>
      <c r="J10" s="9">
        <v>4905094</v>
      </c>
    </row>
    <row r="11" spans="1:10" x14ac:dyDescent="0.25">
      <c r="A11" s="8" t="s">
        <v>1075</v>
      </c>
      <c r="B11" s="9">
        <v>241572651</v>
      </c>
      <c r="E11" s="8" t="s">
        <v>1075</v>
      </c>
      <c r="F11" s="9">
        <v>118720384</v>
      </c>
      <c r="I11" s="8" t="s">
        <v>1075</v>
      </c>
      <c r="J11" s="9">
        <v>4913939</v>
      </c>
    </row>
    <row r="12" spans="1:10" x14ac:dyDescent="0.25">
      <c r="A12" s="8" t="s">
        <v>1052</v>
      </c>
      <c r="B12" s="9">
        <v>242040335</v>
      </c>
      <c r="E12" s="8" t="s">
        <v>1052</v>
      </c>
      <c r="F12" s="9">
        <v>136953732</v>
      </c>
      <c r="I12" s="8" t="s">
        <v>1052</v>
      </c>
      <c r="J12" s="9">
        <v>4922526</v>
      </c>
    </row>
    <row r="13" spans="1:10" x14ac:dyDescent="0.25">
      <c r="A13" s="8" t="s">
        <v>1033</v>
      </c>
      <c r="B13" s="9">
        <v>242497669</v>
      </c>
      <c r="E13" s="8" t="s">
        <v>1033</v>
      </c>
      <c r="F13" s="9">
        <v>78540486</v>
      </c>
      <c r="I13" s="8" t="s">
        <v>1033</v>
      </c>
      <c r="J13" s="9">
        <v>4930127</v>
      </c>
    </row>
    <row r="14" spans="1:10" x14ac:dyDescent="0.25">
      <c r="A14" s="8" t="s">
        <v>1022</v>
      </c>
      <c r="B14" s="9">
        <v>242986640</v>
      </c>
      <c r="E14" s="8" t="s">
        <v>1022</v>
      </c>
      <c r="F14" s="9">
        <v>130670226</v>
      </c>
      <c r="I14" s="8" t="s">
        <v>1022</v>
      </c>
      <c r="J14" s="9">
        <v>4938261</v>
      </c>
    </row>
    <row r="15" spans="1:10" x14ac:dyDescent="0.25">
      <c r="A15" s="8" t="s">
        <v>1011</v>
      </c>
      <c r="B15" s="9">
        <v>243374239</v>
      </c>
      <c r="E15" s="8" t="s">
        <v>1011</v>
      </c>
      <c r="F15" s="9">
        <v>126710463</v>
      </c>
      <c r="I15" s="8" t="s">
        <v>1011</v>
      </c>
      <c r="J15" s="9">
        <v>4943926</v>
      </c>
    </row>
    <row r="16" spans="1:10" x14ac:dyDescent="0.25">
      <c r="A16" s="8" t="s">
        <v>994</v>
      </c>
      <c r="B16" s="9">
        <v>243691280</v>
      </c>
      <c r="E16" s="8" t="s">
        <v>994</v>
      </c>
      <c r="F16" s="9">
        <v>127707447</v>
      </c>
      <c r="I16" s="8" t="s">
        <v>994</v>
      </c>
      <c r="J16" s="9">
        <v>4948410</v>
      </c>
    </row>
    <row r="17" spans="1:10" x14ac:dyDescent="0.25">
      <c r="A17" s="8" t="s">
        <v>977</v>
      </c>
      <c r="B17" s="9">
        <v>244097101</v>
      </c>
      <c r="E17" s="8" t="s">
        <v>977</v>
      </c>
      <c r="F17" s="9">
        <v>138789716</v>
      </c>
      <c r="I17" s="8" t="s">
        <v>977</v>
      </c>
      <c r="J17" s="9">
        <v>4955579</v>
      </c>
    </row>
    <row r="18" spans="1:10" x14ac:dyDescent="0.25">
      <c r="A18" s="8" t="s">
        <v>948</v>
      </c>
      <c r="B18" s="9">
        <v>244549456</v>
      </c>
      <c r="E18" s="8" t="s">
        <v>948</v>
      </c>
      <c r="F18" s="9">
        <v>114248581</v>
      </c>
      <c r="I18" s="8" t="s">
        <v>948</v>
      </c>
      <c r="J18" s="9">
        <v>4963445</v>
      </c>
    </row>
    <row r="19" spans="1:10" x14ac:dyDescent="0.25">
      <c r="A19" s="8" t="s">
        <v>925</v>
      </c>
      <c r="B19" s="9">
        <v>245059414</v>
      </c>
      <c r="E19" s="8" t="s">
        <v>925</v>
      </c>
      <c r="F19" s="9">
        <v>141305604</v>
      </c>
      <c r="I19" s="8" t="s">
        <v>925</v>
      </c>
      <c r="J19" s="9">
        <v>4973035</v>
      </c>
    </row>
    <row r="20" spans="1:10" x14ac:dyDescent="0.25">
      <c r="A20" s="8" t="s">
        <v>902</v>
      </c>
      <c r="B20" s="9">
        <v>245517786</v>
      </c>
      <c r="E20" s="8" t="s">
        <v>902</v>
      </c>
      <c r="F20" s="9">
        <v>132041651</v>
      </c>
      <c r="I20" s="8" t="s">
        <v>902</v>
      </c>
      <c r="J20" s="9">
        <v>4981549</v>
      </c>
    </row>
    <row r="21" spans="1:10" x14ac:dyDescent="0.25">
      <c r="A21" s="8" t="s">
        <v>881</v>
      </c>
      <c r="B21" s="9">
        <v>246024844</v>
      </c>
      <c r="E21" s="8" t="s">
        <v>881</v>
      </c>
      <c r="F21" s="9">
        <v>79171852</v>
      </c>
      <c r="I21" s="8" t="s">
        <v>881</v>
      </c>
      <c r="J21" s="9">
        <v>4989532</v>
      </c>
    </row>
    <row r="22" spans="1:10" x14ac:dyDescent="0.25">
      <c r="A22" s="8" t="s">
        <v>864</v>
      </c>
      <c r="B22" s="9">
        <v>246405741</v>
      </c>
      <c r="E22" s="8" t="s">
        <v>864</v>
      </c>
      <c r="F22" s="9">
        <v>92689388</v>
      </c>
      <c r="I22" s="8" t="s">
        <v>864</v>
      </c>
      <c r="J22" s="9">
        <v>4995689</v>
      </c>
    </row>
    <row r="23" spans="1:10" x14ac:dyDescent="0.25">
      <c r="A23" s="8" t="s">
        <v>841</v>
      </c>
      <c r="B23" s="9">
        <v>246725414</v>
      </c>
      <c r="E23" s="8" t="s">
        <v>841</v>
      </c>
      <c r="F23" s="9">
        <v>106977648</v>
      </c>
      <c r="I23" s="8" t="s">
        <v>841</v>
      </c>
      <c r="J23" s="9">
        <v>5000096</v>
      </c>
    </row>
    <row r="24" spans="1:10" x14ac:dyDescent="0.25">
      <c r="A24" s="8" t="s">
        <v>816</v>
      </c>
      <c r="B24" s="9">
        <v>247148066</v>
      </c>
      <c r="E24" s="8" t="s">
        <v>816</v>
      </c>
      <c r="F24" s="9">
        <v>126423491</v>
      </c>
      <c r="I24" s="8" t="s">
        <v>816</v>
      </c>
      <c r="J24" s="9">
        <v>5006355</v>
      </c>
    </row>
    <row r="25" spans="1:10" x14ac:dyDescent="0.25">
      <c r="A25" s="8" t="s">
        <v>789</v>
      </c>
      <c r="B25" s="9">
        <v>247578392</v>
      </c>
      <c r="E25" s="8" t="s">
        <v>789</v>
      </c>
      <c r="F25" s="9">
        <v>108009703</v>
      </c>
      <c r="I25" s="8" t="s">
        <v>789</v>
      </c>
      <c r="J25" s="9">
        <v>5013914</v>
      </c>
    </row>
    <row r="26" spans="1:10" x14ac:dyDescent="0.25">
      <c r="A26" s="8" t="s">
        <v>762</v>
      </c>
      <c r="B26" s="9">
        <v>248096505</v>
      </c>
      <c r="E26" s="8" t="s">
        <v>762</v>
      </c>
      <c r="F26" s="9">
        <v>134541708</v>
      </c>
      <c r="I26" s="8" t="s">
        <v>762</v>
      </c>
      <c r="J26" s="9">
        <v>5022207</v>
      </c>
    </row>
    <row r="27" spans="1:10" x14ac:dyDescent="0.25">
      <c r="A27" s="8" t="s">
        <v>739</v>
      </c>
      <c r="B27" s="9">
        <v>248621304</v>
      </c>
      <c r="E27" s="8" t="s">
        <v>739</v>
      </c>
      <c r="F27" s="9">
        <v>118979290</v>
      </c>
      <c r="I27" s="8" t="s">
        <v>739</v>
      </c>
      <c r="J27" s="9">
        <v>5029835</v>
      </c>
    </row>
    <row r="28" spans="1:10" x14ac:dyDescent="0.25">
      <c r="A28" s="8" t="s">
        <v>710</v>
      </c>
      <c r="B28" s="9">
        <v>249133045</v>
      </c>
      <c r="E28" s="8" t="s">
        <v>710</v>
      </c>
      <c r="F28" s="9">
        <v>140801191</v>
      </c>
      <c r="I28" s="8" t="s">
        <v>710</v>
      </c>
      <c r="J28" s="9">
        <v>5038368</v>
      </c>
    </row>
    <row r="29" spans="1:10" x14ac:dyDescent="0.25">
      <c r="A29" s="8" t="s">
        <v>697</v>
      </c>
      <c r="B29" s="9">
        <v>249544565</v>
      </c>
      <c r="E29" s="8" t="s">
        <v>697</v>
      </c>
      <c r="F29" s="9">
        <v>147285765</v>
      </c>
      <c r="I29" s="8" t="s">
        <v>697</v>
      </c>
      <c r="J29" s="9">
        <v>5044867</v>
      </c>
    </row>
    <row r="30" spans="1:10" x14ac:dyDescent="0.25">
      <c r="A30" s="8" t="s">
        <v>666</v>
      </c>
      <c r="B30" s="9">
        <v>249877000</v>
      </c>
      <c r="E30" s="8" t="s">
        <v>666</v>
      </c>
      <c r="F30" s="9">
        <v>120911639</v>
      </c>
      <c r="I30" s="8" t="s">
        <v>666</v>
      </c>
      <c r="J30" s="9">
        <v>5049261</v>
      </c>
    </row>
    <row r="31" spans="1:10" x14ac:dyDescent="0.25">
      <c r="A31" s="8" t="s">
        <v>623</v>
      </c>
      <c r="B31" s="9">
        <v>250367330</v>
      </c>
      <c r="E31" s="8" t="s">
        <v>623</v>
      </c>
      <c r="F31" s="9">
        <v>100899124</v>
      </c>
      <c r="I31" s="8" t="s">
        <v>623</v>
      </c>
      <c r="J31" s="9">
        <v>5055955</v>
      </c>
    </row>
    <row r="32" spans="1:10" x14ac:dyDescent="0.25">
      <c r="A32" s="8" t="s">
        <v>554</v>
      </c>
      <c r="B32" s="9">
        <v>250846628</v>
      </c>
      <c r="E32" s="8" t="s">
        <v>554</v>
      </c>
      <c r="F32" s="9">
        <v>78755317</v>
      </c>
      <c r="I32" s="8" t="s">
        <v>554</v>
      </c>
      <c r="J32" s="9">
        <v>5064350</v>
      </c>
    </row>
    <row r="33" spans="1:10" x14ac:dyDescent="0.25">
      <c r="A33" s="8" t="s">
        <v>551</v>
      </c>
      <c r="B33" s="9">
        <v>251406520</v>
      </c>
      <c r="E33" s="8" t="s">
        <v>551</v>
      </c>
      <c r="F33" s="9">
        <v>135226710</v>
      </c>
      <c r="I33" s="8" t="s">
        <v>551</v>
      </c>
      <c r="J33" s="9">
        <v>5072104</v>
      </c>
    </row>
    <row r="34" spans="1:10" x14ac:dyDescent="0.25">
      <c r="A34" s="8" t="s">
        <v>26</v>
      </c>
      <c r="B34" s="9">
        <v>251461965</v>
      </c>
      <c r="E34" s="8" t="s">
        <v>26</v>
      </c>
      <c r="F34" s="9">
        <v>105196592</v>
      </c>
      <c r="I34" s="8" t="s">
        <v>26</v>
      </c>
      <c r="J34" s="9">
        <v>5073411</v>
      </c>
    </row>
    <row r="35" spans="1:10" x14ac:dyDescent="0.25">
      <c r="A35" s="8" t="s">
        <v>1166</v>
      </c>
      <c r="B35" s="9">
        <v>7598418523</v>
      </c>
      <c r="E35" s="8" t="s">
        <v>1166</v>
      </c>
      <c r="F35" s="9">
        <v>3671981986</v>
      </c>
      <c r="I35" s="8" t="s">
        <v>1166</v>
      </c>
      <c r="J35" s="9">
        <v>154136790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I6375"/>
  <sheetViews>
    <sheetView topLeftCell="A6254" workbookViewId="0">
      <selection activeCell="B14" sqref="B14"/>
    </sheetView>
  </sheetViews>
  <sheetFormatPr defaultColWidth="11.42578125" defaultRowHeight="15" x14ac:dyDescent="0.25"/>
  <cols>
    <col min="1" max="1" width="10.28515625" bestFit="1" customWidth="1"/>
    <col min="2" max="2" width="23.7109375" bestFit="1" customWidth="1"/>
    <col min="3" max="3" width="23.5703125" style="5" customWidth="1"/>
    <col min="4" max="4" width="17.5703125" style="4" customWidth="1"/>
    <col min="5" max="5" width="11.42578125" bestFit="1" customWidth="1"/>
    <col min="6" max="6" width="12.140625" bestFit="1" customWidth="1"/>
    <col min="7" max="8" width="14.7109375" bestFit="1" customWidth="1"/>
  </cols>
  <sheetData>
    <row r="1" spans="1:9" x14ac:dyDescent="0.25">
      <c r="A1" t="s">
        <v>18</v>
      </c>
      <c r="B1" t="s">
        <v>19</v>
      </c>
      <c r="C1" s="5" t="s">
        <v>20</v>
      </c>
      <c r="D1" t="s">
        <v>21</v>
      </c>
      <c r="E1" t="s">
        <v>22</v>
      </c>
      <c r="F1" t="s">
        <v>23</v>
      </c>
      <c r="G1" t="s">
        <v>24</v>
      </c>
      <c r="H1" t="s">
        <v>25</v>
      </c>
    </row>
    <row r="2" spans="1:9" x14ac:dyDescent="0.25">
      <c r="A2" t="s">
        <v>26</v>
      </c>
      <c r="B2" t="s">
        <v>27</v>
      </c>
      <c r="C2" s="10">
        <v>15744</v>
      </c>
      <c r="D2" s="5">
        <v>130</v>
      </c>
      <c r="E2">
        <v>11614</v>
      </c>
      <c r="F2" s="4" t="s">
        <v>28</v>
      </c>
      <c r="G2" t="s">
        <v>29</v>
      </c>
      <c r="H2" t="s">
        <v>30</v>
      </c>
      <c r="I2" s="5"/>
    </row>
    <row r="3" spans="1:9" x14ac:dyDescent="0.25">
      <c r="A3" t="s">
        <v>26</v>
      </c>
      <c r="B3" t="s">
        <v>31</v>
      </c>
      <c r="C3" s="5">
        <v>740647</v>
      </c>
      <c r="D3" s="5">
        <v>2142</v>
      </c>
      <c r="E3">
        <v>425987</v>
      </c>
      <c r="F3" s="4" t="s">
        <v>32</v>
      </c>
      <c r="G3" t="s">
        <v>29</v>
      </c>
      <c r="H3" t="s">
        <v>33</v>
      </c>
    </row>
    <row r="4" spans="1:9" x14ac:dyDescent="0.25">
      <c r="A4" t="s">
        <v>26</v>
      </c>
      <c r="B4" t="s">
        <v>34</v>
      </c>
      <c r="C4" s="5">
        <v>156414</v>
      </c>
      <c r="D4" s="5">
        <v>7291</v>
      </c>
      <c r="E4">
        <v>68377</v>
      </c>
      <c r="F4" s="4" t="s">
        <v>35</v>
      </c>
      <c r="G4" t="s">
        <v>29</v>
      </c>
      <c r="H4" t="s">
        <v>36</v>
      </c>
    </row>
    <row r="5" spans="1:9" x14ac:dyDescent="0.25">
      <c r="A5" t="s">
        <v>26</v>
      </c>
      <c r="B5" t="s">
        <v>37</v>
      </c>
      <c r="C5" s="5">
        <v>4102</v>
      </c>
      <c r="D5" s="5">
        <v>105</v>
      </c>
      <c r="E5">
        <v>152</v>
      </c>
      <c r="F5" s="4" t="s">
        <v>38</v>
      </c>
      <c r="G5" t="s">
        <v>29</v>
      </c>
      <c r="H5" t="s">
        <v>39</v>
      </c>
    </row>
    <row r="6" spans="1:9" x14ac:dyDescent="0.25">
      <c r="A6" t="s">
        <v>26</v>
      </c>
      <c r="B6" t="s">
        <v>40</v>
      </c>
      <c r="C6" s="5">
        <v>190815</v>
      </c>
      <c r="D6" s="5">
        <v>2975</v>
      </c>
      <c r="E6">
        <v>56272</v>
      </c>
      <c r="F6" s="4" t="s">
        <v>41</v>
      </c>
      <c r="G6" t="s">
        <v>29</v>
      </c>
      <c r="H6" t="s">
        <v>42</v>
      </c>
    </row>
    <row r="7" spans="1:9" x14ac:dyDescent="0.25">
      <c r="A7" t="s">
        <v>26</v>
      </c>
      <c r="B7" t="s">
        <v>43</v>
      </c>
      <c r="C7" s="5">
        <v>324039</v>
      </c>
      <c r="D7" s="5">
        <v>6831</v>
      </c>
      <c r="E7">
        <v>202801</v>
      </c>
      <c r="F7" s="4" t="s">
        <v>44</v>
      </c>
      <c r="G7" t="s">
        <v>29</v>
      </c>
      <c r="H7" t="s">
        <v>45</v>
      </c>
    </row>
    <row r="8" spans="1:9" x14ac:dyDescent="0.25">
      <c r="A8" t="s">
        <v>26</v>
      </c>
      <c r="B8" t="s">
        <v>46</v>
      </c>
      <c r="C8" s="5">
        <v>64815</v>
      </c>
      <c r="D8" s="5">
        <v>1723</v>
      </c>
      <c r="E8">
        <v>58927</v>
      </c>
      <c r="F8" s="4" t="s">
        <v>47</v>
      </c>
      <c r="G8" t="s">
        <v>29</v>
      </c>
      <c r="H8" t="s">
        <v>48</v>
      </c>
    </row>
    <row r="9" spans="1:9" x14ac:dyDescent="0.25">
      <c r="A9" t="s">
        <v>26</v>
      </c>
      <c r="B9" t="s">
        <v>49</v>
      </c>
      <c r="C9" s="5">
        <v>5300985</v>
      </c>
      <c r="D9" s="5">
        <v>116184</v>
      </c>
      <c r="E9">
        <v>3376917</v>
      </c>
      <c r="F9" s="4" t="s">
        <v>50</v>
      </c>
      <c r="G9" t="s">
        <v>29</v>
      </c>
      <c r="H9" t="s">
        <v>51</v>
      </c>
    </row>
    <row r="10" spans="1:9" x14ac:dyDescent="0.25">
      <c r="A10" t="s">
        <v>26</v>
      </c>
      <c r="B10" t="s">
        <v>52</v>
      </c>
      <c r="C10" s="5">
        <v>911175</v>
      </c>
      <c r="D10" s="5">
        <v>11577</v>
      </c>
      <c r="E10">
        <v>517627</v>
      </c>
      <c r="F10" s="4" t="s">
        <v>53</v>
      </c>
      <c r="G10" t="s">
        <v>29</v>
      </c>
      <c r="H10" t="s">
        <v>54</v>
      </c>
    </row>
    <row r="11" spans="1:9" x14ac:dyDescent="0.25">
      <c r="A11" t="s">
        <v>26</v>
      </c>
      <c r="B11" t="s">
        <v>55</v>
      </c>
      <c r="C11" s="5">
        <v>185627</v>
      </c>
      <c r="D11" s="5">
        <v>1862</v>
      </c>
      <c r="E11">
        <v>9339</v>
      </c>
      <c r="F11" s="4" t="s">
        <v>56</v>
      </c>
      <c r="G11" t="s">
        <v>29</v>
      </c>
      <c r="H11" t="s">
        <v>57</v>
      </c>
    </row>
    <row r="12" spans="1:9" x14ac:dyDescent="0.25">
      <c r="A12" t="s">
        <v>26</v>
      </c>
      <c r="B12" t="s">
        <v>58</v>
      </c>
      <c r="C12" s="5">
        <v>552322</v>
      </c>
      <c r="D12" s="5">
        <v>7342</v>
      </c>
      <c r="E12">
        <v>16354</v>
      </c>
      <c r="F12" s="4" t="s">
        <v>59</v>
      </c>
      <c r="G12" t="s">
        <v>29</v>
      </c>
      <c r="H12" t="s">
        <v>60</v>
      </c>
    </row>
    <row r="13" spans="1:9" x14ac:dyDescent="0.25">
      <c r="A13" t="s">
        <v>26</v>
      </c>
      <c r="B13" t="s">
        <v>61</v>
      </c>
      <c r="C13" s="5">
        <v>261799</v>
      </c>
      <c r="D13" s="5">
        <v>11891</v>
      </c>
      <c r="E13">
        <v>41041</v>
      </c>
      <c r="F13" s="4" t="s">
        <v>62</v>
      </c>
      <c r="G13" t="s">
        <v>29</v>
      </c>
      <c r="H13" t="s">
        <v>63</v>
      </c>
    </row>
    <row r="14" spans="1:9" x14ac:dyDescent="0.25">
      <c r="A14" t="s">
        <v>26</v>
      </c>
      <c r="B14" t="s">
        <v>64</v>
      </c>
      <c r="C14" s="5">
        <v>21011</v>
      </c>
      <c r="D14" s="5">
        <v>187</v>
      </c>
      <c r="E14">
        <v>16800</v>
      </c>
      <c r="F14" s="4" t="s">
        <v>65</v>
      </c>
      <c r="G14" t="s">
        <v>29</v>
      </c>
      <c r="H14" t="s">
        <v>66</v>
      </c>
    </row>
    <row r="15" spans="1:9" x14ac:dyDescent="0.25">
      <c r="A15" t="s">
        <v>26</v>
      </c>
      <c r="B15" t="s">
        <v>67</v>
      </c>
      <c r="C15" s="5">
        <v>1571669</v>
      </c>
      <c r="D15" s="5">
        <v>27906</v>
      </c>
      <c r="E15">
        <v>39407</v>
      </c>
      <c r="F15" s="4" t="s">
        <v>68</v>
      </c>
      <c r="G15" t="s">
        <v>29</v>
      </c>
      <c r="H15" t="s">
        <v>69</v>
      </c>
    </row>
    <row r="16" spans="1:9" x14ac:dyDescent="0.25">
      <c r="A16" t="s">
        <v>26</v>
      </c>
      <c r="B16" t="s">
        <v>70</v>
      </c>
      <c r="C16" s="5">
        <v>1463548</v>
      </c>
      <c r="D16" s="5">
        <v>26261</v>
      </c>
      <c r="E16">
        <v>812843</v>
      </c>
      <c r="F16" s="4" t="s">
        <v>71</v>
      </c>
      <c r="G16" t="s">
        <v>29</v>
      </c>
      <c r="H16" t="s">
        <v>72</v>
      </c>
    </row>
    <row r="17" spans="1:8" x14ac:dyDescent="0.25">
      <c r="A17" t="s">
        <v>26</v>
      </c>
      <c r="B17" t="s">
        <v>73</v>
      </c>
      <c r="C17" s="5">
        <v>15281</v>
      </c>
      <c r="D17" s="5">
        <v>234</v>
      </c>
      <c r="E17">
        <v>7930</v>
      </c>
      <c r="F17" s="4" t="s">
        <v>74</v>
      </c>
      <c r="G17" t="s">
        <v>29</v>
      </c>
      <c r="H17" t="s">
        <v>75</v>
      </c>
    </row>
    <row r="18" spans="1:8" x14ac:dyDescent="0.25">
      <c r="A18" t="s">
        <v>26</v>
      </c>
      <c r="B18" t="s">
        <v>76</v>
      </c>
      <c r="C18" s="5">
        <v>646856</v>
      </c>
      <c r="D18" s="5">
        <v>25754</v>
      </c>
      <c r="E18">
        <v>451358</v>
      </c>
      <c r="F18" s="4" t="s">
        <v>77</v>
      </c>
      <c r="G18" t="s">
        <v>29</v>
      </c>
      <c r="H18" t="s">
        <v>78</v>
      </c>
    </row>
    <row r="19" spans="1:8" x14ac:dyDescent="0.25">
      <c r="A19" t="s">
        <v>26</v>
      </c>
      <c r="B19" t="s">
        <v>79</v>
      </c>
      <c r="C19" s="5">
        <v>277138</v>
      </c>
      <c r="D19" s="5">
        <v>1393</v>
      </c>
      <c r="E19">
        <v>67115</v>
      </c>
      <c r="F19" s="4" t="s">
        <v>80</v>
      </c>
      <c r="G19" t="s">
        <v>29</v>
      </c>
      <c r="H19" t="s">
        <v>81</v>
      </c>
    </row>
    <row r="20" spans="1:8" x14ac:dyDescent="0.25">
      <c r="A20" t="s">
        <v>26</v>
      </c>
      <c r="B20" t="s">
        <v>82</v>
      </c>
      <c r="C20" s="5">
        <v>20200</v>
      </c>
      <c r="D20" s="5">
        <v>38</v>
      </c>
      <c r="E20">
        <v>5792</v>
      </c>
      <c r="F20" s="4" t="s">
        <v>83</v>
      </c>
      <c r="G20" t="s">
        <v>29</v>
      </c>
      <c r="H20" t="s">
        <v>84</v>
      </c>
    </row>
    <row r="21" spans="1:8" x14ac:dyDescent="0.25">
      <c r="A21" t="s">
        <v>26</v>
      </c>
      <c r="B21" t="s">
        <v>85</v>
      </c>
      <c r="C21" s="5">
        <v>24833</v>
      </c>
      <c r="D21" s="5">
        <v>161</v>
      </c>
      <c r="E21">
        <v>23695</v>
      </c>
      <c r="F21" s="4" t="s">
        <v>86</v>
      </c>
      <c r="G21" t="s">
        <v>29</v>
      </c>
      <c r="H21" t="s">
        <v>87</v>
      </c>
    </row>
    <row r="22" spans="1:8" x14ac:dyDescent="0.25">
      <c r="A22" t="s">
        <v>26</v>
      </c>
      <c r="B22" t="s">
        <v>88</v>
      </c>
      <c r="C22" s="5">
        <v>1661</v>
      </c>
      <c r="D22" s="5">
        <v>6</v>
      </c>
      <c r="E22">
        <v>1107</v>
      </c>
      <c r="F22" s="4" t="s">
        <v>89</v>
      </c>
      <c r="G22" t="s">
        <v>29</v>
      </c>
      <c r="H22" t="s">
        <v>90</v>
      </c>
    </row>
    <row r="23" spans="1:8" x14ac:dyDescent="0.25">
      <c r="A23" t="s">
        <v>26</v>
      </c>
      <c r="B23" t="s">
        <v>91</v>
      </c>
      <c r="C23" s="5">
        <v>13962</v>
      </c>
      <c r="D23" s="5">
        <v>93</v>
      </c>
      <c r="E23">
        <v>11689</v>
      </c>
      <c r="F23" s="4" t="s">
        <v>92</v>
      </c>
      <c r="G23" t="s">
        <v>29</v>
      </c>
      <c r="H23" t="s">
        <v>93</v>
      </c>
    </row>
    <row r="24" spans="1:8" x14ac:dyDescent="0.25">
      <c r="A24" t="s">
        <v>26</v>
      </c>
      <c r="B24" t="s">
        <v>94</v>
      </c>
      <c r="C24" s="5">
        <v>520553</v>
      </c>
      <c r="D24" s="5">
        <v>18985</v>
      </c>
      <c r="E24">
        <v>178630</v>
      </c>
      <c r="F24" s="4" t="s">
        <v>95</v>
      </c>
      <c r="G24" t="s">
        <v>29</v>
      </c>
      <c r="H24" t="s">
        <v>96</v>
      </c>
    </row>
    <row r="25" spans="1:8" x14ac:dyDescent="0.25">
      <c r="A25" t="s">
        <v>26</v>
      </c>
      <c r="B25" t="s">
        <v>97</v>
      </c>
      <c r="C25" s="5">
        <v>21909298</v>
      </c>
      <c r="D25" s="5">
        <v>610036</v>
      </c>
      <c r="E25">
        <v>21875</v>
      </c>
      <c r="F25" s="4" t="s">
        <v>98</v>
      </c>
      <c r="G25" t="s">
        <v>29</v>
      </c>
      <c r="H25" t="s">
        <v>99</v>
      </c>
    </row>
    <row r="26" spans="1:8" x14ac:dyDescent="0.25">
      <c r="A26" t="s">
        <v>26</v>
      </c>
      <c r="B26" t="s">
        <v>100</v>
      </c>
      <c r="C26" s="5">
        <v>22544</v>
      </c>
      <c r="D26" s="5">
        <v>661</v>
      </c>
      <c r="E26">
        <v>20864</v>
      </c>
      <c r="F26" s="4" t="s">
        <v>101</v>
      </c>
      <c r="G26" t="s">
        <v>29</v>
      </c>
      <c r="H26" t="s">
        <v>102</v>
      </c>
    </row>
    <row r="27" spans="1:8" x14ac:dyDescent="0.25">
      <c r="A27" t="s">
        <v>26</v>
      </c>
      <c r="B27" t="s">
        <v>103</v>
      </c>
      <c r="C27" s="5">
        <v>2623</v>
      </c>
      <c r="D27" s="5">
        <v>3</v>
      </c>
      <c r="E27">
        <v>376</v>
      </c>
      <c r="F27" s="4" t="s">
        <v>104</v>
      </c>
      <c r="G27" t="s">
        <v>29</v>
      </c>
      <c r="H27" t="s">
        <v>105</v>
      </c>
    </row>
    <row r="28" spans="1:8" x14ac:dyDescent="0.25">
      <c r="A28" t="s">
        <v>26</v>
      </c>
      <c r="B28" t="s">
        <v>106</v>
      </c>
      <c r="C28" s="5">
        <v>193449</v>
      </c>
      <c r="D28" s="5">
        <v>2409</v>
      </c>
      <c r="E28">
        <v>158724</v>
      </c>
      <c r="F28" s="4" t="s">
        <v>107</v>
      </c>
      <c r="G28" t="s">
        <v>29</v>
      </c>
      <c r="H28" t="s">
        <v>108</v>
      </c>
    </row>
    <row r="29" spans="1:8" x14ac:dyDescent="0.25">
      <c r="A29" t="s">
        <v>26</v>
      </c>
      <c r="B29" t="s">
        <v>109</v>
      </c>
      <c r="C29" s="5">
        <v>619708</v>
      </c>
      <c r="D29" s="5">
        <v>4789</v>
      </c>
      <c r="E29">
        <v>233206</v>
      </c>
      <c r="F29" s="4" t="s">
        <v>110</v>
      </c>
      <c r="G29" t="s">
        <v>29</v>
      </c>
      <c r="H29" t="s">
        <v>111</v>
      </c>
    </row>
    <row r="30" spans="1:8" x14ac:dyDescent="0.25">
      <c r="A30" t="s">
        <v>26</v>
      </c>
      <c r="B30" t="s">
        <v>112</v>
      </c>
      <c r="C30" s="5">
        <v>28568</v>
      </c>
      <c r="D30" s="5">
        <v>530</v>
      </c>
      <c r="E30">
        <v>4200</v>
      </c>
      <c r="F30" s="4" t="s">
        <v>113</v>
      </c>
      <c r="G30" t="s">
        <v>29</v>
      </c>
      <c r="H30" t="s">
        <v>114</v>
      </c>
    </row>
    <row r="31" spans="1:8" x14ac:dyDescent="0.25">
      <c r="A31" t="s">
        <v>26</v>
      </c>
      <c r="B31" t="s">
        <v>115</v>
      </c>
      <c r="C31" s="5">
        <v>1748359</v>
      </c>
      <c r="D31" s="5">
        <v>29303</v>
      </c>
      <c r="E31">
        <v>1459174</v>
      </c>
      <c r="F31" s="4" t="s">
        <v>116</v>
      </c>
      <c r="G31" t="s">
        <v>29</v>
      </c>
      <c r="H31" t="s">
        <v>117</v>
      </c>
    </row>
    <row r="32" spans="1:8" x14ac:dyDescent="0.25">
      <c r="A32" t="s">
        <v>26</v>
      </c>
      <c r="B32" t="s">
        <v>118</v>
      </c>
      <c r="C32" s="5">
        <v>57662</v>
      </c>
      <c r="D32" s="5">
        <v>1099</v>
      </c>
      <c r="E32">
        <v>11678</v>
      </c>
      <c r="F32" s="4" t="s">
        <v>119</v>
      </c>
      <c r="G32" t="s">
        <v>29</v>
      </c>
      <c r="H32" t="s">
        <v>120</v>
      </c>
    </row>
    <row r="33" spans="1:8" x14ac:dyDescent="0.25">
      <c r="A33" t="s">
        <v>26</v>
      </c>
      <c r="B33" t="s">
        <v>121</v>
      </c>
      <c r="C33" s="5">
        <v>11579</v>
      </c>
      <c r="D33" s="5">
        <v>100</v>
      </c>
      <c r="E33">
        <v>6983</v>
      </c>
      <c r="F33" s="4" t="s">
        <v>122</v>
      </c>
      <c r="G33" t="s">
        <v>29</v>
      </c>
      <c r="H33" t="s">
        <v>123</v>
      </c>
    </row>
    <row r="34" spans="1:8" x14ac:dyDescent="0.25">
      <c r="A34" t="s">
        <v>26</v>
      </c>
      <c r="B34" t="s">
        <v>124</v>
      </c>
      <c r="C34" s="5">
        <v>18153</v>
      </c>
      <c r="D34" s="5">
        <v>309</v>
      </c>
      <c r="E34">
        <v>6683</v>
      </c>
      <c r="F34" s="4" t="s">
        <v>125</v>
      </c>
      <c r="G34" t="s">
        <v>29</v>
      </c>
      <c r="H34" t="s">
        <v>126</v>
      </c>
    </row>
    <row r="35" spans="1:8" x14ac:dyDescent="0.25">
      <c r="A35" t="s">
        <v>26</v>
      </c>
      <c r="B35" t="s">
        <v>127</v>
      </c>
      <c r="C35" s="5">
        <v>901228</v>
      </c>
      <c r="D35" s="5">
        <v>11306</v>
      </c>
      <c r="E35">
        <v>452184</v>
      </c>
      <c r="F35" s="4" t="s">
        <v>107</v>
      </c>
      <c r="G35" t="s">
        <v>29</v>
      </c>
      <c r="H35" t="s">
        <v>108</v>
      </c>
    </row>
    <row r="36" spans="1:8" x14ac:dyDescent="0.25">
      <c r="A36" t="s">
        <v>26</v>
      </c>
      <c r="B36" t="s">
        <v>128</v>
      </c>
      <c r="C36" s="5">
        <v>61458</v>
      </c>
      <c r="D36" s="5">
        <v>700</v>
      </c>
      <c r="E36">
        <v>46167</v>
      </c>
      <c r="F36" s="4" t="s">
        <v>129</v>
      </c>
      <c r="G36" t="s">
        <v>29</v>
      </c>
      <c r="H36" t="s">
        <v>130</v>
      </c>
    </row>
    <row r="37" spans="1:8" x14ac:dyDescent="0.25">
      <c r="A37" t="s">
        <v>26</v>
      </c>
      <c r="B37" t="s">
        <v>131</v>
      </c>
      <c r="C37" s="5">
        <v>1715352</v>
      </c>
      <c r="D37" s="5">
        <v>37895</v>
      </c>
      <c r="E37">
        <v>540941</v>
      </c>
      <c r="F37" s="4" t="s">
        <v>132</v>
      </c>
      <c r="G37" t="s">
        <v>29</v>
      </c>
      <c r="H37" t="s">
        <v>133</v>
      </c>
    </row>
    <row r="38" spans="1:8" x14ac:dyDescent="0.25">
      <c r="A38" t="s">
        <v>26</v>
      </c>
      <c r="B38" t="s">
        <v>134</v>
      </c>
      <c r="C38" s="5">
        <v>105719</v>
      </c>
      <c r="D38" s="5">
        <v>1758</v>
      </c>
      <c r="E38">
        <v>66137</v>
      </c>
      <c r="F38" s="4" t="s">
        <v>135</v>
      </c>
      <c r="G38" t="s">
        <v>29</v>
      </c>
      <c r="H38" t="s">
        <v>136</v>
      </c>
    </row>
    <row r="39" spans="1:8" x14ac:dyDescent="0.25">
      <c r="A39" t="s">
        <v>26</v>
      </c>
      <c r="B39" t="s">
        <v>137</v>
      </c>
      <c r="C39" s="5">
        <v>98003</v>
      </c>
      <c r="D39" s="5">
        <v>4636</v>
      </c>
      <c r="E39">
        <v>18501</v>
      </c>
      <c r="F39" s="4" t="s">
        <v>138</v>
      </c>
      <c r="G39" t="s">
        <v>29</v>
      </c>
      <c r="H39" t="s">
        <v>139</v>
      </c>
    </row>
    <row r="40" spans="1:8" x14ac:dyDescent="0.25">
      <c r="A40" t="s">
        <v>26</v>
      </c>
      <c r="B40" t="s">
        <v>140</v>
      </c>
      <c r="C40" s="5">
        <v>5021619</v>
      </c>
      <c r="D40" s="5">
        <v>127640</v>
      </c>
      <c r="E40">
        <v>2026888</v>
      </c>
      <c r="F40" s="4" t="s">
        <v>141</v>
      </c>
      <c r="G40" t="s">
        <v>29</v>
      </c>
      <c r="H40" t="s">
        <v>142</v>
      </c>
    </row>
    <row r="41" spans="1:8" x14ac:dyDescent="0.25">
      <c r="A41" t="s">
        <v>26</v>
      </c>
      <c r="B41" t="s">
        <v>143</v>
      </c>
      <c r="C41" s="5">
        <v>563290</v>
      </c>
      <c r="D41" s="5">
        <v>7176</v>
      </c>
      <c r="E41">
        <v>174601</v>
      </c>
      <c r="F41" s="4" t="s">
        <v>53</v>
      </c>
      <c r="G41" t="s">
        <v>29</v>
      </c>
      <c r="H41" t="s">
        <v>54</v>
      </c>
    </row>
    <row r="42" spans="1:8" x14ac:dyDescent="0.25">
      <c r="A42" t="s">
        <v>26</v>
      </c>
      <c r="B42" t="s">
        <v>144</v>
      </c>
      <c r="C42" s="5">
        <v>957332</v>
      </c>
      <c r="D42" s="5">
        <v>8274</v>
      </c>
      <c r="E42">
        <v>255644</v>
      </c>
      <c r="F42" s="4" t="s">
        <v>122</v>
      </c>
      <c r="G42" t="s">
        <v>29</v>
      </c>
      <c r="H42" t="s">
        <v>123</v>
      </c>
    </row>
    <row r="43" spans="1:8" x14ac:dyDescent="0.25">
      <c r="A43" t="s">
        <v>26</v>
      </c>
      <c r="B43" t="s">
        <v>145</v>
      </c>
      <c r="C43" s="5">
        <v>38278</v>
      </c>
      <c r="D43" s="5">
        <v>350</v>
      </c>
      <c r="E43">
        <v>9187</v>
      </c>
      <c r="F43" s="4" t="s">
        <v>146</v>
      </c>
      <c r="G43" t="s">
        <v>29</v>
      </c>
      <c r="H43" t="s">
        <v>147</v>
      </c>
    </row>
    <row r="44" spans="1:8" x14ac:dyDescent="0.25">
      <c r="A44" t="s">
        <v>26</v>
      </c>
      <c r="B44" t="s">
        <v>148</v>
      </c>
      <c r="C44" s="5">
        <v>126497</v>
      </c>
      <c r="D44" s="5">
        <v>577</v>
      </c>
      <c r="E44">
        <v>111828</v>
      </c>
      <c r="F44" s="4" t="s">
        <v>149</v>
      </c>
      <c r="G44" t="s">
        <v>29</v>
      </c>
      <c r="H44" t="s">
        <v>150</v>
      </c>
    </row>
    <row r="45" spans="1:8" x14ac:dyDescent="0.25">
      <c r="A45" t="s">
        <v>26</v>
      </c>
      <c r="B45" t="s">
        <v>151</v>
      </c>
      <c r="C45" s="5">
        <v>1843019</v>
      </c>
      <c r="D45" s="5">
        <v>31229</v>
      </c>
      <c r="E45">
        <v>1140092</v>
      </c>
      <c r="F45" s="4" t="s">
        <v>152</v>
      </c>
      <c r="G45" t="s">
        <v>29</v>
      </c>
      <c r="H45" t="s">
        <v>153</v>
      </c>
    </row>
    <row r="46" spans="1:8" x14ac:dyDescent="0.25">
      <c r="A46" t="s">
        <v>26</v>
      </c>
      <c r="B46" t="s">
        <v>154</v>
      </c>
      <c r="C46" s="5">
        <v>4908540</v>
      </c>
      <c r="D46" s="5">
        <v>97203</v>
      </c>
      <c r="E46">
        <v>2086522</v>
      </c>
      <c r="F46" s="4" t="s">
        <v>155</v>
      </c>
      <c r="G46" t="s">
        <v>29</v>
      </c>
      <c r="H46" t="s">
        <v>156</v>
      </c>
    </row>
    <row r="47" spans="1:8" x14ac:dyDescent="0.25">
      <c r="A47" t="s">
        <v>26</v>
      </c>
      <c r="B47" t="s">
        <v>157</v>
      </c>
      <c r="C47" s="5">
        <v>13493</v>
      </c>
      <c r="D47" s="5">
        <v>186</v>
      </c>
      <c r="E47">
        <v>8451</v>
      </c>
      <c r="F47" s="4" t="s">
        <v>158</v>
      </c>
      <c r="G47" t="s">
        <v>29</v>
      </c>
      <c r="H47" t="s">
        <v>159</v>
      </c>
    </row>
    <row r="48" spans="1:8" x14ac:dyDescent="0.25">
      <c r="A48" t="s">
        <v>26</v>
      </c>
      <c r="B48" t="s">
        <v>160</v>
      </c>
      <c r="C48" s="5">
        <v>411397</v>
      </c>
      <c r="D48" s="5">
        <v>2745</v>
      </c>
      <c r="E48">
        <v>37754</v>
      </c>
      <c r="F48" s="4" t="s">
        <v>92</v>
      </c>
      <c r="G48" t="s">
        <v>29</v>
      </c>
      <c r="H48" t="s">
        <v>93</v>
      </c>
    </row>
    <row r="49" spans="1:8" x14ac:dyDescent="0.25">
      <c r="A49" t="s">
        <v>26</v>
      </c>
      <c r="B49" t="s">
        <v>161</v>
      </c>
      <c r="C49" s="5">
        <v>5176</v>
      </c>
      <c r="D49" s="5">
        <v>34</v>
      </c>
      <c r="E49">
        <v>3842</v>
      </c>
      <c r="F49" s="4" t="s">
        <v>162</v>
      </c>
      <c r="G49" t="s">
        <v>29</v>
      </c>
      <c r="H49" t="s">
        <v>163</v>
      </c>
    </row>
    <row r="50" spans="1:8" x14ac:dyDescent="0.25">
      <c r="A50" t="s">
        <v>26</v>
      </c>
      <c r="B50" t="s">
        <v>164</v>
      </c>
      <c r="C50" s="5">
        <v>391104</v>
      </c>
      <c r="D50" s="5">
        <v>4157</v>
      </c>
      <c r="E50">
        <v>224891</v>
      </c>
      <c r="F50" s="4" t="s">
        <v>165</v>
      </c>
      <c r="G50" t="s">
        <v>29</v>
      </c>
      <c r="H50" t="s">
        <v>166</v>
      </c>
    </row>
    <row r="51" spans="1:8" x14ac:dyDescent="0.25">
      <c r="A51" t="s">
        <v>26</v>
      </c>
      <c r="B51" t="s">
        <v>167</v>
      </c>
      <c r="C51" s="5">
        <v>207509</v>
      </c>
      <c r="D51" s="5">
        <v>5960</v>
      </c>
      <c r="E51">
        <v>159193</v>
      </c>
      <c r="F51" s="4" t="s">
        <v>168</v>
      </c>
      <c r="G51" t="s">
        <v>29</v>
      </c>
      <c r="H51" t="s">
        <v>169</v>
      </c>
    </row>
    <row r="52" spans="1:8" x14ac:dyDescent="0.25">
      <c r="A52" t="s">
        <v>26</v>
      </c>
      <c r="B52" t="s">
        <v>170</v>
      </c>
      <c r="C52" s="5">
        <v>519560</v>
      </c>
      <c r="D52" s="5">
        <v>32989</v>
      </c>
      <c r="E52">
        <v>416508</v>
      </c>
      <c r="F52" s="4" t="s">
        <v>171</v>
      </c>
      <c r="G52" t="s">
        <v>29</v>
      </c>
      <c r="H52" t="s">
        <v>172</v>
      </c>
    </row>
    <row r="53" spans="1:8" x14ac:dyDescent="0.25">
      <c r="A53" t="s">
        <v>26</v>
      </c>
      <c r="B53" t="s">
        <v>173</v>
      </c>
      <c r="C53" s="5">
        <v>208326</v>
      </c>
      <c r="D53" s="5">
        <v>1637</v>
      </c>
      <c r="E53">
        <v>68513</v>
      </c>
      <c r="F53" s="4" t="s">
        <v>174</v>
      </c>
      <c r="G53" t="s">
        <v>29</v>
      </c>
      <c r="H53" t="s">
        <v>175</v>
      </c>
    </row>
    <row r="54" spans="1:8" x14ac:dyDescent="0.25">
      <c r="A54" t="s">
        <v>26</v>
      </c>
      <c r="B54" t="s">
        <v>176</v>
      </c>
      <c r="C54" s="5">
        <v>340269</v>
      </c>
      <c r="D54" s="5">
        <v>19249</v>
      </c>
      <c r="E54">
        <v>117020</v>
      </c>
      <c r="F54" s="4" t="s">
        <v>177</v>
      </c>
      <c r="G54" t="s">
        <v>29</v>
      </c>
      <c r="H54" t="s">
        <v>178</v>
      </c>
    </row>
    <row r="55" spans="1:8" x14ac:dyDescent="0.25">
      <c r="A55" t="s">
        <v>26</v>
      </c>
      <c r="B55" t="s">
        <v>179</v>
      </c>
      <c r="C55" s="5">
        <v>7003</v>
      </c>
      <c r="D55" s="5">
        <v>48</v>
      </c>
      <c r="E55">
        <v>1114</v>
      </c>
      <c r="F55" s="4" t="s">
        <v>180</v>
      </c>
      <c r="G55" t="s">
        <v>29</v>
      </c>
      <c r="H55" t="s">
        <v>181</v>
      </c>
    </row>
    <row r="56" spans="1:8" x14ac:dyDescent="0.25">
      <c r="A56" t="s">
        <v>26</v>
      </c>
      <c r="B56" t="s">
        <v>182</v>
      </c>
      <c r="C56" s="5">
        <v>5038517</v>
      </c>
      <c r="D56" s="5">
        <v>87617</v>
      </c>
      <c r="E56">
        <v>3493815</v>
      </c>
      <c r="F56" s="4" t="s">
        <v>183</v>
      </c>
      <c r="G56" t="s">
        <v>29</v>
      </c>
      <c r="H56" t="s">
        <v>184</v>
      </c>
    </row>
    <row r="57" spans="1:8" x14ac:dyDescent="0.25">
      <c r="A57" t="s">
        <v>26</v>
      </c>
      <c r="B57" t="s">
        <v>185</v>
      </c>
      <c r="C57" s="5">
        <v>367857</v>
      </c>
      <c r="D57" s="5">
        <v>6572</v>
      </c>
      <c r="E57">
        <v>123432</v>
      </c>
      <c r="F57" s="4" t="s">
        <v>71</v>
      </c>
      <c r="G57" t="s">
        <v>29</v>
      </c>
      <c r="H57" t="s">
        <v>72</v>
      </c>
    </row>
    <row r="58" spans="1:8" x14ac:dyDescent="0.25">
      <c r="A58" t="s">
        <v>26</v>
      </c>
      <c r="B58" t="s">
        <v>186</v>
      </c>
      <c r="C58" s="5">
        <v>166256</v>
      </c>
      <c r="D58" s="5">
        <v>1212</v>
      </c>
      <c r="E58">
        <v>96100</v>
      </c>
      <c r="F58" s="4" t="s">
        <v>187</v>
      </c>
      <c r="G58" t="s">
        <v>29</v>
      </c>
      <c r="H58" t="s">
        <v>188</v>
      </c>
    </row>
    <row r="59" spans="1:8" x14ac:dyDescent="0.25">
      <c r="A59" t="s">
        <v>26</v>
      </c>
      <c r="B59" t="s">
        <v>189</v>
      </c>
      <c r="C59" s="5">
        <v>52356</v>
      </c>
      <c r="D59" s="5">
        <v>679</v>
      </c>
      <c r="E59">
        <v>9596</v>
      </c>
      <c r="F59" s="4" t="s">
        <v>190</v>
      </c>
      <c r="G59" t="s">
        <v>29</v>
      </c>
      <c r="H59" t="s">
        <v>191</v>
      </c>
    </row>
    <row r="60" spans="1:8" x14ac:dyDescent="0.25">
      <c r="A60" t="s">
        <v>26</v>
      </c>
      <c r="B60" t="s">
        <v>192</v>
      </c>
      <c r="C60" s="5">
        <v>2778</v>
      </c>
      <c r="D60" s="5">
        <v>6</v>
      </c>
      <c r="E60">
        <v>1616</v>
      </c>
      <c r="F60" s="4" t="s">
        <v>193</v>
      </c>
      <c r="G60" t="s">
        <v>29</v>
      </c>
      <c r="H60" t="s">
        <v>194</v>
      </c>
    </row>
    <row r="61" spans="1:8" x14ac:dyDescent="0.25">
      <c r="A61" t="s">
        <v>26</v>
      </c>
      <c r="B61" t="s">
        <v>195</v>
      </c>
      <c r="C61" s="5">
        <v>7063280</v>
      </c>
      <c r="D61" s="5">
        <v>115637</v>
      </c>
      <c r="E61">
        <v>2907275</v>
      </c>
      <c r="F61" s="4" t="s">
        <v>196</v>
      </c>
      <c r="G61" t="s">
        <v>29</v>
      </c>
      <c r="H61" t="s">
        <v>197</v>
      </c>
    </row>
    <row r="62" spans="1:8" x14ac:dyDescent="0.25">
      <c r="A62" t="s">
        <v>26</v>
      </c>
      <c r="B62" t="s">
        <v>198</v>
      </c>
      <c r="C62" s="5">
        <v>36587</v>
      </c>
      <c r="D62" s="5">
        <v>262</v>
      </c>
      <c r="E62">
        <v>28943</v>
      </c>
      <c r="F62" s="4" t="s">
        <v>199</v>
      </c>
      <c r="G62" t="s">
        <v>29</v>
      </c>
      <c r="H62" t="s">
        <v>200</v>
      </c>
    </row>
    <row r="63" spans="1:8" x14ac:dyDescent="0.25">
      <c r="A63" t="s">
        <v>26</v>
      </c>
      <c r="B63" t="s">
        <v>201</v>
      </c>
      <c r="C63" s="5">
        <v>9445628</v>
      </c>
      <c r="D63" s="5">
        <v>142674</v>
      </c>
      <c r="E63">
        <v>5134546</v>
      </c>
      <c r="F63" s="4" t="s">
        <v>202</v>
      </c>
      <c r="G63" t="s">
        <v>29</v>
      </c>
      <c r="H63" t="s">
        <v>203</v>
      </c>
    </row>
    <row r="64" spans="1:8" x14ac:dyDescent="0.25">
      <c r="A64" t="s">
        <v>26</v>
      </c>
      <c r="B64" t="s">
        <v>204</v>
      </c>
      <c r="C64" s="5">
        <v>5863</v>
      </c>
      <c r="D64" s="5">
        <v>200</v>
      </c>
      <c r="E64">
        <v>2813</v>
      </c>
      <c r="F64" s="4" t="s">
        <v>205</v>
      </c>
      <c r="G64" t="s">
        <v>29</v>
      </c>
      <c r="H64" t="s">
        <v>206</v>
      </c>
    </row>
    <row r="65" spans="1:8" x14ac:dyDescent="0.25">
      <c r="A65" t="s">
        <v>26</v>
      </c>
      <c r="B65" t="s">
        <v>207</v>
      </c>
      <c r="C65" s="5">
        <v>771381</v>
      </c>
      <c r="D65" s="5">
        <v>10739</v>
      </c>
      <c r="E65">
        <v>363366</v>
      </c>
      <c r="F65" s="4" t="s">
        <v>208</v>
      </c>
      <c r="G65" t="s">
        <v>29</v>
      </c>
      <c r="H65" t="s">
        <v>209</v>
      </c>
    </row>
    <row r="66" spans="1:8" x14ac:dyDescent="0.25">
      <c r="A66" t="s">
        <v>26</v>
      </c>
      <c r="B66" t="s">
        <v>210</v>
      </c>
      <c r="C66" s="5">
        <v>45245</v>
      </c>
      <c r="D66" s="5">
        <v>316</v>
      </c>
      <c r="E66">
        <v>7580</v>
      </c>
      <c r="F66" s="4" t="s">
        <v>211</v>
      </c>
      <c r="G66" t="s">
        <v>29</v>
      </c>
      <c r="H66" t="s">
        <v>212</v>
      </c>
    </row>
    <row r="67" spans="1:8" x14ac:dyDescent="0.25">
      <c r="A67" t="s">
        <v>26</v>
      </c>
      <c r="B67" t="s">
        <v>213</v>
      </c>
      <c r="C67" s="5">
        <v>130608</v>
      </c>
      <c r="D67" s="5">
        <v>1203</v>
      </c>
      <c r="E67">
        <v>34488</v>
      </c>
      <c r="F67" s="4" t="s">
        <v>214</v>
      </c>
      <c r="G67" t="s">
        <v>29</v>
      </c>
      <c r="H67" t="s">
        <v>215</v>
      </c>
    </row>
    <row r="68" spans="1:8" x14ac:dyDescent="0.25">
      <c r="A68" t="s">
        <v>26</v>
      </c>
      <c r="B68" t="s">
        <v>216</v>
      </c>
      <c r="C68" s="5">
        <v>6256</v>
      </c>
      <c r="D68" s="5">
        <v>98</v>
      </c>
      <c r="E68">
        <v>444</v>
      </c>
      <c r="F68" s="4" t="s">
        <v>217</v>
      </c>
      <c r="G68" t="s">
        <v>29</v>
      </c>
      <c r="H68" t="s">
        <v>218</v>
      </c>
    </row>
    <row r="69" spans="1:8" x14ac:dyDescent="0.25">
      <c r="A69" t="s">
        <v>26</v>
      </c>
      <c r="B69" t="s">
        <v>219</v>
      </c>
      <c r="C69" s="5">
        <v>9980</v>
      </c>
      <c r="D69" s="5">
        <v>341</v>
      </c>
      <c r="E69">
        <v>7661</v>
      </c>
      <c r="F69" s="4" t="s">
        <v>220</v>
      </c>
      <c r="G69" t="s">
        <v>29</v>
      </c>
      <c r="H69" t="s">
        <v>221</v>
      </c>
    </row>
    <row r="70" spans="1:8" x14ac:dyDescent="0.25">
      <c r="A70" t="s">
        <v>26</v>
      </c>
      <c r="B70" t="s">
        <v>222</v>
      </c>
      <c r="C70" s="5">
        <v>30709</v>
      </c>
      <c r="D70" s="5">
        <v>387</v>
      </c>
      <c r="E70">
        <v>17331</v>
      </c>
      <c r="F70" s="4" t="s">
        <v>223</v>
      </c>
      <c r="G70" t="s">
        <v>29</v>
      </c>
      <c r="H70" t="s">
        <v>224</v>
      </c>
    </row>
    <row r="71" spans="1:8" x14ac:dyDescent="0.25">
      <c r="A71" t="s">
        <v>26</v>
      </c>
      <c r="B71" t="s">
        <v>225</v>
      </c>
      <c r="C71" s="5">
        <v>54672</v>
      </c>
      <c r="D71" s="5">
        <v>822</v>
      </c>
      <c r="E71">
        <v>45662</v>
      </c>
      <c r="F71" s="4" t="s">
        <v>226</v>
      </c>
      <c r="G71" t="s">
        <v>29</v>
      </c>
      <c r="H71" t="s">
        <v>227</v>
      </c>
    </row>
    <row r="72" spans="1:8" x14ac:dyDescent="0.25">
      <c r="A72" t="s">
        <v>26</v>
      </c>
      <c r="B72" t="s">
        <v>228</v>
      </c>
      <c r="C72" s="5">
        <v>13459</v>
      </c>
      <c r="D72" s="5">
        <v>168</v>
      </c>
      <c r="E72">
        <v>7984</v>
      </c>
      <c r="F72" s="4" t="s">
        <v>107</v>
      </c>
      <c r="G72" t="s">
        <v>29</v>
      </c>
      <c r="H72" t="s">
        <v>108</v>
      </c>
    </row>
    <row r="73" spans="1:8" x14ac:dyDescent="0.25">
      <c r="A73" t="s">
        <v>26</v>
      </c>
      <c r="B73" t="s">
        <v>229</v>
      </c>
      <c r="C73" s="5">
        <v>808297</v>
      </c>
      <c r="D73" s="5">
        <v>16493</v>
      </c>
      <c r="E73">
        <v>280674</v>
      </c>
      <c r="F73" s="4" t="s">
        <v>230</v>
      </c>
      <c r="G73" t="s">
        <v>29</v>
      </c>
      <c r="H73" t="s">
        <v>231</v>
      </c>
    </row>
    <row r="74" spans="1:8" x14ac:dyDescent="0.25">
      <c r="A74" t="s">
        <v>26</v>
      </c>
      <c r="B74" t="s">
        <v>232</v>
      </c>
      <c r="C74" s="5">
        <v>607497</v>
      </c>
      <c r="D74" s="5">
        <v>15578</v>
      </c>
      <c r="E74">
        <v>5151</v>
      </c>
      <c r="F74" s="4" t="s">
        <v>38</v>
      </c>
      <c r="G74" t="s">
        <v>29</v>
      </c>
      <c r="H74" t="s">
        <v>39</v>
      </c>
    </row>
    <row r="75" spans="1:8" x14ac:dyDescent="0.25">
      <c r="A75" t="s">
        <v>26</v>
      </c>
      <c r="B75" t="s">
        <v>233</v>
      </c>
      <c r="C75" s="5">
        <v>6203</v>
      </c>
      <c r="D75" s="5">
        <v>143</v>
      </c>
      <c r="E75">
        <v>742</v>
      </c>
      <c r="F75" s="4" t="s">
        <v>234</v>
      </c>
      <c r="G75" t="s">
        <v>29</v>
      </c>
      <c r="H75" t="s">
        <v>235</v>
      </c>
    </row>
    <row r="76" spans="1:8" x14ac:dyDescent="0.25">
      <c r="A76" t="s">
        <v>26</v>
      </c>
      <c r="B76" t="s">
        <v>236</v>
      </c>
      <c r="C76" s="5">
        <v>36439</v>
      </c>
      <c r="D76" s="5">
        <v>952</v>
      </c>
      <c r="E76">
        <v>34487</v>
      </c>
      <c r="F76" s="4" t="s">
        <v>237</v>
      </c>
      <c r="G76" t="s">
        <v>29</v>
      </c>
      <c r="H76" t="s">
        <v>238</v>
      </c>
    </row>
    <row r="77" spans="1:8" x14ac:dyDescent="0.25">
      <c r="A77" t="s">
        <v>26</v>
      </c>
      <c r="B77" t="s">
        <v>239</v>
      </c>
      <c r="C77" s="5">
        <v>12374</v>
      </c>
      <c r="D77" s="5">
        <v>213</v>
      </c>
      <c r="E77">
        <v>6621</v>
      </c>
      <c r="F77" s="4" t="s">
        <v>240</v>
      </c>
      <c r="G77" t="s">
        <v>29</v>
      </c>
      <c r="H77" t="s">
        <v>241</v>
      </c>
    </row>
    <row r="78" spans="1:8" x14ac:dyDescent="0.25">
      <c r="A78" t="s">
        <v>26</v>
      </c>
      <c r="B78" t="s">
        <v>242</v>
      </c>
      <c r="C78" s="5">
        <v>376676</v>
      </c>
      <c r="D78" s="5">
        <v>10335</v>
      </c>
      <c r="E78">
        <v>212824</v>
      </c>
      <c r="F78" s="4" t="s">
        <v>243</v>
      </c>
      <c r="G78" t="s">
        <v>29</v>
      </c>
      <c r="H78" t="s">
        <v>244</v>
      </c>
    </row>
    <row r="79" spans="1:8" x14ac:dyDescent="0.25">
      <c r="A79" t="s">
        <v>26</v>
      </c>
      <c r="B79" t="s">
        <v>245</v>
      </c>
      <c r="C79" s="5">
        <v>514850</v>
      </c>
      <c r="D79" s="5">
        <v>9655</v>
      </c>
      <c r="E79">
        <v>303289</v>
      </c>
      <c r="F79" s="4" t="s">
        <v>246</v>
      </c>
      <c r="G79" t="s">
        <v>29</v>
      </c>
      <c r="H79" t="s">
        <v>247</v>
      </c>
    </row>
    <row r="80" spans="1:8" x14ac:dyDescent="0.25">
      <c r="A80" t="s">
        <v>26</v>
      </c>
      <c r="B80" t="s">
        <v>248</v>
      </c>
      <c r="C80" s="5">
        <v>24233</v>
      </c>
      <c r="D80" s="5">
        <v>702</v>
      </c>
      <c r="E80">
        <v>10205</v>
      </c>
      <c r="F80" s="4" t="s">
        <v>249</v>
      </c>
      <c r="G80" t="s">
        <v>29</v>
      </c>
      <c r="H80" t="s">
        <v>250</v>
      </c>
    </row>
    <row r="81" spans="1:8" x14ac:dyDescent="0.25">
      <c r="A81" t="s">
        <v>26</v>
      </c>
      <c r="B81" t="s">
        <v>251</v>
      </c>
      <c r="C81" s="5">
        <v>923020</v>
      </c>
      <c r="D81" s="5">
        <v>31619</v>
      </c>
      <c r="E81">
        <v>829737</v>
      </c>
      <c r="F81" s="4" t="s">
        <v>252</v>
      </c>
      <c r="G81" t="s">
        <v>29</v>
      </c>
      <c r="H81" t="s">
        <v>253</v>
      </c>
    </row>
    <row r="82" spans="1:8" x14ac:dyDescent="0.25">
      <c r="A82" t="s">
        <v>26</v>
      </c>
      <c r="B82" t="s">
        <v>254</v>
      </c>
      <c r="C82" s="5">
        <v>4249323</v>
      </c>
      <c r="D82" s="5">
        <v>143592</v>
      </c>
      <c r="E82">
        <v>3665502</v>
      </c>
      <c r="F82" s="4" t="s">
        <v>255</v>
      </c>
      <c r="G82" t="s">
        <v>29</v>
      </c>
      <c r="H82" t="s">
        <v>256</v>
      </c>
    </row>
    <row r="83" spans="1:8" x14ac:dyDescent="0.25">
      <c r="A83" t="s">
        <v>26</v>
      </c>
      <c r="B83" t="s">
        <v>257</v>
      </c>
      <c r="C83" s="5">
        <v>480846</v>
      </c>
      <c r="D83" s="5">
        <v>5566</v>
      </c>
      <c r="E83">
        <v>449048</v>
      </c>
      <c r="F83" s="4" t="s">
        <v>258</v>
      </c>
      <c r="G83" t="s">
        <v>29</v>
      </c>
      <c r="H83" t="s">
        <v>259</v>
      </c>
    </row>
    <row r="84" spans="1:8" x14ac:dyDescent="0.25">
      <c r="A84" t="s">
        <v>26</v>
      </c>
      <c r="B84" t="s">
        <v>260</v>
      </c>
      <c r="C84" s="5">
        <v>1335654</v>
      </c>
      <c r="D84" s="5">
        <v>8133</v>
      </c>
      <c r="E84">
        <v>1061326</v>
      </c>
      <c r="F84" s="4" t="s">
        <v>261</v>
      </c>
      <c r="G84" t="s">
        <v>29</v>
      </c>
      <c r="H84" t="s">
        <v>262</v>
      </c>
    </row>
    <row r="85" spans="1:8" x14ac:dyDescent="0.25">
      <c r="A85" t="s">
        <v>26</v>
      </c>
      <c r="B85" t="s">
        <v>263</v>
      </c>
      <c r="C85" s="5">
        <v>34401670</v>
      </c>
      <c r="D85" s="5">
        <v>462189</v>
      </c>
      <c r="E85">
        <v>2246149</v>
      </c>
      <c r="F85" s="4" t="s">
        <v>264</v>
      </c>
      <c r="G85" t="s">
        <v>29</v>
      </c>
      <c r="H85" t="s">
        <v>265</v>
      </c>
    </row>
    <row r="86" spans="1:8" x14ac:dyDescent="0.25">
      <c r="A86" t="s">
        <v>26</v>
      </c>
      <c r="B86" t="s">
        <v>266</v>
      </c>
      <c r="C86" s="5">
        <v>2066042</v>
      </c>
      <c r="D86" s="5">
        <v>23415</v>
      </c>
      <c r="E86">
        <v>1167409</v>
      </c>
      <c r="F86" s="4" t="s">
        <v>267</v>
      </c>
      <c r="G86" t="s">
        <v>29</v>
      </c>
      <c r="H86" t="s">
        <v>268</v>
      </c>
    </row>
    <row r="87" spans="1:8" x14ac:dyDescent="0.25">
      <c r="A87" t="s">
        <v>26</v>
      </c>
      <c r="B87" t="s">
        <v>269</v>
      </c>
      <c r="C87" s="5">
        <v>6012408</v>
      </c>
      <c r="D87" s="5">
        <v>127686</v>
      </c>
      <c r="E87">
        <v>1500473</v>
      </c>
      <c r="F87" s="4" t="s">
        <v>270</v>
      </c>
      <c r="G87" t="s">
        <v>29</v>
      </c>
      <c r="H87" t="s">
        <v>271</v>
      </c>
    </row>
    <row r="88" spans="1:8" x14ac:dyDescent="0.25">
      <c r="A88" t="s">
        <v>26</v>
      </c>
      <c r="B88" t="s">
        <v>272</v>
      </c>
      <c r="C88" s="5">
        <v>14935</v>
      </c>
      <c r="D88" s="5">
        <v>34</v>
      </c>
      <c r="E88">
        <v>12954</v>
      </c>
      <c r="F88" s="4" t="s">
        <v>273</v>
      </c>
      <c r="G88" t="s">
        <v>29</v>
      </c>
      <c r="H88" t="s">
        <v>274</v>
      </c>
    </row>
    <row r="89" spans="1:8" x14ac:dyDescent="0.25">
      <c r="A89" t="s">
        <v>26</v>
      </c>
      <c r="B89" t="s">
        <v>275</v>
      </c>
      <c r="C89" s="5">
        <v>4826738</v>
      </c>
      <c r="D89" s="5">
        <v>132551</v>
      </c>
      <c r="E89">
        <v>1808175</v>
      </c>
      <c r="F89" s="4" t="s">
        <v>276</v>
      </c>
      <c r="G89" t="s">
        <v>29</v>
      </c>
      <c r="H89" t="s">
        <v>277</v>
      </c>
    </row>
    <row r="90" spans="1:8" x14ac:dyDescent="0.25">
      <c r="A90" t="s">
        <v>26</v>
      </c>
      <c r="B90" t="s">
        <v>278</v>
      </c>
      <c r="C90" s="5">
        <v>89818</v>
      </c>
      <c r="D90" s="5">
        <v>2298</v>
      </c>
      <c r="E90">
        <v>70898</v>
      </c>
      <c r="F90" s="4" t="s">
        <v>38</v>
      </c>
      <c r="G90" t="s">
        <v>29</v>
      </c>
      <c r="H90" t="s">
        <v>39</v>
      </c>
    </row>
    <row r="91" spans="1:8" x14ac:dyDescent="0.25">
      <c r="A91" t="s">
        <v>26</v>
      </c>
      <c r="B91" t="s">
        <v>279</v>
      </c>
      <c r="C91" s="5">
        <v>883446</v>
      </c>
      <c r="D91" s="5">
        <v>11167</v>
      </c>
      <c r="E91">
        <v>201913</v>
      </c>
      <c r="F91" s="4" t="s">
        <v>223</v>
      </c>
      <c r="G91" t="s">
        <v>29</v>
      </c>
      <c r="H91" t="s">
        <v>224</v>
      </c>
    </row>
    <row r="92" spans="1:8" x14ac:dyDescent="0.25">
      <c r="A92" t="s">
        <v>26</v>
      </c>
      <c r="B92" t="s">
        <v>280</v>
      </c>
      <c r="C92" s="5">
        <v>1724172</v>
      </c>
      <c r="D92" s="5">
        <v>18315</v>
      </c>
      <c r="E92">
        <v>505266</v>
      </c>
      <c r="F92" s="4" t="s">
        <v>165</v>
      </c>
      <c r="G92" t="s">
        <v>29</v>
      </c>
      <c r="H92" t="s">
        <v>166</v>
      </c>
    </row>
    <row r="93" spans="1:8" x14ac:dyDescent="0.25">
      <c r="A93" t="s">
        <v>26</v>
      </c>
      <c r="B93" t="s">
        <v>281</v>
      </c>
      <c r="C93" s="5">
        <v>254057</v>
      </c>
      <c r="D93" s="5">
        <v>5314</v>
      </c>
      <c r="E93">
        <v>31608</v>
      </c>
      <c r="F93" s="4" t="s">
        <v>282</v>
      </c>
      <c r="G93" t="s">
        <v>29</v>
      </c>
      <c r="H93" t="s">
        <v>283</v>
      </c>
    </row>
    <row r="94" spans="1:8" x14ac:dyDescent="0.25">
      <c r="A94" t="s">
        <v>26</v>
      </c>
      <c r="B94" t="s">
        <v>284</v>
      </c>
      <c r="C94" s="5">
        <v>182090</v>
      </c>
      <c r="D94" s="5">
        <v>2697</v>
      </c>
      <c r="E94">
        <v>93596</v>
      </c>
      <c r="F94" s="4" t="s">
        <v>285</v>
      </c>
      <c r="G94" t="s">
        <v>29</v>
      </c>
      <c r="H94" t="s">
        <v>286</v>
      </c>
    </row>
    <row r="95" spans="1:8" x14ac:dyDescent="0.25">
      <c r="A95" t="s">
        <v>26</v>
      </c>
      <c r="B95" t="s">
        <v>287</v>
      </c>
      <c r="C95" s="5">
        <v>119358</v>
      </c>
      <c r="D95" s="5">
        <v>2850</v>
      </c>
      <c r="E95">
        <v>83914</v>
      </c>
      <c r="F95" s="4" t="s">
        <v>288</v>
      </c>
      <c r="G95" t="s">
        <v>29</v>
      </c>
      <c r="H95" t="s">
        <v>289</v>
      </c>
    </row>
    <row r="96" spans="1:8" x14ac:dyDescent="0.25">
      <c r="A96" t="s">
        <v>26</v>
      </c>
      <c r="B96" t="s">
        <v>290</v>
      </c>
      <c r="C96" s="5">
        <v>2</v>
      </c>
      <c r="D96" s="5">
        <v>0</v>
      </c>
      <c r="E96">
        <v>1</v>
      </c>
      <c r="F96" s="4" t="s">
        <v>29</v>
      </c>
      <c r="G96" t="s">
        <v>29</v>
      </c>
      <c r="H96" t="s">
        <v>291</v>
      </c>
    </row>
    <row r="97" spans="1:8" x14ac:dyDescent="0.25">
      <c r="A97" t="s">
        <v>26</v>
      </c>
      <c r="B97" t="s">
        <v>292</v>
      </c>
      <c r="C97" s="5">
        <v>4349</v>
      </c>
      <c r="D97" s="5">
        <v>147</v>
      </c>
      <c r="E97">
        <v>483</v>
      </c>
      <c r="F97" s="4" t="s">
        <v>255</v>
      </c>
      <c r="G97" t="s">
        <v>29</v>
      </c>
      <c r="H97" t="s">
        <v>256</v>
      </c>
    </row>
    <row r="98" spans="1:8" x14ac:dyDescent="0.25">
      <c r="A98" t="s">
        <v>26</v>
      </c>
      <c r="B98" t="s">
        <v>293</v>
      </c>
      <c r="C98" s="5">
        <v>2730</v>
      </c>
      <c r="D98" s="5">
        <v>27</v>
      </c>
      <c r="E98">
        <v>1984</v>
      </c>
      <c r="F98" s="4" t="s">
        <v>294</v>
      </c>
      <c r="G98" t="s">
        <v>29</v>
      </c>
      <c r="H98" t="s">
        <v>295</v>
      </c>
    </row>
    <row r="99" spans="1:8" x14ac:dyDescent="0.25">
      <c r="A99" t="s">
        <v>26</v>
      </c>
      <c r="B99" t="s">
        <v>296</v>
      </c>
      <c r="C99" s="5">
        <v>388351</v>
      </c>
      <c r="D99" s="5">
        <v>3033</v>
      </c>
      <c r="E99">
        <v>158268</v>
      </c>
      <c r="F99" s="4" t="s">
        <v>297</v>
      </c>
      <c r="G99" t="s">
        <v>29</v>
      </c>
      <c r="H99" t="s">
        <v>298</v>
      </c>
    </row>
    <row r="100" spans="1:8" x14ac:dyDescent="0.25">
      <c r="A100" t="s">
        <v>26</v>
      </c>
      <c r="B100" t="s">
        <v>299</v>
      </c>
      <c r="C100" s="5">
        <v>412916</v>
      </c>
      <c r="D100" s="5">
        <v>2462</v>
      </c>
      <c r="E100">
        <v>91815</v>
      </c>
      <c r="F100" s="4" t="s">
        <v>300</v>
      </c>
      <c r="G100" t="s">
        <v>29</v>
      </c>
      <c r="H100" t="s">
        <v>301</v>
      </c>
    </row>
    <row r="101" spans="1:8" x14ac:dyDescent="0.25">
      <c r="A101" t="s">
        <v>26</v>
      </c>
      <c r="B101" t="s">
        <v>302</v>
      </c>
      <c r="C101" s="5">
        <v>1033639</v>
      </c>
      <c r="D101" s="5">
        <v>17396</v>
      </c>
      <c r="E101">
        <v>85858</v>
      </c>
      <c r="F101" s="4" t="s">
        <v>116</v>
      </c>
      <c r="G101" t="s">
        <v>29</v>
      </c>
      <c r="H101" t="s">
        <v>117</v>
      </c>
    </row>
    <row r="102" spans="1:8" x14ac:dyDescent="0.25">
      <c r="A102" t="s">
        <v>26</v>
      </c>
      <c r="B102" t="s">
        <v>303</v>
      </c>
      <c r="C102" s="5">
        <v>50031</v>
      </c>
      <c r="D102" s="5">
        <v>91</v>
      </c>
      <c r="E102">
        <v>12437</v>
      </c>
      <c r="F102" s="4" t="s">
        <v>304</v>
      </c>
      <c r="G102" t="s">
        <v>29</v>
      </c>
      <c r="H102" t="s">
        <v>305</v>
      </c>
    </row>
    <row r="103" spans="1:8" x14ac:dyDescent="0.25">
      <c r="A103" t="s">
        <v>26</v>
      </c>
      <c r="B103" t="s">
        <v>306</v>
      </c>
      <c r="C103" s="5">
        <v>648782</v>
      </c>
      <c r="D103" s="5">
        <v>8561</v>
      </c>
      <c r="E103">
        <v>156992</v>
      </c>
      <c r="F103" s="4" t="s">
        <v>307</v>
      </c>
      <c r="G103" t="s">
        <v>29</v>
      </c>
      <c r="H103" t="s">
        <v>308</v>
      </c>
    </row>
    <row r="104" spans="1:8" x14ac:dyDescent="0.25">
      <c r="A104" t="s">
        <v>26</v>
      </c>
      <c r="B104" t="s">
        <v>309</v>
      </c>
      <c r="C104" s="5">
        <v>12757</v>
      </c>
      <c r="D104" s="5">
        <v>264</v>
      </c>
      <c r="E104">
        <v>12219</v>
      </c>
      <c r="F104" s="4" t="s">
        <v>310</v>
      </c>
      <c r="G104" t="s">
        <v>29</v>
      </c>
      <c r="H104" t="s">
        <v>311</v>
      </c>
    </row>
    <row r="105" spans="1:8" x14ac:dyDescent="0.25">
      <c r="A105" t="s">
        <v>26</v>
      </c>
      <c r="B105" t="s">
        <v>312</v>
      </c>
      <c r="C105" s="5">
        <v>3814</v>
      </c>
      <c r="D105" s="5">
        <v>61</v>
      </c>
      <c r="E105">
        <v>114</v>
      </c>
      <c r="F105" s="4" t="s">
        <v>313</v>
      </c>
      <c r="G105" t="s">
        <v>29</v>
      </c>
      <c r="H105" t="s">
        <v>314</v>
      </c>
    </row>
    <row r="106" spans="1:8" x14ac:dyDescent="0.25">
      <c r="A106" t="s">
        <v>26</v>
      </c>
      <c r="B106" t="s">
        <v>315</v>
      </c>
      <c r="C106" s="5">
        <v>547346</v>
      </c>
      <c r="D106" s="5">
        <v>13908</v>
      </c>
      <c r="E106">
        <v>266619</v>
      </c>
      <c r="F106" s="4" t="s">
        <v>141</v>
      </c>
      <c r="G106" t="s">
        <v>29</v>
      </c>
      <c r="H106" t="s">
        <v>142</v>
      </c>
    </row>
    <row r="107" spans="1:8" x14ac:dyDescent="0.25">
      <c r="A107" t="s">
        <v>26</v>
      </c>
      <c r="B107" t="s">
        <v>316</v>
      </c>
      <c r="C107" s="5">
        <v>5818</v>
      </c>
      <c r="D107" s="5">
        <v>287</v>
      </c>
      <c r="E107">
        <v>2471</v>
      </c>
      <c r="F107" s="4" t="s">
        <v>317</v>
      </c>
      <c r="G107" t="s">
        <v>29</v>
      </c>
      <c r="H107" t="s">
        <v>318</v>
      </c>
    </row>
    <row r="108" spans="1:8" x14ac:dyDescent="0.25">
      <c r="A108" t="s">
        <v>26</v>
      </c>
      <c r="B108" t="s">
        <v>319</v>
      </c>
      <c r="C108" s="5">
        <v>21687</v>
      </c>
      <c r="D108" s="5">
        <v>660</v>
      </c>
      <c r="E108">
        <v>4190</v>
      </c>
      <c r="F108" s="4" t="s">
        <v>320</v>
      </c>
      <c r="G108" t="s">
        <v>29</v>
      </c>
      <c r="H108" t="s">
        <v>321</v>
      </c>
    </row>
    <row r="109" spans="1:8" x14ac:dyDescent="0.25">
      <c r="A109" t="s">
        <v>26</v>
      </c>
      <c r="B109" t="s">
        <v>322</v>
      </c>
      <c r="C109" s="5">
        <v>434033</v>
      </c>
      <c r="D109" s="5">
        <v>6214</v>
      </c>
      <c r="E109">
        <v>165776</v>
      </c>
      <c r="F109" s="4" t="s">
        <v>323</v>
      </c>
      <c r="G109" t="s">
        <v>29</v>
      </c>
      <c r="H109" t="s">
        <v>324</v>
      </c>
    </row>
    <row r="110" spans="1:8" x14ac:dyDescent="0.25">
      <c r="A110" t="s">
        <v>26</v>
      </c>
      <c r="B110" t="s">
        <v>325</v>
      </c>
      <c r="C110" s="5">
        <v>83826</v>
      </c>
      <c r="D110" s="5">
        <v>852</v>
      </c>
      <c r="E110">
        <v>50369</v>
      </c>
      <c r="F110" s="4" t="s">
        <v>326</v>
      </c>
      <c r="G110" t="s">
        <v>29</v>
      </c>
      <c r="H110" t="s">
        <v>327</v>
      </c>
    </row>
    <row r="111" spans="1:8" x14ac:dyDescent="0.25">
      <c r="A111" t="s">
        <v>26</v>
      </c>
      <c r="B111" t="s">
        <v>328</v>
      </c>
      <c r="C111" s="5">
        <v>235387</v>
      </c>
      <c r="D111" s="5">
        <v>3598</v>
      </c>
      <c r="E111">
        <v>105808</v>
      </c>
      <c r="F111" s="4" t="s">
        <v>74</v>
      </c>
      <c r="G111" t="s">
        <v>29</v>
      </c>
      <c r="H111" t="s">
        <v>75</v>
      </c>
    </row>
    <row r="112" spans="1:8" x14ac:dyDescent="0.25">
      <c r="A112" t="s">
        <v>26</v>
      </c>
      <c r="B112" t="s">
        <v>329</v>
      </c>
      <c r="C112" s="5">
        <v>362915</v>
      </c>
      <c r="D112" s="5">
        <v>5241</v>
      </c>
      <c r="E112">
        <v>259001</v>
      </c>
      <c r="F112" s="4" t="s">
        <v>330</v>
      </c>
      <c r="G112" t="s">
        <v>29</v>
      </c>
      <c r="H112" t="s">
        <v>331</v>
      </c>
    </row>
    <row r="113" spans="1:8" x14ac:dyDescent="0.25">
      <c r="A113" t="s">
        <v>26</v>
      </c>
      <c r="B113" t="s">
        <v>332</v>
      </c>
      <c r="C113" s="5">
        <v>947761</v>
      </c>
      <c r="D113" s="5">
        <v>14729</v>
      </c>
      <c r="E113">
        <v>581539</v>
      </c>
      <c r="F113" s="4" t="s">
        <v>333</v>
      </c>
      <c r="G113" t="s">
        <v>29</v>
      </c>
      <c r="H113" t="s">
        <v>334</v>
      </c>
    </row>
    <row r="114" spans="1:8" x14ac:dyDescent="0.25">
      <c r="A114" t="s">
        <v>26</v>
      </c>
      <c r="B114" t="s">
        <v>335</v>
      </c>
      <c r="C114" s="5">
        <v>3451</v>
      </c>
      <c r="D114" s="5">
        <v>36</v>
      </c>
      <c r="E114">
        <v>1929</v>
      </c>
      <c r="F114" s="4" t="s">
        <v>336</v>
      </c>
      <c r="G114" t="s">
        <v>29</v>
      </c>
      <c r="H114" t="s">
        <v>337</v>
      </c>
    </row>
    <row r="115" spans="1:8" x14ac:dyDescent="0.25">
      <c r="A115" t="s">
        <v>26</v>
      </c>
      <c r="B115" t="s">
        <v>338</v>
      </c>
      <c r="C115" s="5">
        <v>349568</v>
      </c>
      <c r="D115" s="5">
        <v>8253</v>
      </c>
      <c r="E115">
        <v>143214</v>
      </c>
      <c r="F115" s="4" t="s">
        <v>339</v>
      </c>
      <c r="G115" t="s">
        <v>29</v>
      </c>
      <c r="H115" t="s">
        <v>340</v>
      </c>
    </row>
    <row r="116" spans="1:8" x14ac:dyDescent="0.25">
      <c r="A116" t="s">
        <v>26</v>
      </c>
      <c r="B116" t="s">
        <v>341</v>
      </c>
      <c r="C116" s="5">
        <v>150313</v>
      </c>
      <c r="D116" s="5">
        <v>2181</v>
      </c>
      <c r="E116">
        <v>140771</v>
      </c>
      <c r="F116" s="4" t="s">
        <v>342</v>
      </c>
      <c r="G116" t="s">
        <v>29</v>
      </c>
      <c r="H116" t="s">
        <v>343</v>
      </c>
    </row>
    <row r="117" spans="1:8" x14ac:dyDescent="0.25">
      <c r="A117" t="s">
        <v>26</v>
      </c>
      <c r="B117" t="s">
        <v>344</v>
      </c>
      <c r="C117" s="5">
        <v>3975</v>
      </c>
      <c r="D117" s="5">
        <v>56</v>
      </c>
      <c r="E117">
        <v>2500</v>
      </c>
      <c r="F117" s="4" t="s">
        <v>345</v>
      </c>
      <c r="G117" t="s">
        <v>29</v>
      </c>
      <c r="H117" t="s">
        <v>346</v>
      </c>
    </row>
    <row r="118" spans="1:8" x14ac:dyDescent="0.25">
      <c r="A118" t="s">
        <v>26</v>
      </c>
      <c r="B118" t="s">
        <v>347</v>
      </c>
      <c r="C118" s="5">
        <v>43672</v>
      </c>
      <c r="D118" s="5">
        <v>964</v>
      </c>
      <c r="E118">
        <v>42622</v>
      </c>
      <c r="F118" s="4" t="s">
        <v>132</v>
      </c>
      <c r="G118" t="s">
        <v>29</v>
      </c>
      <c r="H118" t="s">
        <v>133</v>
      </c>
    </row>
    <row r="119" spans="1:8" x14ac:dyDescent="0.25">
      <c r="A119" t="s">
        <v>26</v>
      </c>
      <c r="B119" t="s">
        <v>348</v>
      </c>
      <c r="C119" s="5">
        <v>4</v>
      </c>
      <c r="D119" s="5">
        <v>0</v>
      </c>
      <c r="E119">
        <v>2</v>
      </c>
      <c r="F119" s="4" t="s">
        <v>29</v>
      </c>
      <c r="G119" t="s">
        <v>29</v>
      </c>
      <c r="H119" t="s">
        <v>291</v>
      </c>
    </row>
    <row r="120" spans="1:8" x14ac:dyDescent="0.25">
      <c r="A120" t="s">
        <v>26</v>
      </c>
      <c r="B120" t="s">
        <v>349</v>
      </c>
      <c r="C120" s="5">
        <v>207566</v>
      </c>
      <c r="D120" s="5">
        <v>7276</v>
      </c>
      <c r="E120">
        <v>7041</v>
      </c>
      <c r="F120" s="4" t="s">
        <v>350</v>
      </c>
      <c r="G120" t="s">
        <v>29</v>
      </c>
      <c r="H120" t="s">
        <v>351</v>
      </c>
    </row>
    <row r="121" spans="1:8" x14ac:dyDescent="0.25">
      <c r="A121" t="s">
        <v>26</v>
      </c>
      <c r="B121" t="s">
        <v>352</v>
      </c>
      <c r="C121" s="5">
        <v>16526</v>
      </c>
      <c r="D121" s="5">
        <v>581</v>
      </c>
      <c r="E121">
        <v>8234</v>
      </c>
      <c r="F121" s="4" t="s">
        <v>353</v>
      </c>
      <c r="G121" t="s">
        <v>29</v>
      </c>
      <c r="H121" t="s">
        <v>354</v>
      </c>
    </row>
    <row r="122" spans="1:8" x14ac:dyDescent="0.25">
      <c r="A122" t="s">
        <v>26</v>
      </c>
      <c r="B122" t="s">
        <v>355</v>
      </c>
      <c r="C122" s="5">
        <v>509771</v>
      </c>
      <c r="D122" s="5">
        <v>18869</v>
      </c>
      <c r="E122">
        <v>102501</v>
      </c>
      <c r="F122" s="4" t="s">
        <v>356</v>
      </c>
      <c r="G122" t="s">
        <v>29</v>
      </c>
      <c r="H122" t="s">
        <v>357</v>
      </c>
    </row>
    <row r="123" spans="1:8" x14ac:dyDescent="0.25">
      <c r="A123" t="s">
        <v>26</v>
      </c>
      <c r="B123" t="s">
        <v>358</v>
      </c>
      <c r="C123" s="5">
        <v>370324</v>
      </c>
      <c r="D123" s="5">
        <v>1850</v>
      </c>
      <c r="E123">
        <v>174538</v>
      </c>
      <c r="F123" s="4" t="s">
        <v>80</v>
      </c>
      <c r="G123" t="s">
        <v>29</v>
      </c>
      <c r="H123" t="s">
        <v>81</v>
      </c>
    </row>
    <row r="124" spans="1:8" x14ac:dyDescent="0.25">
      <c r="A124" t="s">
        <v>26</v>
      </c>
      <c r="B124" t="s">
        <v>359</v>
      </c>
      <c r="C124" s="5">
        <v>77</v>
      </c>
      <c r="D124" s="5">
        <v>0</v>
      </c>
      <c r="E124">
        <v>33</v>
      </c>
      <c r="F124" s="4" t="s">
        <v>29</v>
      </c>
      <c r="G124" t="s">
        <v>29</v>
      </c>
      <c r="H124" t="s">
        <v>291</v>
      </c>
    </row>
    <row r="125" spans="1:8" x14ac:dyDescent="0.25">
      <c r="A125" t="s">
        <v>26</v>
      </c>
      <c r="B125" t="s">
        <v>360</v>
      </c>
      <c r="C125" s="5">
        <v>43789</v>
      </c>
      <c r="D125" s="5">
        <v>698</v>
      </c>
      <c r="E125">
        <v>17739</v>
      </c>
      <c r="F125" s="4" t="s">
        <v>361</v>
      </c>
      <c r="G125" t="s">
        <v>29</v>
      </c>
      <c r="H125" t="s">
        <v>362</v>
      </c>
    </row>
    <row r="126" spans="1:8" x14ac:dyDescent="0.25">
      <c r="A126" t="s">
        <v>26</v>
      </c>
      <c r="B126" t="s">
        <v>363</v>
      </c>
      <c r="C126" s="5">
        <v>37884</v>
      </c>
      <c r="D126" s="5">
        <v>805</v>
      </c>
      <c r="E126">
        <v>34712</v>
      </c>
      <c r="F126" s="4" t="s">
        <v>270</v>
      </c>
      <c r="G126" t="s">
        <v>29</v>
      </c>
      <c r="H126" t="s">
        <v>271</v>
      </c>
    </row>
    <row r="127" spans="1:8" x14ac:dyDescent="0.25">
      <c r="A127" t="s">
        <v>26</v>
      </c>
      <c r="B127" t="s">
        <v>364</v>
      </c>
      <c r="C127" s="5">
        <v>38004</v>
      </c>
      <c r="D127" s="5">
        <v>462</v>
      </c>
      <c r="E127">
        <v>10068</v>
      </c>
      <c r="F127" s="4" t="s">
        <v>365</v>
      </c>
      <c r="G127" t="s">
        <v>29</v>
      </c>
      <c r="H127" t="s">
        <v>366</v>
      </c>
    </row>
    <row r="128" spans="1:8" x14ac:dyDescent="0.25">
      <c r="A128" t="s">
        <v>26</v>
      </c>
      <c r="B128" t="s">
        <v>367</v>
      </c>
      <c r="C128" s="5">
        <v>18979</v>
      </c>
      <c r="D128" s="5">
        <v>240</v>
      </c>
      <c r="E128">
        <v>17609</v>
      </c>
      <c r="F128" s="4" t="s">
        <v>223</v>
      </c>
      <c r="G128" t="s">
        <v>29</v>
      </c>
      <c r="H128" t="s">
        <v>224</v>
      </c>
    </row>
    <row r="129" spans="1:8" x14ac:dyDescent="0.25">
      <c r="A129" t="s">
        <v>26</v>
      </c>
      <c r="B129" t="s">
        <v>368</v>
      </c>
      <c r="C129" s="5">
        <v>89255</v>
      </c>
      <c r="D129" s="5">
        <v>246</v>
      </c>
      <c r="E129">
        <v>20036</v>
      </c>
      <c r="F129" s="4" t="s">
        <v>369</v>
      </c>
      <c r="G129" t="s">
        <v>29</v>
      </c>
      <c r="H129" t="s">
        <v>370</v>
      </c>
    </row>
    <row r="130" spans="1:8" x14ac:dyDescent="0.25">
      <c r="A130" t="s">
        <v>26</v>
      </c>
      <c r="B130" t="s">
        <v>371</v>
      </c>
      <c r="C130" s="5">
        <v>61832</v>
      </c>
      <c r="D130" s="5">
        <v>2302</v>
      </c>
      <c r="E130">
        <v>39711</v>
      </c>
      <c r="F130" s="4" t="s">
        <v>372</v>
      </c>
      <c r="G130" t="s">
        <v>29</v>
      </c>
      <c r="H130" t="s">
        <v>373</v>
      </c>
    </row>
    <row r="131" spans="1:8" x14ac:dyDescent="0.25">
      <c r="A131" t="s">
        <v>26</v>
      </c>
      <c r="B131" t="s">
        <v>374</v>
      </c>
      <c r="C131" s="5">
        <v>3831259</v>
      </c>
      <c r="D131" s="5">
        <v>290110</v>
      </c>
      <c r="E131">
        <v>494656</v>
      </c>
      <c r="F131" s="4" t="s">
        <v>375</v>
      </c>
      <c r="G131" t="s">
        <v>29</v>
      </c>
      <c r="H131" t="s">
        <v>376</v>
      </c>
    </row>
    <row r="132" spans="1:8" x14ac:dyDescent="0.25">
      <c r="A132" t="s">
        <v>26</v>
      </c>
      <c r="B132" t="s">
        <v>377</v>
      </c>
      <c r="C132" s="5">
        <v>2522498</v>
      </c>
      <c r="D132" s="5">
        <v>29486</v>
      </c>
      <c r="E132">
        <v>794920</v>
      </c>
      <c r="F132" s="4" t="s">
        <v>378</v>
      </c>
      <c r="G132" t="s">
        <v>29</v>
      </c>
      <c r="H132" t="s">
        <v>379</v>
      </c>
    </row>
    <row r="133" spans="1:8" x14ac:dyDescent="0.25">
      <c r="A133" t="s">
        <v>26</v>
      </c>
      <c r="B133" t="s">
        <v>380</v>
      </c>
      <c r="C133" s="5">
        <v>151390</v>
      </c>
      <c r="D133" s="5">
        <v>1934</v>
      </c>
      <c r="E133">
        <v>84999</v>
      </c>
      <c r="F133" s="4" t="s">
        <v>381</v>
      </c>
      <c r="G133" t="s">
        <v>29</v>
      </c>
      <c r="H133" t="s">
        <v>382</v>
      </c>
    </row>
    <row r="134" spans="1:8" x14ac:dyDescent="0.25">
      <c r="A134" t="s">
        <v>26</v>
      </c>
      <c r="B134" t="s">
        <v>383</v>
      </c>
      <c r="C134" s="5">
        <v>129027</v>
      </c>
      <c r="D134" s="5">
        <v>3565</v>
      </c>
      <c r="E134">
        <v>95248</v>
      </c>
      <c r="F134" s="4" t="s">
        <v>384</v>
      </c>
      <c r="G134" t="s">
        <v>29</v>
      </c>
      <c r="H134" t="s">
        <v>385</v>
      </c>
    </row>
    <row r="135" spans="1:8" x14ac:dyDescent="0.25">
      <c r="A135" t="s">
        <v>26</v>
      </c>
      <c r="B135" t="s">
        <v>386</v>
      </c>
      <c r="C135" s="5">
        <v>11466</v>
      </c>
      <c r="D135" s="5">
        <v>271</v>
      </c>
      <c r="E135">
        <v>9529</v>
      </c>
      <c r="F135" s="4" t="s">
        <v>339</v>
      </c>
      <c r="G135" t="s">
        <v>29</v>
      </c>
      <c r="H135" t="s">
        <v>340</v>
      </c>
    </row>
    <row r="136" spans="1:8" x14ac:dyDescent="0.25">
      <c r="A136" t="s">
        <v>26</v>
      </c>
      <c r="B136" t="s">
        <v>387</v>
      </c>
      <c r="C136" s="5">
        <v>6589</v>
      </c>
      <c r="D136" s="5">
        <v>227</v>
      </c>
      <c r="E136">
        <v>4209</v>
      </c>
      <c r="F136" s="4" t="s">
        <v>388</v>
      </c>
      <c r="G136" t="s">
        <v>29</v>
      </c>
      <c r="H136" t="s">
        <v>389</v>
      </c>
    </row>
    <row r="137" spans="1:8" x14ac:dyDescent="0.25">
      <c r="A137" t="s">
        <v>26</v>
      </c>
      <c r="B137" t="s">
        <v>390</v>
      </c>
      <c r="C137" s="5">
        <v>212894</v>
      </c>
      <c r="D137" s="5">
        <v>2922</v>
      </c>
      <c r="E137">
        <v>77948</v>
      </c>
      <c r="F137" s="4" t="s">
        <v>391</v>
      </c>
      <c r="G137" t="s">
        <v>29</v>
      </c>
      <c r="H137" t="s">
        <v>392</v>
      </c>
    </row>
    <row r="138" spans="1:8" x14ac:dyDescent="0.25">
      <c r="A138" t="s">
        <v>26</v>
      </c>
      <c r="B138" t="s">
        <v>393</v>
      </c>
      <c r="C138" s="5">
        <v>16877</v>
      </c>
      <c r="D138" s="5">
        <v>210</v>
      </c>
      <c r="E138">
        <v>11518</v>
      </c>
      <c r="F138" s="4" t="s">
        <v>394</v>
      </c>
      <c r="G138" t="s">
        <v>29</v>
      </c>
      <c r="H138" t="s">
        <v>395</v>
      </c>
    </row>
    <row r="139" spans="1:8" x14ac:dyDescent="0.25">
      <c r="A139" t="s">
        <v>26</v>
      </c>
      <c r="B139" t="s">
        <v>396</v>
      </c>
      <c r="C139" s="5">
        <v>2277057</v>
      </c>
      <c r="D139" s="5">
        <v>19079</v>
      </c>
      <c r="E139">
        <v>1743256</v>
      </c>
      <c r="F139" s="4" t="s">
        <v>397</v>
      </c>
      <c r="G139" t="s">
        <v>29</v>
      </c>
      <c r="H139" t="s">
        <v>398</v>
      </c>
    </row>
    <row r="140" spans="1:8" x14ac:dyDescent="0.25">
      <c r="A140" t="s">
        <v>26</v>
      </c>
      <c r="B140" t="s">
        <v>399</v>
      </c>
      <c r="C140" s="5">
        <v>222296</v>
      </c>
      <c r="D140" s="5">
        <v>947</v>
      </c>
      <c r="E140">
        <v>105191</v>
      </c>
      <c r="F140" s="4" t="s">
        <v>400</v>
      </c>
      <c r="G140" t="s">
        <v>29</v>
      </c>
      <c r="H140" t="s">
        <v>401</v>
      </c>
    </row>
    <row r="141" spans="1:8" x14ac:dyDescent="0.25">
      <c r="A141" t="s">
        <v>26</v>
      </c>
      <c r="B141" t="s">
        <v>402</v>
      </c>
      <c r="C141" s="5">
        <v>815759</v>
      </c>
      <c r="D141" s="5">
        <v>11460</v>
      </c>
      <c r="E141">
        <v>657524</v>
      </c>
      <c r="F141" s="4" t="s">
        <v>403</v>
      </c>
      <c r="G141" t="s">
        <v>29</v>
      </c>
      <c r="H141" t="s">
        <v>404</v>
      </c>
    </row>
    <row r="142" spans="1:8" x14ac:dyDescent="0.25">
      <c r="A142" t="s">
        <v>26</v>
      </c>
      <c r="B142" t="s">
        <v>405</v>
      </c>
      <c r="C142" s="5">
        <v>8108</v>
      </c>
      <c r="D142" s="5">
        <v>33</v>
      </c>
      <c r="E142">
        <v>1349</v>
      </c>
      <c r="F142" s="4" t="s">
        <v>406</v>
      </c>
      <c r="G142" t="s">
        <v>29</v>
      </c>
      <c r="H142" t="s">
        <v>407</v>
      </c>
    </row>
    <row r="143" spans="1:8" x14ac:dyDescent="0.25">
      <c r="A143" t="s">
        <v>26</v>
      </c>
      <c r="B143" t="s">
        <v>408</v>
      </c>
      <c r="C143" s="5">
        <v>304403</v>
      </c>
      <c r="D143" s="5">
        <v>4113</v>
      </c>
      <c r="E143">
        <v>38807</v>
      </c>
      <c r="F143" s="4" t="s">
        <v>409</v>
      </c>
      <c r="G143" t="s">
        <v>29</v>
      </c>
      <c r="H143" t="s">
        <v>410</v>
      </c>
    </row>
    <row r="144" spans="1:8" x14ac:dyDescent="0.25">
      <c r="A144" t="s">
        <v>26</v>
      </c>
      <c r="B144" t="s">
        <v>411</v>
      </c>
      <c r="C144" s="5">
        <v>473903</v>
      </c>
      <c r="D144" s="5">
        <v>7338</v>
      </c>
      <c r="E144">
        <v>206184</v>
      </c>
      <c r="F144" s="4" t="s">
        <v>333</v>
      </c>
      <c r="G144" t="s">
        <v>29</v>
      </c>
      <c r="H144" t="s">
        <v>334</v>
      </c>
    </row>
    <row r="145" spans="1:8" x14ac:dyDescent="0.25">
      <c r="A145" t="s">
        <v>26</v>
      </c>
      <c r="B145" t="s">
        <v>412</v>
      </c>
      <c r="C145" s="5">
        <v>2210129</v>
      </c>
      <c r="D145" s="5">
        <v>200532</v>
      </c>
      <c r="E145">
        <v>510809</v>
      </c>
      <c r="F145" s="4" t="s">
        <v>413</v>
      </c>
      <c r="G145" t="s">
        <v>29</v>
      </c>
      <c r="H145" t="s">
        <v>414</v>
      </c>
    </row>
    <row r="146" spans="1:8" x14ac:dyDescent="0.25">
      <c r="A146" t="s">
        <v>26</v>
      </c>
      <c r="B146" t="s">
        <v>415</v>
      </c>
      <c r="C146" s="5">
        <v>45573</v>
      </c>
      <c r="D146" s="5">
        <v>636</v>
      </c>
      <c r="E146">
        <v>24768</v>
      </c>
      <c r="F146" s="4" t="s">
        <v>403</v>
      </c>
      <c r="G146" t="s">
        <v>29</v>
      </c>
      <c r="H146" t="s">
        <v>404</v>
      </c>
    </row>
    <row r="147" spans="1:8" x14ac:dyDescent="0.25">
      <c r="A147" t="s">
        <v>26</v>
      </c>
      <c r="B147" t="s">
        <v>416</v>
      </c>
      <c r="C147" s="5">
        <v>32279</v>
      </c>
      <c r="D147" s="5">
        <v>415</v>
      </c>
      <c r="E147">
        <v>730</v>
      </c>
      <c r="F147" s="4" t="s">
        <v>417</v>
      </c>
      <c r="G147" t="s">
        <v>29</v>
      </c>
      <c r="H147" t="s">
        <v>418</v>
      </c>
    </row>
    <row r="148" spans="1:8" x14ac:dyDescent="0.25">
      <c r="A148" t="s">
        <v>26</v>
      </c>
      <c r="B148" t="s">
        <v>419</v>
      </c>
      <c r="C148" s="5">
        <v>2806694</v>
      </c>
      <c r="D148" s="5">
        <v>44567</v>
      </c>
      <c r="E148">
        <v>2397744</v>
      </c>
      <c r="F148" s="4" t="s">
        <v>361</v>
      </c>
      <c r="G148" t="s">
        <v>29</v>
      </c>
      <c r="H148" t="s">
        <v>362</v>
      </c>
    </row>
    <row r="149" spans="1:8" x14ac:dyDescent="0.25">
      <c r="A149" t="s">
        <v>26</v>
      </c>
      <c r="B149" t="s">
        <v>420</v>
      </c>
      <c r="C149" s="5">
        <v>1278751</v>
      </c>
      <c r="D149" s="5">
        <v>28575</v>
      </c>
      <c r="E149">
        <v>341702</v>
      </c>
      <c r="F149" s="4" t="s">
        <v>421</v>
      </c>
      <c r="G149" t="s">
        <v>29</v>
      </c>
      <c r="H149" t="s">
        <v>422</v>
      </c>
    </row>
    <row r="150" spans="1:8" x14ac:dyDescent="0.25">
      <c r="A150" t="s">
        <v>26</v>
      </c>
      <c r="B150" t="s">
        <v>423</v>
      </c>
      <c r="C150" s="5">
        <v>3143725</v>
      </c>
      <c r="D150" s="5">
        <v>78250</v>
      </c>
      <c r="E150">
        <v>2879312</v>
      </c>
      <c r="F150" s="4" t="s">
        <v>424</v>
      </c>
      <c r="G150" t="s">
        <v>29</v>
      </c>
      <c r="H150" t="s">
        <v>425</v>
      </c>
    </row>
    <row r="151" spans="1:8" x14ac:dyDescent="0.25">
      <c r="A151" t="s">
        <v>26</v>
      </c>
      <c r="B151" t="s">
        <v>426</v>
      </c>
      <c r="C151" s="5">
        <v>456186</v>
      </c>
      <c r="D151" s="5">
        <v>4733</v>
      </c>
      <c r="E151">
        <v>374127</v>
      </c>
      <c r="F151" s="4" t="s">
        <v>336</v>
      </c>
      <c r="G151" t="s">
        <v>29</v>
      </c>
      <c r="H151" t="s">
        <v>337</v>
      </c>
    </row>
    <row r="152" spans="1:8" x14ac:dyDescent="0.25">
      <c r="A152" t="s">
        <v>26</v>
      </c>
      <c r="B152" t="s">
        <v>427</v>
      </c>
      <c r="C152" s="5">
        <v>1100961</v>
      </c>
      <c r="D152" s="5">
        <v>18222</v>
      </c>
      <c r="E152">
        <v>955353</v>
      </c>
      <c r="F152" s="4" t="s">
        <v>135</v>
      </c>
      <c r="G152" t="s">
        <v>29</v>
      </c>
      <c r="H152" t="s">
        <v>136</v>
      </c>
    </row>
    <row r="153" spans="1:8" x14ac:dyDescent="0.25">
      <c r="A153" t="s">
        <v>26</v>
      </c>
      <c r="B153" t="s">
        <v>428</v>
      </c>
      <c r="C153" s="5">
        <v>8</v>
      </c>
      <c r="D153" s="5">
        <v>0</v>
      </c>
      <c r="E153">
        <v>6</v>
      </c>
      <c r="F153" s="4" t="s">
        <v>29</v>
      </c>
      <c r="G153" t="s">
        <v>29</v>
      </c>
      <c r="H153" t="s">
        <v>291</v>
      </c>
    </row>
    <row r="154" spans="1:8" x14ac:dyDescent="0.25">
      <c r="A154" t="s">
        <v>26</v>
      </c>
      <c r="B154" t="s">
        <v>429</v>
      </c>
      <c r="C154" s="5">
        <v>461466</v>
      </c>
      <c r="D154" s="5">
        <v>16272</v>
      </c>
      <c r="E154">
        <v>322526</v>
      </c>
      <c r="F154" s="4" t="s">
        <v>430</v>
      </c>
      <c r="G154" t="s">
        <v>29</v>
      </c>
      <c r="H154" t="s">
        <v>431</v>
      </c>
    </row>
    <row r="155" spans="1:8" x14ac:dyDescent="0.25">
      <c r="A155" t="s">
        <v>26</v>
      </c>
      <c r="B155" t="s">
        <v>432</v>
      </c>
      <c r="C155" s="5">
        <v>240557</v>
      </c>
      <c r="D155" s="5">
        <v>611</v>
      </c>
      <c r="E155">
        <v>98251</v>
      </c>
      <c r="F155" s="4" t="s">
        <v>433</v>
      </c>
      <c r="G155" t="s">
        <v>29</v>
      </c>
      <c r="H155" t="s">
        <v>434</v>
      </c>
    </row>
    <row r="156" spans="1:8" x14ac:dyDescent="0.25">
      <c r="A156" t="s">
        <v>26</v>
      </c>
      <c r="B156" t="s">
        <v>435</v>
      </c>
      <c r="C156" s="5">
        <v>55865</v>
      </c>
      <c r="D156" s="5">
        <v>376</v>
      </c>
      <c r="E156">
        <v>46997</v>
      </c>
      <c r="F156" s="4" t="s">
        <v>92</v>
      </c>
      <c r="G156" t="s">
        <v>29</v>
      </c>
      <c r="H156" t="s">
        <v>93</v>
      </c>
    </row>
    <row r="157" spans="1:8" x14ac:dyDescent="0.25">
      <c r="A157" t="s">
        <v>26</v>
      </c>
      <c r="B157" t="s">
        <v>436</v>
      </c>
      <c r="C157" s="5">
        <v>1725017</v>
      </c>
      <c r="D157" s="5">
        <v>51888</v>
      </c>
      <c r="E157">
        <v>650782</v>
      </c>
      <c r="F157" s="4" t="s">
        <v>437</v>
      </c>
      <c r="G157" t="s">
        <v>29</v>
      </c>
      <c r="H157" t="s">
        <v>438</v>
      </c>
    </row>
    <row r="158" spans="1:8" x14ac:dyDescent="0.25">
      <c r="A158" t="s">
        <v>26</v>
      </c>
      <c r="B158" t="s">
        <v>439</v>
      </c>
      <c r="C158" s="5">
        <v>1197082</v>
      </c>
      <c r="D158" s="5">
        <v>10595</v>
      </c>
      <c r="E158">
        <v>43896</v>
      </c>
      <c r="F158" s="4" t="s">
        <v>65</v>
      </c>
      <c r="G158" t="s">
        <v>29</v>
      </c>
      <c r="H158" t="s">
        <v>66</v>
      </c>
    </row>
    <row r="159" spans="1:8" x14ac:dyDescent="0.25">
      <c r="A159" t="s">
        <v>26</v>
      </c>
      <c r="B159" t="s">
        <v>440</v>
      </c>
      <c r="C159" s="5">
        <v>8764713</v>
      </c>
      <c r="D159" s="5">
        <v>245794</v>
      </c>
      <c r="E159">
        <v>1443976</v>
      </c>
      <c r="F159" s="4" t="s">
        <v>441</v>
      </c>
      <c r="G159" t="s">
        <v>29</v>
      </c>
      <c r="H159" t="s">
        <v>442</v>
      </c>
    </row>
    <row r="160" spans="1:8" x14ac:dyDescent="0.25">
      <c r="A160" t="s">
        <v>26</v>
      </c>
      <c r="B160" t="s">
        <v>443</v>
      </c>
      <c r="C160" s="5">
        <v>100019</v>
      </c>
      <c r="D160" s="5">
        <v>1335</v>
      </c>
      <c r="E160">
        <v>71812</v>
      </c>
      <c r="F160" s="4" t="s">
        <v>59</v>
      </c>
      <c r="G160" t="s">
        <v>29</v>
      </c>
      <c r="H160" t="s">
        <v>60</v>
      </c>
    </row>
    <row r="161" spans="1:8" x14ac:dyDescent="0.25">
      <c r="A161" t="s">
        <v>26</v>
      </c>
      <c r="B161" t="s">
        <v>444</v>
      </c>
      <c r="C161" s="5">
        <v>549060</v>
      </c>
      <c r="D161" s="5">
        <v>8807</v>
      </c>
      <c r="E161">
        <v>139380</v>
      </c>
      <c r="F161" s="4" t="s">
        <v>313</v>
      </c>
      <c r="G161" t="s">
        <v>29</v>
      </c>
      <c r="H161" t="s">
        <v>314</v>
      </c>
    </row>
    <row r="162" spans="1:8" x14ac:dyDescent="0.25">
      <c r="A162" t="s">
        <v>26</v>
      </c>
      <c r="B162" t="s">
        <v>445</v>
      </c>
      <c r="C162" s="5">
        <v>20</v>
      </c>
      <c r="D162" s="5">
        <v>0</v>
      </c>
      <c r="E162">
        <v>2</v>
      </c>
      <c r="F162" s="4" t="s">
        <v>29</v>
      </c>
      <c r="G162" t="s">
        <v>29</v>
      </c>
      <c r="H162" t="s">
        <v>291</v>
      </c>
    </row>
    <row r="163" spans="1:8" x14ac:dyDescent="0.25">
      <c r="A163" t="s">
        <v>26</v>
      </c>
      <c r="B163" t="s">
        <v>446</v>
      </c>
      <c r="C163" s="5">
        <v>22526</v>
      </c>
      <c r="D163" s="5">
        <v>119</v>
      </c>
      <c r="E163">
        <v>5812</v>
      </c>
      <c r="F163" s="4" t="s">
        <v>447</v>
      </c>
      <c r="G163" t="s">
        <v>29</v>
      </c>
      <c r="H163" t="s">
        <v>448</v>
      </c>
    </row>
    <row r="164" spans="1:8" x14ac:dyDescent="0.25">
      <c r="A164" t="s">
        <v>26</v>
      </c>
      <c r="B164" t="s">
        <v>449</v>
      </c>
      <c r="C164" s="5">
        <v>41019</v>
      </c>
      <c r="D164" s="5">
        <v>3099</v>
      </c>
      <c r="E164">
        <v>19939</v>
      </c>
      <c r="F164" s="4" t="s">
        <v>450</v>
      </c>
      <c r="G164" t="s">
        <v>29</v>
      </c>
      <c r="H164" t="s">
        <v>451</v>
      </c>
    </row>
    <row r="165" spans="1:8" x14ac:dyDescent="0.25">
      <c r="A165" t="s">
        <v>26</v>
      </c>
      <c r="B165" t="s">
        <v>452</v>
      </c>
      <c r="C165" s="5">
        <v>1180518</v>
      </c>
      <c r="D165" s="5">
        <v>15076</v>
      </c>
      <c r="E165">
        <v>315327</v>
      </c>
      <c r="F165" s="4" t="s">
        <v>381</v>
      </c>
      <c r="G165" t="s">
        <v>29</v>
      </c>
      <c r="H165" t="s">
        <v>382</v>
      </c>
    </row>
    <row r="166" spans="1:8" x14ac:dyDescent="0.25">
      <c r="A166" t="s">
        <v>26</v>
      </c>
      <c r="B166" t="s">
        <v>453</v>
      </c>
      <c r="C166" s="5">
        <v>227681</v>
      </c>
      <c r="D166" s="5">
        <v>540</v>
      </c>
      <c r="E166">
        <v>217245</v>
      </c>
      <c r="F166" s="4" t="s">
        <v>454</v>
      </c>
      <c r="G166" t="s">
        <v>29</v>
      </c>
      <c r="H166" t="s">
        <v>455</v>
      </c>
    </row>
    <row r="167" spans="1:8" x14ac:dyDescent="0.25">
      <c r="A167" t="s">
        <v>26</v>
      </c>
      <c r="B167" t="s">
        <v>456</v>
      </c>
      <c r="C167" s="5">
        <v>365095</v>
      </c>
      <c r="D167" s="5">
        <v>4875</v>
      </c>
      <c r="E167">
        <v>259272</v>
      </c>
      <c r="F167" s="4" t="s">
        <v>264</v>
      </c>
      <c r="G167" t="s">
        <v>29</v>
      </c>
      <c r="H167" t="s">
        <v>265</v>
      </c>
    </row>
    <row r="168" spans="1:8" x14ac:dyDescent="0.25">
      <c r="A168" t="s">
        <v>26</v>
      </c>
      <c r="B168" t="s">
        <v>457</v>
      </c>
      <c r="C168" s="5">
        <v>533663</v>
      </c>
      <c r="D168" s="5">
        <v>13367</v>
      </c>
      <c r="E168">
        <v>511678</v>
      </c>
      <c r="F168" s="4" t="s">
        <v>458</v>
      </c>
      <c r="G168" t="s">
        <v>29</v>
      </c>
      <c r="H168" t="s">
        <v>459</v>
      </c>
    </row>
    <row r="169" spans="1:8" x14ac:dyDescent="0.25">
      <c r="A169" t="s">
        <v>26</v>
      </c>
      <c r="B169" t="s">
        <v>460</v>
      </c>
      <c r="C169" s="5">
        <v>6398</v>
      </c>
      <c r="D169" s="5">
        <v>121</v>
      </c>
      <c r="E169">
        <v>3951</v>
      </c>
      <c r="F169" s="4" t="s">
        <v>461</v>
      </c>
      <c r="G169" t="s">
        <v>29</v>
      </c>
      <c r="H169" t="s">
        <v>462</v>
      </c>
    </row>
    <row r="170" spans="1:8" x14ac:dyDescent="0.25">
      <c r="A170" t="s">
        <v>26</v>
      </c>
      <c r="B170" t="s">
        <v>463</v>
      </c>
      <c r="C170" s="5">
        <v>5610</v>
      </c>
      <c r="D170" s="5">
        <v>92</v>
      </c>
      <c r="E170">
        <v>981</v>
      </c>
      <c r="F170" s="4" t="s">
        <v>196</v>
      </c>
      <c r="G170" t="s">
        <v>29</v>
      </c>
      <c r="H170" t="s">
        <v>197</v>
      </c>
    </row>
    <row r="171" spans="1:8" x14ac:dyDescent="0.25">
      <c r="A171" t="s">
        <v>26</v>
      </c>
      <c r="B171" t="s">
        <v>464</v>
      </c>
      <c r="C171" s="5">
        <v>73945</v>
      </c>
      <c r="D171" s="5">
        <v>1881</v>
      </c>
      <c r="E171">
        <v>6663</v>
      </c>
      <c r="F171" s="4" t="s">
        <v>141</v>
      </c>
      <c r="G171" t="s">
        <v>29</v>
      </c>
      <c r="H171" t="s">
        <v>142</v>
      </c>
    </row>
    <row r="172" spans="1:8" x14ac:dyDescent="0.25">
      <c r="A172" t="s">
        <v>26</v>
      </c>
      <c r="B172" t="s">
        <v>465</v>
      </c>
      <c r="C172" s="5">
        <v>22693</v>
      </c>
      <c r="D172" s="5">
        <v>1294</v>
      </c>
      <c r="E172">
        <v>865</v>
      </c>
      <c r="F172" s="4" t="s">
        <v>466</v>
      </c>
      <c r="G172" t="s">
        <v>29</v>
      </c>
      <c r="H172" t="s">
        <v>467</v>
      </c>
    </row>
    <row r="173" spans="1:8" x14ac:dyDescent="0.25">
      <c r="A173" t="s">
        <v>26</v>
      </c>
      <c r="B173" t="s">
        <v>468</v>
      </c>
      <c r="C173" s="5">
        <v>49902</v>
      </c>
      <c r="D173" s="5">
        <v>1126</v>
      </c>
      <c r="E173">
        <v>1441</v>
      </c>
      <c r="F173" s="4" t="s">
        <v>469</v>
      </c>
      <c r="G173" t="s">
        <v>29</v>
      </c>
      <c r="H173" t="s">
        <v>470</v>
      </c>
    </row>
    <row r="174" spans="1:8" x14ac:dyDescent="0.25">
      <c r="A174" t="s">
        <v>26</v>
      </c>
      <c r="B174" t="s">
        <v>471</v>
      </c>
      <c r="C174" s="5">
        <v>12546</v>
      </c>
      <c r="D174" s="5">
        <v>133</v>
      </c>
      <c r="E174">
        <v>10853</v>
      </c>
      <c r="F174" s="4" t="s">
        <v>165</v>
      </c>
      <c r="G174" t="s">
        <v>29</v>
      </c>
      <c r="H174" t="s">
        <v>166</v>
      </c>
    </row>
    <row r="175" spans="1:8" x14ac:dyDescent="0.25">
      <c r="A175" t="s">
        <v>26</v>
      </c>
      <c r="B175" t="s">
        <v>472</v>
      </c>
      <c r="C175" s="5">
        <v>3730</v>
      </c>
      <c r="D175" s="5">
        <v>56</v>
      </c>
      <c r="E175">
        <v>1212</v>
      </c>
      <c r="F175" s="4" t="s">
        <v>226</v>
      </c>
      <c r="G175" t="s">
        <v>29</v>
      </c>
      <c r="H175" t="s">
        <v>227</v>
      </c>
    </row>
    <row r="176" spans="1:8" x14ac:dyDescent="0.25">
      <c r="A176" t="s">
        <v>26</v>
      </c>
      <c r="B176" t="s">
        <v>473</v>
      </c>
      <c r="C176" s="5">
        <v>117350</v>
      </c>
      <c r="D176" s="5">
        <v>3704</v>
      </c>
      <c r="E176">
        <v>14017</v>
      </c>
      <c r="F176" s="4" t="s">
        <v>474</v>
      </c>
      <c r="G176" t="s">
        <v>29</v>
      </c>
      <c r="H176" t="s">
        <v>475</v>
      </c>
    </row>
    <row r="177" spans="1:8" x14ac:dyDescent="0.25">
      <c r="A177" t="s">
        <v>26</v>
      </c>
      <c r="B177" t="s">
        <v>476</v>
      </c>
      <c r="C177" s="5">
        <v>45468</v>
      </c>
      <c r="D177" s="5">
        <v>2637</v>
      </c>
      <c r="E177">
        <v>23017</v>
      </c>
      <c r="F177" s="4" t="s">
        <v>477</v>
      </c>
      <c r="G177" t="s">
        <v>29</v>
      </c>
      <c r="H177" t="s">
        <v>478</v>
      </c>
    </row>
    <row r="178" spans="1:8" x14ac:dyDescent="0.25">
      <c r="A178" t="s">
        <v>26</v>
      </c>
      <c r="B178" t="s">
        <v>479</v>
      </c>
      <c r="C178" s="5">
        <v>46464</v>
      </c>
      <c r="D178" s="5">
        <v>1245</v>
      </c>
      <c r="E178">
        <v>18209</v>
      </c>
      <c r="F178" s="4" t="s">
        <v>480</v>
      </c>
      <c r="G178" t="s">
        <v>29</v>
      </c>
      <c r="H178" t="s">
        <v>481</v>
      </c>
    </row>
    <row r="179" spans="1:8" x14ac:dyDescent="0.25">
      <c r="A179" t="s">
        <v>26</v>
      </c>
      <c r="B179" t="s">
        <v>482</v>
      </c>
      <c r="C179" s="5">
        <v>5107</v>
      </c>
      <c r="D179" s="5">
        <v>175</v>
      </c>
      <c r="E179">
        <v>291</v>
      </c>
      <c r="F179" s="4" t="s">
        <v>252</v>
      </c>
      <c r="G179" t="s">
        <v>29</v>
      </c>
      <c r="H179" t="s">
        <v>253</v>
      </c>
    </row>
    <row r="180" spans="1:8" x14ac:dyDescent="0.25">
      <c r="A180" t="s">
        <v>26</v>
      </c>
      <c r="B180" t="s">
        <v>483</v>
      </c>
      <c r="C180" s="5">
        <v>26133</v>
      </c>
      <c r="D180" s="5">
        <v>243</v>
      </c>
      <c r="E180">
        <v>16937</v>
      </c>
      <c r="F180" s="4" t="s">
        <v>484</v>
      </c>
      <c r="G180" t="s">
        <v>29</v>
      </c>
      <c r="H180" t="s">
        <v>485</v>
      </c>
    </row>
    <row r="181" spans="1:8" x14ac:dyDescent="0.25">
      <c r="A181" t="s">
        <v>26</v>
      </c>
      <c r="B181" t="s">
        <v>486</v>
      </c>
      <c r="C181" s="5">
        <v>1996969</v>
      </c>
      <c r="D181" s="5">
        <v>19883</v>
      </c>
      <c r="E181">
        <v>1539543</v>
      </c>
      <c r="F181" s="4" t="s">
        <v>56</v>
      </c>
      <c r="G181" t="s">
        <v>29</v>
      </c>
      <c r="H181" t="s">
        <v>57</v>
      </c>
    </row>
    <row r="182" spans="1:8" x14ac:dyDescent="0.25">
      <c r="A182" t="s">
        <v>26</v>
      </c>
      <c r="B182" t="s">
        <v>487</v>
      </c>
      <c r="C182" s="5">
        <v>17488</v>
      </c>
      <c r="D182" s="5">
        <v>125</v>
      </c>
      <c r="E182">
        <v>15662</v>
      </c>
      <c r="F182" s="4" t="s">
        <v>488</v>
      </c>
      <c r="G182" t="s">
        <v>29</v>
      </c>
      <c r="H182" t="s">
        <v>489</v>
      </c>
    </row>
    <row r="183" spans="1:8" x14ac:dyDescent="0.25">
      <c r="A183" t="s">
        <v>26</v>
      </c>
      <c r="B183" t="s">
        <v>490</v>
      </c>
      <c r="C183" s="5">
        <v>19807</v>
      </c>
      <c r="D183" s="5">
        <v>122</v>
      </c>
      <c r="E183">
        <v>4014</v>
      </c>
      <c r="F183" s="4" t="s">
        <v>491</v>
      </c>
      <c r="G183" t="s">
        <v>29</v>
      </c>
      <c r="H183" t="s">
        <v>492</v>
      </c>
    </row>
    <row r="184" spans="1:8" x14ac:dyDescent="0.25">
      <c r="A184" t="s">
        <v>26</v>
      </c>
      <c r="B184" t="s">
        <v>493</v>
      </c>
      <c r="C184" s="5">
        <v>715396</v>
      </c>
      <c r="D184" s="5">
        <v>25294</v>
      </c>
      <c r="E184">
        <v>351487</v>
      </c>
      <c r="F184" s="4" t="s">
        <v>494</v>
      </c>
      <c r="G184" t="s">
        <v>29</v>
      </c>
      <c r="H184" t="s">
        <v>495</v>
      </c>
    </row>
    <row r="185" spans="1:8" x14ac:dyDescent="0.25">
      <c r="A185" t="s">
        <v>26</v>
      </c>
      <c r="B185" t="s">
        <v>496</v>
      </c>
      <c r="C185" s="5">
        <v>1</v>
      </c>
      <c r="D185" s="5">
        <v>0</v>
      </c>
      <c r="E185">
        <v>0</v>
      </c>
      <c r="F185" s="4" t="s">
        <v>29</v>
      </c>
      <c r="G185" t="s">
        <v>29</v>
      </c>
      <c r="H185" t="s">
        <v>291</v>
      </c>
    </row>
    <row r="186" spans="1:8" x14ac:dyDescent="0.25">
      <c r="A186" t="s">
        <v>26</v>
      </c>
      <c r="B186" t="s">
        <v>497</v>
      </c>
      <c r="C186" s="5">
        <v>8317394</v>
      </c>
      <c r="D186" s="5">
        <v>72713</v>
      </c>
      <c r="E186">
        <v>5352737</v>
      </c>
      <c r="F186" s="4" t="s">
        <v>498</v>
      </c>
      <c r="G186" t="s">
        <v>29</v>
      </c>
      <c r="H186" t="s">
        <v>499</v>
      </c>
    </row>
    <row r="187" spans="1:8" x14ac:dyDescent="0.25">
      <c r="A187" t="s">
        <v>26</v>
      </c>
      <c r="B187" t="s">
        <v>500</v>
      </c>
      <c r="C187" s="5">
        <v>60475</v>
      </c>
      <c r="D187" s="5">
        <v>1806</v>
      </c>
      <c r="E187">
        <v>16967</v>
      </c>
      <c r="F187" s="4" t="s">
        <v>501</v>
      </c>
      <c r="G187" t="s">
        <v>29</v>
      </c>
      <c r="H187" t="s">
        <v>502</v>
      </c>
    </row>
    <row r="188" spans="1:8" x14ac:dyDescent="0.25">
      <c r="A188" t="s">
        <v>26</v>
      </c>
      <c r="B188" t="s">
        <v>503</v>
      </c>
      <c r="C188" s="5">
        <v>16456</v>
      </c>
      <c r="D188" s="5">
        <v>848</v>
      </c>
      <c r="E188">
        <v>2088</v>
      </c>
      <c r="F188" s="4" t="s">
        <v>504</v>
      </c>
      <c r="G188" t="s">
        <v>29</v>
      </c>
      <c r="H188" t="s">
        <v>505</v>
      </c>
    </row>
    <row r="189" spans="1:8" x14ac:dyDescent="0.25">
      <c r="A189" t="s">
        <v>26</v>
      </c>
      <c r="B189" t="s">
        <v>506</v>
      </c>
      <c r="C189" s="5">
        <v>26196</v>
      </c>
      <c r="D189" s="5">
        <v>725</v>
      </c>
      <c r="E189">
        <v>10281</v>
      </c>
      <c r="F189" s="4" t="s">
        <v>507</v>
      </c>
      <c r="G189" t="s">
        <v>29</v>
      </c>
      <c r="H189" t="s">
        <v>508</v>
      </c>
    </row>
    <row r="190" spans="1:8" x14ac:dyDescent="0.25">
      <c r="A190" t="s">
        <v>26</v>
      </c>
      <c r="B190" t="s">
        <v>509</v>
      </c>
      <c r="C190" s="5">
        <v>3302519</v>
      </c>
      <c r="D190" s="5">
        <v>79517</v>
      </c>
      <c r="E190">
        <v>1860271</v>
      </c>
      <c r="F190" s="4" t="s">
        <v>510</v>
      </c>
      <c r="G190" t="s">
        <v>29</v>
      </c>
      <c r="H190" t="s">
        <v>511</v>
      </c>
    </row>
    <row r="191" spans="1:8" x14ac:dyDescent="0.25">
      <c r="A191" t="s">
        <v>26</v>
      </c>
      <c r="B191" t="s">
        <v>512</v>
      </c>
      <c r="C191" s="5">
        <v>126714</v>
      </c>
      <c r="D191" s="5">
        <v>3231</v>
      </c>
      <c r="E191">
        <v>61769</v>
      </c>
      <c r="F191" s="4" t="s">
        <v>513</v>
      </c>
      <c r="G191" t="s">
        <v>29</v>
      </c>
      <c r="H191" t="s">
        <v>514</v>
      </c>
    </row>
    <row r="192" spans="1:8" x14ac:dyDescent="0.25">
      <c r="A192" t="s">
        <v>26</v>
      </c>
      <c r="B192" t="s">
        <v>515</v>
      </c>
      <c r="C192" s="5">
        <v>46792081</v>
      </c>
      <c r="D192" s="5">
        <v>759060</v>
      </c>
      <c r="E192">
        <v>30017110</v>
      </c>
      <c r="F192" s="4" t="s">
        <v>516</v>
      </c>
      <c r="G192" t="s">
        <v>29</v>
      </c>
      <c r="H192" t="s">
        <v>517</v>
      </c>
    </row>
    <row r="193" spans="1:8" x14ac:dyDescent="0.25">
      <c r="A193" t="s">
        <v>26</v>
      </c>
      <c r="B193" t="s">
        <v>518</v>
      </c>
      <c r="C193" s="5">
        <v>395805</v>
      </c>
      <c r="D193" s="5">
        <v>6093</v>
      </c>
      <c r="E193">
        <v>286353</v>
      </c>
      <c r="F193" s="4" t="s">
        <v>519</v>
      </c>
      <c r="G193" t="s">
        <v>29</v>
      </c>
      <c r="H193" t="s">
        <v>520</v>
      </c>
    </row>
    <row r="194" spans="1:8" x14ac:dyDescent="0.25">
      <c r="A194" t="s">
        <v>26</v>
      </c>
      <c r="B194" t="s">
        <v>521</v>
      </c>
      <c r="C194" s="5">
        <v>188892</v>
      </c>
      <c r="D194" s="5">
        <v>1349</v>
      </c>
      <c r="E194">
        <v>166776</v>
      </c>
      <c r="F194" s="4" t="s">
        <v>488</v>
      </c>
      <c r="G194" t="s">
        <v>29</v>
      </c>
      <c r="H194" t="s">
        <v>489</v>
      </c>
    </row>
    <row r="195" spans="1:8" x14ac:dyDescent="0.25">
      <c r="A195" t="s">
        <v>26</v>
      </c>
      <c r="B195" t="s">
        <v>522</v>
      </c>
      <c r="C195" s="5">
        <v>27</v>
      </c>
      <c r="D195" s="5">
        <v>0</v>
      </c>
      <c r="E195">
        <v>10</v>
      </c>
      <c r="F195" s="4" t="s">
        <v>29</v>
      </c>
      <c r="G195" t="s">
        <v>29</v>
      </c>
      <c r="H195" t="s">
        <v>291</v>
      </c>
    </row>
    <row r="196" spans="1:8" x14ac:dyDescent="0.25">
      <c r="A196" t="s">
        <v>26</v>
      </c>
      <c r="B196" t="s">
        <v>523</v>
      </c>
      <c r="C196" s="5">
        <v>5167</v>
      </c>
      <c r="D196" s="5">
        <v>69</v>
      </c>
      <c r="E196">
        <v>1098</v>
      </c>
      <c r="F196" s="4" t="s">
        <v>264</v>
      </c>
      <c r="G196" t="s">
        <v>29</v>
      </c>
      <c r="H196" t="s">
        <v>265</v>
      </c>
    </row>
    <row r="197" spans="1:8" x14ac:dyDescent="0.25">
      <c r="A197" t="s">
        <v>26</v>
      </c>
      <c r="B197" t="s">
        <v>524</v>
      </c>
      <c r="C197" s="5">
        <v>416190</v>
      </c>
      <c r="D197" s="5">
        <v>4996</v>
      </c>
      <c r="E197">
        <v>355833</v>
      </c>
      <c r="F197" s="4" t="s">
        <v>525</v>
      </c>
      <c r="G197" t="s">
        <v>29</v>
      </c>
      <c r="H197" t="s">
        <v>526</v>
      </c>
    </row>
    <row r="198" spans="1:8" x14ac:dyDescent="0.25">
      <c r="A198" t="s">
        <v>26</v>
      </c>
      <c r="B198" t="s">
        <v>527</v>
      </c>
      <c r="C198" s="5">
        <v>992735</v>
      </c>
      <c r="D198" s="5">
        <v>22765</v>
      </c>
      <c r="E198">
        <v>765273</v>
      </c>
      <c r="F198" s="4" t="s">
        <v>528</v>
      </c>
      <c r="G198" t="s">
        <v>29</v>
      </c>
      <c r="H198" t="s">
        <v>529</v>
      </c>
    </row>
    <row r="199" spans="1:8" x14ac:dyDescent="0.25">
      <c r="A199" t="s">
        <v>26</v>
      </c>
      <c r="B199" t="s">
        <v>530</v>
      </c>
      <c r="C199" s="5">
        <v>6</v>
      </c>
      <c r="D199" s="5">
        <v>1</v>
      </c>
      <c r="E199">
        <v>4</v>
      </c>
      <c r="F199" s="4" t="s">
        <v>531</v>
      </c>
      <c r="G199" t="s">
        <v>29</v>
      </c>
      <c r="H199" t="s">
        <v>532</v>
      </c>
    </row>
    <row r="200" spans="1:8" x14ac:dyDescent="0.25">
      <c r="A200" t="s">
        <v>26</v>
      </c>
      <c r="B200" t="s">
        <v>533</v>
      </c>
      <c r="C200" s="5">
        <v>3</v>
      </c>
      <c r="D200" s="5">
        <v>0</v>
      </c>
      <c r="E200">
        <v>3</v>
      </c>
      <c r="F200" s="4" t="s">
        <v>29</v>
      </c>
      <c r="G200" t="s">
        <v>29</v>
      </c>
      <c r="H200" t="s">
        <v>291</v>
      </c>
    </row>
    <row r="201" spans="1:8" x14ac:dyDescent="0.25">
      <c r="A201" t="s">
        <v>26</v>
      </c>
      <c r="B201" t="s">
        <v>534</v>
      </c>
      <c r="C201" s="5">
        <v>160905</v>
      </c>
      <c r="D201" s="5">
        <v>2978</v>
      </c>
      <c r="E201">
        <v>76775</v>
      </c>
      <c r="F201" s="4" t="s">
        <v>535</v>
      </c>
      <c r="G201" t="s">
        <v>29</v>
      </c>
      <c r="H201" t="s">
        <v>536</v>
      </c>
    </row>
    <row r="202" spans="1:8" x14ac:dyDescent="0.25">
      <c r="A202" t="s">
        <v>26</v>
      </c>
      <c r="B202" t="s">
        <v>537</v>
      </c>
      <c r="C202" s="5">
        <v>9902</v>
      </c>
      <c r="D202" s="5">
        <v>1918</v>
      </c>
      <c r="E202">
        <v>3762</v>
      </c>
      <c r="F202" s="4" t="s">
        <v>538</v>
      </c>
      <c r="G202" t="s">
        <v>29</v>
      </c>
      <c r="H202" t="s">
        <v>539</v>
      </c>
    </row>
    <row r="203" spans="1:8" x14ac:dyDescent="0.25">
      <c r="A203" t="s">
        <v>26</v>
      </c>
      <c r="B203" t="s">
        <v>540</v>
      </c>
      <c r="C203" s="5">
        <v>20751</v>
      </c>
      <c r="D203" s="5">
        <v>185</v>
      </c>
      <c r="E203">
        <v>13818</v>
      </c>
      <c r="F203" s="4" t="s">
        <v>65</v>
      </c>
      <c r="G203" t="s">
        <v>29</v>
      </c>
      <c r="H203" t="s">
        <v>66</v>
      </c>
    </row>
    <row r="204" spans="1:8" x14ac:dyDescent="0.25">
      <c r="A204" t="s">
        <v>26</v>
      </c>
      <c r="B204" t="s">
        <v>541</v>
      </c>
      <c r="C204" s="5">
        <v>2924622</v>
      </c>
      <c r="D204" s="5">
        <v>89435</v>
      </c>
      <c r="E204">
        <v>2247679</v>
      </c>
      <c r="F204" s="4" t="s">
        <v>542</v>
      </c>
      <c r="G204" t="s">
        <v>29</v>
      </c>
      <c r="H204" t="s">
        <v>543</v>
      </c>
    </row>
    <row r="205" spans="1:8" x14ac:dyDescent="0.25">
      <c r="A205" t="s">
        <v>26</v>
      </c>
      <c r="B205" t="s">
        <v>544</v>
      </c>
      <c r="C205" s="5">
        <v>209939</v>
      </c>
      <c r="D205" s="5">
        <v>3664</v>
      </c>
      <c r="E205">
        <v>54054</v>
      </c>
      <c r="F205" s="4" t="s">
        <v>545</v>
      </c>
      <c r="G205" t="s">
        <v>29</v>
      </c>
      <c r="H205" t="s">
        <v>546</v>
      </c>
    </row>
    <row r="206" spans="1:8" x14ac:dyDescent="0.25">
      <c r="A206" t="s">
        <v>26</v>
      </c>
      <c r="B206" t="s">
        <v>547</v>
      </c>
      <c r="C206" s="5">
        <v>133302</v>
      </c>
      <c r="D206" s="5">
        <v>4694</v>
      </c>
      <c r="E206">
        <v>62040</v>
      </c>
      <c r="F206" s="4" t="s">
        <v>353</v>
      </c>
      <c r="G206" t="s">
        <v>29</v>
      </c>
      <c r="H206" t="s">
        <v>354</v>
      </c>
    </row>
    <row r="207" spans="1:8" x14ac:dyDescent="0.25">
      <c r="A207" t="s">
        <v>26</v>
      </c>
      <c r="B207" t="s">
        <v>548</v>
      </c>
      <c r="C207" s="5">
        <v>721</v>
      </c>
      <c r="D207" s="5">
        <v>15</v>
      </c>
      <c r="E207">
        <v>632</v>
      </c>
      <c r="F207" s="4" t="s">
        <v>549</v>
      </c>
      <c r="G207" t="s">
        <v>29</v>
      </c>
      <c r="H207" t="s">
        <v>550</v>
      </c>
    </row>
    <row r="208" spans="1:8" x14ac:dyDescent="0.25">
      <c r="A208" t="s">
        <v>551</v>
      </c>
      <c r="B208" t="s">
        <v>548</v>
      </c>
      <c r="C208" s="5">
        <v>721</v>
      </c>
      <c r="D208" s="5">
        <v>15</v>
      </c>
      <c r="E208">
        <v>274</v>
      </c>
      <c r="F208" s="4" t="s">
        <v>549</v>
      </c>
      <c r="G208" t="s">
        <v>29</v>
      </c>
      <c r="H208" t="s">
        <v>550</v>
      </c>
    </row>
    <row r="209" spans="1:8" x14ac:dyDescent="0.25">
      <c r="A209" t="s">
        <v>551</v>
      </c>
      <c r="B209" t="s">
        <v>547</v>
      </c>
      <c r="C209" s="5">
        <v>133302</v>
      </c>
      <c r="D209" s="5">
        <v>4694</v>
      </c>
      <c r="E209">
        <v>70681</v>
      </c>
      <c r="F209" s="4" t="s">
        <v>353</v>
      </c>
      <c r="G209" t="s">
        <v>29</v>
      </c>
      <c r="H209" t="s">
        <v>354</v>
      </c>
    </row>
    <row r="210" spans="1:8" x14ac:dyDescent="0.25">
      <c r="A210" t="s">
        <v>551</v>
      </c>
      <c r="B210" t="s">
        <v>544</v>
      </c>
      <c r="C210" s="5">
        <v>209939</v>
      </c>
      <c r="D210" s="5">
        <v>3664</v>
      </c>
      <c r="E210">
        <v>64401</v>
      </c>
      <c r="F210" s="4" t="s">
        <v>545</v>
      </c>
      <c r="G210" t="s">
        <v>29</v>
      </c>
      <c r="H210" t="s">
        <v>546</v>
      </c>
    </row>
    <row r="211" spans="1:8" x14ac:dyDescent="0.25">
      <c r="A211" t="s">
        <v>551</v>
      </c>
      <c r="B211" t="s">
        <v>541</v>
      </c>
      <c r="C211" s="5">
        <v>2924622</v>
      </c>
      <c r="D211" s="5">
        <v>89435</v>
      </c>
      <c r="E211">
        <v>878640</v>
      </c>
      <c r="F211" s="4" t="s">
        <v>542</v>
      </c>
      <c r="G211" t="s">
        <v>29</v>
      </c>
      <c r="H211" t="s">
        <v>543</v>
      </c>
    </row>
    <row r="212" spans="1:8" x14ac:dyDescent="0.25">
      <c r="A212" t="s">
        <v>551</v>
      </c>
      <c r="B212" t="s">
        <v>540</v>
      </c>
      <c r="C212" s="5">
        <v>20751</v>
      </c>
      <c r="D212" s="5">
        <v>185</v>
      </c>
      <c r="E212">
        <v>1013</v>
      </c>
      <c r="F212" s="4" t="s">
        <v>65</v>
      </c>
      <c r="G212" t="s">
        <v>29</v>
      </c>
      <c r="H212" t="s">
        <v>66</v>
      </c>
    </row>
    <row r="213" spans="1:8" x14ac:dyDescent="0.25">
      <c r="A213" t="s">
        <v>551</v>
      </c>
      <c r="B213" t="s">
        <v>537</v>
      </c>
      <c r="C213" s="5">
        <v>9902</v>
      </c>
      <c r="D213" s="5">
        <v>1918</v>
      </c>
      <c r="E213">
        <v>7802</v>
      </c>
      <c r="F213" s="4" t="s">
        <v>538</v>
      </c>
      <c r="G213" t="s">
        <v>29</v>
      </c>
      <c r="H213" t="s">
        <v>539</v>
      </c>
    </row>
    <row r="214" spans="1:8" x14ac:dyDescent="0.25">
      <c r="A214" t="s">
        <v>551</v>
      </c>
      <c r="B214" t="s">
        <v>534</v>
      </c>
      <c r="C214" s="5">
        <v>160905</v>
      </c>
      <c r="D214" s="5">
        <v>2978</v>
      </c>
      <c r="E214">
        <v>137785</v>
      </c>
      <c r="F214" s="4" t="s">
        <v>535</v>
      </c>
      <c r="G214" t="s">
        <v>29</v>
      </c>
      <c r="H214" t="s">
        <v>536</v>
      </c>
    </row>
    <row r="215" spans="1:8" x14ac:dyDescent="0.25">
      <c r="A215" t="s">
        <v>551</v>
      </c>
      <c r="B215" t="s">
        <v>533</v>
      </c>
      <c r="C215" s="5">
        <v>3</v>
      </c>
      <c r="D215" s="5">
        <v>0</v>
      </c>
      <c r="E215">
        <v>0</v>
      </c>
      <c r="F215" s="4" t="s">
        <v>29</v>
      </c>
      <c r="G215" t="s">
        <v>29</v>
      </c>
      <c r="H215" t="s">
        <v>291</v>
      </c>
    </row>
    <row r="216" spans="1:8" x14ac:dyDescent="0.25">
      <c r="A216" t="s">
        <v>551</v>
      </c>
      <c r="B216" t="s">
        <v>530</v>
      </c>
      <c r="C216" s="5">
        <v>6</v>
      </c>
      <c r="D216" s="5">
        <v>1</v>
      </c>
      <c r="E216">
        <v>4</v>
      </c>
      <c r="F216" s="4" t="s">
        <v>531</v>
      </c>
      <c r="G216" t="s">
        <v>29</v>
      </c>
      <c r="H216" t="s">
        <v>532</v>
      </c>
    </row>
    <row r="217" spans="1:8" x14ac:dyDescent="0.25">
      <c r="A217" t="s">
        <v>551</v>
      </c>
      <c r="B217" t="s">
        <v>527</v>
      </c>
      <c r="C217" s="5">
        <v>992735</v>
      </c>
      <c r="D217" s="5">
        <v>22765</v>
      </c>
      <c r="E217">
        <v>524329</v>
      </c>
      <c r="F217" s="4" t="s">
        <v>528</v>
      </c>
      <c r="G217" t="s">
        <v>29</v>
      </c>
      <c r="H217" t="s">
        <v>529</v>
      </c>
    </row>
    <row r="218" spans="1:8" x14ac:dyDescent="0.25">
      <c r="A218" t="s">
        <v>551</v>
      </c>
      <c r="B218" t="s">
        <v>524</v>
      </c>
      <c r="C218" s="5">
        <v>416190</v>
      </c>
      <c r="D218" s="5">
        <v>4996</v>
      </c>
      <c r="E218">
        <v>33576</v>
      </c>
      <c r="F218" s="4" t="s">
        <v>525</v>
      </c>
      <c r="G218" t="s">
        <v>29</v>
      </c>
      <c r="H218" t="s">
        <v>526</v>
      </c>
    </row>
    <row r="219" spans="1:8" x14ac:dyDescent="0.25">
      <c r="A219" t="s">
        <v>551</v>
      </c>
      <c r="B219" t="s">
        <v>523</v>
      </c>
      <c r="C219" s="5">
        <v>5167</v>
      </c>
      <c r="D219" s="5">
        <v>69</v>
      </c>
      <c r="E219">
        <v>1618</v>
      </c>
      <c r="F219" s="4" t="s">
        <v>264</v>
      </c>
      <c r="G219" t="s">
        <v>29</v>
      </c>
      <c r="H219" t="s">
        <v>265</v>
      </c>
    </row>
    <row r="220" spans="1:8" x14ac:dyDescent="0.25">
      <c r="A220" t="s">
        <v>551</v>
      </c>
      <c r="B220" t="s">
        <v>522</v>
      </c>
      <c r="C220" s="5">
        <v>27</v>
      </c>
      <c r="D220" s="5">
        <v>0</v>
      </c>
      <c r="E220">
        <v>14</v>
      </c>
      <c r="F220" s="4" t="s">
        <v>29</v>
      </c>
      <c r="G220" t="s">
        <v>29</v>
      </c>
      <c r="H220" t="s">
        <v>291</v>
      </c>
    </row>
    <row r="221" spans="1:8" x14ac:dyDescent="0.25">
      <c r="A221" t="s">
        <v>551</v>
      </c>
      <c r="B221" t="s">
        <v>521</v>
      </c>
      <c r="C221" s="5">
        <v>188619</v>
      </c>
      <c r="D221" s="5">
        <v>1346</v>
      </c>
      <c r="E221">
        <v>85815</v>
      </c>
      <c r="F221" s="4" t="s">
        <v>488</v>
      </c>
      <c r="G221" t="s">
        <v>29</v>
      </c>
      <c r="H221" t="s">
        <v>489</v>
      </c>
    </row>
    <row r="222" spans="1:8" x14ac:dyDescent="0.25">
      <c r="A222" t="s">
        <v>551</v>
      </c>
      <c r="B222" t="s">
        <v>518</v>
      </c>
      <c r="C222" s="5">
        <v>395805</v>
      </c>
      <c r="D222" s="5">
        <v>6093</v>
      </c>
      <c r="E222">
        <v>208021</v>
      </c>
      <c r="F222" s="4" t="s">
        <v>519</v>
      </c>
      <c r="G222" t="s">
        <v>29</v>
      </c>
      <c r="H222" t="s">
        <v>520</v>
      </c>
    </row>
    <row r="223" spans="1:8" x14ac:dyDescent="0.25">
      <c r="A223" t="s">
        <v>551</v>
      </c>
      <c r="B223" t="s">
        <v>515</v>
      </c>
      <c r="C223" s="5">
        <v>46789031</v>
      </c>
      <c r="D223" s="5">
        <v>758916</v>
      </c>
      <c r="E223">
        <v>17990014</v>
      </c>
      <c r="F223" s="4" t="s">
        <v>516</v>
      </c>
      <c r="G223" t="s">
        <v>29</v>
      </c>
      <c r="H223" t="s">
        <v>517</v>
      </c>
    </row>
    <row r="224" spans="1:8" x14ac:dyDescent="0.25">
      <c r="A224" t="s">
        <v>551</v>
      </c>
      <c r="B224" t="s">
        <v>512</v>
      </c>
      <c r="C224" s="5">
        <v>126714</v>
      </c>
      <c r="D224" s="5">
        <v>3231</v>
      </c>
      <c r="E224">
        <v>81214</v>
      </c>
      <c r="F224" s="4" t="s">
        <v>513</v>
      </c>
      <c r="G224" t="s">
        <v>29</v>
      </c>
      <c r="H224" t="s">
        <v>514</v>
      </c>
    </row>
    <row r="225" spans="1:8" x14ac:dyDescent="0.25">
      <c r="A225" t="s">
        <v>551</v>
      </c>
      <c r="B225" t="s">
        <v>509</v>
      </c>
      <c r="C225" s="5">
        <v>3277772</v>
      </c>
      <c r="D225" s="5">
        <v>78865</v>
      </c>
      <c r="E225">
        <v>480239</v>
      </c>
      <c r="F225" s="4" t="s">
        <v>510</v>
      </c>
      <c r="G225" t="s">
        <v>29</v>
      </c>
      <c r="H225" t="s">
        <v>511</v>
      </c>
    </row>
    <row r="226" spans="1:8" x14ac:dyDescent="0.25">
      <c r="A226" t="s">
        <v>551</v>
      </c>
      <c r="B226" t="s">
        <v>506</v>
      </c>
      <c r="C226" s="5">
        <v>26196</v>
      </c>
      <c r="D226" s="5">
        <v>725</v>
      </c>
      <c r="E226">
        <v>17150</v>
      </c>
      <c r="F226" s="4" t="s">
        <v>507</v>
      </c>
      <c r="G226" t="s">
        <v>29</v>
      </c>
      <c r="H226" t="s">
        <v>508</v>
      </c>
    </row>
    <row r="227" spans="1:8" x14ac:dyDescent="0.25">
      <c r="A227" t="s">
        <v>551</v>
      </c>
      <c r="B227" t="s">
        <v>503</v>
      </c>
      <c r="C227" s="5">
        <v>16456</v>
      </c>
      <c r="D227" s="5">
        <v>848</v>
      </c>
      <c r="E227">
        <v>3861</v>
      </c>
      <c r="F227" s="4" t="s">
        <v>504</v>
      </c>
      <c r="G227" t="s">
        <v>29</v>
      </c>
      <c r="H227" t="s">
        <v>505</v>
      </c>
    </row>
    <row r="228" spans="1:8" x14ac:dyDescent="0.25">
      <c r="A228" t="s">
        <v>551</v>
      </c>
      <c r="B228" t="s">
        <v>500</v>
      </c>
      <c r="C228" s="5">
        <v>60475</v>
      </c>
      <c r="D228" s="5">
        <v>1806</v>
      </c>
      <c r="E228">
        <v>41854</v>
      </c>
      <c r="F228" s="4" t="s">
        <v>501</v>
      </c>
      <c r="G228" t="s">
        <v>29</v>
      </c>
      <c r="H228" t="s">
        <v>502</v>
      </c>
    </row>
    <row r="229" spans="1:8" x14ac:dyDescent="0.25">
      <c r="A229" t="s">
        <v>551</v>
      </c>
      <c r="B229" t="s">
        <v>497</v>
      </c>
      <c r="C229" s="5">
        <v>8317394</v>
      </c>
      <c r="D229" s="5">
        <v>72713</v>
      </c>
      <c r="E229">
        <v>5998860</v>
      </c>
      <c r="F229" s="4" t="s">
        <v>498</v>
      </c>
      <c r="G229" t="s">
        <v>29</v>
      </c>
      <c r="H229" t="s">
        <v>499</v>
      </c>
    </row>
    <row r="230" spans="1:8" x14ac:dyDescent="0.25">
      <c r="A230" t="s">
        <v>551</v>
      </c>
      <c r="B230" t="s">
        <v>496</v>
      </c>
      <c r="C230" s="5">
        <v>1</v>
      </c>
      <c r="D230" s="5">
        <v>0</v>
      </c>
      <c r="E230">
        <v>0</v>
      </c>
      <c r="F230" s="4" t="s">
        <v>29</v>
      </c>
      <c r="G230" t="s">
        <v>29</v>
      </c>
      <c r="H230" t="s">
        <v>291</v>
      </c>
    </row>
    <row r="231" spans="1:8" x14ac:dyDescent="0.25">
      <c r="A231" t="s">
        <v>551</v>
      </c>
      <c r="B231" t="s">
        <v>493</v>
      </c>
      <c r="C231" s="5">
        <v>715276</v>
      </c>
      <c r="D231" s="5">
        <v>25287</v>
      </c>
      <c r="E231">
        <v>338191</v>
      </c>
      <c r="F231" s="4" t="s">
        <v>494</v>
      </c>
      <c r="G231" t="s">
        <v>29</v>
      </c>
      <c r="H231" t="s">
        <v>495</v>
      </c>
    </row>
    <row r="232" spans="1:8" x14ac:dyDescent="0.25">
      <c r="A232" t="s">
        <v>551</v>
      </c>
      <c r="B232" t="s">
        <v>490</v>
      </c>
      <c r="C232" s="5">
        <v>19807</v>
      </c>
      <c r="D232" s="5">
        <v>122</v>
      </c>
      <c r="E232">
        <v>2263</v>
      </c>
      <c r="F232" s="4" t="s">
        <v>491</v>
      </c>
      <c r="G232" t="s">
        <v>29</v>
      </c>
      <c r="H232" t="s">
        <v>492</v>
      </c>
    </row>
    <row r="233" spans="1:8" x14ac:dyDescent="0.25">
      <c r="A233" t="s">
        <v>551</v>
      </c>
      <c r="B233" t="s">
        <v>487</v>
      </c>
      <c r="C233" s="5">
        <v>17488</v>
      </c>
      <c r="D233" s="5">
        <v>125</v>
      </c>
      <c r="E233">
        <v>11647</v>
      </c>
      <c r="F233" s="4" t="s">
        <v>488</v>
      </c>
      <c r="G233" t="s">
        <v>29</v>
      </c>
      <c r="H233" t="s">
        <v>489</v>
      </c>
    </row>
    <row r="234" spans="1:8" x14ac:dyDescent="0.25">
      <c r="A234" t="s">
        <v>551</v>
      </c>
      <c r="B234" t="s">
        <v>486</v>
      </c>
      <c r="C234" s="5">
        <v>1989473</v>
      </c>
      <c r="D234" s="5">
        <v>19826</v>
      </c>
      <c r="E234">
        <v>442074</v>
      </c>
      <c r="F234" s="4" t="s">
        <v>56</v>
      </c>
      <c r="G234" t="s">
        <v>29</v>
      </c>
      <c r="H234" t="s">
        <v>57</v>
      </c>
    </row>
    <row r="235" spans="1:8" x14ac:dyDescent="0.25">
      <c r="A235" t="s">
        <v>551</v>
      </c>
      <c r="B235" t="s">
        <v>483</v>
      </c>
      <c r="C235" s="5">
        <v>26133</v>
      </c>
      <c r="D235" s="5">
        <v>243</v>
      </c>
      <c r="E235">
        <v>18911</v>
      </c>
      <c r="F235" s="4" t="s">
        <v>484</v>
      </c>
      <c r="G235" t="s">
        <v>29</v>
      </c>
      <c r="H235" t="s">
        <v>485</v>
      </c>
    </row>
    <row r="236" spans="1:8" x14ac:dyDescent="0.25">
      <c r="A236" t="s">
        <v>551</v>
      </c>
      <c r="B236" t="s">
        <v>482</v>
      </c>
      <c r="C236" s="5">
        <v>5107</v>
      </c>
      <c r="D236" s="5">
        <v>175</v>
      </c>
      <c r="E236">
        <v>4299</v>
      </c>
      <c r="F236" s="4" t="s">
        <v>252</v>
      </c>
      <c r="G236" t="s">
        <v>29</v>
      </c>
      <c r="H236" t="s">
        <v>253</v>
      </c>
    </row>
    <row r="237" spans="1:8" x14ac:dyDescent="0.25">
      <c r="A237" t="s">
        <v>551</v>
      </c>
      <c r="B237" t="s">
        <v>479</v>
      </c>
      <c r="C237" s="5">
        <v>46464</v>
      </c>
      <c r="D237" s="5">
        <v>1245</v>
      </c>
      <c r="E237">
        <v>43137</v>
      </c>
      <c r="F237" s="4" t="s">
        <v>480</v>
      </c>
      <c r="G237" t="s">
        <v>29</v>
      </c>
      <c r="H237" t="s">
        <v>481</v>
      </c>
    </row>
    <row r="238" spans="1:8" x14ac:dyDescent="0.25">
      <c r="A238" t="s">
        <v>551</v>
      </c>
      <c r="B238" t="s">
        <v>476</v>
      </c>
      <c r="C238" s="5">
        <v>45468</v>
      </c>
      <c r="D238" s="5">
        <v>2637</v>
      </c>
      <c r="E238">
        <v>17977</v>
      </c>
      <c r="F238" s="4" t="s">
        <v>477</v>
      </c>
      <c r="G238" t="s">
        <v>29</v>
      </c>
      <c r="H238" t="s">
        <v>478</v>
      </c>
    </row>
    <row r="239" spans="1:8" x14ac:dyDescent="0.25">
      <c r="A239" t="s">
        <v>551</v>
      </c>
      <c r="B239" t="s">
        <v>473</v>
      </c>
      <c r="C239" s="5">
        <v>117350</v>
      </c>
      <c r="D239" s="5">
        <v>3704</v>
      </c>
      <c r="E239">
        <v>10894</v>
      </c>
      <c r="F239" s="4" t="s">
        <v>474</v>
      </c>
      <c r="G239" t="s">
        <v>29</v>
      </c>
      <c r="H239" t="s">
        <v>475</v>
      </c>
    </row>
    <row r="240" spans="1:8" x14ac:dyDescent="0.25">
      <c r="A240" t="s">
        <v>551</v>
      </c>
      <c r="B240" t="s">
        <v>472</v>
      </c>
      <c r="C240" s="5">
        <v>3730</v>
      </c>
      <c r="D240" s="5">
        <v>56</v>
      </c>
      <c r="E240">
        <v>65</v>
      </c>
      <c r="F240" s="4" t="s">
        <v>226</v>
      </c>
      <c r="G240" t="s">
        <v>29</v>
      </c>
      <c r="H240" t="s">
        <v>227</v>
      </c>
    </row>
    <row r="241" spans="1:8" x14ac:dyDescent="0.25">
      <c r="A241" t="s">
        <v>551</v>
      </c>
      <c r="B241" t="s">
        <v>471</v>
      </c>
      <c r="C241" s="5">
        <v>12546</v>
      </c>
      <c r="D241" s="5">
        <v>133</v>
      </c>
      <c r="E241">
        <v>168</v>
      </c>
      <c r="F241" s="4" t="s">
        <v>165</v>
      </c>
      <c r="G241" t="s">
        <v>29</v>
      </c>
      <c r="H241" t="s">
        <v>166</v>
      </c>
    </row>
    <row r="242" spans="1:8" x14ac:dyDescent="0.25">
      <c r="A242" t="s">
        <v>551</v>
      </c>
      <c r="B242" t="s">
        <v>468</v>
      </c>
      <c r="C242" s="5">
        <v>49902</v>
      </c>
      <c r="D242" s="5">
        <v>1126</v>
      </c>
      <c r="E242">
        <v>11409</v>
      </c>
      <c r="F242" s="4" t="s">
        <v>469</v>
      </c>
      <c r="G242" t="s">
        <v>29</v>
      </c>
      <c r="H242" t="s">
        <v>470</v>
      </c>
    </row>
    <row r="243" spans="1:8" x14ac:dyDescent="0.25">
      <c r="A243" t="s">
        <v>551</v>
      </c>
      <c r="B243" t="s">
        <v>465</v>
      </c>
      <c r="C243" s="5">
        <v>22693</v>
      </c>
      <c r="D243" s="5">
        <v>1294</v>
      </c>
      <c r="E243">
        <v>17690</v>
      </c>
      <c r="F243" s="4" t="s">
        <v>466</v>
      </c>
      <c r="G243" t="s">
        <v>29</v>
      </c>
      <c r="H243" t="s">
        <v>467</v>
      </c>
    </row>
    <row r="244" spans="1:8" x14ac:dyDescent="0.25">
      <c r="A244" t="s">
        <v>551</v>
      </c>
      <c r="B244" t="s">
        <v>464</v>
      </c>
      <c r="C244" s="5">
        <v>73945</v>
      </c>
      <c r="D244" s="5">
        <v>1881</v>
      </c>
      <c r="E244">
        <v>59848</v>
      </c>
      <c r="F244" s="4" t="s">
        <v>141</v>
      </c>
      <c r="G244" t="s">
        <v>29</v>
      </c>
      <c r="H244" t="s">
        <v>142</v>
      </c>
    </row>
    <row r="245" spans="1:8" x14ac:dyDescent="0.25">
      <c r="A245" t="s">
        <v>551</v>
      </c>
      <c r="B245" t="s">
        <v>463</v>
      </c>
      <c r="C245" s="5">
        <v>5610</v>
      </c>
      <c r="D245" s="5">
        <v>92</v>
      </c>
      <c r="E245">
        <v>4711</v>
      </c>
      <c r="F245" s="4" t="s">
        <v>196</v>
      </c>
      <c r="G245" t="s">
        <v>29</v>
      </c>
      <c r="H245" t="s">
        <v>197</v>
      </c>
    </row>
    <row r="246" spans="1:8" x14ac:dyDescent="0.25">
      <c r="A246" t="s">
        <v>551</v>
      </c>
      <c r="B246" t="s">
        <v>460</v>
      </c>
      <c r="C246" s="5">
        <v>6398</v>
      </c>
      <c r="D246" s="5">
        <v>121</v>
      </c>
      <c r="E246">
        <v>1875</v>
      </c>
      <c r="F246" s="4" t="s">
        <v>461</v>
      </c>
      <c r="G246" t="s">
        <v>29</v>
      </c>
      <c r="H246" t="s">
        <v>462</v>
      </c>
    </row>
    <row r="247" spans="1:8" x14ac:dyDescent="0.25">
      <c r="A247" t="s">
        <v>551</v>
      </c>
      <c r="B247" t="s">
        <v>457</v>
      </c>
      <c r="C247" s="5">
        <v>533663</v>
      </c>
      <c r="D247" s="5">
        <v>13367</v>
      </c>
      <c r="E247">
        <v>56659</v>
      </c>
      <c r="F247" s="4" t="s">
        <v>458</v>
      </c>
      <c r="G247" t="s">
        <v>29</v>
      </c>
      <c r="H247" t="s">
        <v>459</v>
      </c>
    </row>
    <row r="248" spans="1:8" x14ac:dyDescent="0.25">
      <c r="A248" t="s">
        <v>551</v>
      </c>
      <c r="B248" t="s">
        <v>456</v>
      </c>
      <c r="C248" s="5">
        <v>365095</v>
      </c>
      <c r="D248" s="5">
        <v>4875</v>
      </c>
      <c r="E248">
        <v>50403</v>
      </c>
      <c r="F248" s="4" t="s">
        <v>264</v>
      </c>
      <c r="G248" t="s">
        <v>29</v>
      </c>
      <c r="H248" t="s">
        <v>265</v>
      </c>
    </row>
    <row r="249" spans="1:8" x14ac:dyDescent="0.25">
      <c r="A249" t="s">
        <v>551</v>
      </c>
      <c r="B249" t="s">
        <v>453</v>
      </c>
      <c r="C249" s="5">
        <v>227681</v>
      </c>
      <c r="D249" s="5">
        <v>540</v>
      </c>
      <c r="E249">
        <v>38840</v>
      </c>
      <c r="F249" s="4" t="s">
        <v>454</v>
      </c>
      <c r="G249" t="s">
        <v>29</v>
      </c>
      <c r="H249" t="s">
        <v>455</v>
      </c>
    </row>
    <row r="250" spans="1:8" x14ac:dyDescent="0.25">
      <c r="A250" t="s">
        <v>551</v>
      </c>
      <c r="B250" t="s">
        <v>452</v>
      </c>
      <c r="C250" s="5">
        <v>1180518</v>
      </c>
      <c r="D250" s="5">
        <v>15076</v>
      </c>
      <c r="E250">
        <v>505511</v>
      </c>
      <c r="F250" s="4" t="s">
        <v>381</v>
      </c>
      <c r="G250" t="s">
        <v>29</v>
      </c>
      <c r="H250" t="s">
        <v>382</v>
      </c>
    </row>
    <row r="251" spans="1:8" x14ac:dyDescent="0.25">
      <c r="A251" t="s">
        <v>551</v>
      </c>
      <c r="B251" t="s">
        <v>449</v>
      </c>
      <c r="C251" s="5">
        <v>41019</v>
      </c>
      <c r="D251" s="5">
        <v>3099</v>
      </c>
      <c r="E251">
        <v>22972</v>
      </c>
      <c r="F251" s="4" t="s">
        <v>450</v>
      </c>
      <c r="G251" t="s">
        <v>29</v>
      </c>
      <c r="H251" t="s">
        <v>451</v>
      </c>
    </row>
    <row r="252" spans="1:8" x14ac:dyDescent="0.25">
      <c r="A252" t="s">
        <v>551</v>
      </c>
      <c r="B252" t="s">
        <v>446</v>
      </c>
      <c r="C252" s="5">
        <v>22526</v>
      </c>
      <c r="D252" s="5">
        <v>119</v>
      </c>
      <c r="E252">
        <v>4016</v>
      </c>
      <c r="F252" s="4" t="s">
        <v>447</v>
      </c>
      <c r="G252" t="s">
        <v>29</v>
      </c>
      <c r="H252" t="s">
        <v>448</v>
      </c>
    </row>
    <row r="253" spans="1:8" x14ac:dyDescent="0.25">
      <c r="A253" t="s">
        <v>551</v>
      </c>
      <c r="B253" t="s">
        <v>445</v>
      </c>
      <c r="C253" s="5">
        <v>20</v>
      </c>
      <c r="D253" s="5">
        <v>0</v>
      </c>
      <c r="E253">
        <v>4</v>
      </c>
      <c r="F253" s="4" t="s">
        <v>29</v>
      </c>
      <c r="G253" t="s">
        <v>29</v>
      </c>
      <c r="H253" t="s">
        <v>291</v>
      </c>
    </row>
    <row r="254" spans="1:8" x14ac:dyDescent="0.25">
      <c r="A254" t="s">
        <v>551</v>
      </c>
      <c r="B254" t="s">
        <v>444</v>
      </c>
      <c r="C254" s="5">
        <v>549060</v>
      </c>
      <c r="D254" s="5">
        <v>8807</v>
      </c>
      <c r="E254">
        <v>172195</v>
      </c>
      <c r="F254" s="4" t="s">
        <v>313</v>
      </c>
      <c r="G254" t="s">
        <v>29</v>
      </c>
      <c r="H254" t="s">
        <v>314</v>
      </c>
    </row>
    <row r="255" spans="1:8" x14ac:dyDescent="0.25">
      <c r="A255" t="s">
        <v>551</v>
      </c>
      <c r="B255" t="s">
        <v>443</v>
      </c>
      <c r="C255" s="5">
        <v>100019</v>
      </c>
      <c r="D255" s="5">
        <v>1335</v>
      </c>
      <c r="E255">
        <v>64513</v>
      </c>
      <c r="F255" s="4" t="s">
        <v>59</v>
      </c>
      <c r="G255" t="s">
        <v>29</v>
      </c>
      <c r="H255" t="s">
        <v>60</v>
      </c>
    </row>
    <row r="256" spans="1:8" x14ac:dyDescent="0.25">
      <c r="A256" t="s">
        <v>551</v>
      </c>
      <c r="B256" t="s">
        <v>440</v>
      </c>
      <c r="C256" s="5">
        <v>8764713</v>
      </c>
      <c r="D256" s="5">
        <v>245794</v>
      </c>
      <c r="E256">
        <v>2709674</v>
      </c>
      <c r="F256" s="4" t="s">
        <v>441</v>
      </c>
      <c r="G256" t="s">
        <v>29</v>
      </c>
      <c r="H256" t="s">
        <v>442</v>
      </c>
    </row>
    <row r="257" spans="1:8" x14ac:dyDescent="0.25">
      <c r="A257" t="s">
        <v>551</v>
      </c>
      <c r="B257" t="s">
        <v>439</v>
      </c>
      <c r="C257" s="5">
        <v>1197082</v>
      </c>
      <c r="D257" s="5">
        <v>10595</v>
      </c>
      <c r="E257">
        <v>57857</v>
      </c>
      <c r="F257" s="4" t="s">
        <v>65</v>
      </c>
      <c r="G257" t="s">
        <v>29</v>
      </c>
      <c r="H257" t="s">
        <v>66</v>
      </c>
    </row>
    <row r="258" spans="1:8" x14ac:dyDescent="0.25">
      <c r="A258" t="s">
        <v>551</v>
      </c>
      <c r="B258" t="s">
        <v>436</v>
      </c>
      <c r="C258" s="5">
        <v>1725017</v>
      </c>
      <c r="D258" s="5">
        <v>51888</v>
      </c>
      <c r="E258">
        <v>124226</v>
      </c>
      <c r="F258" s="4" t="s">
        <v>437</v>
      </c>
      <c r="G258" t="s">
        <v>29</v>
      </c>
      <c r="H258" t="s">
        <v>438</v>
      </c>
    </row>
    <row r="259" spans="1:8" x14ac:dyDescent="0.25">
      <c r="A259" t="s">
        <v>551</v>
      </c>
      <c r="B259" t="s">
        <v>435</v>
      </c>
      <c r="C259" s="5">
        <v>55865</v>
      </c>
      <c r="D259" s="5">
        <v>376</v>
      </c>
      <c r="E259">
        <v>37997</v>
      </c>
      <c r="F259" s="4" t="s">
        <v>92</v>
      </c>
      <c r="G259" t="s">
        <v>29</v>
      </c>
      <c r="H259" t="s">
        <v>93</v>
      </c>
    </row>
    <row r="260" spans="1:8" x14ac:dyDescent="0.25">
      <c r="A260" t="s">
        <v>551</v>
      </c>
      <c r="B260" t="s">
        <v>432</v>
      </c>
      <c r="C260" s="5">
        <v>240557</v>
      </c>
      <c r="D260" s="5">
        <v>611</v>
      </c>
      <c r="E260">
        <v>233457</v>
      </c>
      <c r="F260" s="4" t="s">
        <v>433</v>
      </c>
      <c r="G260" t="s">
        <v>29</v>
      </c>
      <c r="H260" t="s">
        <v>434</v>
      </c>
    </row>
    <row r="261" spans="1:8" x14ac:dyDescent="0.25">
      <c r="A261" t="s">
        <v>551</v>
      </c>
      <c r="B261" t="s">
        <v>429</v>
      </c>
      <c r="C261" s="5">
        <v>461466</v>
      </c>
      <c r="D261" s="5">
        <v>16272</v>
      </c>
      <c r="E261">
        <v>62782</v>
      </c>
      <c r="F261" s="4" t="s">
        <v>430</v>
      </c>
      <c r="G261" t="s">
        <v>29</v>
      </c>
      <c r="H261" t="s">
        <v>431</v>
      </c>
    </row>
    <row r="262" spans="1:8" x14ac:dyDescent="0.25">
      <c r="A262" t="s">
        <v>551</v>
      </c>
      <c r="B262" t="s">
        <v>428</v>
      </c>
      <c r="C262" s="5">
        <v>8</v>
      </c>
      <c r="D262" s="5">
        <v>0</v>
      </c>
      <c r="E262">
        <v>6</v>
      </c>
      <c r="F262" s="4" t="s">
        <v>29</v>
      </c>
      <c r="G262" t="s">
        <v>29</v>
      </c>
      <c r="H262" t="s">
        <v>291</v>
      </c>
    </row>
    <row r="263" spans="1:8" x14ac:dyDescent="0.25">
      <c r="A263" t="s">
        <v>551</v>
      </c>
      <c r="B263" t="s">
        <v>427</v>
      </c>
      <c r="C263" s="5">
        <v>1100961</v>
      </c>
      <c r="D263" s="5">
        <v>18222</v>
      </c>
      <c r="E263">
        <v>979766</v>
      </c>
      <c r="F263" s="4" t="s">
        <v>135</v>
      </c>
      <c r="G263" t="s">
        <v>29</v>
      </c>
      <c r="H263" t="s">
        <v>136</v>
      </c>
    </row>
    <row r="264" spans="1:8" x14ac:dyDescent="0.25">
      <c r="A264" t="s">
        <v>551</v>
      </c>
      <c r="B264" t="s">
        <v>426</v>
      </c>
      <c r="C264" s="5">
        <v>456186</v>
      </c>
      <c r="D264" s="5">
        <v>4733</v>
      </c>
      <c r="E264">
        <v>337980</v>
      </c>
      <c r="F264" s="4" t="s">
        <v>336</v>
      </c>
      <c r="G264" t="s">
        <v>29</v>
      </c>
      <c r="H264" t="s">
        <v>337</v>
      </c>
    </row>
    <row r="265" spans="1:8" x14ac:dyDescent="0.25">
      <c r="A265" t="s">
        <v>551</v>
      </c>
      <c r="B265" t="s">
        <v>423</v>
      </c>
      <c r="C265" s="5">
        <v>3143725</v>
      </c>
      <c r="D265" s="5">
        <v>78250</v>
      </c>
      <c r="E265">
        <v>1943944</v>
      </c>
      <c r="F265" s="4" t="s">
        <v>424</v>
      </c>
      <c r="G265" t="s">
        <v>29</v>
      </c>
      <c r="H265" t="s">
        <v>425</v>
      </c>
    </row>
    <row r="266" spans="1:8" x14ac:dyDescent="0.25">
      <c r="A266" t="s">
        <v>551</v>
      </c>
      <c r="B266" t="s">
        <v>420</v>
      </c>
      <c r="C266" s="5">
        <v>1278751</v>
      </c>
      <c r="D266" s="5">
        <v>28575</v>
      </c>
      <c r="E266">
        <v>775400</v>
      </c>
      <c r="F266" s="4" t="s">
        <v>421</v>
      </c>
      <c r="G266" t="s">
        <v>29</v>
      </c>
      <c r="H266" t="s">
        <v>422</v>
      </c>
    </row>
    <row r="267" spans="1:8" x14ac:dyDescent="0.25">
      <c r="A267" t="s">
        <v>551</v>
      </c>
      <c r="B267" t="s">
        <v>419</v>
      </c>
      <c r="C267" s="5">
        <v>2806694</v>
      </c>
      <c r="D267" s="5">
        <v>44567</v>
      </c>
      <c r="E267">
        <v>312379</v>
      </c>
      <c r="F267" s="4" t="s">
        <v>361</v>
      </c>
      <c r="G267" t="s">
        <v>29</v>
      </c>
      <c r="H267" t="s">
        <v>362</v>
      </c>
    </row>
    <row r="268" spans="1:8" x14ac:dyDescent="0.25">
      <c r="A268" t="s">
        <v>551</v>
      </c>
      <c r="B268" t="s">
        <v>416</v>
      </c>
      <c r="C268" s="5">
        <v>32279</v>
      </c>
      <c r="D268" s="5">
        <v>415</v>
      </c>
      <c r="E268">
        <v>15634</v>
      </c>
      <c r="F268" s="4" t="s">
        <v>417</v>
      </c>
      <c r="G268" t="s">
        <v>29</v>
      </c>
      <c r="H268" t="s">
        <v>418</v>
      </c>
    </row>
    <row r="269" spans="1:8" x14ac:dyDescent="0.25">
      <c r="A269" t="s">
        <v>551</v>
      </c>
      <c r="B269" t="s">
        <v>415</v>
      </c>
      <c r="C269" s="5">
        <v>45573</v>
      </c>
      <c r="D269" s="5">
        <v>636</v>
      </c>
      <c r="E269">
        <v>4082</v>
      </c>
      <c r="F269" s="4" t="s">
        <v>403</v>
      </c>
      <c r="G269" t="s">
        <v>29</v>
      </c>
      <c r="H269" t="s">
        <v>404</v>
      </c>
    </row>
    <row r="270" spans="1:8" x14ac:dyDescent="0.25">
      <c r="A270" t="s">
        <v>551</v>
      </c>
      <c r="B270" t="s">
        <v>412</v>
      </c>
      <c r="C270" s="5">
        <v>2210129</v>
      </c>
      <c r="D270" s="5">
        <v>200532</v>
      </c>
      <c r="E270">
        <v>1935754</v>
      </c>
      <c r="F270" s="4" t="s">
        <v>413</v>
      </c>
      <c r="G270" t="s">
        <v>29</v>
      </c>
      <c r="H270" t="s">
        <v>414</v>
      </c>
    </row>
    <row r="271" spans="1:8" x14ac:dyDescent="0.25">
      <c r="A271" t="s">
        <v>551</v>
      </c>
      <c r="B271" t="s">
        <v>411</v>
      </c>
      <c r="C271" s="5">
        <v>473903</v>
      </c>
      <c r="D271" s="5">
        <v>7338</v>
      </c>
      <c r="E271">
        <v>421976</v>
      </c>
      <c r="F271" s="4" t="s">
        <v>333</v>
      </c>
      <c r="G271" t="s">
        <v>29</v>
      </c>
      <c r="H271" t="s">
        <v>334</v>
      </c>
    </row>
    <row r="272" spans="1:8" x14ac:dyDescent="0.25">
      <c r="A272" t="s">
        <v>551</v>
      </c>
      <c r="B272" t="s">
        <v>408</v>
      </c>
      <c r="C272" s="5">
        <v>304403</v>
      </c>
      <c r="D272" s="5">
        <v>4113</v>
      </c>
      <c r="E272">
        <v>224497</v>
      </c>
      <c r="F272" s="4" t="s">
        <v>409</v>
      </c>
      <c r="G272" t="s">
        <v>29</v>
      </c>
      <c r="H272" t="s">
        <v>410</v>
      </c>
    </row>
    <row r="273" spans="1:8" x14ac:dyDescent="0.25">
      <c r="A273" t="s">
        <v>551</v>
      </c>
      <c r="B273" t="s">
        <v>405</v>
      </c>
      <c r="C273" s="5">
        <v>8108</v>
      </c>
      <c r="D273" s="5">
        <v>33</v>
      </c>
      <c r="E273">
        <v>84</v>
      </c>
      <c r="F273" s="4" t="s">
        <v>406</v>
      </c>
      <c r="G273" t="s">
        <v>29</v>
      </c>
      <c r="H273" t="s">
        <v>407</v>
      </c>
    </row>
    <row r="274" spans="1:8" x14ac:dyDescent="0.25">
      <c r="A274" t="s">
        <v>551</v>
      </c>
      <c r="B274" t="s">
        <v>402</v>
      </c>
      <c r="C274" s="5">
        <v>815759</v>
      </c>
      <c r="D274" s="5">
        <v>11460</v>
      </c>
      <c r="E274">
        <v>720642</v>
      </c>
      <c r="F274" s="4" t="s">
        <v>403</v>
      </c>
      <c r="G274" t="s">
        <v>29</v>
      </c>
      <c r="H274" t="s">
        <v>404</v>
      </c>
    </row>
    <row r="275" spans="1:8" x14ac:dyDescent="0.25">
      <c r="A275" t="s">
        <v>551</v>
      </c>
      <c r="B275" t="s">
        <v>399</v>
      </c>
      <c r="C275" s="5">
        <v>222296</v>
      </c>
      <c r="D275" s="5">
        <v>947</v>
      </c>
      <c r="E275">
        <v>146538</v>
      </c>
      <c r="F275" s="4" t="s">
        <v>400</v>
      </c>
      <c r="G275" t="s">
        <v>29</v>
      </c>
      <c r="H275" t="s">
        <v>401</v>
      </c>
    </row>
    <row r="276" spans="1:8" x14ac:dyDescent="0.25">
      <c r="A276" t="s">
        <v>551</v>
      </c>
      <c r="B276" t="s">
        <v>396</v>
      </c>
      <c r="C276" s="5">
        <v>2277031</v>
      </c>
      <c r="D276" s="5">
        <v>19079</v>
      </c>
      <c r="E276">
        <v>1910719</v>
      </c>
      <c r="F276" s="4" t="s">
        <v>397</v>
      </c>
      <c r="G276" t="s">
        <v>29</v>
      </c>
      <c r="H276" t="s">
        <v>398</v>
      </c>
    </row>
    <row r="277" spans="1:8" x14ac:dyDescent="0.25">
      <c r="A277" t="s">
        <v>551</v>
      </c>
      <c r="B277" t="s">
        <v>393</v>
      </c>
      <c r="C277" s="5">
        <v>16877</v>
      </c>
      <c r="D277" s="5">
        <v>210</v>
      </c>
      <c r="E277">
        <v>9223</v>
      </c>
      <c r="F277" s="4" t="s">
        <v>394</v>
      </c>
      <c r="G277" t="s">
        <v>29</v>
      </c>
      <c r="H277" t="s">
        <v>395</v>
      </c>
    </row>
    <row r="278" spans="1:8" x14ac:dyDescent="0.25">
      <c r="A278" t="s">
        <v>551</v>
      </c>
      <c r="B278" t="s">
        <v>390</v>
      </c>
      <c r="C278" s="5">
        <v>212894</v>
      </c>
      <c r="D278" s="5">
        <v>2922</v>
      </c>
      <c r="E278">
        <v>21534</v>
      </c>
      <c r="F278" s="4" t="s">
        <v>391</v>
      </c>
      <c r="G278" t="s">
        <v>29</v>
      </c>
      <c r="H278" t="s">
        <v>392</v>
      </c>
    </row>
    <row r="279" spans="1:8" x14ac:dyDescent="0.25">
      <c r="A279" t="s">
        <v>551</v>
      </c>
      <c r="B279" t="s">
        <v>387</v>
      </c>
      <c r="C279" s="5">
        <v>6589</v>
      </c>
      <c r="D279" s="5">
        <v>227</v>
      </c>
      <c r="E279">
        <v>205</v>
      </c>
      <c r="F279" s="4" t="s">
        <v>388</v>
      </c>
      <c r="G279" t="s">
        <v>29</v>
      </c>
      <c r="H279" t="s">
        <v>389</v>
      </c>
    </row>
    <row r="280" spans="1:8" x14ac:dyDescent="0.25">
      <c r="A280" t="s">
        <v>551</v>
      </c>
      <c r="B280" t="s">
        <v>386</v>
      </c>
      <c r="C280" s="5">
        <v>11466</v>
      </c>
      <c r="D280" s="5">
        <v>271</v>
      </c>
      <c r="E280">
        <v>4786</v>
      </c>
      <c r="F280" s="4" t="s">
        <v>339</v>
      </c>
      <c r="G280" t="s">
        <v>29</v>
      </c>
      <c r="H280" t="s">
        <v>340</v>
      </c>
    </row>
    <row r="281" spans="1:8" x14ac:dyDescent="0.25">
      <c r="A281" t="s">
        <v>551</v>
      </c>
      <c r="B281" t="s">
        <v>383</v>
      </c>
      <c r="C281" s="5">
        <v>129027</v>
      </c>
      <c r="D281" s="5">
        <v>3565</v>
      </c>
      <c r="E281">
        <v>30442</v>
      </c>
      <c r="F281" s="4" t="s">
        <v>384</v>
      </c>
      <c r="G281" t="s">
        <v>29</v>
      </c>
      <c r="H281" t="s">
        <v>385</v>
      </c>
    </row>
    <row r="282" spans="1:8" x14ac:dyDescent="0.25">
      <c r="A282" t="s">
        <v>551</v>
      </c>
      <c r="B282" t="s">
        <v>380</v>
      </c>
      <c r="C282" s="5">
        <v>151390</v>
      </c>
      <c r="D282" s="5">
        <v>1934</v>
      </c>
      <c r="E282">
        <v>59176</v>
      </c>
      <c r="F282" s="4" t="s">
        <v>381</v>
      </c>
      <c r="G282" t="s">
        <v>29</v>
      </c>
      <c r="H282" t="s">
        <v>382</v>
      </c>
    </row>
    <row r="283" spans="1:8" x14ac:dyDescent="0.25">
      <c r="A283" t="s">
        <v>551</v>
      </c>
      <c r="B283" t="s">
        <v>377</v>
      </c>
      <c r="C283" s="5">
        <v>2522498</v>
      </c>
      <c r="D283" s="5">
        <v>29486</v>
      </c>
      <c r="E283">
        <v>1995133</v>
      </c>
      <c r="F283" s="4" t="s">
        <v>378</v>
      </c>
      <c r="G283" t="s">
        <v>29</v>
      </c>
      <c r="H283" t="s">
        <v>379</v>
      </c>
    </row>
    <row r="284" spans="1:8" x14ac:dyDescent="0.25">
      <c r="A284" t="s">
        <v>551</v>
      </c>
      <c r="B284" t="s">
        <v>374</v>
      </c>
      <c r="C284" s="5">
        <v>3831259</v>
      </c>
      <c r="D284" s="5">
        <v>290110</v>
      </c>
      <c r="E284">
        <v>1479618</v>
      </c>
      <c r="F284" s="4" t="s">
        <v>375</v>
      </c>
      <c r="G284" t="s">
        <v>29</v>
      </c>
      <c r="H284" t="s">
        <v>376</v>
      </c>
    </row>
    <row r="285" spans="1:8" x14ac:dyDescent="0.25">
      <c r="A285" t="s">
        <v>551</v>
      </c>
      <c r="B285" t="s">
        <v>371</v>
      </c>
      <c r="C285" s="5">
        <v>61832</v>
      </c>
      <c r="D285" s="5">
        <v>2302</v>
      </c>
      <c r="E285">
        <v>43065</v>
      </c>
      <c r="F285" s="4" t="s">
        <v>372</v>
      </c>
      <c r="G285" t="s">
        <v>29</v>
      </c>
      <c r="H285" t="s">
        <v>373</v>
      </c>
    </row>
    <row r="286" spans="1:8" x14ac:dyDescent="0.25">
      <c r="A286" t="s">
        <v>551</v>
      </c>
      <c r="B286" t="s">
        <v>368</v>
      </c>
      <c r="C286" s="5">
        <v>89255</v>
      </c>
      <c r="D286" s="5">
        <v>246</v>
      </c>
      <c r="E286">
        <v>16792</v>
      </c>
      <c r="F286" s="4" t="s">
        <v>369</v>
      </c>
      <c r="G286" t="s">
        <v>29</v>
      </c>
      <c r="H286" t="s">
        <v>370</v>
      </c>
    </row>
    <row r="287" spans="1:8" x14ac:dyDescent="0.25">
      <c r="A287" t="s">
        <v>551</v>
      </c>
      <c r="B287" t="s">
        <v>367</v>
      </c>
      <c r="C287" s="5">
        <v>18979</v>
      </c>
      <c r="D287" s="5">
        <v>240</v>
      </c>
      <c r="E287">
        <v>10627</v>
      </c>
      <c r="F287" s="4" t="s">
        <v>223</v>
      </c>
      <c r="G287" t="s">
        <v>29</v>
      </c>
      <c r="H287" t="s">
        <v>224</v>
      </c>
    </row>
    <row r="288" spans="1:8" x14ac:dyDescent="0.25">
      <c r="A288" t="s">
        <v>551</v>
      </c>
      <c r="B288" t="s">
        <v>364</v>
      </c>
      <c r="C288" s="5">
        <v>38004</v>
      </c>
      <c r="D288" s="5">
        <v>462</v>
      </c>
      <c r="E288">
        <v>34560</v>
      </c>
      <c r="F288" s="4" t="s">
        <v>365</v>
      </c>
      <c r="G288" t="s">
        <v>29</v>
      </c>
      <c r="H288" t="s">
        <v>366</v>
      </c>
    </row>
    <row r="289" spans="1:8" x14ac:dyDescent="0.25">
      <c r="A289" t="s">
        <v>551</v>
      </c>
      <c r="B289" t="s">
        <v>363</v>
      </c>
      <c r="C289" s="5">
        <v>37884</v>
      </c>
      <c r="D289" s="5">
        <v>805</v>
      </c>
      <c r="E289">
        <v>21450</v>
      </c>
      <c r="F289" s="4" t="s">
        <v>270</v>
      </c>
      <c r="G289" t="s">
        <v>29</v>
      </c>
      <c r="H289" t="s">
        <v>271</v>
      </c>
    </row>
    <row r="290" spans="1:8" x14ac:dyDescent="0.25">
      <c r="A290" t="s">
        <v>551</v>
      </c>
      <c r="B290" t="s">
        <v>360</v>
      </c>
      <c r="C290" s="5">
        <v>43789</v>
      </c>
      <c r="D290" s="5">
        <v>698</v>
      </c>
      <c r="E290">
        <v>2364</v>
      </c>
      <c r="F290" s="4" t="s">
        <v>361</v>
      </c>
      <c r="G290" t="s">
        <v>29</v>
      </c>
      <c r="H290" t="s">
        <v>362</v>
      </c>
    </row>
    <row r="291" spans="1:8" x14ac:dyDescent="0.25">
      <c r="A291" t="s">
        <v>551</v>
      </c>
      <c r="B291" t="s">
        <v>359</v>
      </c>
      <c r="C291" s="5">
        <v>77</v>
      </c>
      <c r="D291" s="5">
        <v>0</v>
      </c>
      <c r="E291">
        <v>69</v>
      </c>
      <c r="F291" s="4" t="s">
        <v>29</v>
      </c>
      <c r="G291" t="s">
        <v>29</v>
      </c>
      <c r="H291" t="s">
        <v>291</v>
      </c>
    </row>
    <row r="292" spans="1:8" x14ac:dyDescent="0.25">
      <c r="A292" t="s">
        <v>551</v>
      </c>
      <c r="B292" t="s">
        <v>358</v>
      </c>
      <c r="C292" s="5">
        <v>369303</v>
      </c>
      <c r="D292" s="5">
        <v>1840</v>
      </c>
      <c r="E292">
        <v>339834</v>
      </c>
      <c r="F292" s="4" t="s">
        <v>80</v>
      </c>
      <c r="G292" t="s">
        <v>29</v>
      </c>
      <c r="H292" t="s">
        <v>81</v>
      </c>
    </row>
    <row r="293" spans="1:8" x14ac:dyDescent="0.25">
      <c r="A293" t="s">
        <v>551</v>
      </c>
      <c r="B293" t="s">
        <v>355</v>
      </c>
      <c r="C293" s="5">
        <v>509771</v>
      </c>
      <c r="D293" s="5">
        <v>18869</v>
      </c>
      <c r="E293">
        <v>305062</v>
      </c>
      <c r="F293" s="4" t="s">
        <v>356</v>
      </c>
      <c r="G293" t="s">
        <v>29</v>
      </c>
      <c r="H293" t="s">
        <v>357</v>
      </c>
    </row>
    <row r="294" spans="1:8" x14ac:dyDescent="0.25">
      <c r="A294" t="s">
        <v>551</v>
      </c>
      <c r="B294" t="s">
        <v>352</v>
      </c>
      <c r="C294" s="5">
        <v>16526</v>
      </c>
      <c r="D294" s="5">
        <v>581</v>
      </c>
      <c r="E294">
        <v>3337</v>
      </c>
      <c r="F294" s="4" t="s">
        <v>353</v>
      </c>
      <c r="G294" t="s">
        <v>29</v>
      </c>
      <c r="H294" t="s">
        <v>354</v>
      </c>
    </row>
    <row r="295" spans="1:8" x14ac:dyDescent="0.25">
      <c r="A295" t="s">
        <v>551</v>
      </c>
      <c r="B295" t="s">
        <v>349</v>
      </c>
      <c r="C295" s="5">
        <v>207566</v>
      </c>
      <c r="D295" s="5">
        <v>7276</v>
      </c>
      <c r="E295">
        <v>153055</v>
      </c>
      <c r="F295" s="4" t="s">
        <v>350</v>
      </c>
      <c r="G295" t="s">
        <v>29</v>
      </c>
      <c r="H295" t="s">
        <v>351</v>
      </c>
    </row>
    <row r="296" spans="1:8" x14ac:dyDescent="0.25">
      <c r="A296" t="s">
        <v>551</v>
      </c>
      <c r="B296" t="s">
        <v>348</v>
      </c>
      <c r="C296" s="5">
        <v>4</v>
      </c>
      <c r="D296" s="5">
        <v>0</v>
      </c>
      <c r="E296">
        <v>3</v>
      </c>
      <c r="F296" s="4" t="s">
        <v>29</v>
      </c>
      <c r="G296" t="s">
        <v>29</v>
      </c>
      <c r="H296" t="s">
        <v>291</v>
      </c>
    </row>
    <row r="297" spans="1:8" x14ac:dyDescent="0.25">
      <c r="A297" t="s">
        <v>551</v>
      </c>
      <c r="B297" t="s">
        <v>347</v>
      </c>
      <c r="C297" s="5">
        <v>43672</v>
      </c>
      <c r="D297" s="5">
        <v>964</v>
      </c>
      <c r="E297">
        <v>25904</v>
      </c>
      <c r="F297" s="4" t="s">
        <v>132</v>
      </c>
      <c r="G297" t="s">
        <v>29</v>
      </c>
      <c r="H297" t="s">
        <v>133</v>
      </c>
    </row>
    <row r="298" spans="1:8" x14ac:dyDescent="0.25">
      <c r="A298" t="s">
        <v>551</v>
      </c>
      <c r="B298" t="s">
        <v>344</v>
      </c>
      <c r="C298" s="5">
        <v>3975</v>
      </c>
      <c r="D298" s="5">
        <v>56</v>
      </c>
      <c r="E298">
        <v>1042</v>
      </c>
      <c r="F298" s="4" t="s">
        <v>345</v>
      </c>
      <c r="G298" t="s">
        <v>29</v>
      </c>
      <c r="H298" t="s">
        <v>346</v>
      </c>
    </row>
    <row r="299" spans="1:8" x14ac:dyDescent="0.25">
      <c r="A299" t="s">
        <v>551</v>
      </c>
      <c r="B299" t="s">
        <v>341</v>
      </c>
      <c r="C299" s="5">
        <v>150313</v>
      </c>
      <c r="D299" s="5">
        <v>2181</v>
      </c>
      <c r="E299">
        <v>61400</v>
      </c>
      <c r="F299" s="4" t="s">
        <v>342</v>
      </c>
      <c r="G299" t="s">
        <v>29</v>
      </c>
      <c r="H299" t="s">
        <v>343</v>
      </c>
    </row>
    <row r="300" spans="1:8" x14ac:dyDescent="0.25">
      <c r="A300" t="s">
        <v>551</v>
      </c>
      <c r="B300" t="s">
        <v>338</v>
      </c>
      <c r="C300" s="5">
        <v>349568</v>
      </c>
      <c r="D300" s="5">
        <v>8253</v>
      </c>
      <c r="E300">
        <v>69741</v>
      </c>
      <c r="F300" s="4" t="s">
        <v>339</v>
      </c>
      <c r="G300" t="s">
        <v>29</v>
      </c>
      <c r="H300" t="s">
        <v>340</v>
      </c>
    </row>
    <row r="301" spans="1:8" x14ac:dyDescent="0.25">
      <c r="A301" t="s">
        <v>551</v>
      </c>
      <c r="B301" t="s">
        <v>335</v>
      </c>
      <c r="C301" s="5">
        <v>3451</v>
      </c>
      <c r="D301" s="5">
        <v>36</v>
      </c>
      <c r="E301">
        <v>2139</v>
      </c>
      <c r="F301" s="4" t="s">
        <v>336</v>
      </c>
      <c r="G301" t="s">
        <v>29</v>
      </c>
      <c r="H301" t="s">
        <v>337</v>
      </c>
    </row>
    <row r="302" spans="1:8" x14ac:dyDescent="0.25">
      <c r="A302" t="s">
        <v>551</v>
      </c>
      <c r="B302" t="s">
        <v>332</v>
      </c>
      <c r="C302" s="5">
        <v>947761</v>
      </c>
      <c r="D302" s="5">
        <v>14729</v>
      </c>
      <c r="E302">
        <v>271906</v>
      </c>
      <c r="F302" s="4" t="s">
        <v>333</v>
      </c>
      <c r="G302" t="s">
        <v>29</v>
      </c>
      <c r="H302" t="s">
        <v>334</v>
      </c>
    </row>
    <row r="303" spans="1:8" x14ac:dyDescent="0.25">
      <c r="A303" t="s">
        <v>551</v>
      </c>
      <c r="B303" t="s">
        <v>329</v>
      </c>
      <c r="C303" s="5">
        <v>362915</v>
      </c>
      <c r="D303" s="5">
        <v>5241</v>
      </c>
      <c r="E303">
        <v>149254</v>
      </c>
      <c r="F303" s="4" t="s">
        <v>330</v>
      </c>
      <c r="G303" t="s">
        <v>29</v>
      </c>
      <c r="H303" t="s">
        <v>331</v>
      </c>
    </row>
    <row r="304" spans="1:8" x14ac:dyDescent="0.25">
      <c r="A304" t="s">
        <v>551</v>
      </c>
      <c r="B304" t="s">
        <v>328</v>
      </c>
      <c r="C304" s="5">
        <v>235387</v>
      </c>
      <c r="D304" s="5">
        <v>3598</v>
      </c>
      <c r="E304">
        <v>144475</v>
      </c>
      <c r="F304" s="4" t="s">
        <v>74</v>
      </c>
      <c r="G304" t="s">
        <v>29</v>
      </c>
      <c r="H304" t="s">
        <v>75</v>
      </c>
    </row>
    <row r="305" spans="1:8" x14ac:dyDescent="0.25">
      <c r="A305" t="s">
        <v>551</v>
      </c>
      <c r="B305" t="s">
        <v>325</v>
      </c>
      <c r="C305" s="5">
        <v>83826</v>
      </c>
      <c r="D305" s="5">
        <v>852</v>
      </c>
      <c r="E305">
        <v>64298</v>
      </c>
      <c r="F305" s="4" t="s">
        <v>326</v>
      </c>
      <c r="G305" t="s">
        <v>29</v>
      </c>
      <c r="H305" t="s">
        <v>327</v>
      </c>
    </row>
    <row r="306" spans="1:8" x14ac:dyDescent="0.25">
      <c r="A306" t="s">
        <v>551</v>
      </c>
      <c r="B306" t="s">
        <v>322</v>
      </c>
      <c r="C306" s="5">
        <v>434033</v>
      </c>
      <c r="D306" s="5">
        <v>6214</v>
      </c>
      <c r="E306">
        <v>131352</v>
      </c>
      <c r="F306" s="4" t="s">
        <v>323</v>
      </c>
      <c r="G306" t="s">
        <v>29</v>
      </c>
      <c r="H306" t="s">
        <v>324</v>
      </c>
    </row>
    <row r="307" spans="1:8" x14ac:dyDescent="0.25">
      <c r="A307" t="s">
        <v>551</v>
      </c>
      <c r="B307" t="s">
        <v>319</v>
      </c>
      <c r="C307" s="5">
        <v>21687</v>
      </c>
      <c r="D307" s="5">
        <v>660</v>
      </c>
      <c r="E307">
        <v>18397</v>
      </c>
      <c r="F307" s="4" t="s">
        <v>320</v>
      </c>
      <c r="G307" t="s">
        <v>29</v>
      </c>
      <c r="H307" t="s">
        <v>321</v>
      </c>
    </row>
    <row r="308" spans="1:8" x14ac:dyDescent="0.25">
      <c r="A308" t="s">
        <v>551</v>
      </c>
      <c r="B308" t="s">
        <v>316</v>
      </c>
      <c r="C308" s="5">
        <v>5818</v>
      </c>
      <c r="D308" s="5">
        <v>287</v>
      </c>
      <c r="E308">
        <v>2770</v>
      </c>
      <c r="F308" s="4" t="s">
        <v>317</v>
      </c>
      <c r="G308" t="s">
        <v>29</v>
      </c>
      <c r="H308" t="s">
        <v>318</v>
      </c>
    </row>
    <row r="309" spans="1:8" x14ac:dyDescent="0.25">
      <c r="A309" t="s">
        <v>551</v>
      </c>
      <c r="B309" t="s">
        <v>315</v>
      </c>
      <c r="C309" s="5">
        <v>547346</v>
      </c>
      <c r="D309" s="5">
        <v>13908</v>
      </c>
      <c r="E309">
        <v>323748</v>
      </c>
      <c r="F309" s="4" t="s">
        <v>141</v>
      </c>
      <c r="G309" t="s">
        <v>29</v>
      </c>
      <c r="H309" t="s">
        <v>142</v>
      </c>
    </row>
    <row r="310" spans="1:8" x14ac:dyDescent="0.25">
      <c r="A310" t="s">
        <v>551</v>
      </c>
      <c r="B310" t="s">
        <v>312</v>
      </c>
      <c r="C310" s="5">
        <v>3814</v>
      </c>
      <c r="D310" s="5">
        <v>61</v>
      </c>
      <c r="E310">
        <v>226</v>
      </c>
      <c r="F310" s="4" t="s">
        <v>313</v>
      </c>
      <c r="G310" t="s">
        <v>29</v>
      </c>
      <c r="H310" t="s">
        <v>314</v>
      </c>
    </row>
    <row r="311" spans="1:8" x14ac:dyDescent="0.25">
      <c r="A311" t="s">
        <v>551</v>
      </c>
      <c r="B311" t="s">
        <v>309</v>
      </c>
      <c r="C311" s="5">
        <v>12757</v>
      </c>
      <c r="D311" s="5">
        <v>264</v>
      </c>
      <c r="E311">
        <v>4702</v>
      </c>
      <c r="F311" s="4" t="s">
        <v>310</v>
      </c>
      <c r="G311" t="s">
        <v>29</v>
      </c>
      <c r="H311" t="s">
        <v>311</v>
      </c>
    </row>
    <row r="312" spans="1:8" x14ac:dyDescent="0.25">
      <c r="A312" t="s">
        <v>551</v>
      </c>
      <c r="B312" t="s">
        <v>306</v>
      </c>
      <c r="C312" s="5">
        <v>648782</v>
      </c>
      <c r="D312" s="5">
        <v>8561</v>
      </c>
      <c r="E312">
        <v>56246</v>
      </c>
      <c r="F312" s="4" t="s">
        <v>307</v>
      </c>
      <c r="G312" t="s">
        <v>29</v>
      </c>
      <c r="H312" t="s">
        <v>308</v>
      </c>
    </row>
    <row r="313" spans="1:8" x14ac:dyDescent="0.25">
      <c r="A313" t="s">
        <v>551</v>
      </c>
      <c r="B313" t="s">
        <v>303</v>
      </c>
      <c r="C313" s="5">
        <v>50031</v>
      </c>
      <c r="D313" s="5">
        <v>91</v>
      </c>
      <c r="E313">
        <v>49767</v>
      </c>
      <c r="F313" s="4" t="s">
        <v>304</v>
      </c>
      <c r="G313" t="s">
        <v>29</v>
      </c>
      <c r="H313" t="s">
        <v>305</v>
      </c>
    </row>
    <row r="314" spans="1:8" x14ac:dyDescent="0.25">
      <c r="A314" t="s">
        <v>551</v>
      </c>
      <c r="B314" t="s">
        <v>302</v>
      </c>
      <c r="C314" s="5">
        <v>1033639</v>
      </c>
      <c r="D314" s="5">
        <v>17396</v>
      </c>
      <c r="E314">
        <v>900573</v>
      </c>
      <c r="F314" s="4" t="s">
        <v>116</v>
      </c>
      <c r="G314" t="s">
        <v>29</v>
      </c>
      <c r="H314" t="s">
        <v>117</v>
      </c>
    </row>
    <row r="315" spans="1:8" x14ac:dyDescent="0.25">
      <c r="A315" t="s">
        <v>551</v>
      </c>
      <c r="B315" t="s">
        <v>299</v>
      </c>
      <c r="C315" s="5">
        <v>412916</v>
      </c>
      <c r="D315" s="5">
        <v>2462</v>
      </c>
      <c r="E315">
        <v>407128</v>
      </c>
      <c r="F315" s="4" t="s">
        <v>300</v>
      </c>
      <c r="G315" t="s">
        <v>29</v>
      </c>
      <c r="H315" t="s">
        <v>301</v>
      </c>
    </row>
    <row r="316" spans="1:8" x14ac:dyDescent="0.25">
      <c r="A316" t="s">
        <v>551</v>
      </c>
      <c r="B316" t="s">
        <v>296</v>
      </c>
      <c r="C316" s="5">
        <v>388351</v>
      </c>
      <c r="D316" s="5">
        <v>3033</v>
      </c>
      <c r="E316">
        <v>245677</v>
      </c>
      <c r="F316" s="4" t="s">
        <v>297</v>
      </c>
      <c r="G316" t="s">
        <v>29</v>
      </c>
      <c r="H316" t="s">
        <v>298</v>
      </c>
    </row>
    <row r="317" spans="1:8" x14ac:dyDescent="0.25">
      <c r="A317" t="s">
        <v>551</v>
      </c>
      <c r="B317" t="s">
        <v>293</v>
      </c>
      <c r="C317" s="5">
        <v>2730</v>
      </c>
      <c r="D317" s="5">
        <v>27</v>
      </c>
      <c r="E317">
        <v>2397</v>
      </c>
      <c r="F317" s="4" t="s">
        <v>294</v>
      </c>
      <c r="G317" t="s">
        <v>29</v>
      </c>
      <c r="H317" t="s">
        <v>295</v>
      </c>
    </row>
    <row r="318" spans="1:8" x14ac:dyDescent="0.25">
      <c r="A318" t="s">
        <v>551</v>
      </c>
      <c r="B318" t="s">
        <v>292</v>
      </c>
      <c r="C318" s="5">
        <v>4349</v>
      </c>
      <c r="D318" s="5">
        <v>147</v>
      </c>
      <c r="E318">
        <v>3481</v>
      </c>
      <c r="F318" s="4" t="s">
        <v>255</v>
      </c>
      <c r="G318" t="s">
        <v>29</v>
      </c>
      <c r="H318" t="s">
        <v>256</v>
      </c>
    </row>
    <row r="319" spans="1:8" x14ac:dyDescent="0.25">
      <c r="A319" t="s">
        <v>551</v>
      </c>
      <c r="B319" t="s">
        <v>290</v>
      </c>
      <c r="C319" s="5">
        <v>2</v>
      </c>
      <c r="D319" s="5">
        <v>0</v>
      </c>
      <c r="E319">
        <v>0</v>
      </c>
      <c r="F319" s="4" t="s">
        <v>29</v>
      </c>
      <c r="G319" t="s">
        <v>29</v>
      </c>
      <c r="H319" t="s">
        <v>291</v>
      </c>
    </row>
    <row r="320" spans="1:8" x14ac:dyDescent="0.25">
      <c r="A320" t="s">
        <v>551</v>
      </c>
      <c r="B320" t="s">
        <v>287</v>
      </c>
      <c r="C320" s="5">
        <v>119292</v>
      </c>
      <c r="D320" s="5">
        <v>2845</v>
      </c>
      <c r="E320">
        <v>67832</v>
      </c>
      <c r="F320" s="4" t="s">
        <v>552</v>
      </c>
      <c r="G320" t="s">
        <v>29</v>
      </c>
      <c r="H320" t="s">
        <v>553</v>
      </c>
    </row>
    <row r="321" spans="1:8" x14ac:dyDescent="0.25">
      <c r="A321" t="s">
        <v>551</v>
      </c>
      <c r="B321" t="s">
        <v>284</v>
      </c>
      <c r="C321" s="5">
        <v>181982</v>
      </c>
      <c r="D321" s="5">
        <v>2694</v>
      </c>
      <c r="E321">
        <v>32970</v>
      </c>
      <c r="F321" s="4" t="s">
        <v>285</v>
      </c>
      <c r="G321" t="s">
        <v>29</v>
      </c>
      <c r="H321" t="s">
        <v>286</v>
      </c>
    </row>
    <row r="322" spans="1:8" x14ac:dyDescent="0.25">
      <c r="A322" t="s">
        <v>551</v>
      </c>
      <c r="B322" t="s">
        <v>281</v>
      </c>
      <c r="C322" s="5">
        <v>254057</v>
      </c>
      <c r="D322" s="5">
        <v>5314</v>
      </c>
      <c r="E322">
        <v>87972</v>
      </c>
      <c r="F322" s="4" t="s">
        <v>282</v>
      </c>
      <c r="G322" t="s">
        <v>29</v>
      </c>
      <c r="H322" t="s">
        <v>283</v>
      </c>
    </row>
    <row r="323" spans="1:8" x14ac:dyDescent="0.25">
      <c r="A323" t="s">
        <v>551</v>
      </c>
      <c r="B323" t="s">
        <v>280</v>
      </c>
      <c r="C323" s="5">
        <v>1724172</v>
      </c>
      <c r="D323" s="5">
        <v>18315</v>
      </c>
      <c r="E323">
        <v>1145631</v>
      </c>
      <c r="F323" s="4" t="s">
        <v>165</v>
      </c>
      <c r="G323" t="s">
        <v>29</v>
      </c>
      <c r="H323" t="s">
        <v>166</v>
      </c>
    </row>
    <row r="324" spans="1:8" x14ac:dyDescent="0.25">
      <c r="A324" t="s">
        <v>551</v>
      </c>
      <c r="B324" t="s">
        <v>279</v>
      </c>
      <c r="C324" s="5">
        <v>883446</v>
      </c>
      <c r="D324" s="5">
        <v>11167</v>
      </c>
      <c r="E324">
        <v>787678</v>
      </c>
      <c r="F324" s="4" t="s">
        <v>223</v>
      </c>
      <c r="G324" t="s">
        <v>29</v>
      </c>
      <c r="H324" t="s">
        <v>224</v>
      </c>
    </row>
    <row r="325" spans="1:8" x14ac:dyDescent="0.25">
      <c r="A325" t="s">
        <v>551</v>
      </c>
      <c r="B325" t="s">
        <v>278</v>
      </c>
      <c r="C325" s="5">
        <v>89818</v>
      </c>
      <c r="D325" s="5">
        <v>2298</v>
      </c>
      <c r="E325">
        <v>35008</v>
      </c>
      <c r="F325" s="4" t="s">
        <v>38</v>
      </c>
      <c r="G325" t="s">
        <v>29</v>
      </c>
      <c r="H325" t="s">
        <v>39</v>
      </c>
    </row>
    <row r="326" spans="1:8" x14ac:dyDescent="0.25">
      <c r="A326" t="s">
        <v>551</v>
      </c>
      <c r="B326" t="s">
        <v>275</v>
      </c>
      <c r="C326" s="5">
        <v>4826738</v>
      </c>
      <c r="D326" s="5">
        <v>132551</v>
      </c>
      <c r="E326">
        <v>3990418</v>
      </c>
      <c r="F326" s="4" t="s">
        <v>276</v>
      </c>
      <c r="G326" t="s">
        <v>29</v>
      </c>
      <c r="H326" t="s">
        <v>277</v>
      </c>
    </row>
    <row r="327" spans="1:8" x14ac:dyDescent="0.25">
      <c r="A327" t="s">
        <v>551</v>
      </c>
      <c r="B327" t="s">
        <v>272</v>
      </c>
      <c r="C327" s="5">
        <v>14935</v>
      </c>
      <c r="D327" s="5">
        <v>34</v>
      </c>
      <c r="E327">
        <v>2570</v>
      </c>
      <c r="F327" s="4" t="s">
        <v>273</v>
      </c>
      <c r="G327" t="s">
        <v>29</v>
      </c>
      <c r="H327" t="s">
        <v>274</v>
      </c>
    </row>
    <row r="328" spans="1:8" x14ac:dyDescent="0.25">
      <c r="A328" t="s">
        <v>551</v>
      </c>
      <c r="B328" t="s">
        <v>269</v>
      </c>
      <c r="C328" s="5">
        <v>6012408</v>
      </c>
      <c r="D328" s="5">
        <v>127686</v>
      </c>
      <c r="E328">
        <v>2452050</v>
      </c>
      <c r="F328" s="4" t="s">
        <v>270</v>
      </c>
      <c r="G328" t="s">
        <v>29</v>
      </c>
      <c r="H328" t="s">
        <v>271</v>
      </c>
    </row>
    <row r="329" spans="1:8" x14ac:dyDescent="0.25">
      <c r="A329" t="s">
        <v>551</v>
      </c>
      <c r="B329" t="s">
        <v>266</v>
      </c>
      <c r="C329" s="5">
        <v>2066042</v>
      </c>
      <c r="D329" s="5">
        <v>23415</v>
      </c>
      <c r="E329">
        <v>1097892</v>
      </c>
      <c r="F329" s="4" t="s">
        <v>267</v>
      </c>
      <c r="G329" t="s">
        <v>29</v>
      </c>
      <c r="H329" t="s">
        <v>268</v>
      </c>
    </row>
    <row r="330" spans="1:8" x14ac:dyDescent="0.25">
      <c r="A330" t="s">
        <v>551</v>
      </c>
      <c r="B330" t="s">
        <v>263</v>
      </c>
      <c r="C330" s="5">
        <v>34388579</v>
      </c>
      <c r="D330" s="5">
        <v>461849</v>
      </c>
      <c r="E330">
        <v>31762156</v>
      </c>
      <c r="F330" s="4" t="s">
        <v>264</v>
      </c>
      <c r="G330" t="s">
        <v>29</v>
      </c>
      <c r="H330" t="s">
        <v>265</v>
      </c>
    </row>
    <row r="331" spans="1:8" x14ac:dyDescent="0.25">
      <c r="A331" t="s">
        <v>551</v>
      </c>
      <c r="B331" t="s">
        <v>260</v>
      </c>
      <c r="C331" s="5">
        <v>1335654</v>
      </c>
      <c r="D331" s="5">
        <v>8133</v>
      </c>
      <c r="E331">
        <v>1070353</v>
      </c>
      <c r="F331" s="4" t="s">
        <v>261</v>
      </c>
      <c r="G331" t="s">
        <v>29</v>
      </c>
      <c r="H331" t="s">
        <v>262</v>
      </c>
    </row>
    <row r="332" spans="1:8" x14ac:dyDescent="0.25">
      <c r="A332" t="s">
        <v>551</v>
      </c>
      <c r="B332" t="s">
        <v>257</v>
      </c>
      <c r="C332" s="5">
        <v>480846</v>
      </c>
      <c r="D332" s="5">
        <v>5566</v>
      </c>
      <c r="E332">
        <v>271369</v>
      </c>
      <c r="F332" s="4" t="s">
        <v>258</v>
      </c>
      <c r="G332" t="s">
        <v>29</v>
      </c>
      <c r="H332" t="s">
        <v>259</v>
      </c>
    </row>
    <row r="333" spans="1:8" x14ac:dyDescent="0.25">
      <c r="A333" t="s">
        <v>551</v>
      </c>
      <c r="B333" t="s">
        <v>254</v>
      </c>
      <c r="C333" s="5">
        <v>4249323</v>
      </c>
      <c r="D333" s="5">
        <v>143592</v>
      </c>
      <c r="E333">
        <v>3400907</v>
      </c>
      <c r="F333" s="4" t="s">
        <v>255</v>
      </c>
      <c r="G333" t="s">
        <v>29</v>
      </c>
      <c r="H333" t="s">
        <v>256</v>
      </c>
    </row>
    <row r="334" spans="1:8" x14ac:dyDescent="0.25">
      <c r="A334" t="s">
        <v>551</v>
      </c>
      <c r="B334" t="s">
        <v>251</v>
      </c>
      <c r="C334" s="5">
        <v>923020</v>
      </c>
      <c r="D334" s="5">
        <v>31619</v>
      </c>
      <c r="E334">
        <v>415989</v>
      </c>
      <c r="F334" s="4" t="s">
        <v>252</v>
      </c>
      <c r="G334" t="s">
        <v>29</v>
      </c>
      <c r="H334" t="s">
        <v>253</v>
      </c>
    </row>
    <row r="335" spans="1:8" x14ac:dyDescent="0.25">
      <c r="A335" t="s">
        <v>551</v>
      </c>
      <c r="B335" t="s">
        <v>248</v>
      </c>
      <c r="C335" s="5">
        <v>24233</v>
      </c>
      <c r="D335" s="5">
        <v>702</v>
      </c>
      <c r="E335">
        <v>13221</v>
      </c>
      <c r="F335" s="4" t="s">
        <v>249</v>
      </c>
      <c r="G335" t="s">
        <v>29</v>
      </c>
      <c r="H335" t="s">
        <v>250</v>
      </c>
    </row>
    <row r="336" spans="1:8" x14ac:dyDescent="0.25">
      <c r="A336" t="s">
        <v>551</v>
      </c>
      <c r="B336" t="s">
        <v>245</v>
      </c>
      <c r="C336" s="5">
        <v>514850</v>
      </c>
      <c r="D336" s="5">
        <v>9655</v>
      </c>
      <c r="E336">
        <v>72797</v>
      </c>
      <c r="F336" s="4" t="s">
        <v>246</v>
      </c>
      <c r="G336" t="s">
        <v>29</v>
      </c>
      <c r="H336" t="s">
        <v>247</v>
      </c>
    </row>
    <row r="337" spans="1:8" x14ac:dyDescent="0.25">
      <c r="A337" t="s">
        <v>551</v>
      </c>
      <c r="B337" t="s">
        <v>242</v>
      </c>
      <c r="C337" s="5">
        <v>376676</v>
      </c>
      <c r="D337" s="5">
        <v>10335</v>
      </c>
      <c r="E337">
        <v>71376</v>
      </c>
      <c r="F337" s="4" t="s">
        <v>243</v>
      </c>
      <c r="G337" t="s">
        <v>29</v>
      </c>
      <c r="H337" t="s">
        <v>244</v>
      </c>
    </row>
    <row r="338" spans="1:8" x14ac:dyDescent="0.25">
      <c r="A338" t="s">
        <v>551</v>
      </c>
      <c r="B338" t="s">
        <v>239</v>
      </c>
      <c r="C338" s="5">
        <v>12374</v>
      </c>
      <c r="D338" s="5">
        <v>213</v>
      </c>
      <c r="E338">
        <v>2266</v>
      </c>
      <c r="F338" s="4" t="s">
        <v>240</v>
      </c>
      <c r="G338" t="s">
        <v>29</v>
      </c>
      <c r="H338" t="s">
        <v>241</v>
      </c>
    </row>
    <row r="339" spans="1:8" x14ac:dyDescent="0.25">
      <c r="A339" t="s">
        <v>551</v>
      </c>
      <c r="B339" t="s">
        <v>236</v>
      </c>
      <c r="C339" s="5">
        <v>36439</v>
      </c>
      <c r="D339" s="5">
        <v>952</v>
      </c>
      <c r="E339">
        <v>32215</v>
      </c>
      <c r="F339" s="4" t="s">
        <v>237</v>
      </c>
      <c r="G339" t="s">
        <v>29</v>
      </c>
      <c r="H339" t="s">
        <v>238</v>
      </c>
    </row>
    <row r="340" spans="1:8" x14ac:dyDescent="0.25">
      <c r="A340" t="s">
        <v>551</v>
      </c>
      <c r="B340" t="s">
        <v>233</v>
      </c>
      <c r="C340" s="5">
        <v>6203</v>
      </c>
      <c r="D340" s="5">
        <v>143</v>
      </c>
      <c r="E340">
        <v>1348</v>
      </c>
      <c r="F340" s="4" t="s">
        <v>234</v>
      </c>
      <c r="G340" t="s">
        <v>29</v>
      </c>
      <c r="H340" t="s">
        <v>235</v>
      </c>
    </row>
    <row r="341" spans="1:8" x14ac:dyDescent="0.25">
      <c r="A341" t="s">
        <v>551</v>
      </c>
      <c r="B341" t="s">
        <v>232</v>
      </c>
      <c r="C341" s="5">
        <v>607497</v>
      </c>
      <c r="D341" s="5">
        <v>15578</v>
      </c>
      <c r="E341">
        <v>43524</v>
      </c>
      <c r="F341" s="4" t="s">
        <v>38</v>
      </c>
      <c r="G341" t="s">
        <v>29</v>
      </c>
      <c r="H341" t="s">
        <v>39</v>
      </c>
    </row>
    <row r="342" spans="1:8" x14ac:dyDescent="0.25">
      <c r="A342" t="s">
        <v>551</v>
      </c>
      <c r="B342" t="s">
        <v>229</v>
      </c>
      <c r="C342" s="5">
        <v>808297</v>
      </c>
      <c r="D342" s="5">
        <v>16493</v>
      </c>
      <c r="E342">
        <v>638684</v>
      </c>
      <c r="F342" s="4" t="s">
        <v>230</v>
      </c>
      <c r="G342" t="s">
        <v>29</v>
      </c>
      <c r="H342" t="s">
        <v>231</v>
      </c>
    </row>
    <row r="343" spans="1:8" x14ac:dyDescent="0.25">
      <c r="A343" t="s">
        <v>551</v>
      </c>
      <c r="B343" t="s">
        <v>228</v>
      </c>
      <c r="C343" s="5">
        <v>13459</v>
      </c>
      <c r="D343" s="5">
        <v>168</v>
      </c>
      <c r="E343">
        <v>79</v>
      </c>
      <c r="F343" s="4" t="s">
        <v>107</v>
      </c>
      <c r="G343" t="s">
        <v>29</v>
      </c>
      <c r="H343" t="s">
        <v>108</v>
      </c>
    </row>
    <row r="344" spans="1:8" x14ac:dyDescent="0.25">
      <c r="A344" t="s">
        <v>551</v>
      </c>
      <c r="B344" t="s">
        <v>225</v>
      </c>
      <c r="C344" s="5">
        <v>54672</v>
      </c>
      <c r="D344" s="5">
        <v>822</v>
      </c>
      <c r="E344">
        <v>8542</v>
      </c>
      <c r="F344" s="4" t="s">
        <v>226</v>
      </c>
      <c r="G344" t="s">
        <v>29</v>
      </c>
      <c r="H344" t="s">
        <v>227</v>
      </c>
    </row>
    <row r="345" spans="1:8" x14ac:dyDescent="0.25">
      <c r="A345" t="s">
        <v>551</v>
      </c>
      <c r="B345" t="s">
        <v>222</v>
      </c>
      <c r="C345" s="5">
        <v>30709</v>
      </c>
      <c r="D345" s="5">
        <v>387</v>
      </c>
      <c r="E345">
        <v>20604</v>
      </c>
      <c r="F345" s="4" t="s">
        <v>223</v>
      </c>
      <c r="G345" t="s">
        <v>29</v>
      </c>
      <c r="H345" t="s">
        <v>224</v>
      </c>
    </row>
    <row r="346" spans="1:8" x14ac:dyDescent="0.25">
      <c r="A346" t="s">
        <v>551</v>
      </c>
      <c r="B346" t="s">
        <v>219</v>
      </c>
      <c r="C346" s="5">
        <v>9980</v>
      </c>
      <c r="D346" s="5">
        <v>341</v>
      </c>
      <c r="E346">
        <v>4948</v>
      </c>
      <c r="F346" s="4" t="s">
        <v>220</v>
      </c>
      <c r="G346" t="s">
        <v>29</v>
      </c>
      <c r="H346" t="s">
        <v>221</v>
      </c>
    </row>
    <row r="347" spans="1:8" x14ac:dyDescent="0.25">
      <c r="A347" t="s">
        <v>551</v>
      </c>
      <c r="B347" t="s">
        <v>216</v>
      </c>
      <c r="C347" s="5">
        <v>6256</v>
      </c>
      <c r="D347" s="5">
        <v>98</v>
      </c>
      <c r="E347">
        <v>1412</v>
      </c>
      <c r="F347" s="4" t="s">
        <v>217</v>
      </c>
      <c r="G347" t="s">
        <v>29</v>
      </c>
      <c r="H347" t="s">
        <v>218</v>
      </c>
    </row>
    <row r="348" spans="1:8" x14ac:dyDescent="0.25">
      <c r="A348" t="s">
        <v>551</v>
      </c>
      <c r="B348" t="s">
        <v>213</v>
      </c>
      <c r="C348" s="5">
        <v>130608</v>
      </c>
      <c r="D348" s="5">
        <v>1203</v>
      </c>
      <c r="E348">
        <v>37073</v>
      </c>
      <c r="F348" s="4" t="s">
        <v>214</v>
      </c>
      <c r="G348" t="s">
        <v>29</v>
      </c>
      <c r="H348" t="s">
        <v>215</v>
      </c>
    </row>
    <row r="349" spans="1:8" x14ac:dyDescent="0.25">
      <c r="A349" t="s">
        <v>551</v>
      </c>
      <c r="B349" t="s">
        <v>210</v>
      </c>
      <c r="C349" s="5">
        <v>45245</v>
      </c>
      <c r="D349" s="5">
        <v>316</v>
      </c>
      <c r="E349">
        <v>44106</v>
      </c>
      <c r="F349" s="4" t="s">
        <v>211</v>
      </c>
      <c r="G349" t="s">
        <v>29</v>
      </c>
      <c r="H349" t="s">
        <v>212</v>
      </c>
    </row>
    <row r="350" spans="1:8" x14ac:dyDescent="0.25">
      <c r="A350" t="s">
        <v>551</v>
      </c>
      <c r="B350" t="s">
        <v>207</v>
      </c>
      <c r="C350" s="5">
        <v>766818</v>
      </c>
      <c r="D350" s="5">
        <v>10662</v>
      </c>
      <c r="E350">
        <v>129694</v>
      </c>
      <c r="F350" s="4" t="s">
        <v>208</v>
      </c>
      <c r="G350" t="s">
        <v>29</v>
      </c>
      <c r="H350" t="s">
        <v>209</v>
      </c>
    </row>
    <row r="351" spans="1:8" x14ac:dyDescent="0.25">
      <c r="A351" t="s">
        <v>551</v>
      </c>
      <c r="B351" t="s">
        <v>204</v>
      </c>
      <c r="C351" s="5">
        <v>5863</v>
      </c>
      <c r="D351" s="5">
        <v>200</v>
      </c>
      <c r="E351">
        <v>1069</v>
      </c>
      <c r="F351" s="4" t="s">
        <v>205</v>
      </c>
      <c r="G351" t="s">
        <v>29</v>
      </c>
      <c r="H351" t="s">
        <v>206</v>
      </c>
    </row>
    <row r="352" spans="1:8" x14ac:dyDescent="0.25">
      <c r="A352" t="s">
        <v>551</v>
      </c>
      <c r="B352" t="s">
        <v>201</v>
      </c>
      <c r="C352" s="5">
        <v>9445628</v>
      </c>
      <c r="D352" s="5">
        <v>142674</v>
      </c>
      <c r="E352">
        <v>4892287</v>
      </c>
      <c r="F352" s="4" t="s">
        <v>202</v>
      </c>
      <c r="G352" t="s">
        <v>29</v>
      </c>
      <c r="H352" t="s">
        <v>203</v>
      </c>
    </row>
    <row r="353" spans="1:8" x14ac:dyDescent="0.25">
      <c r="A353" t="s">
        <v>551</v>
      </c>
      <c r="B353" t="s">
        <v>198</v>
      </c>
      <c r="C353" s="5">
        <v>36587</v>
      </c>
      <c r="D353" s="5">
        <v>262</v>
      </c>
      <c r="E353">
        <v>18294</v>
      </c>
      <c r="F353" s="4" t="s">
        <v>199</v>
      </c>
      <c r="G353" t="s">
        <v>29</v>
      </c>
      <c r="H353" t="s">
        <v>200</v>
      </c>
    </row>
    <row r="354" spans="1:8" x14ac:dyDescent="0.25">
      <c r="A354" t="s">
        <v>551</v>
      </c>
      <c r="B354" t="s">
        <v>195</v>
      </c>
      <c r="C354" s="5">
        <v>7063280</v>
      </c>
      <c r="D354" s="5">
        <v>115637</v>
      </c>
      <c r="E354">
        <v>3331780</v>
      </c>
      <c r="F354" s="4" t="s">
        <v>196</v>
      </c>
      <c r="G354" t="s">
        <v>29</v>
      </c>
      <c r="H354" t="s">
        <v>197</v>
      </c>
    </row>
    <row r="355" spans="1:8" x14ac:dyDescent="0.25">
      <c r="A355" t="s">
        <v>551</v>
      </c>
      <c r="B355" t="s">
        <v>192</v>
      </c>
      <c r="C355" s="5">
        <v>2778</v>
      </c>
      <c r="D355" s="5">
        <v>6</v>
      </c>
      <c r="E355">
        <v>816</v>
      </c>
      <c r="F355" s="4" t="s">
        <v>193</v>
      </c>
      <c r="G355" t="s">
        <v>29</v>
      </c>
      <c r="H355" t="s">
        <v>194</v>
      </c>
    </row>
    <row r="356" spans="1:8" x14ac:dyDescent="0.25">
      <c r="A356" t="s">
        <v>551</v>
      </c>
      <c r="B356" t="s">
        <v>189</v>
      </c>
      <c r="C356" s="5">
        <v>52356</v>
      </c>
      <c r="D356" s="5">
        <v>679</v>
      </c>
      <c r="E356">
        <v>41713</v>
      </c>
      <c r="F356" s="4" t="s">
        <v>190</v>
      </c>
      <c r="G356" t="s">
        <v>29</v>
      </c>
      <c r="H356" t="s">
        <v>191</v>
      </c>
    </row>
    <row r="357" spans="1:8" x14ac:dyDescent="0.25">
      <c r="A357" t="s">
        <v>551</v>
      </c>
      <c r="B357" t="s">
        <v>186</v>
      </c>
      <c r="C357" s="5">
        <v>166256</v>
      </c>
      <c r="D357" s="5">
        <v>1212</v>
      </c>
      <c r="E357">
        <v>33238</v>
      </c>
      <c r="F357" s="4" t="s">
        <v>187</v>
      </c>
      <c r="G357" t="s">
        <v>29</v>
      </c>
      <c r="H357" t="s">
        <v>188</v>
      </c>
    </row>
    <row r="358" spans="1:8" x14ac:dyDescent="0.25">
      <c r="A358" t="s">
        <v>551</v>
      </c>
      <c r="B358" t="s">
        <v>185</v>
      </c>
      <c r="C358" s="5">
        <v>367857</v>
      </c>
      <c r="D358" s="5">
        <v>6572</v>
      </c>
      <c r="E358">
        <v>338172</v>
      </c>
      <c r="F358" s="4" t="s">
        <v>71</v>
      </c>
      <c r="G358" t="s">
        <v>29</v>
      </c>
      <c r="H358" t="s">
        <v>72</v>
      </c>
    </row>
    <row r="359" spans="1:8" x14ac:dyDescent="0.25">
      <c r="A359" t="s">
        <v>551</v>
      </c>
      <c r="B359" t="s">
        <v>182</v>
      </c>
      <c r="C359" s="5">
        <v>5038517</v>
      </c>
      <c r="D359" s="5">
        <v>87617</v>
      </c>
      <c r="E359">
        <v>3831512</v>
      </c>
      <c r="F359" s="4" t="s">
        <v>183</v>
      </c>
      <c r="G359" t="s">
        <v>29</v>
      </c>
      <c r="H359" t="s">
        <v>184</v>
      </c>
    </row>
    <row r="360" spans="1:8" x14ac:dyDescent="0.25">
      <c r="A360" t="s">
        <v>551</v>
      </c>
      <c r="B360" t="s">
        <v>179</v>
      </c>
      <c r="C360" s="5">
        <v>7003</v>
      </c>
      <c r="D360" s="5">
        <v>48</v>
      </c>
      <c r="E360">
        <v>5216</v>
      </c>
      <c r="F360" s="4" t="s">
        <v>180</v>
      </c>
      <c r="G360" t="s">
        <v>29</v>
      </c>
      <c r="H360" t="s">
        <v>181</v>
      </c>
    </row>
    <row r="361" spans="1:8" x14ac:dyDescent="0.25">
      <c r="A361" t="s">
        <v>551</v>
      </c>
      <c r="B361" t="s">
        <v>176</v>
      </c>
      <c r="C361" s="5">
        <v>340269</v>
      </c>
      <c r="D361" s="5">
        <v>19249</v>
      </c>
      <c r="E361">
        <v>273615</v>
      </c>
      <c r="F361" s="4" t="s">
        <v>177</v>
      </c>
      <c r="G361" t="s">
        <v>29</v>
      </c>
      <c r="H361" t="s">
        <v>178</v>
      </c>
    </row>
    <row r="362" spans="1:8" x14ac:dyDescent="0.25">
      <c r="A362" t="s">
        <v>551</v>
      </c>
      <c r="B362" t="s">
        <v>173</v>
      </c>
      <c r="C362" s="5">
        <v>208326</v>
      </c>
      <c r="D362" s="5">
        <v>1637</v>
      </c>
      <c r="E362">
        <v>69352</v>
      </c>
      <c r="F362" s="4" t="s">
        <v>174</v>
      </c>
      <c r="G362" t="s">
        <v>29</v>
      </c>
      <c r="H362" t="s">
        <v>175</v>
      </c>
    </row>
    <row r="363" spans="1:8" x14ac:dyDescent="0.25">
      <c r="A363" t="s">
        <v>551</v>
      </c>
      <c r="B363" t="s">
        <v>170</v>
      </c>
      <c r="C363" s="5">
        <v>519560</v>
      </c>
      <c r="D363" s="5">
        <v>32989</v>
      </c>
      <c r="E363">
        <v>364272</v>
      </c>
      <c r="F363" s="4" t="s">
        <v>171</v>
      </c>
      <c r="G363" t="s">
        <v>29</v>
      </c>
      <c r="H363" t="s">
        <v>172</v>
      </c>
    </row>
    <row r="364" spans="1:8" x14ac:dyDescent="0.25">
      <c r="A364" t="s">
        <v>551</v>
      </c>
      <c r="B364" t="s">
        <v>167</v>
      </c>
      <c r="C364" s="5">
        <v>207509</v>
      </c>
      <c r="D364" s="5">
        <v>5960</v>
      </c>
      <c r="E364">
        <v>80631</v>
      </c>
      <c r="F364" s="4" t="s">
        <v>168</v>
      </c>
      <c r="G364" t="s">
        <v>29</v>
      </c>
      <c r="H364" t="s">
        <v>169</v>
      </c>
    </row>
    <row r="365" spans="1:8" x14ac:dyDescent="0.25">
      <c r="A365" t="s">
        <v>551</v>
      </c>
      <c r="B365" t="s">
        <v>164</v>
      </c>
      <c r="C365" s="5">
        <v>391104</v>
      </c>
      <c r="D365" s="5">
        <v>4157</v>
      </c>
      <c r="E365">
        <v>106932</v>
      </c>
      <c r="F365" s="4" t="s">
        <v>165</v>
      </c>
      <c r="G365" t="s">
        <v>29</v>
      </c>
      <c r="H365" t="s">
        <v>166</v>
      </c>
    </row>
    <row r="366" spans="1:8" x14ac:dyDescent="0.25">
      <c r="A366" t="s">
        <v>551</v>
      </c>
      <c r="B366" t="s">
        <v>161</v>
      </c>
      <c r="C366" s="5">
        <v>5176</v>
      </c>
      <c r="D366" s="5">
        <v>34</v>
      </c>
      <c r="E366">
        <v>4989</v>
      </c>
      <c r="F366" s="4" t="s">
        <v>162</v>
      </c>
      <c r="G366" t="s">
        <v>29</v>
      </c>
      <c r="H366" t="s">
        <v>163</v>
      </c>
    </row>
    <row r="367" spans="1:8" x14ac:dyDescent="0.25">
      <c r="A367" t="s">
        <v>551</v>
      </c>
      <c r="B367" t="s">
        <v>160</v>
      </c>
      <c r="C367" s="5">
        <v>411397</v>
      </c>
      <c r="D367" s="5">
        <v>2745</v>
      </c>
      <c r="E367">
        <v>73936</v>
      </c>
      <c r="F367" s="4" t="s">
        <v>92</v>
      </c>
      <c r="G367" t="s">
        <v>29</v>
      </c>
      <c r="H367" t="s">
        <v>93</v>
      </c>
    </row>
    <row r="368" spans="1:8" x14ac:dyDescent="0.25">
      <c r="A368" t="s">
        <v>551</v>
      </c>
      <c r="B368" t="s">
        <v>157</v>
      </c>
      <c r="C368" s="5">
        <v>13493</v>
      </c>
      <c r="D368" s="5">
        <v>186</v>
      </c>
      <c r="E368">
        <v>3954</v>
      </c>
      <c r="F368" s="4" t="s">
        <v>158</v>
      </c>
      <c r="G368" t="s">
        <v>29</v>
      </c>
      <c r="H368" t="s">
        <v>159</v>
      </c>
    </row>
    <row r="369" spans="1:8" x14ac:dyDescent="0.25">
      <c r="A369" t="s">
        <v>551</v>
      </c>
      <c r="B369" t="s">
        <v>154</v>
      </c>
      <c r="C369" s="5">
        <v>4908540</v>
      </c>
      <c r="D369" s="5">
        <v>97203</v>
      </c>
      <c r="E369">
        <v>1717847</v>
      </c>
      <c r="F369" s="4" t="s">
        <v>155</v>
      </c>
      <c r="G369" t="s">
        <v>29</v>
      </c>
      <c r="H369" t="s">
        <v>156</v>
      </c>
    </row>
    <row r="370" spans="1:8" x14ac:dyDescent="0.25">
      <c r="A370" t="s">
        <v>551</v>
      </c>
      <c r="B370" t="s">
        <v>151</v>
      </c>
      <c r="C370" s="5">
        <v>1843019</v>
      </c>
      <c r="D370" s="5">
        <v>31229</v>
      </c>
      <c r="E370">
        <v>1771770</v>
      </c>
      <c r="F370" s="4" t="s">
        <v>152</v>
      </c>
      <c r="G370" t="s">
        <v>29</v>
      </c>
      <c r="H370" t="s">
        <v>153</v>
      </c>
    </row>
    <row r="371" spans="1:8" x14ac:dyDescent="0.25">
      <c r="A371" t="s">
        <v>551</v>
      </c>
      <c r="B371" t="s">
        <v>148</v>
      </c>
      <c r="C371" s="5">
        <v>126497</v>
      </c>
      <c r="D371" s="5">
        <v>577</v>
      </c>
      <c r="E371">
        <v>1510</v>
      </c>
      <c r="F371" s="4" t="s">
        <v>149</v>
      </c>
      <c r="G371" t="s">
        <v>29</v>
      </c>
      <c r="H371" t="s">
        <v>150</v>
      </c>
    </row>
    <row r="372" spans="1:8" x14ac:dyDescent="0.25">
      <c r="A372" t="s">
        <v>551</v>
      </c>
      <c r="B372" t="s">
        <v>145</v>
      </c>
      <c r="C372" s="5">
        <v>38278</v>
      </c>
      <c r="D372" s="5">
        <v>350</v>
      </c>
      <c r="E372">
        <v>28588</v>
      </c>
      <c r="F372" s="4" t="s">
        <v>146</v>
      </c>
      <c r="G372" t="s">
        <v>29</v>
      </c>
      <c r="H372" t="s">
        <v>147</v>
      </c>
    </row>
    <row r="373" spans="1:8" x14ac:dyDescent="0.25">
      <c r="A373" t="s">
        <v>551</v>
      </c>
      <c r="B373" t="s">
        <v>144</v>
      </c>
      <c r="C373" s="5">
        <v>957332</v>
      </c>
      <c r="D373" s="5">
        <v>8274</v>
      </c>
      <c r="E373">
        <v>919778</v>
      </c>
      <c r="F373" s="4" t="s">
        <v>122</v>
      </c>
      <c r="G373" t="s">
        <v>29</v>
      </c>
      <c r="H373" t="s">
        <v>123</v>
      </c>
    </row>
    <row r="374" spans="1:8" x14ac:dyDescent="0.25">
      <c r="A374" t="s">
        <v>551</v>
      </c>
      <c r="B374" t="s">
        <v>143</v>
      </c>
      <c r="C374" s="5">
        <v>563290</v>
      </c>
      <c r="D374" s="5">
        <v>7176</v>
      </c>
      <c r="E374">
        <v>119933</v>
      </c>
      <c r="F374" s="4" t="s">
        <v>53</v>
      </c>
      <c r="G374" t="s">
        <v>29</v>
      </c>
      <c r="H374" t="s">
        <v>54</v>
      </c>
    </row>
    <row r="375" spans="1:8" x14ac:dyDescent="0.25">
      <c r="A375" t="s">
        <v>551</v>
      </c>
      <c r="B375" t="s">
        <v>140</v>
      </c>
      <c r="C375" s="5">
        <v>5021619</v>
      </c>
      <c r="D375" s="5">
        <v>127640</v>
      </c>
      <c r="E375">
        <v>3125586</v>
      </c>
      <c r="F375" s="4" t="s">
        <v>141</v>
      </c>
      <c r="G375" t="s">
        <v>29</v>
      </c>
      <c r="H375" t="s">
        <v>142</v>
      </c>
    </row>
    <row r="376" spans="1:8" x14ac:dyDescent="0.25">
      <c r="A376" t="s">
        <v>551</v>
      </c>
      <c r="B376" t="s">
        <v>137</v>
      </c>
      <c r="C376" s="5">
        <v>98003</v>
      </c>
      <c r="D376" s="5">
        <v>4636</v>
      </c>
      <c r="E376">
        <v>33446</v>
      </c>
      <c r="F376" s="4" t="s">
        <v>138</v>
      </c>
      <c r="G376" t="s">
        <v>29</v>
      </c>
      <c r="H376" t="s">
        <v>139</v>
      </c>
    </row>
    <row r="377" spans="1:8" x14ac:dyDescent="0.25">
      <c r="A377" t="s">
        <v>551</v>
      </c>
      <c r="B377" t="s">
        <v>134</v>
      </c>
      <c r="C377" s="5">
        <v>105719</v>
      </c>
      <c r="D377" s="5">
        <v>1758</v>
      </c>
      <c r="E377">
        <v>79652</v>
      </c>
      <c r="F377" s="4" t="s">
        <v>135</v>
      </c>
      <c r="G377" t="s">
        <v>29</v>
      </c>
      <c r="H377" t="s">
        <v>136</v>
      </c>
    </row>
    <row r="378" spans="1:8" x14ac:dyDescent="0.25">
      <c r="A378" t="s">
        <v>551</v>
      </c>
      <c r="B378" t="s">
        <v>131</v>
      </c>
      <c r="C378" s="5">
        <v>1715352</v>
      </c>
      <c r="D378" s="5">
        <v>37895</v>
      </c>
      <c r="E378">
        <v>501100</v>
      </c>
      <c r="F378" s="4" t="s">
        <v>132</v>
      </c>
      <c r="G378" t="s">
        <v>29</v>
      </c>
      <c r="H378" t="s">
        <v>133</v>
      </c>
    </row>
    <row r="379" spans="1:8" x14ac:dyDescent="0.25">
      <c r="A379" t="s">
        <v>551</v>
      </c>
      <c r="B379" t="s">
        <v>128</v>
      </c>
      <c r="C379" s="5">
        <v>61458</v>
      </c>
      <c r="D379" s="5">
        <v>700</v>
      </c>
      <c r="E379">
        <v>55953</v>
      </c>
      <c r="F379" s="4" t="s">
        <v>129</v>
      </c>
      <c r="G379" t="s">
        <v>29</v>
      </c>
      <c r="H379" t="s">
        <v>130</v>
      </c>
    </row>
    <row r="380" spans="1:8" x14ac:dyDescent="0.25">
      <c r="A380" t="s">
        <v>551</v>
      </c>
      <c r="B380" t="s">
        <v>127</v>
      </c>
      <c r="C380" s="5">
        <v>901228</v>
      </c>
      <c r="D380" s="5">
        <v>11306</v>
      </c>
      <c r="E380">
        <v>394239</v>
      </c>
      <c r="F380" s="4" t="s">
        <v>107</v>
      </c>
      <c r="G380" t="s">
        <v>29</v>
      </c>
      <c r="H380" t="s">
        <v>108</v>
      </c>
    </row>
    <row r="381" spans="1:8" x14ac:dyDescent="0.25">
      <c r="A381" t="s">
        <v>551</v>
      </c>
      <c r="B381" t="s">
        <v>124</v>
      </c>
      <c r="C381" s="5">
        <v>18153</v>
      </c>
      <c r="D381" s="5">
        <v>309</v>
      </c>
      <c r="E381">
        <v>10687</v>
      </c>
      <c r="F381" s="4" t="s">
        <v>125</v>
      </c>
      <c r="G381" t="s">
        <v>29</v>
      </c>
      <c r="H381" t="s">
        <v>126</v>
      </c>
    </row>
    <row r="382" spans="1:8" x14ac:dyDescent="0.25">
      <c r="A382" t="s">
        <v>551</v>
      </c>
      <c r="B382" t="s">
        <v>121</v>
      </c>
      <c r="C382" s="5">
        <v>11579</v>
      </c>
      <c r="D382" s="5">
        <v>100</v>
      </c>
      <c r="E382">
        <v>2006</v>
      </c>
      <c r="F382" s="4" t="s">
        <v>122</v>
      </c>
      <c r="G382" t="s">
        <v>29</v>
      </c>
      <c r="H382" t="s">
        <v>123</v>
      </c>
    </row>
    <row r="383" spans="1:8" x14ac:dyDescent="0.25">
      <c r="A383" t="s">
        <v>551</v>
      </c>
      <c r="B383" t="s">
        <v>118</v>
      </c>
      <c r="C383" s="5">
        <v>57662</v>
      </c>
      <c r="D383" s="5">
        <v>1099</v>
      </c>
      <c r="E383">
        <v>1632</v>
      </c>
      <c r="F383" s="4" t="s">
        <v>119</v>
      </c>
      <c r="G383" t="s">
        <v>29</v>
      </c>
      <c r="H383" t="s">
        <v>120</v>
      </c>
    </row>
    <row r="384" spans="1:8" x14ac:dyDescent="0.25">
      <c r="A384" t="s">
        <v>551</v>
      </c>
      <c r="B384" t="s">
        <v>115</v>
      </c>
      <c r="C384" s="5">
        <v>1748359</v>
      </c>
      <c r="D384" s="5">
        <v>29303</v>
      </c>
      <c r="E384">
        <v>1120972</v>
      </c>
      <c r="F384" s="4" t="s">
        <v>116</v>
      </c>
      <c r="G384" t="s">
        <v>29</v>
      </c>
      <c r="H384" t="s">
        <v>117</v>
      </c>
    </row>
    <row r="385" spans="1:8" x14ac:dyDescent="0.25">
      <c r="A385" t="s">
        <v>551</v>
      </c>
      <c r="B385" t="s">
        <v>112</v>
      </c>
      <c r="C385" s="5">
        <v>28568</v>
      </c>
      <c r="D385" s="5">
        <v>530</v>
      </c>
      <c r="E385">
        <v>939</v>
      </c>
      <c r="F385" s="4" t="s">
        <v>113</v>
      </c>
      <c r="G385" t="s">
        <v>29</v>
      </c>
      <c r="H385" t="s">
        <v>114</v>
      </c>
    </row>
    <row r="386" spans="1:8" x14ac:dyDescent="0.25">
      <c r="A386" t="s">
        <v>551</v>
      </c>
      <c r="B386" t="s">
        <v>109</v>
      </c>
      <c r="C386" s="5">
        <v>619708</v>
      </c>
      <c r="D386" s="5">
        <v>4789</v>
      </c>
      <c r="E386">
        <v>269477</v>
      </c>
      <c r="F386" s="4" t="s">
        <v>110</v>
      </c>
      <c r="G386" t="s">
        <v>29</v>
      </c>
      <c r="H386" t="s">
        <v>111</v>
      </c>
    </row>
    <row r="387" spans="1:8" x14ac:dyDescent="0.25">
      <c r="A387" t="s">
        <v>551</v>
      </c>
      <c r="B387" t="s">
        <v>106</v>
      </c>
      <c r="C387" s="5">
        <v>193449</v>
      </c>
      <c r="D387" s="5">
        <v>2409</v>
      </c>
      <c r="E387">
        <v>46707</v>
      </c>
      <c r="F387" s="4" t="s">
        <v>107</v>
      </c>
      <c r="G387" t="s">
        <v>29</v>
      </c>
      <c r="H387" t="s">
        <v>108</v>
      </c>
    </row>
    <row r="388" spans="1:8" x14ac:dyDescent="0.25">
      <c r="A388" t="s">
        <v>551</v>
      </c>
      <c r="B388" t="s">
        <v>103</v>
      </c>
      <c r="C388" s="5">
        <v>2623</v>
      </c>
      <c r="D388" s="5">
        <v>3</v>
      </c>
      <c r="E388">
        <v>61</v>
      </c>
      <c r="F388" s="4" t="s">
        <v>104</v>
      </c>
      <c r="G388" t="s">
        <v>29</v>
      </c>
      <c r="H388" t="s">
        <v>105</v>
      </c>
    </row>
    <row r="389" spans="1:8" x14ac:dyDescent="0.25">
      <c r="A389" t="s">
        <v>551</v>
      </c>
      <c r="B389" t="s">
        <v>100</v>
      </c>
      <c r="C389" s="5">
        <v>22544</v>
      </c>
      <c r="D389" s="5">
        <v>661</v>
      </c>
      <c r="E389">
        <v>12929</v>
      </c>
      <c r="F389" s="4" t="s">
        <v>101</v>
      </c>
      <c r="G389" t="s">
        <v>29</v>
      </c>
      <c r="H389" t="s">
        <v>102</v>
      </c>
    </row>
    <row r="390" spans="1:8" x14ac:dyDescent="0.25">
      <c r="A390" t="s">
        <v>551</v>
      </c>
      <c r="B390" t="s">
        <v>97</v>
      </c>
      <c r="C390" s="5">
        <v>21909298</v>
      </c>
      <c r="D390" s="5">
        <v>610036</v>
      </c>
      <c r="E390">
        <v>6927187</v>
      </c>
      <c r="F390" s="4" t="s">
        <v>98</v>
      </c>
      <c r="G390" t="s">
        <v>29</v>
      </c>
      <c r="H390" t="s">
        <v>99</v>
      </c>
    </row>
    <row r="391" spans="1:8" x14ac:dyDescent="0.25">
      <c r="A391" t="s">
        <v>551</v>
      </c>
      <c r="B391" t="s">
        <v>94</v>
      </c>
      <c r="C391" s="5">
        <v>519669</v>
      </c>
      <c r="D391" s="5">
        <v>18976</v>
      </c>
      <c r="E391">
        <v>305676</v>
      </c>
      <c r="F391" s="4" t="s">
        <v>95</v>
      </c>
      <c r="G391" t="s">
        <v>29</v>
      </c>
      <c r="H391" t="s">
        <v>96</v>
      </c>
    </row>
    <row r="392" spans="1:8" x14ac:dyDescent="0.25">
      <c r="A392" t="s">
        <v>551</v>
      </c>
      <c r="B392" t="s">
        <v>91</v>
      </c>
      <c r="C392" s="5">
        <v>13962</v>
      </c>
      <c r="D392" s="5">
        <v>93</v>
      </c>
      <c r="E392">
        <v>12021</v>
      </c>
      <c r="F392" s="4" t="s">
        <v>92</v>
      </c>
      <c r="G392" t="s">
        <v>29</v>
      </c>
      <c r="H392" t="s">
        <v>93</v>
      </c>
    </row>
    <row r="393" spans="1:8" x14ac:dyDescent="0.25">
      <c r="A393" t="s">
        <v>551</v>
      </c>
      <c r="B393" t="s">
        <v>88</v>
      </c>
      <c r="C393" s="5">
        <v>1661</v>
      </c>
      <c r="D393" s="5">
        <v>6</v>
      </c>
      <c r="E393">
        <v>613</v>
      </c>
      <c r="F393" s="4" t="s">
        <v>89</v>
      </c>
      <c r="G393" t="s">
        <v>29</v>
      </c>
      <c r="H393" t="s">
        <v>90</v>
      </c>
    </row>
    <row r="394" spans="1:8" x14ac:dyDescent="0.25">
      <c r="A394" t="s">
        <v>551</v>
      </c>
      <c r="B394" t="s">
        <v>85</v>
      </c>
      <c r="C394" s="5">
        <v>24833</v>
      </c>
      <c r="D394" s="5">
        <v>161</v>
      </c>
      <c r="E394">
        <v>15411</v>
      </c>
      <c r="F394" s="4" t="s">
        <v>86</v>
      </c>
      <c r="G394" t="s">
        <v>29</v>
      </c>
      <c r="H394" t="s">
        <v>87</v>
      </c>
    </row>
    <row r="395" spans="1:8" x14ac:dyDescent="0.25">
      <c r="A395" t="s">
        <v>551</v>
      </c>
      <c r="B395" t="s">
        <v>82</v>
      </c>
      <c r="C395" s="5">
        <v>20200</v>
      </c>
      <c r="D395" s="5">
        <v>38</v>
      </c>
      <c r="E395">
        <v>10386</v>
      </c>
      <c r="F395" s="4" t="s">
        <v>83</v>
      </c>
      <c r="G395" t="s">
        <v>29</v>
      </c>
      <c r="H395" t="s">
        <v>84</v>
      </c>
    </row>
    <row r="396" spans="1:8" x14ac:dyDescent="0.25">
      <c r="A396" t="s">
        <v>551</v>
      </c>
      <c r="B396" t="s">
        <v>79</v>
      </c>
      <c r="C396" s="5">
        <v>277138</v>
      </c>
      <c r="D396" s="5">
        <v>1393</v>
      </c>
      <c r="E396">
        <v>231848</v>
      </c>
      <c r="F396" s="4" t="s">
        <v>80</v>
      </c>
      <c r="G396" t="s">
        <v>29</v>
      </c>
      <c r="H396" t="s">
        <v>81</v>
      </c>
    </row>
    <row r="397" spans="1:8" x14ac:dyDescent="0.25">
      <c r="A397" t="s">
        <v>551</v>
      </c>
      <c r="B397" t="s">
        <v>76</v>
      </c>
      <c r="C397" s="5">
        <v>646856</v>
      </c>
      <c r="D397" s="5">
        <v>25754</v>
      </c>
      <c r="E397">
        <v>236838</v>
      </c>
      <c r="F397" s="4" t="s">
        <v>77</v>
      </c>
      <c r="G397" t="s">
        <v>29</v>
      </c>
      <c r="H397" t="s">
        <v>78</v>
      </c>
    </row>
    <row r="398" spans="1:8" x14ac:dyDescent="0.25">
      <c r="A398" t="s">
        <v>551</v>
      </c>
      <c r="B398" t="s">
        <v>73</v>
      </c>
      <c r="C398" s="5">
        <v>15281</v>
      </c>
      <c r="D398" s="5">
        <v>234</v>
      </c>
      <c r="E398">
        <v>9306</v>
      </c>
      <c r="F398" s="4" t="s">
        <v>74</v>
      </c>
      <c r="G398" t="s">
        <v>29</v>
      </c>
      <c r="H398" t="s">
        <v>75</v>
      </c>
    </row>
    <row r="399" spans="1:8" x14ac:dyDescent="0.25">
      <c r="A399" t="s">
        <v>551</v>
      </c>
      <c r="B399" t="s">
        <v>70</v>
      </c>
      <c r="C399" s="5">
        <v>1463548</v>
      </c>
      <c r="D399" s="5">
        <v>26261</v>
      </c>
      <c r="E399">
        <v>254571</v>
      </c>
      <c r="F399" s="4" t="s">
        <v>71</v>
      </c>
      <c r="G399" t="s">
        <v>29</v>
      </c>
      <c r="H399" t="s">
        <v>72</v>
      </c>
    </row>
    <row r="400" spans="1:8" x14ac:dyDescent="0.25">
      <c r="A400" t="s">
        <v>551</v>
      </c>
      <c r="B400" t="s">
        <v>67</v>
      </c>
      <c r="C400" s="5">
        <v>1571669</v>
      </c>
      <c r="D400" s="5">
        <v>27906</v>
      </c>
      <c r="E400">
        <v>1017196</v>
      </c>
      <c r="F400" s="4" t="s">
        <v>68</v>
      </c>
      <c r="G400" t="s">
        <v>29</v>
      </c>
      <c r="H400" t="s">
        <v>69</v>
      </c>
    </row>
    <row r="401" spans="1:8" x14ac:dyDescent="0.25">
      <c r="A401" t="s">
        <v>551</v>
      </c>
      <c r="B401" t="s">
        <v>64</v>
      </c>
      <c r="C401" s="5">
        <v>21011</v>
      </c>
      <c r="D401" s="5">
        <v>187</v>
      </c>
      <c r="E401">
        <v>2758</v>
      </c>
      <c r="F401" s="4" t="s">
        <v>65</v>
      </c>
      <c r="G401" t="s">
        <v>29</v>
      </c>
      <c r="H401" t="s">
        <v>66</v>
      </c>
    </row>
    <row r="402" spans="1:8" x14ac:dyDescent="0.25">
      <c r="A402" t="s">
        <v>551</v>
      </c>
      <c r="B402" t="s">
        <v>61</v>
      </c>
      <c r="C402" s="5">
        <v>261799</v>
      </c>
      <c r="D402" s="5">
        <v>11891</v>
      </c>
      <c r="E402">
        <v>206519</v>
      </c>
      <c r="F402" s="4" t="s">
        <v>62</v>
      </c>
      <c r="G402" t="s">
        <v>29</v>
      </c>
      <c r="H402" t="s">
        <v>63</v>
      </c>
    </row>
    <row r="403" spans="1:8" x14ac:dyDescent="0.25">
      <c r="A403" t="s">
        <v>551</v>
      </c>
      <c r="B403" t="s">
        <v>58</v>
      </c>
      <c r="C403" s="5">
        <v>552322</v>
      </c>
      <c r="D403" s="5">
        <v>7342</v>
      </c>
      <c r="E403">
        <v>389889</v>
      </c>
      <c r="F403" s="4" t="s">
        <v>59</v>
      </c>
      <c r="G403" t="s">
        <v>29</v>
      </c>
      <c r="H403" t="s">
        <v>60</v>
      </c>
    </row>
    <row r="404" spans="1:8" x14ac:dyDescent="0.25">
      <c r="A404" t="s">
        <v>551</v>
      </c>
      <c r="B404" t="s">
        <v>55</v>
      </c>
      <c r="C404" s="5">
        <v>185627</v>
      </c>
      <c r="D404" s="5">
        <v>1862</v>
      </c>
      <c r="E404">
        <v>105099</v>
      </c>
      <c r="F404" s="4" t="s">
        <v>56</v>
      </c>
      <c r="G404" t="s">
        <v>29</v>
      </c>
      <c r="H404" t="s">
        <v>57</v>
      </c>
    </row>
    <row r="405" spans="1:8" x14ac:dyDescent="0.25">
      <c r="A405" t="s">
        <v>551</v>
      </c>
      <c r="B405" t="s">
        <v>52</v>
      </c>
      <c r="C405" s="5">
        <v>911175</v>
      </c>
      <c r="D405" s="5">
        <v>11577</v>
      </c>
      <c r="E405">
        <v>84399</v>
      </c>
      <c r="F405" s="4" t="s">
        <v>53</v>
      </c>
      <c r="G405" t="s">
        <v>29</v>
      </c>
      <c r="H405" t="s">
        <v>54</v>
      </c>
    </row>
    <row r="406" spans="1:8" x14ac:dyDescent="0.25">
      <c r="A406" t="s">
        <v>551</v>
      </c>
      <c r="B406" t="s">
        <v>49</v>
      </c>
      <c r="C406" s="5">
        <v>5300985</v>
      </c>
      <c r="D406" s="5">
        <v>116184</v>
      </c>
      <c r="E406">
        <v>4686915</v>
      </c>
      <c r="F406" s="4" t="s">
        <v>50</v>
      </c>
      <c r="G406" t="s">
        <v>29</v>
      </c>
      <c r="H406" t="s">
        <v>51</v>
      </c>
    </row>
    <row r="407" spans="1:8" x14ac:dyDescent="0.25">
      <c r="A407" t="s">
        <v>551</v>
      </c>
      <c r="B407" t="s">
        <v>46</v>
      </c>
      <c r="C407" s="5">
        <v>64815</v>
      </c>
      <c r="D407" s="5">
        <v>1723</v>
      </c>
      <c r="E407">
        <v>36723</v>
      </c>
      <c r="F407" s="4" t="s">
        <v>47</v>
      </c>
      <c r="G407" t="s">
        <v>29</v>
      </c>
      <c r="H407" t="s">
        <v>48</v>
      </c>
    </row>
    <row r="408" spans="1:8" x14ac:dyDescent="0.25">
      <c r="A408" t="s">
        <v>551</v>
      </c>
      <c r="B408" t="s">
        <v>43</v>
      </c>
      <c r="C408" s="5">
        <v>324039</v>
      </c>
      <c r="D408" s="5">
        <v>6831</v>
      </c>
      <c r="E408">
        <v>23204</v>
      </c>
      <c r="F408" s="4" t="s">
        <v>44</v>
      </c>
      <c r="G408" t="s">
        <v>29</v>
      </c>
      <c r="H408" t="s">
        <v>45</v>
      </c>
    </row>
    <row r="409" spans="1:8" x14ac:dyDescent="0.25">
      <c r="A409" t="s">
        <v>551</v>
      </c>
      <c r="B409" t="s">
        <v>40</v>
      </c>
      <c r="C409" s="5">
        <v>190815</v>
      </c>
      <c r="D409" s="5">
        <v>2975</v>
      </c>
      <c r="E409">
        <v>107164</v>
      </c>
      <c r="F409" s="4" t="s">
        <v>41</v>
      </c>
      <c r="G409" t="s">
        <v>29</v>
      </c>
      <c r="H409" t="s">
        <v>42</v>
      </c>
    </row>
    <row r="410" spans="1:8" x14ac:dyDescent="0.25">
      <c r="A410" t="s">
        <v>551</v>
      </c>
      <c r="B410" t="s">
        <v>37</v>
      </c>
      <c r="C410" s="5">
        <v>4102</v>
      </c>
      <c r="D410" s="5">
        <v>105</v>
      </c>
      <c r="E410">
        <v>1296</v>
      </c>
      <c r="F410" s="4" t="s">
        <v>38</v>
      </c>
      <c r="G410" t="s">
        <v>29</v>
      </c>
      <c r="H410" t="s">
        <v>39</v>
      </c>
    </row>
    <row r="411" spans="1:8" x14ac:dyDescent="0.25">
      <c r="A411" t="s">
        <v>551</v>
      </c>
      <c r="B411" t="s">
        <v>34</v>
      </c>
      <c r="C411" s="5">
        <v>156414</v>
      </c>
      <c r="D411" s="5">
        <v>7291</v>
      </c>
      <c r="E411">
        <v>92386</v>
      </c>
      <c r="F411" s="4" t="s">
        <v>35</v>
      </c>
      <c r="G411" t="s">
        <v>29</v>
      </c>
      <c r="H411" t="s">
        <v>36</v>
      </c>
    </row>
    <row r="412" spans="1:8" x14ac:dyDescent="0.25">
      <c r="A412" t="s">
        <v>551</v>
      </c>
      <c r="B412" t="s">
        <v>31</v>
      </c>
      <c r="C412" s="5">
        <v>740647</v>
      </c>
      <c r="D412" s="5">
        <v>2142</v>
      </c>
      <c r="E412">
        <v>77403</v>
      </c>
      <c r="F412" s="4" t="s">
        <v>32</v>
      </c>
      <c r="G412" t="s">
        <v>29</v>
      </c>
      <c r="H412" t="s">
        <v>33</v>
      </c>
    </row>
    <row r="413" spans="1:8" x14ac:dyDescent="0.25">
      <c r="A413" t="s">
        <v>551</v>
      </c>
      <c r="B413" t="s">
        <v>27</v>
      </c>
      <c r="C413" s="5">
        <v>15744</v>
      </c>
      <c r="D413" s="5">
        <v>130</v>
      </c>
      <c r="E413">
        <v>12839</v>
      </c>
      <c r="F413" s="4" t="s">
        <v>28</v>
      </c>
      <c r="G413" t="s">
        <v>29</v>
      </c>
      <c r="H413" t="s">
        <v>30</v>
      </c>
    </row>
    <row r="414" spans="1:8" x14ac:dyDescent="0.25">
      <c r="A414" t="s">
        <v>554</v>
      </c>
      <c r="B414" t="s">
        <v>27</v>
      </c>
      <c r="C414" s="5">
        <v>15717</v>
      </c>
      <c r="D414" s="5">
        <v>130</v>
      </c>
      <c r="E414">
        <v>185</v>
      </c>
      <c r="F414" s="4" t="s">
        <v>28</v>
      </c>
      <c r="G414" t="s">
        <v>29</v>
      </c>
      <c r="H414" t="s">
        <v>30</v>
      </c>
    </row>
    <row r="415" spans="1:8" x14ac:dyDescent="0.25">
      <c r="A415" t="s">
        <v>554</v>
      </c>
      <c r="B415" t="s">
        <v>31</v>
      </c>
      <c r="C415" s="5">
        <v>740572</v>
      </c>
      <c r="D415" s="5">
        <v>2142</v>
      </c>
      <c r="E415">
        <v>293006</v>
      </c>
      <c r="F415" s="4" t="s">
        <v>32</v>
      </c>
      <c r="G415" t="s">
        <v>29</v>
      </c>
      <c r="H415" t="s">
        <v>33</v>
      </c>
    </row>
    <row r="416" spans="1:8" x14ac:dyDescent="0.25">
      <c r="A416" t="s">
        <v>554</v>
      </c>
      <c r="B416" t="s">
        <v>34</v>
      </c>
      <c r="C416" s="5">
        <v>156397</v>
      </c>
      <c r="D416" s="5">
        <v>7290</v>
      </c>
      <c r="E416">
        <v>6026</v>
      </c>
      <c r="F416" s="4" t="s">
        <v>35</v>
      </c>
      <c r="G416" t="s">
        <v>29</v>
      </c>
      <c r="H416" t="s">
        <v>36</v>
      </c>
    </row>
    <row r="417" spans="1:8" x14ac:dyDescent="0.25">
      <c r="A417" t="s">
        <v>554</v>
      </c>
      <c r="B417" t="s">
        <v>37</v>
      </c>
      <c r="C417" s="5">
        <v>4091</v>
      </c>
      <c r="D417" s="5">
        <v>105</v>
      </c>
      <c r="E417">
        <v>3080</v>
      </c>
      <c r="F417" s="4" t="s">
        <v>555</v>
      </c>
      <c r="G417" t="s">
        <v>29</v>
      </c>
      <c r="H417" t="s">
        <v>556</v>
      </c>
    </row>
    <row r="418" spans="1:8" x14ac:dyDescent="0.25">
      <c r="A418" t="s">
        <v>554</v>
      </c>
      <c r="B418" t="s">
        <v>40</v>
      </c>
      <c r="C418" s="5">
        <v>190125</v>
      </c>
      <c r="D418" s="5">
        <v>2970</v>
      </c>
      <c r="E418">
        <v>1305</v>
      </c>
      <c r="F418" s="4" t="s">
        <v>41</v>
      </c>
      <c r="G418" t="s">
        <v>29</v>
      </c>
      <c r="H418" t="s">
        <v>42</v>
      </c>
    </row>
    <row r="419" spans="1:8" x14ac:dyDescent="0.25">
      <c r="A419" t="s">
        <v>554</v>
      </c>
      <c r="B419" t="s">
        <v>43</v>
      </c>
      <c r="C419" s="5">
        <v>322364</v>
      </c>
      <c r="D419" s="5">
        <v>6762</v>
      </c>
      <c r="E419">
        <v>220746</v>
      </c>
      <c r="F419" s="4" t="s">
        <v>557</v>
      </c>
      <c r="G419" t="s">
        <v>29</v>
      </c>
      <c r="H419" t="s">
        <v>558</v>
      </c>
    </row>
    <row r="420" spans="1:8" x14ac:dyDescent="0.25">
      <c r="A420" t="s">
        <v>554</v>
      </c>
      <c r="B420" t="s">
        <v>46</v>
      </c>
      <c r="C420" s="5">
        <v>64762</v>
      </c>
      <c r="D420" s="5">
        <v>1723</v>
      </c>
      <c r="E420">
        <v>45735</v>
      </c>
      <c r="F420" s="4" t="s">
        <v>47</v>
      </c>
      <c r="G420" t="s">
        <v>29</v>
      </c>
      <c r="H420" t="s">
        <v>48</v>
      </c>
    </row>
    <row r="421" spans="1:8" x14ac:dyDescent="0.25">
      <c r="A421" t="s">
        <v>554</v>
      </c>
      <c r="B421" t="s">
        <v>49</v>
      </c>
      <c r="C421" s="5">
        <v>5299418</v>
      </c>
      <c r="D421" s="5">
        <v>116165</v>
      </c>
      <c r="E421">
        <v>2208608</v>
      </c>
      <c r="F421" s="4" t="s">
        <v>50</v>
      </c>
      <c r="G421" t="s">
        <v>29</v>
      </c>
      <c r="H421" t="s">
        <v>51</v>
      </c>
    </row>
    <row r="422" spans="1:8" x14ac:dyDescent="0.25">
      <c r="A422" t="s">
        <v>554</v>
      </c>
      <c r="B422" t="s">
        <v>52</v>
      </c>
      <c r="C422" s="5">
        <v>899777</v>
      </c>
      <c r="D422" s="5">
        <v>11554</v>
      </c>
      <c r="E422">
        <v>122387</v>
      </c>
      <c r="F422" s="4" t="s">
        <v>381</v>
      </c>
      <c r="G422" t="s">
        <v>29</v>
      </c>
      <c r="H422" t="s">
        <v>382</v>
      </c>
    </row>
    <row r="423" spans="1:8" x14ac:dyDescent="0.25">
      <c r="A423" t="s">
        <v>554</v>
      </c>
      <c r="B423" t="s">
        <v>55</v>
      </c>
      <c r="C423" s="5">
        <v>184071</v>
      </c>
      <c r="D423" s="5">
        <v>1858</v>
      </c>
      <c r="E423">
        <v>50959</v>
      </c>
      <c r="F423" s="4" t="s">
        <v>559</v>
      </c>
      <c r="G423" t="s">
        <v>29</v>
      </c>
      <c r="H423" t="s">
        <v>560</v>
      </c>
    </row>
    <row r="424" spans="1:8" x14ac:dyDescent="0.25">
      <c r="A424" t="s">
        <v>554</v>
      </c>
      <c r="B424" t="s">
        <v>58</v>
      </c>
      <c r="C424" s="5">
        <v>550446</v>
      </c>
      <c r="D424" s="5">
        <v>7320</v>
      </c>
      <c r="E424">
        <v>181239</v>
      </c>
      <c r="F424" s="4" t="s">
        <v>59</v>
      </c>
      <c r="G424" t="s">
        <v>29</v>
      </c>
      <c r="H424" t="s">
        <v>60</v>
      </c>
    </row>
    <row r="425" spans="1:8" x14ac:dyDescent="0.25">
      <c r="A425" t="s">
        <v>554</v>
      </c>
      <c r="B425" t="s">
        <v>61</v>
      </c>
      <c r="C425" s="5">
        <v>260837</v>
      </c>
      <c r="D425" s="5">
        <v>11869</v>
      </c>
      <c r="E425">
        <v>78610</v>
      </c>
      <c r="F425" s="4" t="s">
        <v>561</v>
      </c>
      <c r="G425" t="s">
        <v>29</v>
      </c>
      <c r="H425" t="s">
        <v>562</v>
      </c>
    </row>
    <row r="426" spans="1:8" x14ac:dyDescent="0.25">
      <c r="A426" t="s">
        <v>554</v>
      </c>
      <c r="B426" t="s">
        <v>64</v>
      </c>
      <c r="C426" s="5">
        <v>20676</v>
      </c>
      <c r="D426" s="5">
        <v>183</v>
      </c>
      <c r="E426">
        <v>19265</v>
      </c>
      <c r="F426" s="4" t="s">
        <v>65</v>
      </c>
      <c r="G426" t="s">
        <v>29</v>
      </c>
      <c r="H426" t="s">
        <v>66</v>
      </c>
    </row>
    <row r="427" spans="1:8" x14ac:dyDescent="0.25">
      <c r="A427" t="s">
        <v>554</v>
      </c>
      <c r="B427" t="s">
        <v>67</v>
      </c>
      <c r="C427" s="5">
        <v>1571434</v>
      </c>
      <c r="D427" s="5">
        <v>27904</v>
      </c>
      <c r="E427">
        <v>390951</v>
      </c>
      <c r="F427" s="4" t="s">
        <v>68</v>
      </c>
      <c r="G427" t="s">
        <v>29</v>
      </c>
      <c r="H427" t="s">
        <v>69</v>
      </c>
    </row>
    <row r="428" spans="1:8" x14ac:dyDescent="0.25">
      <c r="A428" t="s">
        <v>554</v>
      </c>
      <c r="B428" t="s">
        <v>70</v>
      </c>
      <c r="C428" s="5">
        <v>1438830</v>
      </c>
      <c r="D428" s="5">
        <v>26200</v>
      </c>
      <c r="E428">
        <v>577246</v>
      </c>
      <c r="F428" s="4" t="s">
        <v>563</v>
      </c>
      <c r="G428" t="s">
        <v>29</v>
      </c>
      <c r="H428" t="s">
        <v>564</v>
      </c>
    </row>
    <row r="429" spans="1:8" x14ac:dyDescent="0.25">
      <c r="A429" t="s">
        <v>554</v>
      </c>
      <c r="B429" t="s">
        <v>73</v>
      </c>
      <c r="C429" s="5">
        <v>15103</v>
      </c>
      <c r="D429" s="5">
        <v>221</v>
      </c>
      <c r="E429">
        <v>11657</v>
      </c>
      <c r="F429" s="4" t="s">
        <v>565</v>
      </c>
      <c r="G429" t="s">
        <v>29</v>
      </c>
      <c r="H429" t="s">
        <v>566</v>
      </c>
    </row>
    <row r="430" spans="1:8" x14ac:dyDescent="0.25">
      <c r="A430" t="s">
        <v>554</v>
      </c>
      <c r="B430" t="s">
        <v>76</v>
      </c>
      <c r="C430" s="5">
        <v>643003</v>
      </c>
      <c r="D430" s="5">
        <v>25555</v>
      </c>
      <c r="E430">
        <v>51700</v>
      </c>
      <c r="F430" s="4" t="s">
        <v>567</v>
      </c>
      <c r="G430" t="s">
        <v>29</v>
      </c>
      <c r="H430" t="s">
        <v>568</v>
      </c>
    </row>
    <row r="431" spans="1:8" x14ac:dyDescent="0.25">
      <c r="A431" t="s">
        <v>554</v>
      </c>
      <c r="B431" t="s">
        <v>79</v>
      </c>
      <c r="C431" s="5">
        <v>277113</v>
      </c>
      <c r="D431" s="5">
        <v>1393</v>
      </c>
      <c r="E431">
        <v>55986</v>
      </c>
      <c r="F431" s="4" t="s">
        <v>80</v>
      </c>
      <c r="G431" t="s">
        <v>29</v>
      </c>
      <c r="H431" t="s">
        <v>81</v>
      </c>
    </row>
    <row r="432" spans="1:8" x14ac:dyDescent="0.25">
      <c r="A432" t="s">
        <v>554</v>
      </c>
      <c r="B432" t="s">
        <v>82</v>
      </c>
      <c r="C432" s="5">
        <v>20170</v>
      </c>
      <c r="D432" s="5">
        <v>38</v>
      </c>
      <c r="E432">
        <v>3545</v>
      </c>
      <c r="F432" s="4" t="s">
        <v>83</v>
      </c>
      <c r="G432" t="s">
        <v>29</v>
      </c>
      <c r="H432" t="s">
        <v>84</v>
      </c>
    </row>
    <row r="433" spans="1:8" x14ac:dyDescent="0.25">
      <c r="A433" t="s">
        <v>554</v>
      </c>
      <c r="B433" t="s">
        <v>85</v>
      </c>
      <c r="C433" s="5">
        <v>24804</v>
      </c>
      <c r="D433" s="5">
        <v>161</v>
      </c>
      <c r="E433">
        <v>5462</v>
      </c>
      <c r="F433" s="4" t="s">
        <v>86</v>
      </c>
      <c r="G433" t="s">
        <v>29</v>
      </c>
      <c r="H433" t="s">
        <v>87</v>
      </c>
    </row>
    <row r="434" spans="1:8" x14ac:dyDescent="0.25">
      <c r="A434" t="s">
        <v>554</v>
      </c>
      <c r="B434" t="s">
        <v>88</v>
      </c>
      <c r="C434" s="5">
        <v>1661</v>
      </c>
      <c r="D434" s="5">
        <v>6</v>
      </c>
      <c r="E434">
        <v>1446</v>
      </c>
      <c r="F434" s="4" t="s">
        <v>89</v>
      </c>
      <c r="G434" t="s">
        <v>29</v>
      </c>
      <c r="H434" t="s">
        <v>90</v>
      </c>
    </row>
    <row r="435" spans="1:8" x14ac:dyDescent="0.25">
      <c r="A435" t="s">
        <v>554</v>
      </c>
      <c r="B435" t="s">
        <v>91</v>
      </c>
      <c r="C435" s="5">
        <v>13864</v>
      </c>
      <c r="D435" s="5">
        <v>93</v>
      </c>
      <c r="E435">
        <v>5813</v>
      </c>
      <c r="F435" s="4" t="s">
        <v>92</v>
      </c>
      <c r="G435" t="s">
        <v>29</v>
      </c>
      <c r="H435" t="s">
        <v>93</v>
      </c>
    </row>
    <row r="436" spans="1:8" x14ac:dyDescent="0.25">
      <c r="A436" t="s">
        <v>554</v>
      </c>
      <c r="B436" t="s">
        <v>94</v>
      </c>
      <c r="C436" s="5">
        <v>518870</v>
      </c>
      <c r="D436" s="5">
        <v>18970</v>
      </c>
      <c r="E436">
        <v>277626</v>
      </c>
      <c r="F436" s="4" t="s">
        <v>569</v>
      </c>
      <c r="G436" t="s">
        <v>29</v>
      </c>
      <c r="H436" t="s">
        <v>570</v>
      </c>
    </row>
    <row r="437" spans="1:8" x14ac:dyDescent="0.25">
      <c r="A437" t="s">
        <v>554</v>
      </c>
      <c r="B437" t="s">
        <v>97</v>
      </c>
      <c r="C437" s="5">
        <v>21897025</v>
      </c>
      <c r="D437" s="5">
        <v>609756</v>
      </c>
      <c r="E437">
        <v>2085320</v>
      </c>
      <c r="F437" s="4" t="s">
        <v>98</v>
      </c>
      <c r="G437" t="s">
        <v>29</v>
      </c>
      <c r="H437" t="s">
        <v>99</v>
      </c>
    </row>
    <row r="438" spans="1:8" x14ac:dyDescent="0.25">
      <c r="A438" t="s">
        <v>554</v>
      </c>
      <c r="B438" t="s">
        <v>100</v>
      </c>
      <c r="C438" s="5">
        <v>22592</v>
      </c>
      <c r="D438" s="5">
        <v>661</v>
      </c>
      <c r="E438">
        <v>790</v>
      </c>
      <c r="F438" s="4" t="s">
        <v>101</v>
      </c>
      <c r="G438" t="s">
        <v>29</v>
      </c>
      <c r="H438" t="s">
        <v>102</v>
      </c>
    </row>
    <row r="439" spans="1:8" x14ac:dyDescent="0.25">
      <c r="A439" t="s">
        <v>554</v>
      </c>
      <c r="B439" t="s">
        <v>103</v>
      </c>
      <c r="C439" s="5">
        <v>2623</v>
      </c>
      <c r="D439" s="5">
        <v>3</v>
      </c>
      <c r="E439">
        <v>2174</v>
      </c>
      <c r="F439" s="4" t="s">
        <v>104</v>
      </c>
      <c r="G439" t="s">
        <v>29</v>
      </c>
      <c r="H439" t="s">
        <v>105</v>
      </c>
    </row>
    <row r="440" spans="1:8" x14ac:dyDescent="0.25">
      <c r="A440" t="s">
        <v>554</v>
      </c>
      <c r="B440" t="s">
        <v>106</v>
      </c>
      <c r="C440" s="5">
        <v>193449</v>
      </c>
      <c r="D440" s="5">
        <v>2409</v>
      </c>
      <c r="E440">
        <v>171381</v>
      </c>
      <c r="F440" s="4" t="s">
        <v>107</v>
      </c>
      <c r="G440" t="s">
        <v>29</v>
      </c>
      <c r="H440" t="s">
        <v>108</v>
      </c>
    </row>
    <row r="441" spans="1:8" x14ac:dyDescent="0.25">
      <c r="A441" t="s">
        <v>554</v>
      </c>
      <c r="B441" t="s">
        <v>109</v>
      </c>
      <c r="C441" s="5">
        <v>617719</v>
      </c>
      <c r="D441" s="5">
        <v>4773</v>
      </c>
      <c r="E441">
        <v>301437</v>
      </c>
      <c r="F441" s="4" t="s">
        <v>110</v>
      </c>
      <c r="G441" t="s">
        <v>29</v>
      </c>
      <c r="H441" t="s">
        <v>111</v>
      </c>
    </row>
    <row r="442" spans="1:8" x14ac:dyDescent="0.25">
      <c r="A442" t="s">
        <v>554</v>
      </c>
      <c r="B442" t="s">
        <v>112</v>
      </c>
      <c r="C442" s="5">
        <v>28162</v>
      </c>
      <c r="D442" s="5">
        <v>509</v>
      </c>
      <c r="E442">
        <v>16984</v>
      </c>
      <c r="F442" s="4" t="s">
        <v>571</v>
      </c>
      <c r="G442" t="s">
        <v>29</v>
      </c>
      <c r="H442" t="s">
        <v>572</v>
      </c>
    </row>
    <row r="443" spans="1:8" x14ac:dyDescent="0.25">
      <c r="A443" t="s">
        <v>554</v>
      </c>
      <c r="B443" t="s">
        <v>115</v>
      </c>
      <c r="C443" s="5">
        <v>1745702</v>
      </c>
      <c r="D443" s="5">
        <v>29273</v>
      </c>
      <c r="E443">
        <v>212398</v>
      </c>
      <c r="F443" s="4" t="s">
        <v>116</v>
      </c>
      <c r="G443" t="s">
        <v>29</v>
      </c>
      <c r="H443" t="s">
        <v>117</v>
      </c>
    </row>
    <row r="444" spans="1:8" x14ac:dyDescent="0.25">
      <c r="A444" t="s">
        <v>554</v>
      </c>
      <c r="B444" t="s">
        <v>118</v>
      </c>
      <c r="C444" s="5">
        <v>57638</v>
      </c>
      <c r="D444" s="5">
        <v>1099</v>
      </c>
      <c r="E444">
        <v>14206</v>
      </c>
      <c r="F444" s="4" t="s">
        <v>119</v>
      </c>
      <c r="G444" t="s">
        <v>29</v>
      </c>
      <c r="H444" t="s">
        <v>120</v>
      </c>
    </row>
    <row r="445" spans="1:8" x14ac:dyDescent="0.25">
      <c r="A445" t="s">
        <v>554</v>
      </c>
      <c r="B445" t="s">
        <v>121</v>
      </c>
      <c r="C445" s="5">
        <v>11579</v>
      </c>
      <c r="D445" s="5">
        <v>100</v>
      </c>
      <c r="E445">
        <v>10442</v>
      </c>
      <c r="F445" s="4" t="s">
        <v>122</v>
      </c>
      <c r="G445" t="s">
        <v>29</v>
      </c>
      <c r="H445" t="s">
        <v>123</v>
      </c>
    </row>
    <row r="446" spans="1:8" x14ac:dyDescent="0.25">
      <c r="A446" t="s">
        <v>554</v>
      </c>
      <c r="B446" t="s">
        <v>124</v>
      </c>
      <c r="C446" s="5">
        <v>18153</v>
      </c>
      <c r="D446" s="5">
        <v>309</v>
      </c>
      <c r="E446">
        <v>8666</v>
      </c>
      <c r="F446" s="4" t="s">
        <v>125</v>
      </c>
      <c r="G446" t="s">
        <v>29</v>
      </c>
      <c r="H446" t="s">
        <v>126</v>
      </c>
    </row>
    <row r="447" spans="1:8" x14ac:dyDescent="0.25">
      <c r="A447" t="s">
        <v>554</v>
      </c>
      <c r="B447" t="s">
        <v>127</v>
      </c>
      <c r="C447" s="5">
        <v>897078</v>
      </c>
      <c r="D447" s="5">
        <v>11295</v>
      </c>
      <c r="E447">
        <v>122910</v>
      </c>
      <c r="F447" s="4" t="s">
        <v>223</v>
      </c>
      <c r="G447" t="s">
        <v>29</v>
      </c>
      <c r="H447" t="s">
        <v>224</v>
      </c>
    </row>
    <row r="448" spans="1:8" x14ac:dyDescent="0.25">
      <c r="A448" t="s">
        <v>554</v>
      </c>
      <c r="B448" t="s">
        <v>128</v>
      </c>
      <c r="C448" s="5">
        <v>61442</v>
      </c>
      <c r="D448" s="5">
        <v>700</v>
      </c>
      <c r="E448">
        <v>40501</v>
      </c>
      <c r="F448" s="4" t="s">
        <v>129</v>
      </c>
      <c r="G448" t="s">
        <v>29</v>
      </c>
      <c r="H448" t="s">
        <v>130</v>
      </c>
    </row>
    <row r="449" spans="1:8" x14ac:dyDescent="0.25">
      <c r="A449" t="s">
        <v>554</v>
      </c>
      <c r="B449" t="s">
        <v>131</v>
      </c>
      <c r="C449" s="5">
        <v>1713188</v>
      </c>
      <c r="D449" s="5">
        <v>37883</v>
      </c>
      <c r="E449">
        <v>14027</v>
      </c>
      <c r="F449" s="4" t="s">
        <v>132</v>
      </c>
      <c r="G449" t="s">
        <v>29</v>
      </c>
      <c r="H449" t="s">
        <v>133</v>
      </c>
    </row>
    <row r="450" spans="1:8" x14ac:dyDescent="0.25">
      <c r="A450" t="s">
        <v>554</v>
      </c>
      <c r="B450" t="s">
        <v>134</v>
      </c>
      <c r="C450" s="5">
        <v>104348</v>
      </c>
      <c r="D450" s="5">
        <v>1731</v>
      </c>
      <c r="E450">
        <v>15588</v>
      </c>
      <c r="F450" s="4" t="s">
        <v>135</v>
      </c>
      <c r="G450" t="s">
        <v>29</v>
      </c>
      <c r="H450" t="s">
        <v>136</v>
      </c>
    </row>
    <row r="451" spans="1:8" x14ac:dyDescent="0.25">
      <c r="A451" t="s">
        <v>554</v>
      </c>
      <c r="B451" t="s">
        <v>137</v>
      </c>
      <c r="C451" s="5">
        <v>97939</v>
      </c>
      <c r="D451" s="5">
        <v>4636</v>
      </c>
      <c r="E451">
        <v>16480</v>
      </c>
      <c r="F451" s="4" t="s">
        <v>138</v>
      </c>
      <c r="G451" t="s">
        <v>29</v>
      </c>
      <c r="H451" t="s">
        <v>139</v>
      </c>
    </row>
    <row r="452" spans="1:8" x14ac:dyDescent="0.25">
      <c r="A452" t="s">
        <v>554</v>
      </c>
      <c r="B452" t="s">
        <v>140</v>
      </c>
      <c r="C452" s="5">
        <v>5019158</v>
      </c>
      <c r="D452" s="5">
        <v>127610</v>
      </c>
      <c r="E452">
        <v>2204218</v>
      </c>
      <c r="F452" s="4" t="s">
        <v>141</v>
      </c>
      <c r="G452" t="s">
        <v>29</v>
      </c>
      <c r="H452" t="s">
        <v>142</v>
      </c>
    </row>
    <row r="453" spans="1:8" x14ac:dyDescent="0.25">
      <c r="A453" t="s">
        <v>554</v>
      </c>
      <c r="B453" t="s">
        <v>143</v>
      </c>
      <c r="C453" s="5">
        <v>563290</v>
      </c>
      <c r="D453" s="5">
        <v>7176</v>
      </c>
      <c r="E453">
        <v>68614</v>
      </c>
      <c r="F453" s="4" t="s">
        <v>53</v>
      </c>
      <c r="G453" t="s">
        <v>29</v>
      </c>
      <c r="H453" t="s">
        <v>54</v>
      </c>
    </row>
    <row r="454" spans="1:8" x14ac:dyDescent="0.25">
      <c r="A454" t="s">
        <v>554</v>
      </c>
      <c r="B454" t="s">
        <v>144</v>
      </c>
      <c r="C454" s="5">
        <v>956919</v>
      </c>
      <c r="D454" s="5">
        <v>8270</v>
      </c>
      <c r="E454">
        <v>223865</v>
      </c>
      <c r="F454" s="4" t="s">
        <v>122</v>
      </c>
      <c r="G454" t="s">
        <v>29</v>
      </c>
      <c r="H454" t="s">
        <v>123</v>
      </c>
    </row>
    <row r="455" spans="1:8" x14ac:dyDescent="0.25">
      <c r="A455" t="s">
        <v>554</v>
      </c>
      <c r="B455" t="s">
        <v>145</v>
      </c>
      <c r="C455" s="5">
        <v>38264</v>
      </c>
      <c r="D455" s="5">
        <v>350</v>
      </c>
      <c r="E455">
        <v>19352</v>
      </c>
      <c r="F455" s="4" t="s">
        <v>146</v>
      </c>
      <c r="G455" t="s">
        <v>29</v>
      </c>
      <c r="H455" t="s">
        <v>147</v>
      </c>
    </row>
    <row r="456" spans="1:8" x14ac:dyDescent="0.25">
      <c r="A456" t="s">
        <v>554</v>
      </c>
      <c r="B456" t="s">
        <v>148</v>
      </c>
      <c r="C456" s="5">
        <v>126231</v>
      </c>
      <c r="D456" s="5">
        <v>577</v>
      </c>
      <c r="E456">
        <v>77529</v>
      </c>
      <c r="F456" s="4" t="s">
        <v>149</v>
      </c>
      <c r="G456" t="s">
        <v>29</v>
      </c>
      <c r="H456" t="s">
        <v>150</v>
      </c>
    </row>
    <row r="457" spans="1:8" x14ac:dyDescent="0.25">
      <c r="A457" t="s">
        <v>554</v>
      </c>
      <c r="B457" t="s">
        <v>151</v>
      </c>
      <c r="C457" s="5">
        <v>1828440</v>
      </c>
      <c r="D457" s="5">
        <v>31173</v>
      </c>
      <c r="E457">
        <v>1353147</v>
      </c>
      <c r="F457" s="4" t="s">
        <v>125</v>
      </c>
      <c r="G457" t="s">
        <v>29</v>
      </c>
      <c r="H457" t="s">
        <v>126</v>
      </c>
    </row>
    <row r="458" spans="1:8" x14ac:dyDescent="0.25">
      <c r="A458" t="s">
        <v>554</v>
      </c>
      <c r="B458" t="s">
        <v>154</v>
      </c>
      <c r="C458" s="5">
        <v>4857463</v>
      </c>
      <c r="D458" s="5">
        <v>96968</v>
      </c>
      <c r="E458">
        <v>4498035</v>
      </c>
      <c r="F458" s="4" t="s">
        <v>573</v>
      </c>
      <c r="G458" t="s">
        <v>29</v>
      </c>
      <c r="H458" t="s">
        <v>574</v>
      </c>
    </row>
    <row r="459" spans="1:8" x14ac:dyDescent="0.25">
      <c r="A459" t="s">
        <v>554</v>
      </c>
      <c r="B459" t="s">
        <v>157</v>
      </c>
      <c r="C459" s="5">
        <v>13493</v>
      </c>
      <c r="D459" s="5">
        <v>186</v>
      </c>
      <c r="E459">
        <v>11942</v>
      </c>
      <c r="F459" s="4" t="s">
        <v>158</v>
      </c>
      <c r="G459" t="s">
        <v>29</v>
      </c>
      <c r="H459" t="s">
        <v>159</v>
      </c>
    </row>
    <row r="460" spans="1:8" x14ac:dyDescent="0.25">
      <c r="A460" t="s">
        <v>554</v>
      </c>
      <c r="B460" t="s">
        <v>160</v>
      </c>
      <c r="C460" s="5">
        <v>408339</v>
      </c>
      <c r="D460" s="5">
        <v>2742</v>
      </c>
      <c r="E460">
        <v>301480</v>
      </c>
      <c r="F460" s="4" t="s">
        <v>92</v>
      </c>
      <c r="G460" t="s">
        <v>29</v>
      </c>
      <c r="H460" t="s">
        <v>93</v>
      </c>
    </row>
    <row r="461" spans="1:8" x14ac:dyDescent="0.25">
      <c r="A461" t="s">
        <v>554</v>
      </c>
      <c r="B461" t="s">
        <v>161</v>
      </c>
      <c r="C461" s="5">
        <v>5070</v>
      </c>
      <c r="D461" s="5">
        <v>33</v>
      </c>
      <c r="E461">
        <v>4354</v>
      </c>
      <c r="F461" s="4" t="s">
        <v>86</v>
      </c>
      <c r="G461" t="s">
        <v>29</v>
      </c>
      <c r="H461" t="s">
        <v>87</v>
      </c>
    </row>
    <row r="462" spans="1:8" x14ac:dyDescent="0.25">
      <c r="A462" t="s">
        <v>554</v>
      </c>
      <c r="B462" t="s">
        <v>164</v>
      </c>
      <c r="C462" s="5">
        <v>390058</v>
      </c>
      <c r="D462" s="5">
        <v>4154</v>
      </c>
      <c r="E462">
        <v>65087</v>
      </c>
      <c r="F462" s="4" t="s">
        <v>165</v>
      </c>
      <c r="G462" t="s">
        <v>29</v>
      </c>
      <c r="H462" t="s">
        <v>166</v>
      </c>
    </row>
    <row r="463" spans="1:8" x14ac:dyDescent="0.25">
      <c r="A463" t="s">
        <v>554</v>
      </c>
      <c r="B463" t="s">
        <v>167</v>
      </c>
      <c r="C463" s="5">
        <v>207385</v>
      </c>
      <c r="D463" s="5">
        <v>5954</v>
      </c>
      <c r="E463">
        <v>69072</v>
      </c>
      <c r="F463" s="4" t="s">
        <v>168</v>
      </c>
      <c r="G463" t="s">
        <v>29</v>
      </c>
      <c r="H463" t="s">
        <v>169</v>
      </c>
    </row>
    <row r="464" spans="1:8" x14ac:dyDescent="0.25">
      <c r="A464" t="s">
        <v>554</v>
      </c>
      <c r="B464" t="s">
        <v>170</v>
      </c>
      <c r="C464" s="5">
        <v>519560</v>
      </c>
      <c r="D464" s="5">
        <v>32989</v>
      </c>
      <c r="E464">
        <v>67052</v>
      </c>
      <c r="F464" s="4" t="s">
        <v>171</v>
      </c>
      <c r="G464" t="s">
        <v>29</v>
      </c>
      <c r="H464" t="s">
        <v>172</v>
      </c>
    </row>
    <row r="465" spans="1:8" x14ac:dyDescent="0.25">
      <c r="A465" t="s">
        <v>554</v>
      </c>
      <c r="B465" t="s">
        <v>173</v>
      </c>
      <c r="C465" s="5">
        <v>206972</v>
      </c>
      <c r="D465" s="5">
        <v>1623</v>
      </c>
      <c r="E465">
        <v>196753</v>
      </c>
      <c r="F465" s="4" t="s">
        <v>297</v>
      </c>
      <c r="G465" t="s">
        <v>29</v>
      </c>
      <c r="H465" t="s">
        <v>298</v>
      </c>
    </row>
    <row r="466" spans="1:8" x14ac:dyDescent="0.25">
      <c r="A466" t="s">
        <v>554</v>
      </c>
      <c r="B466" t="s">
        <v>176</v>
      </c>
      <c r="C466" s="5">
        <v>339335</v>
      </c>
      <c r="D466" s="5">
        <v>19186</v>
      </c>
      <c r="E466">
        <v>101218</v>
      </c>
      <c r="F466" s="4" t="s">
        <v>575</v>
      </c>
      <c r="G466" t="s">
        <v>29</v>
      </c>
      <c r="H466" t="s">
        <v>576</v>
      </c>
    </row>
    <row r="467" spans="1:8" x14ac:dyDescent="0.25">
      <c r="A467" t="s">
        <v>554</v>
      </c>
      <c r="B467" t="s">
        <v>179</v>
      </c>
      <c r="C467" s="5">
        <v>6979</v>
      </c>
      <c r="D467" s="5">
        <v>47</v>
      </c>
      <c r="E467">
        <v>3763</v>
      </c>
      <c r="F467" s="4" t="s">
        <v>92</v>
      </c>
      <c r="G467" t="s">
        <v>29</v>
      </c>
      <c r="H467" t="s">
        <v>93</v>
      </c>
    </row>
    <row r="468" spans="1:8" x14ac:dyDescent="0.25">
      <c r="A468" t="s">
        <v>554</v>
      </c>
      <c r="B468" t="s">
        <v>182</v>
      </c>
      <c r="C468" s="5">
        <v>5032056</v>
      </c>
      <c r="D468" s="5">
        <v>87558</v>
      </c>
      <c r="E468">
        <v>1727887</v>
      </c>
      <c r="F468" s="4" t="s">
        <v>183</v>
      </c>
      <c r="G468" t="s">
        <v>29</v>
      </c>
      <c r="H468" t="s">
        <v>184</v>
      </c>
    </row>
    <row r="469" spans="1:8" x14ac:dyDescent="0.25">
      <c r="A469" t="s">
        <v>554</v>
      </c>
      <c r="B469" t="s">
        <v>185</v>
      </c>
      <c r="C469" s="5">
        <v>367647</v>
      </c>
      <c r="D469" s="5">
        <v>6561</v>
      </c>
      <c r="E469">
        <v>181601</v>
      </c>
      <c r="F469" s="4" t="s">
        <v>68</v>
      </c>
      <c r="G469" t="s">
        <v>29</v>
      </c>
      <c r="H469" t="s">
        <v>69</v>
      </c>
    </row>
    <row r="470" spans="1:8" x14ac:dyDescent="0.25">
      <c r="A470" t="s">
        <v>554</v>
      </c>
      <c r="B470" t="s">
        <v>186</v>
      </c>
      <c r="C470" s="5">
        <v>165302</v>
      </c>
      <c r="D470" s="5">
        <v>1209</v>
      </c>
      <c r="E470">
        <v>7211</v>
      </c>
      <c r="F470" s="4" t="s">
        <v>187</v>
      </c>
      <c r="G470" t="s">
        <v>29</v>
      </c>
      <c r="H470" t="s">
        <v>188</v>
      </c>
    </row>
    <row r="471" spans="1:8" x14ac:dyDescent="0.25">
      <c r="A471" t="s">
        <v>554</v>
      </c>
      <c r="B471" t="s">
        <v>189</v>
      </c>
      <c r="C471" s="5">
        <v>52298</v>
      </c>
      <c r="D471" s="5">
        <v>675</v>
      </c>
      <c r="E471">
        <v>18748</v>
      </c>
      <c r="F471" s="4" t="s">
        <v>417</v>
      </c>
      <c r="G471" t="s">
        <v>29</v>
      </c>
      <c r="H471" t="s">
        <v>418</v>
      </c>
    </row>
    <row r="472" spans="1:8" x14ac:dyDescent="0.25">
      <c r="A472" t="s">
        <v>554</v>
      </c>
      <c r="B472" t="s">
        <v>192</v>
      </c>
      <c r="C472" s="5">
        <v>2731</v>
      </c>
      <c r="D472" s="5">
        <v>6</v>
      </c>
      <c r="E472">
        <v>1856</v>
      </c>
      <c r="F472" s="4" t="s">
        <v>193</v>
      </c>
      <c r="G472" t="s">
        <v>29</v>
      </c>
      <c r="H472" t="s">
        <v>194</v>
      </c>
    </row>
    <row r="473" spans="1:8" x14ac:dyDescent="0.25">
      <c r="A473" t="s">
        <v>554</v>
      </c>
      <c r="B473" t="s">
        <v>195</v>
      </c>
      <c r="C473" s="5">
        <v>7052281</v>
      </c>
      <c r="D473" s="5">
        <v>115604</v>
      </c>
      <c r="E473">
        <v>5263011</v>
      </c>
      <c r="F473" s="4" t="s">
        <v>196</v>
      </c>
      <c r="G473" t="s">
        <v>29</v>
      </c>
      <c r="H473" t="s">
        <v>197</v>
      </c>
    </row>
    <row r="474" spans="1:8" x14ac:dyDescent="0.25">
      <c r="A474" t="s">
        <v>554</v>
      </c>
      <c r="B474" t="s">
        <v>198</v>
      </c>
      <c r="C474" s="5">
        <v>36330</v>
      </c>
      <c r="D474" s="5">
        <v>259</v>
      </c>
      <c r="E474">
        <v>29986</v>
      </c>
      <c r="F474" s="4" t="s">
        <v>488</v>
      </c>
      <c r="G474" t="s">
        <v>29</v>
      </c>
      <c r="H474" t="s">
        <v>489</v>
      </c>
    </row>
    <row r="475" spans="1:8" x14ac:dyDescent="0.25">
      <c r="A475" t="s">
        <v>554</v>
      </c>
      <c r="B475" t="s">
        <v>201</v>
      </c>
      <c r="C475" s="5">
        <v>9405979</v>
      </c>
      <c r="D475" s="5">
        <v>142458</v>
      </c>
      <c r="E475">
        <v>2992312</v>
      </c>
      <c r="F475" s="4" t="s">
        <v>202</v>
      </c>
      <c r="G475" t="s">
        <v>29</v>
      </c>
      <c r="H475" t="s">
        <v>203</v>
      </c>
    </row>
    <row r="476" spans="1:8" x14ac:dyDescent="0.25">
      <c r="A476" t="s">
        <v>554</v>
      </c>
      <c r="B476" t="s">
        <v>204</v>
      </c>
      <c r="C476" s="5">
        <v>5863</v>
      </c>
      <c r="D476" s="5">
        <v>200</v>
      </c>
      <c r="E476">
        <v>2200</v>
      </c>
      <c r="F476" s="4" t="s">
        <v>205</v>
      </c>
      <c r="G476" t="s">
        <v>29</v>
      </c>
      <c r="H476" t="s">
        <v>206</v>
      </c>
    </row>
    <row r="477" spans="1:8" x14ac:dyDescent="0.25">
      <c r="A477" t="s">
        <v>554</v>
      </c>
      <c r="B477" t="s">
        <v>207</v>
      </c>
      <c r="C477" s="5">
        <v>761067</v>
      </c>
      <c r="D477" s="5">
        <v>10584</v>
      </c>
      <c r="E477">
        <v>628549</v>
      </c>
      <c r="F477" s="4" t="s">
        <v>208</v>
      </c>
      <c r="G477" t="s">
        <v>29</v>
      </c>
      <c r="H477" t="s">
        <v>209</v>
      </c>
    </row>
    <row r="478" spans="1:8" x14ac:dyDescent="0.25">
      <c r="A478" t="s">
        <v>554</v>
      </c>
      <c r="B478" t="s">
        <v>210</v>
      </c>
      <c r="C478" s="5">
        <v>45143</v>
      </c>
      <c r="D478" s="5">
        <v>316</v>
      </c>
      <c r="E478">
        <v>37062</v>
      </c>
      <c r="F478" s="4" t="s">
        <v>211</v>
      </c>
      <c r="G478" t="s">
        <v>29</v>
      </c>
      <c r="H478" t="s">
        <v>212</v>
      </c>
    </row>
    <row r="479" spans="1:8" x14ac:dyDescent="0.25">
      <c r="A479" t="s">
        <v>554</v>
      </c>
      <c r="B479" t="s">
        <v>213</v>
      </c>
      <c r="C479" s="5">
        <v>130608</v>
      </c>
      <c r="D479" s="5">
        <v>1203</v>
      </c>
      <c r="E479">
        <v>87286</v>
      </c>
      <c r="F479" s="4" t="s">
        <v>214</v>
      </c>
      <c r="G479" t="s">
        <v>29</v>
      </c>
      <c r="H479" t="s">
        <v>215</v>
      </c>
    </row>
    <row r="480" spans="1:8" x14ac:dyDescent="0.25">
      <c r="A480" t="s">
        <v>554</v>
      </c>
      <c r="B480" t="s">
        <v>216</v>
      </c>
      <c r="C480" s="5">
        <v>6206</v>
      </c>
      <c r="D480" s="5">
        <v>98</v>
      </c>
      <c r="E480">
        <v>473</v>
      </c>
      <c r="F480" s="4" t="s">
        <v>577</v>
      </c>
      <c r="G480" t="s">
        <v>29</v>
      </c>
      <c r="H480" t="s">
        <v>578</v>
      </c>
    </row>
    <row r="481" spans="1:8" x14ac:dyDescent="0.25">
      <c r="A481" t="s">
        <v>554</v>
      </c>
      <c r="B481" t="s">
        <v>219</v>
      </c>
      <c r="C481" s="5">
        <v>9979</v>
      </c>
      <c r="D481" s="5">
        <v>341</v>
      </c>
      <c r="E481">
        <v>3980</v>
      </c>
      <c r="F481" s="4" t="s">
        <v>220</v>
      </c>
      <c r="G481" t="s">
        <v>29</v>
      </c>
      <c r="H481" t="s">
        <v>221</v>
      </c>
    </row>
    <row r="482" spans="1:8" x14ac:dyDescent="0.25">
      <c r="A482" t="s">
        <v>554</v>
      </c>
      <c r="B482" t="s">
        <v>222</v>
      </c>
      <c r="C482" s="5">
        <v>30709</v>
      </c>
      <c r="D482" s="5">
        <v>387</v>
      </c>
      <c r="E482">
        <v>26797</v>
      </c>
      <c r="F482" s="4" t="s">
        <v>223</v>
      </c>
      <c r="G482" t="s">
        <v>29</v>
      </c>
      <c r="H482" t="s">
        <v>224</v>
      </c>
    </row>
    <row r="483" spans="1:8" x14ac:dyDescent="0.25">
      <c r="A483" t="s">
        <v>554</v>
      </c>
      <c r="B483" t="s">
        <v>225</v>
      </c>
      <c r="C483" s="5">
        <v>54672</v>
      </c>
      <c r="D483" s="5">
        <v>822</v>
      </c>
      <c r="E483">
        <v>29628</v>
      </c>
      <c r="F483" s="4" t="s">
        <v>226</v>
      </c>
      <c r="G483" t="s">
        <v>29</v>
      </c>
      <c r="H483" t="s">
        <v>227</v>
      </c>
    </row>
    <row r="484" spans="1:8" x14ac:dyDescent="0.25">
      <c r="A484" t="s">
        <v>554</v>
      </c>
      <c r="B484" t="s">
        <v>228</v>
      </c>
      <c r="C484" s="5">
        <v>13459</v>
      </c>
      <c r="D484" s="5">
        <v>168</v>
      </c>
      <c r="E484">
        <v>11185</v>
      </c>
      <c r="F484" s="4" t="s">
        <v>107</v>
      </c>
      <c r="G484" t="s">
        <v>29</v>
      </c>
      <c r="H484" t="s">
        <v>108</v>
      </c>
    </row>
    <row r="485" spans="1:8" x14ac:dyDescent="0.25">
      <c r="A485" t="s">
        <v>554</v>
      </c>
      <c r="B485" t="s">
        <v>229</v>
      </c>
      <c r="C485" s="5">
        <v>801208</v>
      </c>
      <c r="D485" s="5">
        <v>16414</v>
      </c>
      <c r="E485">
        <v>178433</v>
      </c>
      <c r="F485" s="4" t="s">
        <v>579</v>
      </c>
      <c r="G485" t="s">
        <v>29</v>
      </c>
      <c r="H485" t="s">
        <v>580</v>
      </c>
    </row>
    <row r="486" spans="1:8" x14ac:dyDescent="0.25">
      <c r="A486" t="s">
        <v>554</v>
      </c>
      <c r="B486" t="s">
        <v>232</v>
      </c>
      <c r="C486" s="5">
        <v>606743</v>
      </c>
      <c r="D486" s="5">
        <v>15520</v>
      </c>
      <c r="E486">
        <v>549246</v>
      </c>
      <c r="F486" s="4" t="s">
        <v>38</v>
      </c>
      <c r="G486" t="s">
        <v>29</v>
      </c>
      <c r="H486" t="s">
        <v>39</v>
      </c>
    </row>
    <row r="487" spans="1:8" x14ac:dyDescent="0.25">
      <c r="A487" t="s">
        <v>554</v>
      </c>
      <c r="B487" t="s">
        <v>233</v>
      </c>
      <c r="C487" s="5">
        <v>6150</v>
      </c>
      <c r="D487" s="5">
        <v>143</v>
      </c>
      <c r="E487">
        <v>5266</v>
      </c>
      <c r="F487" s="4" t="s">
        <v>581</v>
      </c>
      <c r="G487" t="s">
        <v>29</v>
      </c>
      <c r="H487" t="s">
        <v>582</v>
      </c>
    </row>
    <row r="488" spans="1:8" x14ac:dyDescent="0.25">
      <c r="A488" t="s">
        <v>554</v>
      </c>
      <c r="B488" t="s">
        <v>236</v>
      </c>
      <c r="C488" s="5">
        <v>36257</v>
      </c>
      <c r="D488" s="5">
        <v>945</v>
      </c>
      <c r="E488">
        <v>3357</v>
      </c>
      <c r="F488" s="4" t="s">
        <v>237</v>
      </c>
      <c r="G488" t="s">
        <v>29</v>
      </c>
      <c r="H488" t="s">
        <v>238</v>
      </c>
    </row>
    <row r="489" spans="1:8" x14ac:dyDescent="0.25">
      <c r="A489" t="s">
        <v>554</v>
      </c>
      <c r="B489" t="s">
        <v>239</v>
      </c>
      <c r="C489" s="5">
        <v>12369</v>
      </c>
      <c r="D489" s="5">
        <v>213</v>
      </c>
      <c r="E489">
        <v>1224</v>
      </c>
      <c r="F489" s="4" t="s">
        <v>240</v>
      </c>
      <c r="G489" t="s">
        <v>29</v>
      </c>
      <c r="H489" t="s">
        <v>241</v>
      </c>
    </row>
    <row r="490" spans="1:8" x14ac:dyDescent="0.25">
      <c r="A490" t="s">
        <v>554</v>
      </c>
      <c r="B490" t="s">
        <v>242</v>
      </c>
      <c r="C490" s="5">
        <v>376676</v>
      </c>
      <c r="D490" s="5">
        <v>10335</v>
      </c>
      <c r="E490">
        <v>361933</v>
      </c>
      <c r="F490" s="4" t="s">
        <v>243</v>
      </c>
      <c r="G490" t="s">
        <v>29</v>
      </c>
      <c r="H490" t="s">
        <v>244</v>
      </c>
    </row>
    <row r="491" spans="1:8" x14ac:dyDescent="0.25">
      <c r="A491" t="s">
        <v>554</v>
      </c>
      <c r="B491" t="s">
        <v>245</v>
      </c>
      <c r="C491" s="5">
        <v>507535</v>
      </c>
      <c r="D491" s="5">
        <v>9605</v>
      </c>
      <c r="E491">
        <v>251145</v>
      </c>
      <c r="F491" s="4" t="s">
        <v>461</v>
      </c>
      <c r="G491" t="s">
        <v>29</v>
      </c>
      <c r="H491" t="s">
        <v>462</v>
      </c>
    </row>
    <row r="492" spans="1:8" x14ac:dyDescent="0.25">
      <c r="A492" t="s">
        <v>554</v>
      </c>
      <c r="B492" t="s">
        <v>248</v>
      </c>
      <c r="C492" s="5">
        <v>24233</v>
      </c>
      <c r="D492" s="5">
        <v>702</v>
      </c>
      <c r="E492">
        <v>6246</v>
      </c>
      <c r="F492" s="4" t="s">
        <v>249</v>
      </c>
      <c r="G492" t="s">
        <v>29</v>
      </c>
      <c r="H492" t="s">
        <v>250</v>
      </c>
    </row>
    <row r="493" spans="1:8" x14ac:dyDescent="0.25">
      <c r="A493" t="s">
        <v>554</v>
      </c>
      <c r="B493" t="s">
        <v>251</v>
      </c>
      <c r="C493" s="5">
        <v>914586</v>
      </c>
      <c r="D493" s="5">
        <v>31521</v>
      </c>
      <c r="E493">
        <v>305070</v>
      </c>
      <c r="F493" s="4" t="s">
        <v>388</v>
      </c>
      <c r="G493" t="s">
        <v>29</v>
      </c>
      <c r="H493" t="s">
        <v>389</v>
      </c>
    </row>
    <row r="494" spans="1:8" x14ac:dyDescent="0.25">
      <c r="A494" t="s">
        <v>554</v>
      </c>
      <c r="B494" t="s">
        <v>254</v>
      </c>
      <c r="C494" s="5">
        <v>4248843</v>
      </c>
      <c r="D494" s="5">
        <v>143578</v>
      </c>
      <c r="E494">
        <v>435240</v>
      </c>
      <c r="F494" s="4" t="s">
        <v>255</v>
      </c>
      <c r="G494" t="s">
        <v>29</v>
      </c>
      <c r="H494" t="s">
        <v>256</v>
      </c>
    </row>
    <row r="495" spans="1:8" x14ac:dyDescent="0.25">
      <c r="A495" t="s">
        <v>554</v>
      </c>
      <c r="B495" t="s">
        <v>257</v>
      </c>
      <c r="C495" s="5">
        <v>477878</v>
      </c>
      <c r="D495" s="5">
        <v>5492</v>
      </c>
      <c r="E495">
        <v>135116</v>
      </c>
      <c r="F495" s="4" t="s">
        <v>583</v>
      </c>
      <c r="G495" t="s">
        <v>29</v>
      </c>
      <c r="H495" t="s">
        <v>584</v>
      </c>
    </row>
    <row r="496" spans="1:8" x14ac:dyDescent="0.25">
      <c r="A496" t="s">
        <v>554</v>
      </c>
      <c r="B496" t="s">
        <v>260</v>
      </c>
      <c r="C496" s="5">
        <v>1335184</v>
      </c>
      <c r="D496" s="5">
        <v>8130</v>
      </c>
      <c r="E496">
        <v>161836</v>
      </c>
      <c r="F496" s="4" t="s">
        <v>261</v>
      </c>
      <c r="G496" t="s">
        <v>29</v>
      </c>
      <c r="H496" t="s">
        <v>262</v>
      </c>
    </row>
    <row r="497" spans="1:8" x14ac:dyDescent="0.25">
      <c r="A497" t="s">
        <v>554</v>
      </c>
      <c r="B497" t="s">
        <v>263</v>
      </c>
      <c r="C497" s="5">
        <v>34388579</v>
      </c>
      <c r="D497" s="5">
        <v>461849</v>
      </c>
      <c r="E497">
        <v>10343956</v>
      </c>
      <c r="F497" s="4" t="s">
        <v>264</v>
      </c>
      <c r="G497" t="s">
        <v>29</v>
      </c>
      <c r="H497" t="s">
        <v>265</v>
      </c>
    </row>
    <row r="498" spans="1:8" x14ac:dyDescent="0.25">
      <c r="A498" t="s">
        <v>554</v>
      </c>
      <c r="B498" t="s">
        <v>266</v>
      </c>
      <c r="C498" s="5">
        <v>2065127</v>
      </c>
      <c r="D498" s="5">
        <v>23399</v>
      </c>
      <c r="E498">
        <v>825195</v>
      </c>
      <c r="F498" s="4" t="s">
        <v>267</v>
      </c>
      <c r="G498" t="s">
        <v>29</v>
      </c>
      <c r="H498" t="s">
        <v>268</v>
      </c>
    </row>
    <row r="499" spans="1:8" x14ac:dyDescent="0.25">
      <c r="A499" t="s">
        <v>554</v>
      </c>
      <c r="B499" t="s">
        <v>269</v>
      </c>
      <c r="C499" s="5">
        <v>6004460</v>
      </c>
      <c r="D499" s="5">
        <v>127551</v>
      </c>
      <c r="E499">
        <v>4913689</v>
      </c>
      <c r="F499" s="4" t="s">
        <v>270</v>
      </c>
      <c r="G499" t="s">
        <v>29</v>
      </c>
      <c r="H499" t="s">
        <v>271</v>
      </c>
    </row>
    <row r="500" spans="1:8" x14ac:dyDescent="0.25">
      <c r="A500" t="s">
        <v>554</v>
      </c>
      <c r="B500" t="s">
        <v>272</v>
      </c>
      <c r="C500" s="5">
        <v>14757</v>
      </c>
      <c r="D500" s="5">
        <v>34</v>
      </c>
      <c r="E500">
        <v>10957</v>
      </c>
      <c r="F500" s="4" t="s">
        <v>273</v>
      </c>
      <c r="G500" t="s">
        <v>29</v>
      </c>
      <c r="H500" t="s">
        <v>274</v>
      </c>
    </row>
    <row r="501" spans="1:8" x14ac:dyDescent="0.25">
      <c r="A501" t="s">
        <v>554</v>
      </c>
      <c r="B501" t="s">
        <v>275</v>
      </c>
      <c r="C501" s="5">
        <v>4818705</v>
      </c>
      <c r="D501" s="5">
        <v>132491</v>
      </c>
      <c r="E501">
        <v>1315784</v>
      </c>
      <c r="F501" s="4" t="s">
        <v>276</v>
      </c>
      <c r="G501" t="s">
        <v>29</v>
      </c>
      <c r="H501" t="s">
        <v>277</v>
      </c>
    </row>
    <row r="502" spans="1:8" x14ac:dyDescent="0.25">
      <c r="A502" t="s">
        <v>554</v>
      </c>
      <c r="B502" t="s">
        <v>278</v>
      </c>
      <c r="C502" s="5">
        <v>89788</v>
      </c>
      <c r="D502" s="5">
        <v>2293</v>
      </c>
      <c r="E502">
        <v>26132</v>
      </c>
      <c r="F502" s="4" t="s">
        <v>513</v>
      </c>
      <c r="G502" t="s">
        <v>29</v>
      </c>
      <c r="H502" t="s">
        <v>514</v>
      </c>
    </row>
    <row r="503" spans="1:8" x14ac:dyDescent="0.25">
      <c r="A503" t="s">
        <v>554</v>
      </c>
      <c r="B503" t="s">
        <v>279</v>
      </c>
      <c r="C503" s="5">
        <v>880943</v>
      </c>
      <c r="D503" s="5">
        <v>11156</v>
      </c>
      <c r="E503">
        <v>500078</v>
      </c>
      <c r="F503" s="4" t="s">
        <v>53</v>
      </c>
      <c r="G503" t="s">
        <v>29</v>
      </c>
      <c r="H503" t="s">
        <v>54</v>
      </c>
    </row>
    <row r="504" spans="1:8" x14ac:dyDescent="0.25">
      <c r="A504" t="s">
        <v>554</v>
      </c>
      <c r="B504" t="s">
        <v>280</v>
      </c>
      <c r="C504" s="5">
        <v>1723976</v>
      </c>
      <c r="D504" s="5">
        <v>18312</v>
      </c>
      <c r="E504">
        <v>839460</v>
      </c>
      <c r="F504" s="4" t="s">
        <v>165</v>
      </c>
      <c r="G504" t="s">
        <v>29</v>
      </c>
      <c r="H504" t="s">
        <v>166</v>
      </c>
    </row>
    <row r="505" spans="1:8" x14ac:dyDescent="0.25">
      <c r="A505" t="s">
        <v>554</v>
      </c>
      <c r="B505" t="s">
        <v>281</v>
      </c>
      <c r="C505" s="5">
        <v>253879</v>
      </c>
      <c r="D505" s="5">
        <v>5314</v>
      </c>
      <c r="E505">
        <v>195190</v>
      </c>
      <c r="F505" s="4" t="s">
        <v>282</v>
      </c>
      <c r="G505" t="s">
        <v>29</v>
      </c>
      <c r="H505" t="s">
        <v>283</v>
      </c>
    </row>
    <row r="506" spans="1:8" x14ac:dyDescent="0.25">
      <c r="A506" t="s">
        <v>554</v>
      </c>
      <c r="B506" t="s">
        <v>284</v>
      </c>
      <c r="C506" s="5">
        <v>181936</v>
      </c>
      <c r="D506" s="5">
        <v>2691</v>
      </c>
      <c r="E506">
        <v>52755</v>
      </c>
      <c r="F506" s="4" t="s">
        <v>285</v>
      </c>
      <c r="G506" t="s">
        <v>29</v>
      </c>
      <c r="H506" t="s">
        <v>286</v>
      </c>
    </row>
    <row r="507" spans="1:8" x14ac:dyDescent="0.25">
      <c r="A507" t="s">
        <v>554</v>
      </c>
      <c r="B507" t="s">
        <v>290</v>
      </c>
      <c r="C507" s="5">
        <v>2</v>
      </c>
      <c r="D507" s="5">
        <v>0</v>
      </c>
      <c r="E507">
        <v>1</v>
      </c>
      <c r="F507" s="4" t="s">
        <v>29</v>
      </c>
      <c r="G507" t="s">
        <v>29</v>
      </c>
      <c r="H507" t="s">
        <v>291</v>
      </c>
    </row>
    <row r="508" spans="1:8" x14ac:dyDescent="0.25">
      <c r="A508" t="s">
        <v>554</v>
      </c>
      <c r="B508" t="s">
        <v>287</v>
      </c>
      <c r="C508" s="5">
        <v>119227</v>
      </c>
      <c r="D508" s="5">
        <v>2840</v>
      </c>
      <c r="E508">
        <v>107258</v>
      </c>
      <c r="F508" s="4" t="s">
        <v>552</v>
      </c>
      <c r="G508" t="s">
        <v>29</v>
      </c>
      <c r="H508" t="s">
        <v>553</v>
      </c>
    </row>
    <row r="509" spans="1:8" x14ac:dyDescent="0.25">
      <c r="A509" t="s">
        <v>554</v>
      </c>
      <c r="B509" t="s">
        <v>292</v>
      </c>
      <c r="C509" s="5">
        <v>4332</v>
      </c>
      <c r="D509" s="5">
        <v>147</v>
      </c>
      <c r="E509">
        <v>953</v>
      </c>
      <c r="F509" s="4" t="s">
        <v>585</v>
      </c>
      <c r="G509" t="s">
        <v>29</v>
      </c>
      <c r="H509" t="s">
        <v>586</v>
      </c>
    </row>
    <row r="510" spans="1:8" x14ac:dyDescent="0.25">
      <c r="A510" t="s">
        <v>554</v>
      </c>
      <c r="B510" t="s">
        <v>293</v>
      </c>
      <c r="C510" s="5">
        <v>2717</v>
      </c>
      <c r="D510" s="5">
        <v>25</v>
      </c>
      <c r="E510">
        <v>464</v>
      </c>
      <c r="F510" s="4" t="s">
        <v>214</v>
      </c>
      <c r="G510" t="s">
        <v>29</v>
      </c>
      <c r="H510" t="s">
        <v>215</v>
      </c>
    </row>
    <row r="511" spans="1:8" x14ac:dyDescent="0.25">
      <c r="A511" t="s">
        <v>554</v>
      </c>
      <c r="B511" t="s">
        <v>296</v>
      </c>
      <c r="C511" s="5">
        <v>385831</v>
      </c>
      <c r="D511" s="5">
        <v>3012</v>
      </c>
      <c r="E511">
        <v>82969</v>
      </c>
      <c r="F511" s="4" t="s">
        <v>297</v>
      </c>
      <c r="G511" t="s">
        <v>29</v>
      </c>
      <c r="H511" t="s">
        <v>298</v>
      </c>
    </row>
    <row r="512" spans="1:8" x14ac:dyDescent="0.25">
      <c r="A512" t="s">
        <v>554</v>
      </c>
      <c r="B512" t="s">
        <v>299</v>
      </c>
      <c r="C512" s="5">
        <v>412893</v>
      </c>
      <c r="D512" s="5">
        <v>2462</v>
      </c>
      <c r="E512">
        <v>125397</v>
      </c>
      <c r="F512" s="4" t="s">
        <v>300</v>
      </c>
      <c r="G512" t="s">
        <v>29</v>
      </c>
      <c r="H512" t="s">
        <v>301</v>
      </c>
    </row>
    <row r="513" spans="1:8" x14ac:dyDescent="0.25">
      <c r="A513" t="s">
        <v>554</v>
      </c>
      <c r="B513" t="s">
        <v>302</v>
      </c>
      <c r="C513" s="5">
        <v>1032244</v>
      </c>
      <c r="D513" s="5">
        <v>17364</v>
      </c>
      <c r="E513">
        <v>862997</v>
      </c>
      <c r="F513" s="4" t="s">
        <v>116</v>
      </c>
      <c r="G513" t="s">
        <v>29</v>
      </c>
      <c r="H513" t="s">
        <v>117</v>
      </c>
    </row>
    <row r="514" spans="1:8" x14ac:dyDescent="0.25">
      <c r="A514" t="s">
        <v>554</v>
      </c>
      <c r="B514" t="s">
        <v>303</v>
      </c>
      <c r="C514" s="5">
        <v>48892</v>
      </c>
      <c r="D514" s="5">
        <v>89</v>
      </c>
      <c r="E514">
        <v>4887</v>
      </c>
      <c r="F514" s="4" t="s">
        <v>304</v>
      </c>
      <c r="G514" t="s">
        <v>29</v>
      </c>
      <c r="H514" t="s">
        <v>305</v>
      </c>
    </row>
    <row r="515" spans="1:8" x14ac:dyDescent="0.25">
      <c r="A515" t="s">
        <v>554</v>
      </c>
      <c r="B515" t="s">
        <v>306</v>
      </c>
      <c r="C515" s="5">
        <v>647778</v>
      </c>
      <c r="D515" s="5">
        <v>8556</v>
      </c>
      <c r="E515">
        <v>17339</v>
      </c>
      <c r="F515" s="4" t="s">
        <v>307</v>
      </c>
      <c r="G515" t="s">
        <v>29</v>
      </c>
      <c r="H515" t="s">
        <v>308</v>
      </c>
    </row>
    <row r="516" spans="1:8" x14ac:dyDescent="0.25">
      <c r="A516" t="s">
        <v>554</v>
      </c>
      <c r="B516" t="s">
        <v>309</v>
      </c>
      <c r="C516" s="5">
        <v>12748</v>
      </c>
      <c r="D516" s="5">
        <v>264</v>
      </c>
      <c r="E516">
        <v>2735</v>
      </c>
      <c r="F516" s="4" t="s">
        <v>310</v>
      </c>
      <c r="G516" t="s">
        <v>29</v>
      </c>
      <c r="H516" t="s">
        <v>311</v>
      </c>
    </row>
    <row r="517" spans="1:8" x14ac:dyDescent="0.25">
      <c r="A517" t="s">
        <v>554</v>
      </c>
      <c r="B517" t="s">
        <v>312</v>
      </c>
      <c r="C517" s="5">
        <v>3781</v>
      </c>
      <c r="D517" s="5">
        <v>61</v>
      </c>
      <c r="E517">
        <v>1103</v>
      </c>
      <c r="F517" s="4" t="s">
        <v>587</v>
      </c>
      <c r="G517" t="s">
        <v>29</v>
      </c>
      <c r="H517" t="s">
        <v>588</v>
      </c>
    </row>
    <row r="518" spans="1:8" x14ac:dyDescent="0.25">
      <c r="A518" t="s">
        <v>554</v>
      </c>
      <c r="B518" t="s">
        <v>315</v>
      </c>
      <c r="C518" s="5">
        <v>546653</v>
      </c>
      <c r="D518" s="5">
        <v>13892</v>
      </c>
      <c r="E518">
        <v>273672</v>
      </c>
      <c r="F518" s="4" t="s">
        <v>141</v>
      </c>
      <c r="G518" t="s">
        <v>29</v>
      </c>
      <c r="H518" t="s">
        <v>142</v>
      </c>
    </row>
    <row r="519" spans="1:8" x14ac:dyDescent="0.25">
      <c r="A519" t="s">
        <v>554</v>
      </c>
      <c r="B519" t="s">
        <v>316</v>
      </c>
      <c r="C519" s="5">
        <v>5817</v>
      </c>
      <c r="D519" s="5">
        <v>287</v>
      </c>
      <c r="E519">
        <v>689</v>
      </c>
      <c r="F519" s="4" t="s">
        <v>317</v>
      </c>
      <c r="G519" t="s">
        <v>29</v>
      </c>
      <c r="H519" t="s">
        <v>318</v>
      </c>
    </row>
    <row r="520" spans="1:8" x14ac:dyDescent="0.25">
      <c r="A520" t="s">
        <v>554</v>
      </c>
      <c r="B520" t="s">
        <v>319</v>
      </c>
      <c r="C520" s="5">
        <v>21685</v>
      </c>
      <c r="D520" s="5">
        <v>659</v>
      </c>
      <c r="E520">
        <v>13734</v>
      </c>
      <c r="F520" s="4" t="s">
        <v>320</v>
      </c>
      <c r="G520" t="s">
        <v>29</v>
      </c>
      <c r="H520" t="s">
        <v>321</v>
      </c>
    </row>
    <row r="521" spans="1:8" x14ac:dyDescent="0.25">
      <c r="A521" t="s">
        <v>554</v>
      </c>
      <c r="B521" t="s">
        <v>322</v>
      </c>
      <c r="C521" s="5">
        <v>430855</v>
      </c>
      <c r="D521" s="5">
        <v>6175</v>
      </c>
      <c r="E521">
        <v>10134</v>
      </c>
      <c r="F521" s="4" t="s">
        <v>323</v>
      </c>
      <c r="G521" t="s">
        <v>29</v>
      </c>
      <c r="H521" t="s">
        <v>324</v>
      </c>
    </row>
    <row r="522" spans="1:8" x14ac:dyDescent="0.25">
      <c r="A522" t="s">
        <v>554</v>
      </c>
      <c r="B522" t="s">
        <v>325</v>
      </c>
      <c r="C522" s="5">
        <v>83479</v>
      </c>
      <c r="D522" s="5">
        <v>852</v>
      </c>
      <c r="E522">
        <v>69400</v>
      </c>
      <c r="F522" s="4" t="s">
        <v>326</v>
      </c>
      <c r="G522" t="s">
        <v>29</v>
      </c>
      <c r="H522" t="s">
        <v>327</v>
      </c>
    </row>
    <row r="523" spans="1:8" x14ac:dyDescent="0.25">
      <c r="A523" t="s">
        <v>554</v>
      </c>
      <c r="B523" t="s">
        <v>328</v>
      </c>
      <c r="C523" s="5">
        <v>233698</v>
      </c>
      <c r="D523" s="5">
        <v>3561</v>
      </c>
      <c r="E523">
        <v>150437</v>
      </c>
      <c r="F523" s="4" t="s">
        <v>589</v>
      </c>
      <c r="G523" t="s">
        <v>29</v>
      </c>
      <c r="H523" t="s">
        <v>590</v>
      </c>
    </row>
    <row r="524" spans="1:8" x14ac:dyDescent="0.25">
      <c r="A524" t="s">
        <v>554</v>
      </c>
      <c r="B524" t="s">
        <v>329</v>
      </c>
      <c r="C524" s="5">
        <v>362318</v>
      </c>
      <c r="D524" s="5">
        <v>5226</v>
      </c>
      <c r="E524">
        <v>247146</v>
      </c>
      <c r="F524" s="4" t="s">
        <v>330</v>
      </c>
      <c r="G524" t="s">
        <v>29</v>
      </c>
      <c r="H524" t="s">
        <v>331</v>
      </c>
    </row>
    <row r="525" spans="1:8" x14ac:dyDescent="0.25">
      <c r="A525" t="s">
        <v>554</v>
      </c>
      <c r="B525" t="s">
        <v>332</v>
      </c>
      <c r="C525" s="5">
        <v>947610</v>
      </c>
      <c r="D525" s="5">
        <v>14726</v>
      </c>
      <c r="E525">
        <v>70429</v>
      </c>
      <c r="F525" s="4" t="s">
        <v>333</v>
      </c>
      <c r="G525" t="s">
        <v>29</v>
      </c>
      <c r="H525" t="s">
        <v>334</v>
      </c>
    </row>
    <row r="526" spans="1:8" x14ac:dyDescent="0.25">
      <c r="A526" t="s">
        <v>554</v>
      </c>
      <c r="B526" t="s">
        <v>335</v>
      </c>
      <c r="C526" s="5">
        <v>3451</v>
      </c>
      <c r="D526" s="5">
        <v>36</v>
      </c>
      <c r="E526">
        <v>225</v>
      </c>
      <c r="F526" s="4" t="s">
        <v>336</v>
      </c>
      <c r="G526" t="s">
        <v>29</v>
      </c>
      <c r="H526" t="s">
        <v>337</v>
      </c>
    </row>
    <row r="527" spans="1:8" x14ac:dyDescent="0.25">
      <c r="A527" t="s">
        <v>554</v>
      </c>
      <c r="B527" t="s">
        <v>338</v>
      </c>
      <c r="C527" s="5">
        <v>348588</v>
      </c>
      <c r="D527" s="5">
        <v>8193</v>
      </c>
      <c r="E527">
        <v>269584</v>
      </c>
      <c r="F527" s="4" t="s">
        <v>591</v>
      </c>
      <c r="G527" t="s">
        <v>29</v>
      </c>
      <c r="H527" t="s">
        <v>592</v>
      </c>
    </row>
    <row r="528" spans="1:8" x14ac:dyDescent="0.25">
      <c r="A528" t="s">
        <v>554</v>
      </c>
      <c r="B528" t="s">
        <v>341</v>
      </c>
      <c r="C528" s="5">
        <v>149729</v>
      </c>
      <c r="D528" s="5">
        <v>2169</v>
      </c>
      <c r="E528">
        <v>120665</v>
      </c>
      <c r="F528" s="4" t="s">
        <v>342</v>
      </c>
      <c r="G528" t="s">
        <v>29</v>
      </c>
      <c r="H528" t="s">
        <v>343</v>
      </c>
    </row>
    <row r="529" spans="1:8" x14ac:dyDescent="0.25">
      <c r="A529" t="s">
        <v>554</v>
      </c>
      <c r="B529" t="s">
        <v>344</v>
      </c>
      <c r="C529" s="5">
        <v>3975</v>
      </c>
      <c r="D529" s="5">
        <v>56</v>
      </c>
      <c r="E529">
        <v>3156</v>
      </c>
      <c r="F529" s="4" t="s">
        <v>345</v>
      </c>
      <c r="G529" t="s">
        <v>29</v>
      </c>
      <c r="H529" t="s">
        <v>346</v>
      </c>
    </row>
    <row r="530" spans="1:8" x14ac:dyDescent="0.25">
      <c r="A530" t="s">
        <v>554</v>
      </c>
      <c r="B530" t="s">
        <v>347</v>
      </c>
      <c r="C530" s="5">
        <v>43632</v>
      </c>
      <c r="D530" s="5">
        <v>964</v>
      </c>
      <c r="E530">
        <v>18957</v>
      </c>
      <c r="F530" s="4" t="s">
        <v>132</v>
      </c>
      <c r="G530" t="s">
        <v>29</v>
      </c>
      <c r="H530" t="s">
        <v>133</v>
      </c>
    </row>
    <row r="531" spans="1:8" x14ac:dyDescent="0.25">
      <c r="A531" t="s">
        <v>554</v>
      </c>
      <c r="B531" t="s">
        <v>348</v>
      </c>
      <c r="C531" s="5">
        <v>4</v>
      </c>
      <c r="D531" s="5">
        <v>0</v>
      </c>
      <c r="E531">
        <v>3</v>
      </c>
      <c r="F531" s="4" t="s">
        <v>29</v>
      </c>
      <c r="G531" t="s">
        <v>29</v>
      </c>
      <c r="H531" t="s">
        <v>291</v>
      </c>
    </row>
    <row r="532" spans="1:8" x14ac:dyDescent="0.25">
      <c r="A532" t="s">
        <v>554</v>
      </c>
      <c r="B532" t="s">
        <v>349</v>
      </c>
      <c r="C532" s="5">
        <v>206910</v>
      </c>
      <c r="D532" s="5">
        <v>7255</v>
      </c>
      <c r="E532">
        <v>89134</v>
      </c>
      <c r="F532" s="4" t="s">
        <v>350</v>
      </c>
      <c r="G532" t="s">
        <v>29</v>
      </c>
      <c r="H532" t="s">
        <v>351</v>
      </c>
    </row>
    <row r="533" spans="1:8" x14ac:dyDescent="0.25">
      <c r="A533" t="s">
        <v>554</v>
      </c>
      <c r="B533" t="s">
        <v>352</v>
      </c>
      <c r="C533" s="5">
        <v>16468</v>
      </c>
      <c r="D533" s="5">
        <v>579</v>
      </c>
      <c r="E533">
        <v>12784</v>
      </c>
      <c r="F533" s="4" t="s">
        <v>353</v>
      </c>
      <c r="G533" t="s">
        <v>29</v>
      </c>
      <c r="H533" t="s">
        <v>354</v>
      </c>
    </row>
    <row r="534" spans="1:8" x14ac:dyDescent="0.25">
      <c r="A534" t="s">
        <v>554</v>
      </c>
      <c r="B534" t="s">
        <v>355</v>
      </c>
      <c r="C534" s="5">
        <v>508591</v>
      </c>
      <c r="D534" s="5">
        <v>18855</v>
      </c>
      <c r="E534">
        <v>322049</v>
      </c>
      <c r="F534" s="4" t="s">
        <v>593</v>
      </c>
      <c r="G534" t="s">
        <v>29</v>
      </c>
      <c r="H534" t="s">
        <v>594</v>
      </c>
    </row>
    <row r="535" spans="1:8" x14ac:dyDescent="0.25">
      <c r="A535" t="s">
        <v>554</v>
      </c>
      <c r="B535" t="s">
        <v>358</v>
      </c>
      <c r="C535" s="5">
        <v>368353</v>
      </c>
      <c r="D535" s="5">
        <v>1829</v>
      </c>
      <c r="E535">
        <v>287065</v>
      </c>
      <c r="F535" s="4" t="s">
        <v>80</v>
      </c>
      <c r="G535" t="s">
        <v>29</v>
      </c>
      <c r="H535" t="s">
        <v>81</v>
      </c>
    </row>
    <row r="536" spans="1:8" x14ac:dyDescent="0.25">
      <c r="A536" t="s">
        <v>554</v>
      </c>
      <c r="B536" t="s">
        <v>359</v>
      </c>
      <c r="C536" s="5">
        <v>77</v>
      </c>
      <c r="D536" s="5">
        <v>0</v>
      </c>
      <c r="E536">
        <v>6</v>
      </c>
      <c r="F536" s="4" t="s">
        <v>29</v>
      </c>
      <c r="G536" t="s">
        <v>29</v>
      </c>
      <c r="H536" t="s">
        <v>291</v>
      </c>
    </row>
    <row r="537" spans="1:8" x14ac:dyDescent="0.25">
      <c r="A537" t="s">
        <v>554</v>
      </c>
      <c r="B537" t="s">
        <v>360</v>
      </c>
      <c r="C537" s="5">
        <v>43789</v>
      </c>
      <c r="D537" s="5">
        <v>698</v>
      </c>
      <c r="E537">
        <v>22153</v>
      </c>
      <c r="F537" s="4" t="s">
        <v>361</v>
      </c>
      <c r="G537" t="s">
        <v>29</v>
      </c>
      <c r="H537" t="s">
        <v>362</v>
      </c>
    </row>
    <row r="538" spans="1:8" x14ac:dyDescent="0.25">
      <c r="A538" t="s">
        <v>554</v>
      </c>
      <c r="B538" t="s">
        <v>363</v>
      </c>
      <c r="C538" s="5">
        <v>37755</v>
      </c>
      <c r="D538" s="5">
        <v>802</v>
      </c>
      <c r="E538">
        <v>34448</v>
      </c>
      <c r="F538" s="4" t="s">
        <v>270</v>
      </c>
      <c r="G538" t="s">
        <v>29</v>
      </c>
      <c r="H538" t="s">
        <v>271</v>
      </c>
    </row>
    <row r="539" spans="1:8" x14ac:dyDescent="0.25">
      <c r="A539" t="s">
        <v>554</v>
      </c>
      <c r="B539" t="s">
        <v>364</v>
      </c>
      <c r="C539" s="5">
        <v>37966</v>
      </c>
      <c r="D539" s="5">
        <v>462</v>
      </c>
      <c r="E539">
        <v>3430</v>
      </c>
      <c r="F539" s="4" t="s">
        <v>365</v>
      </c>
      <c r="G539" t="s">
        <v>29</v>
      </c>
      <c r="H539" t="s">
        <v>366</v>
      </c>
    </row>
    <row r="540" spans="1:8" x14ac:dyDescent="0.25">
      <c r="A540" t="s">
        <v>554</v>
      </c>
      <c r="B540" t="s">
        <v>367</v>
      </c>
      <c r="C540" s="5">
        <v>18979</v>
      </c>
      <c r="D540" s="5">
        <v>240</v>
      </c>
      <c r="E540">
        <v>2148</v>
      </c>
      <c r="F540" s="4" t="s">
        <v>223</v>
      </c>
      <c r="G540" t="s">
        <v>29</v>
      </c>
      <c r="H540" t="s">
        <v>224</v>
      </c>
    </row>
    <row r="541" spans="1:8" x14ac:dyDescent="0.25">
      <c r="A541" t="s">
        <v>554</v>
      </c>
      <c r="B541" t="s">
        <v>368</v>
      </c>
      <c r="C541" s="5">
        <v>89126</v>
      </c>
      <c r="D541" s="5">
        <v>246</v>
      </c>
      <c r="E541">
        <v>65403</v>
      </c>
      <c r="F541" s="4" t="s">
        <v>369</v>
      </c>
      <c r="G541" t="s">
        <v>29</v>
      </c>
      <c r="H541" t="s">
        <v>370</v>
      </c>
    </row>
    <row r="542" spans="1:8" x14ac:dyDescent="0.25">
      <c r="A542" t="s">
        <v>554</v>
      </c>
      <c r="B542" t="s">
        <v>371</v>
      </c>
      <c r="C542" s="5">
        <v>61821</v>
      </c>
      <c r="D542" s="5">
        <v>2302</v>
      </c>
      <c r="E542">
        <v>55721</v>
      </c>
      <c r="F542" s="4" t="s">
        <v>372</v>
      </c>
      <c r="G542" t="s">
        <v>29</v>
      </c>
      <c r="H542" t="s">
        <v>373</v>
      </c>
    </row>
    <row r="543" spans="1:8" x14ac:dyDescent="0.25">
      <c r="A543" t="s">
        <v>554</v>
      </c>
      <c r="B543" t="s">
        <v>374</v>
      </c>
      <c r="C543" s="5">
        <v>3831259</v>
      </c>
      <c r="D543" s="5">
        <v>290110</v>
      </c>
      <c r="E543">
        <v>364183</v>
      </c>
      <c r="F543" s="4" t="s">
        <v>375</v>
      </c>
      <c r="G543" t="s">
        <v>29</v>
      </c>
      <c r="H543" t="s">
        <v>376</v>
      </c>
    </row>
    <row r="544" spans="1:8" x14ac:dyDescent="0.25">
      <c r="A544" t="s">
        <v>554</v>
      </c>
      <c r="B544" t="s">
        <v>377</v>
      </c>
      <c r="C544" s="5">
        <v>2517173</v>
      </c>
      <c r="D544" s="5">
        <v>29427</v>
      </c>
      <c r="E544">
        <v>1030651</v>
      </c>
      <c r="F544" s="4" t="s">
        <v>378</v>
      </c>
      <c r="G544" t="s">
        <v>29</v>
      </c>
      <c r="H544" t="s">
        <v>379</v>
      </c>
    </row>
    <row r="545" spans="1:8" x14ac:dyDescent="0.25">
      <c r="A545" t="s">
        <v>554</v>
      </c>
      <c r="B545" t="s">
        <v>380</v>
      </c>
      <c r="C545" s="5">
        <v>151382</v>
      </c>
      <c r="D545" s="5">
        <v>1934</v>
      </c>
      <c r="E545">
        <v>56489</v>
      </c>
      <c r="F545" s="4" t="s">
        <v>381</v>
      </c>
      <c r="G545" t="s">
        <v>29</v>
      </c>
      <c r="H545" t="s">
        <v>382</v>
      </c>
    </row>
    <row r="546" spans="1:8" x14ac:dyDescent="0.25">
      <c r="A546" t="s">
        <v>554</v>
      </c>
      <c r="B546" t="s">
        <v>383</v>
      </c>
      <c r="C546" s="5">
        <v>129023</v>
      </c>
      <c r="D546" s="5">
        <v>3564</v>
      </c>
      <c r="E546">
        <v>23485</v>
      </c>
      <c r="F546" s="4" t="s">
        <v>384</v>
      </c>
      <c r="G546" t="s">
        <v>29</v>
      </c>
      <c r="H546" t="s">
        <v>385</v>
      </c>
    </row>
    <row r="547" spans="1:8" x14ac:dyDescent="0.25">
      <c r="A547" t="s">
        <v>554</v>
      </c>
      <c r="B547" t="s">
        <v>386</v>
      </c>
      <c r="C547" s="5">
        <v>11404</v>
      </c>
      <c r="D547" s="5">
        <v>271</v>
      </c>
      <c r="E547">
        <v>6672</v>
      </c>
      <c r="F547" s="4" t="s">
        <v>552</v>
      </c>
      <c r="G547" t="s">
        <v>29</v>
      </c>
      <c r="H547" t="s">
        <v>553</v>
      </c>
    </row>
    <row r="548" spans="1:8" x14ac:dyDescent="0.25">
      <c r="A548" t="s">
        <v>554</v>
      </c>
      <c r="B548" t="s">
        <v>387</v>
      </c>
      <c r="C548" s="5">
        <v>6569</v>
      </c>
      <c r="D548" s="5">
        <v>227</v>
      </c>
      <c r="E548">
        <v>4263</v>
      </c>
      <c r="F548" s="4" t="s">
        <v>595</v>
      </c>
      <c r="G548" t="s">
        <v>29</v>
      </c>
      <c r="H548" t="s">
        <v>596</v>
      </c>
    </row>
    <row r="549" spans="1:8" x14ac:dyDescent="0.25">
      <c r="A549" t="s">
        <v>554</v>
      </c>
      <c r="B549" t="s">
        <v>390</v>
      </c>
      <c r="C549" s="5">
        <v>212829</v>
      </c>
      <c r="D549" s="5">
        <v>2914</v>
      </c>
      <c r="E549">
        <v>160149</v>
      </c>
      <c r="F549" s="4" t="s">
        <v>391</v>
      </c>
      <c r="G549" t="s">
        <v>29</v>
      </c>
      <c r="H549" t="s">
        <v>392</v>
      </c>
    </row>
    <row r="550" spans="1:8" x14ac:dyDescent="0.25">
      <c r="A550" t="s">
        <v>554</v>
      </c>
      <c r="B550" t="s">
        <v>393</v>
      </c>
      <c r="C550" s="5">
        <v>16699</v>
      </c>
      <c r="D550" s="5">
        <v>209</v>
      </c>
      <c r="E550">
        <v>838</v>
      </c>
      <c r="F550" s="4" t="s">
        <v>107</v>
      </c>
      <c r="G550" t="s">
        <v>29</v>
      </c>
      <c r="H550" t="s">
        <v>108</v>
      </c>
    </row>
    <row r="551" spans="1:8" x14ac:dyDescent="0.25">
      <c r="A551" t="s">
        <v>554</v>
      </c>
      <c r="B551" t="s">
        <v>396</v>
      </c>
      <c r="C551" s="5">
        <v>2264308</v>
      </c>
      <c r="D551" s="5">
        <v>19054</v>
      </c>
      <c r="E551">
        <v>2238892</v>
      </c>
      <c r="F551" s="4" t="s">
        <v>397</v>
      </c>
      <c r="G551" t="s">
        <v>29</v>
      </c>
      <c r="H551" t="s">
        <v>398</v>
      </c>
    </row>
    <row r="552" spans="1:8" x14ac:dyDescent="0.25">
      <c r="A552" t="s">
        <v>554</v>
      </c>
      <c r="B552" t="s">
        <v>399</v>
      </c>
      <c r="C552" s="5">
        <v>220513</v>
      </c>
      <c r="D552" s="5">
        <v>924</v>
      </c>
      <c r="E552">
        <v>46980</v>
      </c>
      <c r="F552" s="4" t="s">
        <v>597</v>
      </c>
      <c r="G552" t="s">
        <v>29</v>
      </c>
      <c r="H552" t="s">
        <v>598</v>
      </c>
    </row>
    <row r="553" spans="1:8" x14ac:dyDescent="0.25">
      <c r="A553" t="s">
        <v>554</v>
      </c>
      <c r="B553" t="s">
        <v>402</v>
      </c>
      <c r="C553" s="5">
        <v>815372</v>
      </c>
      <c r="D553" s="5">
        <v>11454</v>
      </c>
      <c r="E553">
        <v>42442</v>
      </c>
      <c r="F553" s="4" t="s">
        <v>403</v>
      </c>
      <c r="G553" t="s">
        <v>29</v>
      </c>
      <c r="H553" t="s">
        <v>404</v>
      </c>
    </row>
    <row r="554" spans="1:8" x14ac:dyDescent="0.25">
      <c r="A554" t="s">
        <v>554</v>
      </c>
      <c r="B554" t="s">
        <v>405</v>
      </c>
      <c r="C554" s="5">
        <v>7923</v>
      </c>
      <c r="D554" s="5">
        <v>32</v>
      </c>
      <c r="E554">
        <v>1912</v>
      </c>
      <c r="F554" s="4" t="s">
        <v>599</v>
      </c>
      <c r="G554" t="s">
        <v>29</v>
      </c>
      <c r="H554" t="s">
        <v>600</v>
      </c>
    </row>
    <row r="555" spans="1:8" x14ac:dyDescent="0.25">
      <c r="A555" t="s">
        <v>554</v>
      </c>
      <c r="B555" t="s">
        <v>408</v>
      </c>
      <c r="C555" s="5">
        <v>304389</v>
      </c>
      <c r="D555" s="5">
        <v>4113</v>
      </c>
      <c r="E555">
        <v>246040</v>
      </c>
      <c r="F555" s="4" t="s">
        <v>409</v>
      </c>
      <c r="G555" t="s">
        <v>29</v>
      </c>
      <c r="H555" t="s">
        <v>410</v>
      </c>
    </row>
    <row r="556" spans="1:8" x14ac:dyDescent="0.25">
      <c r="A556" t="s">
        <v>554</v>
      </c>
      <c r="B556" t="s">
        <v>411</v>
      </c>
      <c r="C556" s="5">
        <v>473522</v>
      </c>
      <c r="D556" s="5">
        <v>7335</v>
      </c>
      <c r="E556">
        <v>152490</v>
      </c>
      <c r="F556" s="4" t="s">
        <v>333</v>
      </c>
      <c r="G556" t="s">
        <v>29</v>
      </c>
      <c r="H556" t="s">
        <v>334</v>
      </c>
    </row>
    <row r="557" spans="1:8" x14ac:dyDescent="0.25">
      <c r="A557" t="s">
        <v>554</v>
      </c>
      <c r="B557" t="s">
        <v>412</v>
      </c>
      <c r="C557" s="5">
        <v>2207890</v>
      </c>
      <c r="D557" s="5">
        <v>200469</v>
      </c>
      <c r="E557">
        <v>933519</v>
      </c>
      <c r="F557" s="4" t="s">
        <v>601</v>
      </c>
      <c r="G557" t="s">
        <v>29</v>
      </c>
      <c r="H557" t="s">
        <v>602</v>
      </c>
    </row>
    <row r="558" spans="1:8" x14ac:dyDescent="0.25">
      <c r="A558" t="s">
        <v>554</v>
      </c>
      <c r="B558" t="s">
        <v>415</v>
      </c>
      <c r="C558" s="5">
        <v>45573</v>
      </c>
      <c r="D558" s="5">
        <v>636</v>
      </c>
      <c r="E558">
        <v>34199</v>
      </c>
      <c r="F558" s="4" t="s">
        <v>403</v>
      </c>
      <c r="G558" t="s">
        <v>29</v>
      </c>
      <c r="H558" t="s">
        <v>404</v>
      </c>
    </row>
    <row r="559" spans="1:8" x14ac:dyDescent="0.25">
      <c r="A559" t="s">
        <v>554</v>
      </c>
      <c r="B559" t="s">
        <v>416</v>
      </c>
      <c r="C559" s="5">
        <v>31893</v>
      </c>
      <c r="D559" s="5">
        <v>413</v>
      </c>
      <c r="E559">
        <v>26576</v>
      </c>
      <c r="F559" s="4" t="s">
        <v>417</v>
      </c>
      <c r="G559" t="s">
        <v>29</v>
      </c>
      <c r="H559" t="s">
        <v>418</v>
      </c>
    </row>
    <row r="560" spans="1:8" x14ac:dyDescent="0.25">
      <c r="A560" t="s">
        <v>554</v>
      </c>
      <c r="B560" t="s">
        <v>419</v>
      </c>
      <c r="C560" s="5">
        <v>2806694</v>
      </c>
      <c r="D560" s="5">
        <v>44567</v>
      </c>
      <c r="E560">
        <v>2132841</v>
      </c>
      <c r="F560" s="4" t="s">
        <v>361</v>
      </c>
      <c r="G560" t="s">
        <v>29</v>
      </c>
      <c r="H560" t="s">
        <v>362</v>
      </c>
    </row>
    <row r="561" spans="1:8" x14ac:dyDescent="0.25">
      <c r="A561" t="s">
        <v>554</v>
      </c>
      <c r="B561" t="s">
        <v>420</v>
      </c>
      <c r="C561" s="5">
        <v>1278114</v>
      </c>
      <c r="D561" s="5">
        <v>28566</v>
      </c>
      <c r="E561">
        <v>288329</v>
      </c>
      <c r="F561" s="4" t="s">
        <v>603</v>
      </c>
      <c r="G561" t="s">
        <v>29</v>
      </c>
      <c r="H561" t="s">
        <v>604</v>
      </c>
    </row>
    <row r="562" spans="1:8" x14ac:dyDescent="0.25">
      <c r="A562" t="s">
        <v>554</v>
      </c>
      <c r="B562" t="s">
        <v>423</v>
      </c>
      <c r="C562" s="5">
        <v>3125179</v>
      </c>
      <c r="D562" s="5">
        <v>77980</v>
      </c>
      <c r="E562">
        <v>2135505</v>
      </c>
      <c r="F562" s="4" t="s">
        <v>458</v>
      </c>
      <c r="G562" t="s">
        <v>29</v>
      </c>
      <c r="H562" t="s">
        <v>459</v>
      </c>
    </row>
    <row r="563" spans="1:8" x14ac:dyDescent="0.25">
      <c r="A563" t="s">
        <v>554</v>
      </c>
      <c r="B563" t="s">
        <v>426</v>
      </c>
      <c r="C563" s="5">
        <v>455949</v>
      </c>
      <c r="D563" s="5">
        <v>4731</v>
      </c>
      <c r="E563">
        <v>114770</v>
      </c>
      <c r="F563" s="4" t="s">
        <v>336</v>
      </c>
      <c r="G563" t="s">
        <v>29</v>
      </c>
      <c r="H563" t="s">
        <v>337</v>
      </c>
    </row>
    <row r="564" spans="1:8" x14ac:dyDescent="0.25">
      <c r="A564" t="s">
        <v>554</v>
      </c>
      <c r="B564" t="s">
        <v>427</v>
      </c>
      <c r="C564" s="5">
        <v>1099307</v>
      </c>
      <c r="D564" s="5">
        <v>18217</v>
      </c>
      <c r="E564">
        <v>382543</v>
      </c>
      <c r="F564" s="4" t="s">
        <v>135</v>
      </c>
      <c r="G564" t="s">
        <v>29</v>
      </c>
      <c r="H564" t="s">
        <v>136</v>
      </c>
    </row>
    <row r="565" spans="1:8" x14ac:dyDescent="0.25">
      <c r="A565" t="s">
        <v>554</v>
      </c>
      <c r="B565" t="s">
        <v>428</v>
      </c>
      <c r="C565" s="5">
        <v>8</v>
      </c>
      <c r="D565" s="5">
        <v>0</v>
      </c>
      <c r="E565">
        <v>7</v>
      </c>
      <c r="F565" s="4" t="s">
        <v>29</v>
      </c>
      <c r="G565" t="s">
        <v>29</v>
      </c>
      <c r="H565" t="s">
        <v>291</v>
      </c>
    </row>
    <row r="566" spans="1:8" x14ac:dyDescent="0.25">
      <c r="A566" t="s">
        <v>554</v>
      </c>
      <c r="B566" t="s">
        <v>429</v>
      </c>
      <c r="C566" s="5">
        <v>461413</v>
      </c>
      <c r="D566" s="5">
        <v>16266</v>
      </c>
      <c r="E566">
        <v>12519</v>
      </c>
      <c r="F566" s="4" t="s">
        <v>430</v>
      </c>
      <c r="G566" t="s">
        <v>29</v>
      </c>
      <c r="H566" t="s">
        <v>431</v>
      </c>
    </row>
    <row r="567" spans="1:8" x14ac:dyDescent="0.25">
      <c r="A567" t="s">
        <v>554</v>
      </c>
      <c r="B567" t="s">
        <v>432</v>
      </c>
      <c r="C567" s="5">
        <v>240385</v>
      </c>
      <c r="D567" s="5">
        <v>611</v>
      </c>
      <c r="E567">
        <v>70187</v>
      </c>
      <c r="F567" s="4" t="s">
        <v>433</v>
      </c>
      <c r="G567" t="s">
        <v>29</v>
      </c>
      <c r="H567" t="s">
        <v>434</v>
      </c>
    </row>
    <row r="568" spans="1:8" x14ac:dyDescent="0.25">
      <c r="A568" t="s">
        <v>554</v>
      </c>
      <c r="B568" t="s">
        <v>435</v>
      </c>
      <c r="C568" s="5">
        <v>55125</v>
      </c>
      <c r="D568" s="5">
        <v>376</v>
      </c>
      <c r="E568">
        <v>2095</v>
      </c>
      <c r="F568" s="4" t="s">
        <v>605</v>
      </c>
      <c r="G568" t="s">
        <v>29</v>
      </c>
      <c r="H568" t="s">
        <v>606</v>
      </c>
    </row>
    <row r="569" spans="1:8" x14ac:dyDescent="0.25">
      <c r="A569" t="s">
        <v>554</v>
      </c>
      <c r="B569" t="s">
        <v>436</v>
      </c>
      <c r="C569" s="5">
        <v>1718726</v>
      </c>
      <c r="D569" s="5">
        <v>51483</v>
      </c>
      <c r="E569">
        <v>1243374</v>
      </c>
      <c r="F569" s="4" t="s">
        <v>607</v>
      </c>
      <c r="G569" t="s">
        <v>29</v>
      </c>
      <c r="H569" t="s">
        <v>608</v>
      </c>
    </row>
    <row r="570" spans="1:8" x14ac:dyDescent="0.25">
      <c r="A570" t="s">
        <v>554</v>
      </c>
      <c r="B570" t="s">
        <v>439</v>
      </c>
      <c r="C570" s="5">
        <v>1192476</v>
      </c>
      <c r="D570" s="5">
        <v>10534</v>
      </c>
      <c r="E570">
        <v>319727</v>
      </c>
      <c r="F570" s="4" t="s">
        <v>609</v>
      </c>
      <c r="G570" t="s">
        <v>29</v>
      </c>
      <c r="H570" t="s">
        <v>610</v>
      </c>
    </row>
    <row r="571" spans="1:8" x14ac:dyDescent="0.25">
      <c r="A571" t="s">
        <v>554</v>
      </c>
      <c r="B571" t="s">
        <v>440</v>
      </c>
      <c r="C571" s="5">
        <v>8727817</v>
      </c>
      <c r="D571" s="5">
        <v>244588</v>
      </c>
      <c r="E571">
        <v>402550</v>
      </c>
      <c r="F571" s="4" t="s">
        <v>441</v>
      </c>
      <c r="G571" t="s">
        <v>29</v>
      </c>
      <c r="H571" t="s">
        <v>442</v>
      </c>
    </row>
    <row r="572" spans="1:8" x14ac:dyDescent="0.25">
      <c r="A572" t="s">
        <v>554</v>
      </c>
      <c r="B572" t="s">
        <v>443</v>
      </c>
      <c r="C572" s="5">
        <v>100000</v>
      </c>
      <c r="D572" s="5">
        <v>1335</v>
      </c>
      <c r="E572">
        <v>82523</v>
      </c>
      <c r="F572" s="4" t="s">
        <v>264</v>
      </c>
      <c r="G572" t="s">
        <v>29</v>
      </c>
      <c r="H572" t="s">
        <v>60</v>
      </c>
    </row>
    <row r="573" spans="1:8" x14ac:dyDescent="0.25">
      <c r="A573" t="s">
        <v>554</v>
      </c>
      <c r="B573" t="s">
        <v>444</v>
      </c>
      <c r="C573" s="5">
        <v>549022</v>
      </c>
      <c r="D573" s="5">
        <v>8806</v>
      </c>
      <c r="E573">
        <v>361646</v>
      </c>
      <c r="F573" s="4" t="s">
        <v>313</v>
      </c>
      <c r="G573" t="s">
        <v>29</v>
      </c>
      <c r="H573" t="s">
        <v>314</v>
      </c>
    </row>
    <row r="574" spans="1:8" x14ac:dyDescent="0.25">
      <c r="A574" t="s">
        <v>554</v>
      </c>
      <c r="B574" t="s">
        <v>445</v>
      </c>
      <c r="C574" s="5">
        <v>20</v>
      </c>
      <c r="D574" s="5">
        <v>0</v>
      </c>
      <c r="E574">
        <v>1</v>
      </c>
      <c r="F574" s="4" t="s">
        <v>29</v>
      </c>
      <c r="G574" t="s">
        <v>29</v>
      </c>
      <c r="H574" t="s">
        <v>291</v>
      </c>
    </row>
    <row r="575" spans="1:8" x14ac:dyDescent="0.25">
      <c r="A575" t="s">
        <v>554</v>
      </c>
      <c r="B575" t="s">
        <v>446</v>
      </c>
      <c r="C575" s="5">
        <v>22457</v>
      </c>
      <c r="D575" s="5">
        <v>119</v>
      </c>
      <c r="E575">
        <v>10352</v>
      </c>
      <c r="F575" s="4" t="s">
        <v>447</v>
      </c>
      <c r="G575" t="s">
        <v>29</v>
      </c>
      <c r="H575" t="s">
        <v>448</v>
      </c>
    </row>
    <row r="576" spans="1:8" x14ac:dyDescent="0.25">
      <c r="A576" t="s">
        <v>554</v>
      </c>
      <c r="B576" t="s">
        <v>449</v>
      </c>
      <c r="C576" s="5">
        <v>41019</v>
      </c>
      <c r="D576" s="5">
        <v>3099</v>
      </c>
      <c r="E576">
        <v>12783</v>
      </c>
      <c r="F576" s="4" t="s">
        <v>450</v>
      </c>
      <c r="G576" t="s">
        <v>29</v>
      </c>
      <c r="H576" t="s">
        <v>451</v>
      </c>
    </row>
    <row r="577" spans="1:8" x14ac:dyDescent="0.25">
      <c r="A577" t="s">
        <v>554</v>
      </c>
      <c r="B577" t="s">
        <v>452</v>
      </c>
      <c r="C577" s="5">
        <v>1179192</v>
      </c>
      <c r="D577" s="5">
        <v>15065</v>
      </c>
      <c r="E577">
        <v>64539</v>
      </c>
      <c r="F577" s="4" t="s">
        <v>381</v>
      </c>
      <c r="G577" t="s">
        <v>29</v>
      </c>
      <c r="H577" t="s">
        <v>382</v>
      </c>
    </row>
    <row r="578" spans="1:8" x14ac:dyDescent="0.25">
      <c r="A578" t="s">
        <v>554</v>
      </c>
      <c r="B578" t="s">
        <v>453</v>
      </c>
      <c r="C578" s="5">
        <v>224200</v>
      </c>
      <c r="D578" s="5">
        <v>523</v>
      </c>
      <c r="E578">
        <v>169345</v>
      </c>
      <c r="F578" s="4" t="s">
        <v>273</v>
      </c>
      <c r="G578" t="s">
        <v>29</v>
      </c>
      <c r="H578" t="s">
        <v>274</v>
      </c>
    </row>
    <row r="579" spans="1:8" x14ac:dyDescent="0.25">
      <c r="A579" t="s">
        <v>554</v>
      </c>
      <c r="B579" t="s">
        <v>456</v>
      </c>
      <c r="C579" s="5">
        <v>360614</v>
      </c>
      <c r="D579" s="5">
        <v>4855</v>
      </c>
      <c r="E579">
        <v>142962</v>
      </c>
      <c r="F579" s="4" t="s">
        <v>409</v>
      </c>
      <c r="G579" t="s">
        <v>29</v>
      </c>
      <c r="H579" t="s">
        <v>410</v>
      </c>
    </row>
    <row r="580" spans="1:8" x14ac:dyDescent="0.25">
      <c r="A580" t="s">
        <v>554</v>
      </c>
      <c r="B580" t="s">
        <v>457</v>
      </c>
      <c r="C580" s="5">
        <v>526608</v>
      </c>
      <c r="D580" s="5">
        <v>13314</v>
      </c>
      <c r="E580">
        <v>78942</v>
      </c>
      <c r="F580" s="4" t="s">
        <v>611</v>
      </c>
      <c r="G580" t="s">
        <v>29</v>
      </c>
      <c r="H580" t="s">
        <v>612</v>
      </c>
    </row>
    <row r="581" spans="1:8" x14ac:dyDescent="0.25">
      <c r="A581" t="s">
        <v>554</v>
      </c>
      <c r="B581" t="s">
        <v>460</v>
      </c>
      <c r="C581" s="5">
        <v>6398</v>
      </c>
      <c r="D581" s="5">
        <v>121</v>
      </c>
      <c r="E581">
        <v>962</v>
      </c>
      <c r="F581" s="4" t="s">
        <v>461</v>
      </c>
      <c r="G581" t="s">
        <v>29</v>
      </c>
      <c r="H581" t="s">
        <v>462</v>
      </c>
    </row>
    <row r="582" spans="1:8" x14ac:dyDescent="0.25">
      <c r="A582" t="s">
        <v>554</v>
      </c>
      <c r="B582" t="s">
        <v>463</v>
      </c>
      <c r="C582" s="5">
        <v>5610</v>
      </c>
      <c r="D582" s="5">
        <v>92</v>
      </c>
      <c r="E582">
        <v>4805</v>
      </c>
      <c r="F582" s="4" t="s">
        <v>196</v>
      </c>
      <c r="G582" t="s">
        <v>29</v>
      </c>
      <c r="H582" t="s">
        <v>197</v>
      </c>
    </row>
    <row r="583" spans="1:8" x14ac:dyDescent="0.25">
      <c r="A583" t="s">
        <v>554</v>
      </c>
      <c r="B583" t="s">
        <v>464</v>
      </c>
      <c r="C583" s="5">
        <v>73942</v>
      </c>
      <c r="D583" s="5">
        <v>1881</v>
      </c>
      <c r="E583">
        <v>33608</v>
      </c>
      <c r="F583" s="4" t="s">
        <v>141</v>
      </c>
      <c r="G583" t="s">
        <v>29</v>
      </c>
      <c r="H583" t="s">
        <v>142</v>
      </c>
    </row>
    <row r="584" spans="1:8" x14ac:dyDescent="0.25">
      <c r="A584" t="s">
        <v>554</v>
      </c>
      <c r="B584" t="s">
        <v>465</v>
      </c>
      <c r="C584" s="5">
        <v>22693</v>
      </c>
      <c r="D584" s="5">
        <v>1294</v>
      </c>
      <c r="E584">
        <v>7585</v>
      </c>
      <c r="F584" s="4" t="s">
        <v>466</v>
      </c>
      <c r="G584" t="s">
        <v>29</v>
      </c>
      <c r="H584" t="s">
        <v>467</v>
      </c>
    </row>
    <row r="585" spans="1:8" x14ac:dyDescent="0.25">
      <c r="A585" t="s">
        <v>554</v>
      </c>
      <c r="B585" t="s">
        <v>468</v>
      </c>
      <c r="C585" s="5">
        <v>49812</v>
      </c>
      <c r="D585" s="5">
        <v>1122</v>
      </c>
      <c r="E585">
        <v>31374</v>
      </c>
      <c r="F585" s="4" t="s">
        <v>613</v>
      </c>
      <c r="G585" t="s">
        <v>29</v>
      </c>
      <c r="H585" t="s">
        <v>614</v>
      </c>
    </row>
    <row r="586" spans="1:8" x14ac:dyDescent="0.25">
      <c r="A586" t="s">
        <v>554</v>
      </c>
      <c r="B586" t="s">
        <v>471</v>
      </c>
      <c r="C586" s="5">
        <v>12517</v>
      </c>
      <c r="D586" s="5">
        <v>133</v>
      </c>
      <c r="E586">
        <v>6311</v>
      </c>
      <c r="F586" s="4" t="s">
        <v>165</v>
      </c>
      <c r="G586" t="s">
        <v>29</v>
      </c>
      <c r="H586" t="s">
        <v>166</v>
      </c>
    </row>
    <row r="587" spans="1:8" x14ac:dyDescent="0.25">
      <c r="A587" t="s">
        <v>554</v>
      </c>
      <c r="B587" t="s">
        <v>472</v>
      </c>
      <c r="C587" s="5">
        <v>3730</v>
      </c>
      <c r="D587" s="5">
        <v>56</v>
      </c>
      <c r="E587">
        <v>2030</v>
      </c>
      <c r="F587" s="4" t="s">
        <v>226</v>
      </c>
      <c r="G587" t="s">
        <v>29</v>
      </c>
      <c r="H587" t="s">
        <v>227</v>
      </c>
    </row>
    <row r="588" spans="1:8" x14ac:dyDescent="0.25">
      <c r="A588" t="s">
        <v>554</v>
      </c>
      <c r="B588" t="s">
        <v>473</v>
      </c>
      <c r="C588" s="5">
        <v>116258</v>
      </c>
      <c r="D588" s="5">
        <v>3695</v>
      </c>
      <c r="E588">
        <v>83084</v>
      </c>
      <c r="F588" s="4" t="s">
        <v>615</v>
      </c>
      <c r="G588" t="s">
        <v>29</v>
      </c>
      <c r="H588" t="s">
        <v>616</v>
      </c>
    </row>
    <row r="589" spans="1:8" x14ac:dyDescent="0.25">
      <c r="A589" t="s">
        <v>554</v>
      </c>
      <c r="B589" t="s">
        <v>476</v>
      </c>
      <c r="C589" s="5">
        <v>45468</v>
      </c>
      <c r="D589" s="5">
        <v>2637</v>
      </c>
      <c r="E589">
        <v>41997</v>
      </c>
      <c r="F589" s="4" t="s">
        <v>477</v>
      </c>
      <c r="G589" t="s">
        <v>29</v>
      </c>
      <c r="H589" t="s">
        <v>478</v>
      </c>
    </row>
    <row r="590" spans="1:8" x14ac:dyDescent="0.25">
      <c r="A590" t="s">
        <v>554</v>
      </c>
      <c r="B590" t="s">
        <v>479</v>
      </c>
      <c r="C590" s="5">
        <v>46462</v>
      </c>
      <c r="D590" s="5">
        <v>1244</v>
      </c>
      <c r="E590">
        <v>23186</v>
      </c>
      <c r="F590" s="4" t="s">
        <v>480</v>
      </c>
      <c r="G590" t="s">
        <v>29</v>
      </c>
      <c r="H590" t="s">
        <v>481</v>
      </c>
    </row>
    <row r="591" spans="1:8" x14ac:dyDescent="0.25">
      <c r="A591" t="s">
        <v>554</v>
      </c>
      <c r="B591" t="s">
        <v>482</v>
      </c>
      <c r="C591" s="5">
        <v>5107</v>
      </c>
      <c r="D591" s="5">
        <v>175</v>
      </c>
      <c r="E591">
        <v>1077</v>
      </c>
      <c r="F591" s="4" t="s">
        <v>252</v>
      </c>
      <c r="G591" t="s">
        <v>29</v>
      </c>
      <c r="H591" t="s">
        <v>253</v>
      </c>
    </row>
    <row r="592" spans="1:8" x14ac:dyDescent="0.25">
      <c r="A592" t="s">
        <v>554</v>
      </c>
      <c r="B592" t="s">
        <v>483</v>
      </c>
      <c r="C592" s="5">
        <v>26125</v>
      </c>
      <c r="D592" s="5">
        <v>243</v>
      </c>
      <c r="E592">
        <v>20595</v>
      </c>
      <c r="F592" s="4" t="s">
        <v>484</v>
      </c>
      <c r="G592" t="s">
        <v>29</v>
      </c>
      <c r="H592" t="s">
        <v>485</v>
      </c>
    </row>
    <row r="593" spans="1:8" x14ac:dyDescent="0.25">
      <c r="A593" t="s">
        <v>554</v>
      </c>
      <c r="B593" t="s">
        <v>486</v>
      </c>
      <c r="C593" s="5">
        <v>1982495</v>
      </c>
      <c r="D593" s="5">
        <v>19764</v>
      </c>
      <c r="E593">
        <v>652966</v>
      </c>
      <c r="F593" s="4" t="s">
        <v>56</v>
      </c>
      <c r="G593" t="s">
        <v>29</v>
      </c>
      <c r="H593" t="s">
        <v>57</v>
      </c>
    </row>
    <row r="594" spans="1:8" x14ac:dyDescent="0.25">
      <c r="A594" t="s">
        <v>554</v>
      </c>
      <c r="B594" t="s">
        <v>487</v>
      </c>
      <c r="C594" s="5">
        <v>17486</v>
      </c>
      <c r="D594" s="5">
        <v>125</v>
      </c>
      <c r="E594">
        <v>16821</v>
      </c>
      <c r="F594" s="4" t="s">
        <v>488</v>
      </c>
      <c r="G594" t="s">
        <v>29</v>
      </c>
      <c r="H594" t="s">
        <v>489</v>
      </c>
    </row>
    <row r="595" spans="1:8" x14ac:dyDescent="0.25">
      <c r="A595" t="s">
        <v>554</v>
      </c>
      <c r="B595" t="s">
        <v>490</v>
      </c>
      <c r="C595" s="5">
        <v>19804</v>
      </c>
      <c r="D595" s="5">
        <v>122</v>
      </c>
      <c r="E595">
        <v>15347</v>
      </c>
      <c r="F595" s="4" t="s">
        <v>491</v>
      </c>
      <c r="G595" t="s">
        <v>29</v>
      </c>
      <c r="H595" t="s">
        <v>492</v>
      </c>
    </row>
    <row r="596" spans="1:8" x14ac:dyDescent="0.25">
      <c r="A596" t="s">
        <v>554</v>
      </c>
      <c r="B596" t="s">
        <v>493</v>
      </c>
      <c r="C596" s="5">
        <v>713352</v>
      </c>
      <c r="D596" s="5">
        <v>25281</v>
      </c>
      <c r="E596">
        <v>105669</v>
      </c>
      <c r="F596" s="4" t="s">
        <v>494</v>
      </c>
      <c r="G596" t="s">
        <v>29</v>
      </c>
      <c r="H596" t="s">
        <v>495</v>
      </c>
    </row>
    <row r="597" spans="1:8" x14ac:dyDescent="0.25">
      <c r="A597" t="s">
        <v>554</v>
      </c>
      <c r="B597" t="s">
        <v>496</v>
      </c>
      <c r="C597" s="5">
        <v>1</v>
      </c>
      <c r="D597" s="5">
        <v>0</v>
      </c>
      <c r="E597">
        <v>0</v>
      </c>
      <c r="F597" s="4" t="s">
        <v>29</v>
      </c>
      <c r="G597" t="s">
        <v>29</v>
      </c>
      <c r="H597" t="s">
        <v>291</v>
      </c>
    </row>
    <row r="598" spans="1:8" x14ac:dyDescent="0.25">
      <c r="A598" t="s">
        <v>554</v>
      </c>
      <c r="B598" t="s">
        <v>497</v>
      </c>
      <c r="C598" s="5">
        <v>8290135</v>
      </c>
      <c r="D598" s="5">
        <v>72510</v>
      </c>
      <c r="E598">
        <v>6736138</v>
      </c>
      <c r="F598" s="4" t="s">
        <v>498</v>
      </c>
      <c r="G598" t="s">
        <v>29</v>
      </c>
      <c r="H598" t="s">
        <v>499</v>
      </c>
    </row>
    <row r="599" spans="1:8" x14ac:dyDescent="0.25">
      <c r="A599" t="s">
        <v>554</v>
      </c>
      <c r="B599" t="s">
        <v>500</v>
      </c>
      <c r="C599" s="5">
        <v>59963</v>
      </c>
      <c r="D599" s="5">
        <v>1794</v>
      </c>
      <c r="E599">
        <v>16637</v>
      </c>
      <c r="F599" s="4" t="s">
        <v>501</v>
      </c>
      <c r="G599" t="s">
        <v>29</v>
      </c>
      <c r="H599" t="s">
        <v>502</v>
      </c>
    </row>
    <row r="600" spans="1:8" x14ac:dyDescent="0.25">
      <c r="A600" t="s">
        <v>554</v>
      </c>
      <c r="B600" t="s">
        <v>503</v>
      </c>
      <c r="C600" s="5">
        <v>16451</v>
      </c>
      <c r="D600" s="5">
        <v>848</v>
      </c>
      <c r="E600">
        <v>1566</v>
      </c>
      <c r="F600" s="4" t="s">
        <v>504</v>
      </c>
      <c r="G600" t="s">
        <v>29</v>
      </c>
      <c r="H600" t="s">
        <v>505</v>
      </c>
    </row>
    <row r="601" spans="1:8" x14ac:dyDescent="0.25">
      <c r="A601" t="s">
        <v>554</v>
      </c>
      <c r="B601" t="s">
        <v>506</v>
      </c>
      <c r="C601" s="5">
        <v>26196</v>
      </c>
      <c r="D601" s="5">
        <v>725</v>
      </c>
      <c r="E601">
        <v>134</v>
      </c>
      <c r="F601" s="4" t="s">
        <v>507</v>
      </c>
      <c r="G601" t="s">
        <v>29</v>
      </c>
      <c r="H601" t="s">
        <v>508</v>
      </c>
    </row>
    <row r="602" spans="1:8" x14ac:dyDescent="0.25">
      <c r="A602" t="s">
        <v>554</v>
      </c>
      <c r="B602" t="s">
        <v>509</v>
      </c>
      <c r="C602" s="5">
        <v>3253327</v>
      </c>
      <c r="D602" s="5">
        <v>78017</v>
      </c>
      <c r="E602">
        <v>2446299</v>
      </c>
      <c r="F602" s="4" t="s">
        <v>617</v>
      </c>
      <c r="G602" t="s">
        <v>29</v>
      </c>
      <c r="H602" t="s">
        <v>618</v>
      </c>
    </row>
    <row r="603" spans="1:8" x14ac:dyDescent="0.25">
      <c r="A603" t="s">
        <v>554</v>
      </c>
      <c r="B603" t="s">
        <v>512</v>
      </c>
      <c r="C603" s="5">
        <v>126644</v>
      </c>
      <c r="D603" s="5">
        <v>3230</v>
      </c>
      <c r="E603">
        <v>111425</v>
      </c>
      <c r="F603" s="4" t="s">
        <v>513</v>
      </c>
      <c r="G603" t="s">
        <v>29</v>
      </c>
      <c r="H603" t="s">
        <v>514</v>
      </c>
    </row>
    <row r="604" spans="1:8" x14ac:dyDescent="0.25">
      <c r="A604" t="s">
        <v>554</v>
      </c>
      <c r="B604" t="s">
        <v>515</v>
      </c>
      <c r="C604" s="5">
        <v>46693111</v>
      </c>
      <c r="D604" s="5">
        <v>757309</v>
      </c>
      <c r="E604">
        <v>113040</v>
      </c>
      <c r="F604" s="4" t="s">
        <v>516</v>
      </c>
      <c r="G604" t="s">
        <v>29</v>
      </c>
      <c r="H604" t="s">
        <v>517</v>
      </c>
    </row>
    <row r="605" spans="1:8" x14ac:dyDescent="0.25">
      <c r="A605" t="s">
        <v>554</v>
      </c>
      <c r="B605" t="s">
        <v>518</v>
      </c>
      <c r="C605" s="5">
        <v>395610</v>
      </c>
      <c r="D605" s="5">
        <v>6093</v>
      </c>
      <c r="E605">
        <v>239302</v>
      </c>
      <c r="F605" s="4" t="s">
        <v>519</v>
      </c>
      <c r="G605" t="s">
        <v>29</v>
      </c>
      <c r="H605" t="s">
        <v>520</v>
      </c>
    </row>
    <row r="606" spans="1:8" x14ac:dyDescent="0.25">
      <c r="A606" t="s">
        <v>554</v>
      </c>
      <c r="B606" t="s">
        <v>521</v>
      </c>
      <c r="C606" s="5">
        <v>188398</v>
      </c>
      <c r="D606" s="5">
        <v>1343</v>
      </c>
      <c r="E606">
        <v>15843</v>
      </c>
      <c r="F606" s="4" t="s">
        <v>488</v>
      </c>
      <c r="G606" t="s">
        <v>29</v>
      </c>
      <c r="H606" t="s">
        <v>489</v>
      </c>
    </row>
    <row r="607" spans="1:8" x14ac:dyDescent="0.25">
      <c r="A607" t="s">
        <v>554</v>
      </c>
      <c r="B607" t="s">
        <v>522</v>
      </c>
      <c r="C607" s="5">
        <v>27</v>
      </c>
      <c r="D607" s="5">
        <v>0</v>
      </c>
      <c r="E607">
        <v>1</v>
      </c>
      <c r="F607" s="4" t="s">
        <v>29</v>
      </c>
      <c r="G607" t="s">
        <v>29</v>
      </c>
      <c r="H607" t="s">
        <v>291</v>
      </c>
    </row>
    <row r="608" spans="1:8" x14ac:dyDescent="0.25">
      <c r="A608" t="s">
        <v>554</v>
      </c>
      <c r="B608" t="s">
        <v>523</v>
      </c>
      <c r="C608" s="5">
        <v>5123</v>
      </c>
      <c r="D608" s="5">
        <v>69</v>
      </c>
      <c r="E608">
        <v>3939</v>
      </c>
      <c r="F608" s="4" t="s">
        <v>409</v>
      </c>
      <c r="G608" t="s">
        <v>29</v>
      </c>
      <c r="H608" t="s">
        <v>410</v>
      </c>
    </row>
    <row r="609" spans="1:8" x14ac:dyDescent="0.25">
      <c r="A609" t="s">
        <v>554</v>
      </c>
      <c r="B609" t="s">
        <v>524</v>
      </c>
      <c r="C609" s="5">
        <v>414220</v>
      </c>
      <c r="D609" s="5">
        <v>4976</v>
      </c>
      <c r="E609">
        <v>231553</v>
      </c>
      <c r="F609" s="4" t="s">
        <v>525</v>
      </c>
      <c r="G609" t="s">
        <v>29</v>
      </c>
      <c r="H609" t="s">
        <v>526</v>
      </c>
    </row>
    <row r="610" spans="1:8" x14ac:dyDescent="0.25">
      <c r="A610" t="s">
        <v>554</v>
      </c>
      <c r="B610" t="s">
        <v>527</v>
      </c>
      <c r="C610" s="5">
        <v>984805</v>
      </c>
      <c r="D610" s="5">
        <v>22686</v>
      </c>
      <c r="E610">
        <v>141688</v>
      </c>
      <c r="F610" s="4" t="s">
        <v>619</v>
      </c>
      <c r="G610" t="s">
        <v>29</v>
      </c>
      <c r="H610" t="s">
        <v>620</v>
      </c>
    </row>
    <row r="611" spans="1:8" x14ac:dyDescent="0.25">
      <c r="A611" t="s">
        <v>554</v>
      </c>
      <c r="B611" t="s">
        <v>530</v>
      </c>
      <c r="C611" s="5">
        <v>6</v>
      </c>
      <c r="D611" s="5">
        <v>1</v>
      </c>
      <c r="E611">
        <v>1</v>
      </c>
      <c r="F611" s="4" t="s">
        <v>531</v>
      </c>
      <c r="G611" t="s">
        <v>29</v>
      </c>
      <c r="H611" t="s">
        <v>532</v>
      </c>
    </row>
    <row r="612" spans="1:8" x14ac:dyDescent="0.25">
      <c r="A612" t="s">
        <v>554</v>
      </c>
      <c r="B612" t="s">
        <v>533</v>
      </c>
      <c r="C612" s="5">
        <v>3</v>
      </c>
      <c r="D612" s="5">
        <v>0</v>
      </c>
      <c r="E612">
        <v>2</v>
      </c>
      <c r="F612" s="4" t="s">
        <v>29</v>
      </c>
      <c r="G612" t="s">
        <v>29</v>
      </c>
      <c r="H612" t="s">
        <v>291</v>
      </c>
    </row>
    <row r="613" spans="1:8" x14ac:dyDescent="0.25">
      <c r="A613" t="s">
        <v>554</v>
      </c>
      <c r="B613" t="s">
        <v>534</v>
      </c>
      <c r="C613" s="5">
        <v>160891</v>
      </c>
      <c r="D613" s="5">
        <v>2978</v>
      </c>
      <c r="E613">
        <v>156121</v>
      </c>
      <c r="F613" s="4" t="s">
        <v>535</v>
      </c>
      <c r="G613" t="s">
        <v>29</v>
      </c>
      <c r="H613" t="s">
        <v>536</v>
      </c>
    </row>
    <row r="614" spans="1:8" x14ac:dyDescent="0.25">
      <c r="A614" t="s">
        <v>554</v>
      </c>
      <c r="B614" t="s">
        <v>537</v>
      </c>
      <c r="C614" s="5">
        <v>9891</v>
      </c>
      <c r="D614" s="5">
        <v>1915</v>
      </c>
      <c r="E614">
        <v>6639</v>
      </c>
      <c r="F614" s="4" t="s">
        <v>621</v>
      </c>
      <c r="G614" t="s">
        <v>29</v>
      </c>
      <c r="H614" t="s">
        <v>622</v>
      </c>
    </row>
    <row r="615" spans="1:8" x14ac:dyDescent="0.25">
      <c r="A615" t="s">
        <v>554</v>
      </c>
      <c r="B615" t="s">
        <v>540</v>
      </c>
      <c r="C615" s="5">
        <v>20709</v>
      </c>
      <c r="D615" s="5">
        <v>185</v>
      </c>
      <c r="E615">
        <v>20255</v>
      </c>
      <c r="F615" s="4" t="s">
        <v>65</v>
      </c>
      <c r="G615" t="s">
        <v>29</v>
      </c>
      <c r="H615" t="s">
        <v>66</v>
      </c>
    </row>
    <row r="616" spans="1:8" x14ac:dyDescent="0.25">
      <c r="A616" t="s">
        <v>554</v>
      </c>
      <c r="B616" t="s">
        <v>541</v>
      </c>
      <c r="C616" s="5">
        <v>2924317</v>
      </c>
      <c r="D616" s="5">
        <v>89387</v>
      </c>
      <c r="E616">
        <v>1091073</v>
      </c>
      <c r="F616" s="4" t="s">
        <v>542</v>
      </c>
      <c r="G616" t="s">
        <v>29</v>
      </c>
      <c r="H616" t="s">
        <v>543</v>
      </c>
    </row>
    <row r="617" spans="1:8" x14ac:dyDescent="0.25">
      <c r="A617" t="s">
        <v>554</v>
      </c>
      <c r="B617" t="s">
        <v>544</v>
      </c>
      <c r="C617" s="5">
        <v>209918</v>
      </c>
      <c r="D617" s="5">
        <v>3664</v>
      </c>
      <c r="E617">
        <v>198954</v>
      </c>
      <c r="F617" s="4" t="s">
        <v>545</v>
      </c>
      <c r="G617" t="s">
        <v>29</v>
      </c>
      <c r="H617" t="s">
        <v>546</v>
      </c>
    </row>
    <row r="618" spans="1:8" x14ac:dyDescent="0.25">
      <c r="A618" t="s">
        <v>554</v>
      </c>
      <c r="B618" t="s">
        <v>547</v>
      </c>
      <c r="C618" s="5">
        <v>133242</v>
      </c>
      <c r="D618" s="5">
        <v>4691</v>
      </c>
      <c r="E618">
        <v>52640</v>
      </c>
      <c r="F618" s="4" t="s">
        <v>353</v>
      </c>
      <c r="G618" t="s">
        <v>29</v>
      </c>
      <c r="H618" t="s">
        <v>354</v>
      </c>
    </row>
    <row r="619" spans="1:8" x14ac:dyDescent="0.25">
      <c r="A619" t="s">
        <v>554</v>
      </c>
      <c r="B619" t="s">
        <v>548</v>
      </c>
      <c r="C619" s="5">
        <v>721</v>
      </c>
      <c r="D619" s="5">
        <v>15</v>
      </c>
      <c r="E619">
        <v>207</v>
      </c>
      <c r="F619" s="4" t="s">
        <v>549</v>
      </c>
      <c r="G619" t="s">
        <v>29</v>
      </c>
      <c r="H619" t="s">
        <v>550</v>
      </c>
    </row>
    <row r="620" spans="1:8" x14ac:dyDescent="0.25">
      <c r="A620" t="s">
        <v>623</v>
      </c>
      <c r="B620" t="s">
        <v>548</v>
      </c>
      <c r="C620" s="5">
        <v>721</v>
      </c>
      <c r="D620" s="5">
        <v>15</v>
      </c>
      <c r="E620">
        <v>438</v>
      </c>
      <c r="F620" s="4" t="s">
        <v>549</v>
      </c>
      <c r="G620" t="s">
        <v>29</v>
      </c>
      <c r="H620" t="s">
        <v>550</v>
      </c>
    </row>
    <row r="621" spans="1:8" x14ac:dyDescent="0.25">
      <c r="A621" t="s">
        <v>623</v>
      </c>
      <c r="B621" t="s">
        <v>547</v>
      </c>
      <c r="C621" s="5">
        <v>133205</v>
      </c>
      <c r="D621" s="5">
        <v>4690</v>
      </c>
      <c r="E621">
        <v>29964</v>
      </c>
      <c r="F621" s="4" t="s">
        <v>353</v>
      </c>
      <c r="G621" t="s">
        <v>29</v>
      </c>
      <c r="H621" t="s">
        <v>354</v>
      </c>
    </row>
    <row r="622" spans="1:8" x14ac:dyDescent="0.25">
      <c r="A622" t="s">
        <v>623</v>
      </c>
      <c r="B622" t="s">
        <v>544</v>
      </c>
      <c r="C622" s="5">
        <v>209908</v>
      </c>
      <c r="D622" s="5">
        <v>3664</v>
      </c>
      <c r="E622">
        <v>155265</v>
      </c>
      <c r="F622" s="4" t="s">
        <v>545</v>
      </c>
      <c r="G622" t="s">
        <v>29</v>
      </c>
      <c r="H622" t="s">
        <v>546</v>
      </c>
    </row>
    <row r="623" spans="1:8" x14ac:dyDescent="0.25">
      <c r="A623" t="s">
        <v>623</v>
      </c>
      <c r="B623" t="s">
        <v>541</v>
      </c>
      <c r="C623" s="5">
        <v>2924072</v>
      </c>
      <c r="D623" s="5">
        <v>89352</v>
      </c>
      <c r="E623">
        <v>114866</v>
      </c>
      <c r="F623" s="4" t="s">
        <v>542</v>
      </c>
      <c r="G623" t="s">
        <v>29</v>
      </c>
      <c r="H623" t="s">
        <v>543</v>
      </c>
    </row>
    <row r="624" spans="1:8" x14ac:dyDescent="0.25">
      <c r="A624" t="s">
        <v>623</v>
      </c>
      <c r="B624" t="s">
        <v>540</v>
      </c>
      <c r="C624" s="5">
        <v>20709</v>
      </c>
      <c r="D624" s="5">
        <v>185</v>
      </c>
      <c r="E624">
        <v>1355</v>
      </c>
      <c r="F624" s="4" t="s">
        <v>65</v>
      </c>
      <c r="G624" t="s">
        <v>29</v>
      </c>
      <c r="H624" t="s">
        <v>66</v>
      </c>
    </row>
    <row r="625" spans="1:8" x14ac:dyDescent="0.25">
      <c r="A625" t="s">
        <v>623</v>
      </c>
      <c r="B625" t="s">
        <v>537</v>
      </c>
      <c r="C625" s="5">
        <v>9883</v>
      </c>
      <c r="D625" s="5">
        <v>1909</v>
      </c>
      <c r="E625">
        <v>6321</v>
      </c>
      <c r="F625" s="4" t="s">
        <v>624</v>
      </c>
      <c r="G625" t="s">
        <v>29</v>
      </c>
      <c r="H625" t="s">
        <v>625</v>
      </c>
    </row>
    <row r="626" spans="1:8" x14ac:dyDescent="0.25">
      <c r="A626" t="s">
        <v>623</v>
      </c>
      <c r="B626" t="s">
        <v>534</v>
      </c>
      <c r="C626" s="5">
        <v>160880</v>
      </c>
      <c r="D626" s="5">
        <v>2978</v>
      </c>
      <c r="E626">
        <v>18417</v>
      </c>
      <c r="F626" s="4" t="s">
        <v>535</v>
      </c>
      <c r="G626" t="s">
        <v>29</v>
      </c>
      <c r="H626" t="s">
        <v>536</v>
      </c>
    </row>
    <row r="627" spans="1:8" x14ac:dyDescent="0.25">
      <c r="A627" t="s">
        <v>623</v>
      </c>
      <c r="B627" t="s">
        <v>533</v>
      </c>
      <c r="C627" s="5">
        <v>3</v>
      </c>
      <c r="D627" s="5">
        <v>0</v>
      </c>
      <c r="E627">
        <v>2</v>
      </c>
      <c r="F627" s="4" t="s">
        <v>29</v>
      </c>
      <c r="G627" t="s">
        <v>29</v>
      </c>
      <c r="H627" t="s">
        <v>291</v>
      </c>
    </row>
    <row r="628" spans="1:8" x14ac:dyDescent="0.25">
      <c r="A628" t="s">
        <v>623</v>
      </c>
      <c r="B628" t="s">
        <v>530</v>
      </c>
      <c r="C628" s="5">
        <v>6</v>
      </c>
      <c r="D628" s="5">
        <v>1</v>
      </c>
      <c r="E628">
        <v>5</v>
      </c>
      <c r="F628" s="4" t="s">
        <v>531</v>
      </c>
      <c r="G628" t="s">
        <v>29</v>
      </c>
      <c r="H628" t="s">
        <v>532</v>
      </c>
    </row>
    <row r="629" spans="1:8" x14ac:dyDescent="0.25">
      <c r="A629" t="s">
        <v>623</v>
      </c>
      <c r="B629" t="s">
        <v>527</v>
      </c>
      <c r="C629" s="5">
        <v>976672</v>
      </c>
      <c r="D629" s="5">
        <v>22598</v>
      </c>
      <c r="E629">
        <v>904190</v>
      </c>
      <c r="F629" s="4" t="s">
        <v>234</v>
      </c>
      <c r="G629" t="s">
        <v>29</v>
      </c>
      <c r="H629" t="s">
        <v>235</v>
      </c>
    </row>
    <row r="630" spans="1:8" x14ac:dyDescent="0.25">
      <c r="A630" t="s">
        <v>623</v>
      </c>
      <c r="B630" t="s">
        <v>524</v>
      </c>
      <c r="C630" s="5">
        <v>414220</v>
      </c>
      <c r="D630" s="5">
        <v>4976</v>
      </c>
      <c r="E630">
        <v>162024</v>
      </c>
      <c r="F630" s="4" t="s">
        <v>525</v>
      </c>
      <c r="G630" t="s">
        <v>29</v>
      </c>
      <c r="H630" t="s">
        <v>526</v>
      </c>
    </row>
    <row r="631" spans="1:8" x14ac:dyDescent="0.25">
      <c r="A631" t="s">
        <v>623</v>
      </c>
      <c r="B631" t="s">
        <v>523</v>
      </c>
      <c r="C631" s="5">
        <v>5123</v>
      </c>
      <c r="D631" s="5">
        <v>69</v>
      </c>
      <c r="E631">
        <v>3099</v>
      </c>
      <c r="F631" s="4" t="s">
        <v>409</v>
      </c>
      <c r="G631" t="s">
        <v>29</v>
      </c>
      <c r="H631" t="s">
        <v>410</v>
      </c>
    </row>
    <row r="632" spans="1:8" x14ac:dyDescent="0.25">
      <c r="A632" t="s">
        <v>623</v>
      </c>
      <c r="B632" t="s">
        <v>522</v>
      </c>
      <c r="C632" s="5">
        <v>27</v>
      </c>
      <c r="D632" s="5">
        <v>0</v>
      </c>
      <c r="E632">
        <v>23</v>
      </c>
      <c r="F632" s="4" t="s">
        <v>29</v>
      </c>
      <c r="G632" t="s">
        <v>29</v>
      </c>
      <c r="H632" t="s">
        <v>291</v>
      </c>
    </row>
    <row r="633" spans="1:8" x14ac:dyDescent="0.25">
      <c r="A633" t="s">
        <v>623</v>
      </c>
      <c r="B633" t="s">
        <v>521</v>
      </c>
      <c r="C633" s="5">
        <v>188169</v>
      </c>
      <c r="D633" s="5">
        <v>1340</v>
      </c>
      <c r="E633">
        <v>88973</v>
      </c>
      <c r="F633" s="4" t="s">
        <v>488</v>
      </c>
      <c r="G633" t="s">
        <v>29</v>
      </c>
      <c r="H633" t="s">
        <v>489</v>
      </c>
    </row>
    <row r="634" spans="1:8" x14ac:dyDescent="0.25">
      <c r="A634" t="s">
        <v>623</v>
      </c>
      <c r="B634" t="s">
        <v>518</v>
      </c>
      <c r="C634" s="5">
        <v>395410</v>
      </c>
      <c r="D634" s="5">
        <v>6088</v>
      </c>
      <c r="E634">
        <v>294954</v>
      </c>
      <c r="F634" s="4" t="s">
        <v>519</v>
      </c>
      <c r="G634" t="s">
        <v>29</v>
      </c>
      <c r="H634" t="s">
        <v>520</v>
      </c>
    </row>
    <row r="635" spans="1:8" x14ac:dyDescent="0.25">
      <c r="A635" t="s">
        <v>623</v>
      </c>
      <c r="B635" t="s">
        <v>515</v>
      </c>
      <c r="C635" s="5">
        <v>46613282</v>
      </c>
      <c r="D635" s="5">
        <v>755647</v>
      </c>
      <c r="E635">
        <v>9291442</v>
      </c>
      <c r="F635" s="4" t="s">
        <v>516</v>
      </c>
      <c r="G635" t="s">
        <v>29</v>
      </c>
      <c r="H635" t="s">
        <v>517</v>
      </c>
    </row>
    <row r="636" spans="1:8" x14ac:dyDescent="0.25">
      <c r="A636" t="s">
        <v>623</v>
      </c>
      <c r="B636" t="s">
        <v>512</v>
      </c>
      <c r="C636" s="5">
        <v>126625</v>
      </c>
      <c r="D636" s="5">
        <v>3228</v>
      </c>
      <c r="E636">
        <v>22197</v>
      </c>
      <c r="F636" s="4" t="s">
        <v>513</v>
      </c>
      <c r="G636" t="s">
        <v>29</v>
      </c>
      <c r="H636" t="s">
        <v>514</v>
      </c>
    </row>
    <row r="637" spans="1:8" x14ac:dyDescent="0.25">
      <c r="A637" t="s">
        <v>623</v>
      </c>
      <c r="B637" t="s">
        <v>509</v>
      </c>
      <c r="C637" s="5">
        <v>3233178</v>
      </c>
      <c r="D637" s="5">
        <v>77156</v>
      </c>
      <c r="E637">
        <v>682279</v>
      </c>
      <c r="F637" s="4" t="s">
        <v>288</v>
      </c>
      <c r="G637" t="s">
        <v>29</v>
      </c>
      <c r="H637" t="s">
        <v>289</v>
      </c>
    </row>
    <row r="638" spans="1:8" x14ac:dyDescent="0.25">
      <c r="A638" t="s">
        <v>623</v>
      </c>
      <c r="B638" t="s">
        <v>506</v>
      </c>
      <c r="C638" s="5">
        <v>26196</v>
      </c>
      <c r="D638" s="5">
        <v>725</v>
      </c>
      <c r="E638">
        <v>11013</v>
      </c>
      <c r="F638" s="4" t="s">
        <v>507</v>
      </c>
      <c r="G638" t="s">
        <v>29</v>
      </c>
      <c r="H638" t="s">
        <v>508</v>
      </c>
    </row>
    <row r="639" spans="1:8" x14ac:dyDescent="0.25">
      <c r="A639" t="s">
        <v>623</v>
      </c>
      <c r="B639" t="s">
        <v>503</v>
      </c>
      <c r="C639" s="5">
        <v>16445</v>
      </c>
      <c r="D639" s="5">
        <v>847</v>
      </c>
      <c r="E639">
        <v>12122</v>
      </c>
      <c r="F639" s="4" t="s">
        <v>504</v>
      </c>
      <c r="G639" t="s">
        <v>29</v>
      </c>
      <c r="H639" t="s">
        <v>505</v>
      </c>
    </row>
    <row r="640" spans="1:8" x14ac:dyDescent="0.25">
      <c r="A640" t="s">
        <v>623</v>
      </c>
      <c r="B640" t="s">
        <v>500</v>
      </c>
      <c r="C640" s="5">
        <v>59658</v>
      </c>
      <c r="D640" s="5">
        <v>1785</v>
      </c>
      <c r="E640">
        <v>10630</v>
      </c>
      <c r="F640" s="4" t="s">
        <v>501</v>
      </c>
      <c r="G640" t="s">
        <v>29</v>
      </c>
      <c r="H640" t="s">
        <v>502</v>
      </c>
    </row>
    <row r="641" spans="1:8" x14ac:dyDescent="0.25">
      <c r="A641" t="s">
        <v>623</v>
      </c>
      <c r="B641" t="s">
        <v>497</v>
      </c>
      <c r="C641" s="5">
        <v>8261473</v>
      </c>
      <c r="D641" s="5">
        <v>72314</v>
      </c>
      <c r="E641">
        <v>5190079</v>
      </c>
      <c r="F641" s="4" t="s">
        <v>609</v>
      </c>
      <c r="G641" t="s">
        <v>29</v>
      </c>
      <c r="H641" t="s">
        <v>610</v>
      </c>
    </row>
    <row r="642" spans="1:8" x14ac:dyDescent="0.25">
      <c r="A642" t="s">
        <v>623</v>
      </c>
      <c r="B642" t="s">
        <v>496</v>
      </c>
      <c r="C642" s="5">
        <v>1</v>
      </c>
      <c r="D642" s="5">
        <v>0</v>
      </c>
      <c r="E642">
        <v>0</v>
      </c>
      <c r="F642" s="4" t="s">
        <v>29</v>
      </c>
      <c r="G642" t="s">
        <v>29</v>
      </c>
      <c r="H642" t="s">
        <v>291</v>
      </c>
    </row>
    <row r="643" spans="1:8" x14ac:dyDescent="0.25">
      <c r="A643" t="s">
        <v>623</v>
      </c>
      <c r="B643" t="s">
        <v>493</v>
      </c>
      <c r="C643" s="5">
        <v>713352</v>
      </c>
      <c r="D643" s="5">
        <v>25281</v>
      </c>
      <c r="E643">
        <v>154214</v>
      </c>
      <c r="F643" s="4" t="s">
        <v>494</v>
      </c>
      <c r="G643" t="s">
        <v>29</v>
      </c>
      <c r="H643" t="s">
        <v>495</v>
      </c>
    </row>
    <row r="644" spans="1:8" x14ac:dyDescent="0.25">
      <c r="A644" t="s">
        <v>623</v>
      </c>
      <c r="B644" t="s">
        <v>490</v>
      </c>
      <c r="C644" s="5">
        <v>19799</v>
      </c>
      <c r="D644" s="5">
        <v>122</v>
      </c>
      <c r="E644">
        <v>8335</v>
      </c>
      <c r="F644" s="4" t="s">
        <v>491</v>
      </c>
      <c r="G644" t="s">
        <v>29</v>
      </c>
      <c r="H644" t="s">
        <v>492</v>
      </c>
    </row>
    <row r="645" spans="1:8" x14ac:dyDescent="0.25">
      <c r="A645" t="s">
        <v>623</v>
      </c>
      <c r="B645" t="s">
        <v>487</v>
      </c>
      <c r="C645" s="5">
        <v>17486</v>
      </c>
      <c r="D645" s="5">
        <v>125</v>
      </c>
      <c r="E645">
        <v>14615</v>
      </c>
      <c r="F645" s="4" t="s">
        <v>488</v>
      </c>
      <c r="G645" t="s">
        <v>29</v>
      </c>
      <c r="H645" t="s">
        <v>489</v>
      </c>
    </row>
    <row r="646" spans="1:8" x14ac:dyDescent="0.25">
      <c r="A646" t="s">
        <v>623</v>
      </c>
      <c r="B646" t="s">
        <v>486</v>
      </c>
      <c r="C646" s="5">
        <v>1975591</v>
      </c>
      <c r="D646" s="5">
        <v>19703</v>
      </c>
      <c r="E646">
        <v>1174612</v>
      </c>
      <c r="F646" s="4" t="s">
        <v>56</v>
      </c>
      <c r="G646" t="s">
        <v>29</v>
      </c>
      <c r="H646" t="s">
        <v>57</v>
      </c>
    </row>
    <row r="647" spans="1:8" x14ac:dyDescent="0.25">
      <c r="A647" t="s">
        <v>623</v>
      </c>
      <c r="B647" t="s">
        <v>483</v>
      </c>
      <c r="C647" s="5">
        <v>26122</v>
      </c>
      <c r="D647" s="5">
        <v>243</v>
      </c>
      <c r="E647">
        <v>12541</v>
      </c>
      <c r="F647" s="4" t="s">
        <v>484</v>
      </c>
      <c r="G647" t="s">
        <v>29</v>
      </c>
      <c r="H647" t="s">
        <v>485</v>
      </c>
    </row>
    <row r="648" spans="1:8" x14ac:dyDescent="0.25">
      <c r="A648" t="s">
        <v>623</v>
      </c>
      <c r="B648" t="s">
        <v>482</v>
      </c>
      <c r="C648" s="5">
        <v>5107</v>
      </c>
      <c r="D648" s="5">
        <v>175</v>
      </c>
      <c r="E648">
        <v>4857</v>
      </c>
      <c r="F648" s="4" t="s">
        <v>252</v>
      </c>
      <c r="G648" t="s">
        <v>29</v>
      </c>
      <c r="H648" t="s">
        <v>253</v>
      </c>
    </row>
    <row r="649" spans="1:8" x14ac:dyDescent="0.25">
      <c r="A649" t="s">
        <v>623</v>
      </c>
      <c r="B649" t="s">
        <v>479</v>
      </c>
      <c r="C649" s="5">
        <v>46460</v>
      </c>
      <c r="D649" s="5">
        <v>1244</v>
      </c>
      <c r="E649">
        <v>42611</v>
      </c>
      <c r="F649" s="4" t="s">
        <v>480</v>
      </c>
      <c r="G649" t="s">
        <v>29</v>
      </c>
      <c r="H649" t="s">
        <v>481</v>
      </c>
    </row>
    <row r="650" spans="1:8" x14ac:dyDescent="0.25">
      <c r="A650" t="s">
        <v>623</v>
      </c>
      <c r="B650" t="s">
        <v>476</v>
      </c>
      <c r="C650" s="5">
        <v>45096</v>
      </c>
      <c r="D650" s="5">
        <v>2620</v>
      </c>
      <c r="E650">
        <v>6104</v>
      </c>
      <c r="F650" s="4" t="s">
        <v>626</v>
      </c>
      <c r="G650" t="s">
        <v>29</v>
      </c>
      <c r="H650" t="s">
        <v>627</v>
      </c>
    </row>
    <row r="651" spans="1:8" x14ac:dyDescent="0.25">
      <c r="A651" t="s">
        <v>623</v>
      </c>
      <c r="B651" t="s">
        <v>473</v>
      </c>
      <c r="C651" s="5">
        <v>116258</v>
      </c>
      <c r="D651" s="5">
        <v>3690</v>
      </c>
      <c r="E651">
        <v>34373</v>
      </c>
      <c r="F651" s="4" t="s">
        <v>628</v>
      </c>
      <c r="G651" t="s">
        <v>29</v>
      </c>
      <c r="H651" t="s">
        <v>629</v>
      </c>
    </row>
    <row r="652" spans="1:8" x14ac:dyDescent="0.25">
      <c r="A652" t="s">
        <v>623</v>
      </c>
      <c r="B652" t="s">
        <v>472</v>
      </c>
      <c r="C652" s="5">
        <v>3729</v>
      </c>
      <c r="D652" s="5">
        <v>56</v>
      </c>
      <c r="E652">
        <v>1495</v>
      </c>
      <c r="F652" s="4" t="s">
        <v>226</v>
      </c>
      <c r="G652" t="s">
        <v>29</v>
      </c>
      <c r="H652" t="s">
        <v>227</v>
      </c>
    </row>
    <row r="653" spans="1:8" x14ac:dyDescent="0.25">
      <c r="A653" t="s">
        <v>623</v>
      </c>
      <c r="B653" t="s">
        <v>471</v>
      </c>
      <c r="C653" s="5">
        <v>12514</v>
      </c>
      <c r="D653" s="5">
        <v>133</v>
      </c>
      <c r="E653">
        <v>3872</v>
      </c>
      <c r="F653" s="4" t="s">
        <v>165</v>
      </c>
      <c r="G653" t="s">
        <v>29</v>
      </c>
      <c r="H653" t="s">
        <v>166</v>
      </c>
    </row>
    <row r="654" spans="1:8" x14ac:dyDescent="0.25">
      <c r="A654" t="s">
        <v>623</v>
      </c>
      <c r="B654" t="s">
        <v>468</v>
      </c>
      <c r="C654" s="5">
        <v>49602</v>
      </c>
      <c r="D654" s="5">
        <v>1117</v>
      </c>
      <c r="E654">
        <v>18245</v>
      </c>
      <c r="F654" s="4" t="s">
        <v>613</v>
      </c>
      <c r="G654" t="s">
        <v>29</v>
      </c>
      <c r="H654" t="s">
        <v>614</v>
      </c>
    </row>
    <row r="655" spans="1:8" x14ac:dyDescent="0.25">
      <c r="A655" t="s">
        <v>623</v>
      </c>
      <c r="B655" t="s">
        <v>465</v>
      </c>
      <c r="C655" s="5">
        <v>22693</v>
      </c>
      <c r="D655" s="5">
        <v>1294</v>
      </c>
      <c r="E655">
        <v>14351</v>
      </c>
      <c r="F655" s="4" t="s">
        <v>466</v>
      </c>
      <c r="G655" t="s">
        <v>29</v>
      </c>
      <c r="H655" t="s">
        <v>467</v>
      </c>
    </row>
    <row r="656" spans="1:8" x14ac:dyDescent="0.25">
      <c r="A656" t="s">
        <v>623</v>
      </c>
      <c r="B656" t="s">
        <v>464</v>
      </c>
      <c r="C656" s="5">
        <v>73939</v>
      </c>
      <c r="D656" s="5">
        <v>1880</v>
      </c>
      <c r="E656">
        <v>11637</v>
      </c>
      <c r="F656" s="4" t="s">
        <v>141</v>
      </c>
      <c r="G656" t="s">
        <v>29</v>
      </c>
      <c r="H656" t="s">
        <v>142</v>
      </c>
    </row>
    <row r="657" spans="1:8" x14ac:dyDescent="0.25">
      <c r="A657" t="s">
        <v>623</v>
      </c>
      <c r="B657" t="s">
        <v>463</v>
      </c>
      <c r="C657" s="5">
        <v>5598</v>
      </c>
      <c r="D657" s="5">
        <v>92</v>
      </c>
      <c r="E657">
        <v>2228</v>
      </c>
      <c r="F657" s="4" t="s">
        <v>196</v>
      </c>
      <c r="G657" t="s">
        <v>29</v>
      </c>
      <c r="H657" t="s">
        <v>197</v>
      </c>
    </row>
    <row r="658" spans="1:8" x14ac:dyDescent="0.25">
      <c r="A658" t="s">
        <v>623</v>
      </c>
      <c r="B658" t="s">
        <v>460</v>
      </c>
      <c r="C658" s="5">
        <v>6398</v>
      </c>
      <c r="D658" s="5">
        <v>121</v>
      </c>
      <c r="E658">
        <v>2691</v>
      </c>
      <c r="F658" s="4" t="s">
        <v>461</v>
      </c>
      <c r="G658" t="s">
        <v>29</v>
      </c>
      <c r="H658" t="s">
        <v>462</v>
      </c>
    </row>
    <row r="659" spans="1:8" x14ac:dyDescent="0.25">
      <c r="A659" t="s">
        <v>623</v>
      </c>
      <c r="B659" t="s">
        <v>457</v>
      </c>
      <c r="C659" s="5">
        <v>521650</v>
      </c>
      <c r="D659" s="5">
        <v>13269</v>
      </c>
      <c r="E659">
        <v>338275</v>
      </c>
      <c r="F659" s="4" t="s">
        <v>141</v>
      </c>
      <c r="G659" t="s">
        <v>29</v>
      </c>
      <c r="H659" t="s">
        <v>142</v>
      </c>
    </row>
    <row r="660" spans="1:8" x14ac:dyDescent="0.25">
      <c r="A660" t="s">
        <v>623</v>
      </c>
      <c r="B660" t="s">
        <v>456</v>
      </c>
      <c r="C660" s="5">
        <v>357262</v>
      </c>
      <c r="D660" s="5">
        <v>4843</v>
      </c>
      <c r="E660">
        <v>348682</v>
      </c>
      <c r="F660" s="4" t="s">
        <v>630</v>
      </c>
      <c r="G660" t="s">
        <v>29</v>
      </c>
      <c r="H660" t="s">
        <v>631</v>
      </c>
    </row>
    <row r="661" spans="1:8" x14ac:dyDescent="0.25">
      <c r="A661" t="s">
        <v>623</v>
      </c>
      <c r="B661" t="s">
        <v>453</v>
      </c>
      <c r="C661" s="5">
        <v>220803</v>
      </c>
      <c r="D661" s="5">
        <v>511</v>
      </c>
      <c r="E661">
        <v>154351</v>
      </c>
      <c r="F661" s="4" t="s">
        <v>273</v>
      </c>
      <c r="G661" t="s">
        <v>29</v>
      </c>
      <c r="H661" t="s">
        <v>274</v>
      </c>
    </row>
    <row r="662" spans="1:8" x14ac:dyDescent="0.25">
      <c r="A662" t="s">
        <v>623</v>
      </c>
      <c r="B662" t="s">
        <v>452</v>
      </c>
      <c r="C662" s="5">
        <v>1177094</v>
      </c>
      <c r="D662" s="5">
        <v>15057</v>
      </c>
      <c r="E662">
        <v>637406</v>
      </c>
      <c r="F662" s="4" t="s">
        <v>381</v>
      </c>
      <c r="G662" t="s">
        <v>29</v>
      </c>
      <c r="H662" t="s">
        <v>382</v>
      </c>
    </row>
    <row r="663" spans="1:8" x14ac:dyDescent="0.25">
      <c r="A663" t="s">
        <v>623</v>
      </c>
      <c r="B663" t="s">
        <v>449</v>
      </c>
      <c r="C663" s="5">
        <v>40433</v>
      </c>
      <c r="D663" s="5">
        <v>3099</v>
      </c>
      <c r="E663">
        <v>6291</v>
      </c>
      <c r="F663" s="4" t="s">
        <v>632</v>
      </c>
      <c r="G663" t="s">
        <v>29</v>
      </c>
      <c r="H663" t="s">
        <v>633</v>
      </c>
    </row>
    <row r="664" spans="1:8" x14ac:dyDescent="0.25">
      <c r="A664" t="s">
        <v>623</v>
      </c>
      <c r="B664" t="s">
        <v>446</v>
      </c>
      <c r="C664" s="5">
        <v>22441</v>
      </c>
      <c r="D664" s="5">
        <v>119</v>
      </c>
      <c r="E664">
        <v>11482</v>
      </c>
      <c r="F664" s="4" t="s">
        <v>447</v>
      </c>
      <c r="G664" t="s">
        <v>29</v>
      </c>
      <c r="H664" t="s">
        <v>448</v>
      </c>
    </row>
    <row r="665" spans="1:8" x14ac:dyDescent="0.25">
      <c r="A665" t="s">
        <v>623</v>
      </c>
      <c r="B665" t="s">
        <v>445</v>
      </c>
      <c r="C665" s="5">
        <v>20</v>
      </c>
      <c r="D665" s="5">
        <v>0</v>
      </c>
      <c r="E665">
        <v>6</v>
      </c>
      <c r="F665" s="4" t="s">
        <v>29</v>
      </c>
      <c r="G665" t="s">
        <v>29</v>
      </c>
      <c r="H665" t="s">
        <v>291</v>
      </c>
    </row>
    <row r="666" spans="1:8" x14ac:dyDescent="0.25">
      <c r="A666" t="s">
        <v>623</v>
      </c>
      <c r="B666" t="s">
        <v>444</v>
      </c>
      <c r="C666" s="5">
        <v>548973</v>
      </c>
      <c r="D666" s="5">
        <v>8805</v>
      </c>
      <c r="E666">
        <v>90039</v>
      </c>
      <c r="F666" s="4" t="s">
        <v>313</v>
      </c>
      <c r="G666" t="s">
        <v>29</v>
      </c>
      <c r="H666" t="s">
        <v>314</v>
      </c>
    </row>
    <row r="667" spans="1:8" x14ac:dyDescent="0.25">
      <c r="A667" t="s">
        <v>623</v>
      </c>
      <c r="B667" t="s">
        <v>443</v>
      </c>
      <c r="C667" s="5">
        <v>99978</v>
      </c>
      <c r="D667" s="5">
        <v>1334</v>
      </c>
      <c r="E667">
        <v>17670</v>
      </c>
      <c r="F667" s="4" t="s">
        <v>59</v>
      </c>
      <c r="G667" t="s">
        <v>29</v>
      </c>
      <c r="H667" t="s">
        <v>60</v>
      </c>
    </row>
    <row r="668" spans="1:8" x14ac:dyDescent="0.25">
      <c r="A668" t="s">
        <v>623</v>
      </c>
      <c r="B668" t="s">
        <v>440</v>
      </c>
      <c r="C668" s="5">
        <v>8689818</v>
      </c>
      <c r="D668" s="5">
        <v>243405</v>
      </c>
      <c r="E668">
        <v>6195799</v>
      </c>
      <c r="F668" s="4" t="s">
        <v>441</v>
      </c>
      <c r="G668" t="s">
        <v>29</v>
      </c>
      <c r="H668" t="s">
        <v>442</v>
      </c>
    </row>
    <row r="669" spans="1:8" x14ac:dyDescent="0.25">
      <c r="A669" t="s">
        <v>623</v>
      </c>
      <c r="B669" t="s">
        <v>439</v>
      </c>
      <c r="C669" s="5">
        <v>1187373</v>
      </c>
      <c r="D669" s="5">
        <v>10472</v>
      </c>
      <c r="E669">
        <v>1043355</v>
      </c>
      <c r="F669" s="4" t="s">
        <v>609</v>
      </c>
      <c r="G669" t="s">
        <v>29</v>
      </c>
      <c r="H669" t="s">
        <v>610</v>
      </c>
    </row>
    <row r="670" spans="1:8" x14ac:dyDescent="0.25">
      <c r="A670" t="s">
        <v>623</v>
      </c>
      <c r="B670" t="s">
        <v>436</v>
      </c>
      <c r="C670" s="5">
        <v>1711137</v>
      </c>
      <c r="D670" s="5">
        <v>50996</v>
      </c>
      <c r="E670">
        <v>409312</v>
      </c>
      <c r="F670" s="4" t="s">
        <v>634</v>
      </c>
      <c r="G670" t="s">
        <v>29</v>
      </c>
      <c r="H670" t="s">
        <v>635</v>
      </c>
    </row>
    <row r="671" spans="1:8" x14ac:dyDescent="0.25">
      <c r="A671" t="s">
        <v>623</v>
      </c>
      <c r="B671" t="s">
        <v>435</v>
      </c>
      <c r="C671" s="5">
        <v>55125</v>
      </c>
      <c r="D671" s="5">
        <v>376</v>
      </c>
      <c r="E671">
        <v>53329</v>
      </c>
      <c r="F671" s="4" t="s">
        <v>605</v>
      </c>
      <c r="G671" t="s">
        <v>29</v>
      </c>
      <c r="H671" t="s">
        <v>606</v>
      </c>
    </row>
    <row r="672" spans="1:8" x14ac:dyDescent="0.25">
      <c r="A672" t="s">
        <v>623</v>
      </c>
      <c r="B672" t="s">
        <v>432</v>
      </c>
      <c r="C672" s="5">
        <v>240247</v>
      </c>
      <c r="D672" s="5">
        <v>611</v>
      </c>
      <c r="E672">
        <v>170163</v>
      </c>
      <c r="F672" s="4" t="s">
        <v>433</v>
      </c>
      <c r="G672" t="s">
        <v>29</v>
      </c>
      <c r="H672" t="s">
        <v>434</v>
      </c>
    </row>
    <row r="673" spans="1:8" x14ac:dyDescent="0.25">
      <c r="A673" t="s">
        <v>623</v>
      </c>
      <c r="B673" t="s">
        <v>429</v>
      </c>
      <c r="C673" s="5">
        <v>461413</v>
      </c>
      <c r="D673" s="5">
        <v>16266</v>
      </c>
      <c r="E673">
        <v>420594</v>
      </c>
      <c r="F673" s="4" t="s">
        <v>430</v>
      </c>
      <c r="G673" t="s">
        <v>29</v>
      </c>
      <c r="H673" t="s">
        <v>431</v>
      </c>
    </row>
    <row r="674" spans="1:8" x14ac:dyDescent="0.25">
      <c r="A674" t="s">
        <v>623</v>
      </c>
      <c r="B674" t="s">
        <v>428</v>
      </c>
      <c r="C674" s="5">
        <v>8</v>
      </c>
      <c r="D674" s="5">
        <v>0</v>
      </c>
      <c r="E674">
        <v>3</v>
      </c>
      <c r="F674" s="4" t="s">
        <v>29</v>
      </c>
      <c r="G674" t="s">
        <v>29</v>
      </c>
      <c r="H674" t="s">
        <v>291</v>
      </c>
    </row>
    <row r="675" spans="1:8" x14ac:dyDescent="0.25">
      <c r="A675" t="s">
        <v>623</v>
      </c>
      <c r="B675" t="s">
        <v>427</v>
      </c>
      <c r="C675" s="5">
        <v>1098125</v>
      </c>
      <c r="D675" s="5">
        <v>18209</v>
      </c>
      <c r="E675">
        <v>665011</v>
      </c>
      <c r="F675" s="4" t="s">
        <v>135</v>
      </c>
      <c r="G675" t="s">
        <v>29</v>
      </c>
      <c r="H675" t="s">
        <v>136</v>
      </c>
    </row>
    <row r="676" spans="1:8" x14ac:dyDescent="0.25">
      <c r="A676" t="s">
        <v>623</v>
      </c>
      <c r="B676" t="s">
        <v>426</v>
      </c>
      <c r="C676" s="5">
        <v>455689</v>
      </c>
      <c r="D676" s="5">
        <v>4724</v>
      </c>
      <c r="E676">
        <v>431127</v>
      </c>
      <c r="F676" s="4" t="s">
        <v>336</v>
      </c>
      <c r="G676" t="s">
        <v>29</v>
      </c>
      <c r="H676" t="s">
        <v>337</v>
      </c>
    </row>
    <row r="677" spans="1:8" x14ac:dyDescent="0.25">
      <c r="A677" t="s">
        <v>623</v>
      </c>
      <c r="B677" t="s">
        <v>423</v>
      </c>
      <c r="C677" s="5">
        <v>3111534</v>
      </c>
      <c r="D677" s="5">
        <v>77760</v>
      </c>
      <c r="E677">
        <v>2467549</v>
      </c>
      <c r="F677" s="4" t="s">
        <v>458</v>
      </c>
      <c r="G677" t="s">
        <v>29</v>
      </c>
      <c r="H677" t="s">
        <v>459</v>
      </c>
    </row>
    <row r="678" spans="1:8" x14ac:dyDescent="0.25">
      <c r="A678" t="s">
        <v>623</v>
      </c>
      <c r="B678" t="s">
        <v>420</v>
      </c>
      <c r="C678" s="5">
        <v>1277560</v>
      </c>
      <c r="D678" s="5">
        <v>28558</v>
      </c>
      <c r="E678">
        <v>759940</v>
      </c>
      <c r="F678" s="4" t="s">
        <v>603</v>
      </c>
      <c r="G678" t="s">
        <v>29</v>
      </c>
      <c r="H678" t="s">
        <v>604</v>
      </c>
    </row>
    <row r="679" spans="1:8" x14ac:dyDescent="0.25">
      <c r="A679" t="s">
        <v>623</v>
      </c>
      <c r="B679" t="s">
        <v>419</v>
      </c>
      <c r="C679" s="5">
        <v>2805294</v>
      </c>
      <c r="D679" s="5">
        <v>44521</v>
      </c>
      <c r="E679">
        <v>53087</v>
      </c>
      <c r="F679" s="4" t="s">
        <v>361</v>
      </c>
      <c r="G679" t="s">
        <v>29</v>
      </c>
      <c r="H679" t="s">
        <v>362</v>
      </c>
    </row>
    <row r="680" spans="1:8" x14ac:dyDescent="0.25">
      <c r="A680" t="s">
        <v>623</v>
      </c>
      <c r="B680" t="s">
        <v>416</v>
      </c>
      <c r="C680" s="5">
        <v>31791</v>
      </c>
      <c r="D680" s="5">
        <v>407</v>
      </c>
      <c r="E680">
        <v>19749</v>
      </c>
      <c r="F680" s="4" t="s">
        <v>381</v>
      </c>
      <c r="G680" t="s">
        <v>29</v>
      </c>
      <c r="H680" t="s">
        <v>382</v>
      </c>
    </row>
    <row r="681" spans="1:8" x14ac:dyDescent="0.25">
      <c r="A681" t="s">
        <v>623</v>
      </c>
      <c r="B681" t="s">
        <v>415</v>
      </c>
      <c r="C681" s="5">
        <v>45573</v>
      </c>
      <c r="D681" s="5">
        <v>636</v>
      </c>
      <c r="E681">
        <v>37360</v>
      </c>
      <c r="F681" s="4" t="s">
        <v>403</v>
      </c>
      <c r="G681" t="s">
        <v>29</v>
      </c>
      <c r="H681" t="s">
        <v>404</v>
      </c>
    </row>
    <row r="682" spans="1:8" x14ac:dyDescent="0.25">
      <c r="A682" t="s">
        <v>623</v>
      </c>
      <c r="B682" t="s">
        <v>412</v>
      </c>
      <c r="C682" s="5">
        <v>2207890</v>
      </c>
      <c r="D682" s="5">
        <v>200469</v>
      </c>
      <c r="E682">
        <v>1964767</v>
      </c>
      <c r="F682" s="4" t="s">
        <v>601</v>
      </c>
      <c r="G682" t="s">
        <v>29</v>
      </c>
      <c r="H682" t="s">
        <v>602</v>
      </c>
    </row>
    <row r="683" spans="1:8" x14ac:dyDescent="0.25">
      <c r="A683" t="s">
        <v>623</v>
      </c>
      <c r="B683" t="s">
        <v>411</v>
      </c>
      <c r="C683" s="5">
        <v>473522</v>
      </c>
      <c r="D683" s="5">
        <v>7335</v>
      </c>
      <c r="E683">
        <v>363038</v>
      </c>
      <c r="F683" s="4" t="s">
        <v>333</v>
      </c>
      <c r="G683" t="s">
        <v>29</v>
      </c>
      <c r="H683" t="s">
        <v>334</v>
      </c>
    </row>
    <row r="684" spans="1:8" x14ac:dyDescent="0.25">
      <c r="A684" t="s">
        <v>623</v>
      </c>
      <c r="B684" t="s">
        <v>408</v>
      </c>
      <c r="C684" s="5">
        <v>304375</v>
      </c>
      <c r="D684" s="5">
        <v>4113</v>
      </c>
      <c r="E684">
        <v>226928</v>
      </c>
      <c r="F684" s="4" t="s">
        <v>409</v>
      </c>
      <c r="G684" t="s">
        <v>29</v>
      </c>
      <c r="H684" t="s">
        <v>410</v>
      </c>
    </row>
    <row r="685" spans="1:8" x14ac:dyDescent="0.25">
      <c r="A685" t="s">
        <v>623</v>
      </c>
      <c r="B685" t="s">
        <v>405</v>
      </c>
      <c r="C685" s="5">
        <v>7776</v>
      </c>
      <c r="D685" s="5">
        <v>32</v>
      </c>
      <c r="E685">
        <v>5718</v>
      </c>
      <c r="F685" s="4" t="s">
        <v>406</v>
      </c>
      <c r="G685" t="s">
        <v>29</v>
      </c>
      <c r="H685" t="s">
        <v>407</v>
      </c>
    </row>
    <row r="686" spans="1:8" x14ac:dyDescent="0.25">
      <c r="A686" t="s">
        <v>623</v>
      </c>
      <c r="B686" t="s">
        <v>402</v>
      </c>
      <c r="C686" s="5">
        <v>814929</v>
      </c>
      <c r="D686" s="5">
        <v>11453</v>
      </c>
      <c r="E686">
        <v>262292</v>
      </c>
      <c r="F686" s="4" t="s">
        <v>345</v>
      </c>
      <c r="G686" t="s">
        <v>29</v>
      </c>
      <c r="H686" t="s">
        <v>346</v>
      </c>
    </row>
    <row r="687" spans="1:8" x14ac:dyDescent="0.25">
      <c r="A687" t="s">
        <v>623</v>
      </c>
      <c r="B687" t="s">
        <v>399</v>
      </c>
      <c r="C687" s="5">
        <v>218387</v>
      </c>
      <c r="D687" s="5">
        <v>921</v>
      </c>
      <c r="E687">
        <v>171683</v>
      </c>
      <c r="F687" s="4" t="s">
        <v>597</v>
      </c>
      <c r="G687" t="s">
        <v>29</v>
      </c>
      <c r="H687" t="s">
        <v>598</v>
      </c>
    </row>
    <row r="688" spans="1:8" x14ac:dyDescent="0.25">
      <c r="A688" t="s">
        <v>623</v>
      </c>
      <c r="B688" t="s">
        <v>396</v>
      </c>
      <c r="C688" s="5">
        <v>2253015</v>
      </c>
      <c r="D688" s="5">
        <v>19025</v>
      </c>
      <c r="E688">
        <v>365467</v>
      </c>
      <c r="F688" s="4" t="s">
        <v>397</v>
      </c>
      <c r="G688" t="s">
        <v>29</v>
      </c>
      <c r="H688" t="s">
        <v>398</v>
      </c>
    </row>
    <row r="689" spans="1:8" x14ac:dyDescent="0.25">
      <c r="A689" t="s">
        <v>623</v>
      </c>
      <c r="B689" t="s">
        <v>393</v>
      </c>
      <c r="C689" s="5">
        <v>16699</v>
      </c>
      <c r="D689" s="5">
        <v>209</v>
      </c>
      <c r="E689">
        <v>10366</v>
      </c>
      <c r="F689" s="4" t="s">
        <v>107</v>
      </c>
      <c r="G689" t="s">
        <v>29</v>
      </c>
      <c r="H689" t="s">
        <v>108</v>
      </c>
    </row>
    <row r="690" spans="1:8" x14ac:dyDescent="0.25">
      <c r="A690" t="s">
        <v>623</v>
      </c>
      <c r="B690" t="s">
        <v>390</v>
      </c>
      <c r="C690" s="5">
        <v>212765</v>
      </c>
      <c r="D690" s="5">
        <v>2906</v>
      </c>
      <c r="E690">
        <v>68113</v>
      </c>
      <c r="F690" s="4" t="s">
        <v>391</v>
      </c>
      <c r="G690" t="s">
        <v>29</v>
      </c>
      <c r="H690" t="s">
        <v>392</v>
      </c>
    </row>
    <row r="691" spans="1:8" x14ac:dyDescent="0.25">
      <c r="A691" t="s">
        <v>623</v>
      </c>
      <c r="B691" t="s">
        <v>387</v>
      </c>
      <c r="C691" s="5">
        <v>6511</v>
      </c>
      <c r="D691" s="5">
        <v>221</v>
      </c>
      <c r="E691">
        <v>4912</v>
      </c>
      <c r="F691" s="4" t="s">
        <v>585</v>
      </c>
      <c r="G691" t="s">
        <v>29</v>
      </c>
      <c r="H691" t="s">
        <v>586</v>
      </c>
    </row>
    <row r="692" spans="1:8" x14ac:dyDescent="0.25">
      <c r="A692" t="s">
        <v>623</v>
      </c>
      <c r="B692" t="s">
        <v>386</v>
      </c>
      <c r="C692" s="5">
        <v>11350</v>
      </c>
      <c r="D692" s="5">
        <v>269</v>
      </c>
      <c r="E692">
        <v>10251</v>
      </c>
      <c r="F692" s="4" t="s">
        <v>636</v>
      </c>
      <c r="G692" t="s">
        <v>29</v>
      </c>
      <c r="H692" t="s">
        <v>637</v>
      </c>
    </row>
    <row r="693" spans="1:8" x14ac:dyDescent="0.25">
      <c r="A693" t="s">
        <v>623</v>
      </c>
      <c r="B693" t="s">
        <v>383</v>
      </c>
      <c r="C693" s="5">
        <v>129014</v>
      </c>
      <c r="D693" s="5">
        <v>3563</v>
      </c>
      <c r="E693">
        <v>14217</v>
      </c>
      <c r="F693" s="4" t="s">
        <v>384</v>
      </c>
      <c r="G693" t="s">
        <v>29</v>
      </c>
      <c r="H693" t="s">
        <v>385</v>
      </c>
    </row>
    <row r="694" spans="1:8" x14ac:dyDescent="0.25">
      <c r="A694" t="s">
        <v>623</v>
      </c>
      <c r="B694" t="s">
        <v>380</v>
      </c>
      <c r="C694" s="5">
        <v>151371</v>
      </c>
      <c r="D694" s="5">
        <v>1934</v>
      </c>
      <c r="E694">
        <v>45700</v>
      </c>
      <c r="F694" s="4" t="s">
        <v>381</v>
      </c>
      <c r="G694" t="s">
        <v>29</v>
      </c>
      <c r="H694" t="s">
        <v>382</v>
      </c>
    </row>
    <row r="695" spans="1:8" x14ac:dyDescent="0.25">
      <c r="A695" t="s">
        <v>623</v>
      </c>
      <c r="B695" t="s">
        <v>377</v>
      </c>
      <c r="C695" s="5">
        <v>2510852</v>
      </c>
      <c r="D695" s="5">
        <v>29349</v>
      </c>
      <c r="E695">
        <v>1421126</v>
      </c>
      <c r="F695" s="4" t="s">
        <v>378</v>
      </c>
      <c r="G695" t="s">
        <v>29</v>
      </c>
      <c r="H695" t="s">
        <v>379</v>
      </c>
    </row>
    <row r="696" spans="1:8" x14ac:dyDescent="0.25">
      <c r="A696" t="s">
        <v>623</v>
      </c>
      <c r="B696" t="s">
        <v>374</v>
      </c>
      <c r="C696" s="5">
        <v>3826786</v>
      </c>
      <c r="D696" s="5">
        <v>289734</v>
      </c>
      <c r="E696">
        <v>1151368</v>
      </c>
      <c r="F696" s="4" t="s">
        <v>375</v>
      </c>
      <c r="G696" t="s">
        <v>29</v>
      </c>
      <c r="H696" t="s">
        <v>376</v>
      </c>
    </row>
    <row r="697" spans="1:8" x14ac:dyDescent="0.25">
      <c r="A697" t="s">
        <v>623</v>
      </c>
      <c r="B697" t="s">
        <v>371</v>
      </c>
      <c r="C697" s="5">
        <v>61818</v>
      </c>
      <c r="D697" s="5">
        <v>2302</v>
      </c>
      <c r="E697">
        <v>28326</v>
      </c>
      <c r="F697" s="4" t="s">
        <v>372</v>
      </c>
      <c r="G697" t="s">
        <v>29</v>
      </c>
      <c r="H697" t="s">
        <v>373</v>
      </c>
    </row>
    <row r="698" spans="1:8" x14ac:dyDescent="0.25">
      <c r="A698" t="s">
        <v>623</v>
      </c>
      <c r="B698" t="s">
        <v>368</v>
      </c>
      <c r="C698" s="5">
        <v>88966</v>
      </c>
      <c r="D698" s="5">
        <v>245</v>
      </c>
      <c r="E698">
        <v>25430</v>
      </c>
      <c r="F698" s="4" t="s">
        <v>369</v>
      </c>
      <c r="G698" t="s">
        <v>29</v>
      </c>
      <c r="H698" t="s">
        <v>370</v>
      </c>
    </row>
    <row r="699" spans="1:8" x14ac:dyDescent="0.25">
      <c r="A699" t="s">
        <v>623</v>
      </c>
      <c r="B699" t="s">
        <v>367</v>
      </c>
      <c r="C699" s="5">
        <v>18531</v>
      </c>
      <c r="D699" s="5">
        <v>213</v>
      </c>
      <c r="E699">
        <v>16587</v>
      </c>
      <c r="F699" s="4" t="s">
        <v>583</v>
      </c>
      <c r="G699" t="s">
        <v>29</v>
      </c>
      <c r="H699" t="s">
        <v>584</v>
      </c>
    </row>
    <row r="700" spans="1:8" x14ac:dyDescent="0.25">
      <c r="A700" t="s">
        <v>623</v>
      </c>
      <c r="B700" t="s">
        <v>364</v>
      </c>
      <c r="C700" s="5">
        <v>37931</v>
      </c>
      <c r="D700" s="5">
        <v>462</v>
      </c>
      <c r="E700">
        <v>14654</v>
      </c>
      <c r="F700" s="4" t="s">
        <v>365</v>
      </c>
      <c r="G700" t="s">
        <v>29</v>
      </c>
      <c r="H700" t="s">
        <v>366</v>
      </c>
    </row>
    <row r="701" spans="1:8" x14ac:dyDescent="0.25">
      <c r="A701" t="s">
        <v>623</v>
      </c>
      <c r="B701" t="s">
        <v>363</v>
      </c>
      <c r="C701" s="5">
        <v>37755</v>
      </c>
      <c r="D701" s="5">
        <v>802</v>
      </c>
      <c r="E701">
        <v>34982</v>
      </c>
      <c r="F701" s="4" t="s">
        <v>270</v>
      </c>
      <c r="G701" t="s">
        <v>29</v>
      </c>
      <c r="H701" t="s">
        <v>271</v>
      </c>
    </row>
    <row r="702" spans="1:8" x14ac:dyDescent="0.25">
      <c r="A702" t="s">
        <v>623</v>
      </c>
      <c r="B702" t="s">
        <v>360</v>
      </c>
      <c r="C702" s="5">
        <v>43665</v>
      </c>
      <c r="D702" s="5">
        <v>696</v>
      </c>
      <c r="E702">
        <v>2469</v>
      </c>
      <c r="F702" s="4" t="s">
        <v>361</v>
      </c>
      <c r="G702" t="s">
        <v>29</v>
      </c>
      <c r="H702" t="s">
        <v>362</v>
      </c>
    </row>
    <row r="703" spans="1:8" x14ac:dyDescent="0.25">
      <c r="A703" t="s">
        <v>623</v>
      </c>
      <c r="B703" t="s">
        <v>359</v>
      </c>
      <c r="C703" s="5">
        <v>77</v>
      </c>
      <c r="D703" s="5">
        <v>0</v>
      </c>
      <c r="E703">
        <v>16</v>
      </c>
      <c r="F703" s="4" t="s">
        <v>29</v>
      </c>
      <c r="G703" t="s">
        <v>29</v>
      </c>
      <c r="H703" t="s">
        <v>291</v>
      </c>
    </row>
    <row r="704" spans="1:8" x14ac:dyDescent="0.25">
      <c r="A704" t="s">
        <v>623</v>
      </c>
      <c r="B704" t="s">
        <v>358</v>
      </c>
      <c r="C704" s="5">
        <v>367412</v>
      </c>
      <c r="D704" s="5">
        <v>1817</v>
      </c>
      <c r="E704">
        <v>214564</v>
      </c>
      <c r="F704" s="4" t="s">
        <v>638</v>
      </c>
      <c r="G704" t="s">
        <v>29</v>
      </c>
      <c r="H704" t="s">
        <v>639</v>
      </c>
    </row>
    <row r="705" spans="1:8" x14ac:dyDescent="0.25">
      <c r="A705" t="s">
        <v>623</v>
      </c>
      <c r="B705" t="s">
        <v>355</v>
      </c>
      <c r="C705" s="5">
        <v>507815</v>
      </c>
      <c r="D705" s="5">
        <v>18839</v>
      </c>
      <c r="E705">
        <v>55206</v>
      </c>
      <c r="F705" s="4" t="s">
        <v>593</v>
      </c>
      <c r="G705" t="s">
        <v>29</v>
      </c>
      <c r="H705" t="s">
        <v>594</v>
      </c>
    </row>
    <row r="706" spans="1:8" x14ac:dyDescent="0.25">
      <c r="A706" t="s">
        <v>623</v>
      </c>
      <c r="B706" t="s">
        <v>352</v>
      </c>
      <c r="C706" s="5">
        <v>16406</v>
      </c>
      <c r="D706" s="5">
        <v>576</v>
      </c>
      <c r="E706">
        <v>6287</v>
      </c>
      <c r="F706" s="4" t="s">
        <v>350</v>
      </c>
      <c r="G706" t="s">
        <v>29</v>
      </c>
      <c r="H706" t="s">
        <v>351</v>
      </c>
    </row>
    <row r="707" spans="1:8" x14ac:dyDescent="0.25">
      <c r="A707" t="s">
        <v>623</v>
      </c>
      <c r="B707" t="s">
        <v>349</v>
      </c>
      <c r="C707" s="5">
        <v>206233</v>
      </c>
      <c r="D707" s="5">
        <v>7242</v>
      </c>
      <c r="E707">
        <v>113775</v>
      </c>
      <c r="F707" s="4" t="s">
        <v>350</v>
      </c>
      <c r="G707" t="s">
        <v>29</v>
      </c>
      <c r="H707" t="s">
        <v>351</v>
      </c>
    </row>
    <row r="708" spans="1:8" x14ac:dyDescent="0.25">
      <c r="A708" t="s">
        <v>623</v>
      </c>
      <c r="B708" t="s">
        <v>348</v>
      </c>
      <c r="C708" s="5">
        <v>4</v>
      </c>
      <c r="D708" s="5">
        <v>0</v>
      </c>
      <c r="E708">
        <v>2</v>
      </c>
      <c r="F708" s="4" t="s">
        <v>29</v>
      </c>
      <c r="G708" t="s">
        <v>29</v>
      </c>
      <c r="H708" t="s">
        <v>291</v>
      </c>
    </row>
    <row r="709" spans="1:8" x14ac:dyDescent="0.25">
      <c r="A709" t="s">
        <v>623</v>
      </c>
      <c r="B709" t="s">
        <v>347</v>
      </c>
      <c r="C709" s="5">
        <v>43632</v>
      </c>
      <c r="D709" s="5">
        <v>964</v>
      </c>
      <c r="E709">
        <v>28980</v>
      </c>
      <c r="F709" s="4" t="s">
        <v>132</v>
      </c>
      <c r="G709" t="s">
        <v>29</v>
      </c>
      <c r="H709" t="s">
        <v>133</v>
      </c>
    </row>
    <row r="710" spans="1:8" x14ac:dyDescent="0.25">
      <c r="A710" t="s">
        <v>623</v>
      </c>
      <c r="B710" t="s">
        <v>344</v>
      </c>
      <c r="C710" s="5">
        <v>3941</v>
      </c>
      <c r="D710" s="5">
        <v>56</v>
      </c>
      <c r="E710">
        <v>2696</v>
      </c>
      <c r="F710" s="4" t="s">
        <v>640</v>
      </c>
      <c r="G710" t="s">
        <v>29</v>
      </c>
      <c r="H710" t="s">
        <v>641</v>
      </c>
    </row>
    <row r="711" spans="1:8" x14ac:dyDescent="0.25">
      <c r="A711" t="s">
        <v>623</v>
      </c>
      <c r="B711" t="s">
        <v>341</v>
      </c>
      <c r="C711" s="5">
        <v>148997</v>
      </c>
      <c r="D711" s="5">
        <v>2163</v>
      </c>
      <c r="E711">
        <v>118615</v>
      </c>
      <c r="F711" s="4" t="s">
        <v>342</v>
      </c>
      <c r="G711" t="s">
        <v>29</v>
      </c>
      <c r="H711" t="s">
        <v>343</v>
      </c>
    </row>
    <row r="712" spans="1:8" x14ac:dyDescent="0.25">
      <c r="A712" t="s">
        <v>623</v>
      </c>
      <c r="B712" t="s">
        <v>338</v>
      </c>
      <c r="C712" s="5">
        <v>347105</v>
      </c>
      <c r="D712" s="5">
        <v>8144</v>
      </c>
      <c r="E712">
        <v>98075</v>
      </c>
      <c r="F712" s="4" t="s">
        <v>591</v>
      </c>
      <c r="G712" t="s">
        <v>29</v>
      </c>
      <c r="H712" t="s">
        <v>592</v>
      </c>
    </row>
    <row r="713" spans="1:8" x14ac:dyDescent="0.25">
      <c r="A713" t="s">
        <v>623</v>
      </c>
      <c r="B713" t="s">
        <v>335</v>
      </c>
      <c r="C713" s="5">
        <v>3439</v>
      </c>
      <c r="D713" s="5">
        <v>36</v>
      </c>
      <c r="E713">
        <v>1333</v>
      </c>
      <c r="F713" s="4" t="s">
        <v>642</v>
      </c>
      <c r="G713" t="s">
        <v>29</v>
      </c>
      <c r="H713" t="s">
        <v>643</v>
      </c>
    </row>
    <row r="714" spans="1:8" x14ac:dyDescent="0.25">
      <c r="A714" t="s">
        <v>623</v>
      </c>
      <c r="B714" t="s">
        <v>332</v>
      </c>
      <c r="C714" s="5">
        <v>947451</v>
      </c>
      <c r="D714" s="5">
        <v>14721</v>
      </c>
      <c r="E714">
        <v>831603</v>
      </c>
      <c r="F714" s="4" t="s">
        <v>333</v>
      </c>
      <c r="G714" t="s">
        <v>29</v>
      </c>
      <c r="H714" t="s">
        <v>334</v>
      </c>
    </row>
    <row r="715" spans="1:8" x14ac:dyDescent="0.25">
      <c r="A715" t="s">
        <v>623</v>
      </c>
      <c r="B715" t="s">
        <v>329</v>
      </c>
      <c r="C715" s="5">
        <v>361709</v>
      </c>
      <c r="D715" s="5">
        <v>5218</v>
      </c>
      <c r="E715">
        <v>226148</v>
      </c>
      <c r="F715" s="4" t="s">
        <v>330</v>
      </c>
      <c r="G715" t="s">
        <v>29</v>
      </c>
      <c r="H715" t="s">
        <v>331</v>
      </c>
    </row>
    <row r="716" spans="1:8" x14ac:dyDescent="0.25">
      <c r="A716" t="s">
        <v>623</v>
      </c>
      <c r="B716" t="s">
        <v>328</v>
      </c>
      <c r="C716" s="5">
        <v>232247</v>
      </c>
      <c r="D716" s="5">
        <v>3515</v>
      </c>
      <c r="E716">
        <v>15886</v>
      </c>
      <c r="F716" s="4" t="s">
        <v>202</v>
      </c>
      <c r="G716" t="s">
        <v>29</v>
      </c>
      <c r="H716" t="s">
        <v>203</v>
      </c>
    </row>
    <row r="717" spans="1:8" x14ac:dyDescent="0.25">
      <c r="A717" t="s">
        <v>623</v>
      </c>
      <c r="B717" t="s">
        <v>325</v>
      </c>
      <c r="C717" s="5">
        <v>83294</v>
      </c>
      <c r="D717" s="5">
        <v>851</v>
      </c>
      <c r="E717">
        <v>74036</v>
      </c>
      <c r="F717" s="4" t="s">
        <v>326</v>
      </c>
      <c r="G717" t="s">
        <v>29</v>
      </c>
      <c r="H717" t="s">
        <v>327</v>
      </c>
    </row>
    <row r="718" spans="1:8" x14ac:dyDescent="0.25">
      <c r="A718" t="s">
        <v>623</v>
      </c>
      <c r="B718" t="s">
        <v>322</v>
      </c>
      <c r="C718" s="5">
        <v>428541</v>
      </c>
      <c r="D718" s="5">
        <v>6135</v>
      </c>
      <c r="E718">
        <v>150945</v>
      </c>
      <c r="F718" s="4" t="s">
        <v>323</v>
      </c>
      <c r="G718" t="s">
        <v>29</v>
      </c>
      <c r="H718" t="s">
        <v>324</v>
      </c>
    </row>
    <row r="719" spans="1:8" x14ac:dyDescent="0.25">
      <c r="A719" t="s">
        <v>623</v>
      </c>
      <c r="B719" t="s">
        <v>319</v>
      </c>
      <c r="C719" s="5">
        <v>21685</v>
      </c>
      <c r="D719" s="5">
        <v>659</v>
      </c>
      <c r="E719">
        <v>4466</v>
      </c>
      <c r="F719" s="4" t="s">
        <v>320</v>
      </c>
      <c r="G719" t="s">
        <v>29</v>
      </c>
      <c r="H719" t="s">
        <v>321</v>
      </c>
    </row>
    <row r="720" spans="1:8" x14ac:dyDescent="0.25">
      <c r="A720" t="s">
        <v>623</v>
      </c>
      <c r="B720" t="s">
        <v>316</v>
      </c>
      <c r="C720" s="5">
        <v>5815</v>
      </c>
      <c r="D720" s="5">
        <v>287</v>
      </c>
      <c r="E720">
        <v>850</v>
      </c>
      <c r="F720" s="4" t="s">
        <v>644</v>
      </c>
      <c r="G720" t="s">
        <v>29</v>
      </c>
      <c r="H720" t="s">
        <v>645</v>
      </c>
    </row>
    <row r="721" spans="1:8" x14ac:dyDescent="0.25">
      <c r="A721" t="s">
        <v>623</v>
      </c>
      <c r="B721" t="s">
        <v>315</v>
      </c>
      <c r="C721" s="5">
        <v>545935</v>
      </c>
      <c r="D721" s="5">
        <v>13875</v>
      </c>
      <c r="E721">
        <v>529694</v>
      </c>
      <c r="F721" s="4" t="s">
        <v>141</v>
      </c>
      <c r="G721" t="s">
        <v>29</v>
      </c>
      <c r="H721" t="s">
        <v>142</v>
      </c>
    </row>
    <row r="722" spans="1:8" x14ac:dyDescent="0.25">
      <c r="A722" t="s">
        <v>623</v>
      </c>
      <c r="B722" t="s">
        <v>312</v>
      </c>
      <c r="C722" s="5">
        <v>3738</v>
      </c>
      <c r="D722" s="5">
        <v>61</v>
      </c>
      <c r="E722">
        <v>1973</v>
      </c>
      <c r="F722" s="4" t="s">
        <v>646</v>
      </c>
      <c r="G722" t="s">
        <v>29</v>
      </c>
      <c r="H722" t="s">
        <v>647</v>
      </c>
    </row>
    <row r="723" spans="1:8" x14ac:dyDescent="0.25">
      <c r="A723" t="s">
        <v>623</v>
      </c>
      <c r="B723" t="s">
        <v>309</v>
      </c>
      <c r="C723" s="5">
        <v>12748</v>
      </c>
      <c r="D723" s="5">
        <v>264</v>
      </c>
      <c r="E723">
        <v>10720</v>
      </c>
      <c r="F723" s="4" t="s">
        <v>310</v>
      </c>
      <c r="G723" t="s">
        <v>29</v>
      </c>
      <c r="H723" t="s">
        <v>311</v>
      </c>
    </row>
    <row r="724" spans="1:8" x14ac:dyDescent="0.25">
      <c r="A724" t="s">
        <v>623</v>
      </c>
      <c r="B724" t="s">
        <v>306</v>
      </c>
      <c r="C724" s="5">
        <v>646869</v>
      </c>
      <c r="D724" s="5">
        <v>8551</v>
      </c>
      <c r="E724">
        <v>424724</v>
      </c>
      <c r="F724" s="4" t="s">
        <v>307</v>
      </c>
      <c r="G724" t="s">
        <v>29</v>
      </c>
      <c r="H724" t="s">
        <v>308</v>
      </c>
    </row>
    <row r="725" spans="1:8" x14ac:dyDescent="0.25">
      <c r="A725" t="s">
        <v>623</v>
      </c>
      <c r="B725" t="s">
        <v>303</v>
      </c>
      <c r="C725" s="5">
        <v>47842</v>
      </c>
      <c r="D725" s="5">
        <v>86</v>
      </c>
      <c r="E725">
        <v>29587</v>
      </c>
      <c r="F725" s="4" t="s">
        <v>304</v>
      </c>
      <c r="G725" t="s">
        <v>29</v>
      </c>
      <c r="H725" t="s">
        <v>305</v>
      </c>
    </row>
    <row r="726" spans="1:8" x14ac:dyDescent="0.25">
      <c r="A726" t="s">
        <v>623</v>
      </c>
      <c r="B726" t="s">
        <v>302</v>
      </c>
      <c r="C726" s="5">
        <v>1030911</v>
      </c>
      <c r="D726" s="5">
        <v>17330</v>
      </c>
      <c r="E726">
        <v>609916</v>
      </c>
      <c r="F726" s="4" t="s">
        <v>116</v>
      </c>
      <c r="G726" t="s">
        <v>29</v>
      </c>
      <c r="H726" t="s">
        <v>117</v>
      </c>
    </row>
    <row r="727" spans="1:8" x14ac:dyDescent="0.25">
      <c r="A727" t="s">
        <v>623</v>
      </c>
      <c r="B727" t="s">
        <v>299</v>
      </c>
      <c r="C727" s="5">
        <v>412869</v>
      </c>
      <c r="D727" s="5">
        <v>2462</v>
      </c>
      <c r="E727">
        <v>179525</v>
      </c>
      <c r="F727" s="4" t="s">
        <v>300</v>
      </c>
      <c r="G727" t="s">
        <v>29</v>
      </c>
      <c r="H727" t="s">
        <v>301</v>
      </c>
    </row>
    <row r="728" spans="1:8" x14ac:dyDescent="0.25">
      <c r="A728" t="s">
        <v>623</v>
      </c>
      <c r="B728" t="s">
        <v>296</v>
      </c>
      <c r="C728" s="5">
        <v>383407</v>
      </c>
      <c r="D728" s="5">
        <v>2998</v>
      </c>
      <c r="E728">
        <v>283403</v>
      </c>
      <c r="F728" s="4" t="s">
        <v>297</v>
      </c>
      <c r="G728" t="s">
        <v>29</v>
      </c>
      <c r="H728" t="s">
        <v>298</v>
      </c>
    </row>
    <row r="729" spans="1:8" x14ac:dyDescent="0.25">
      <c r="A729" t="s">
        <v>623</v>
      </c>
      <c r="B729" t="s">
        <v>293</v>
      </c>
      <c r="C729" s="5">
        <v>2717</v>
      </c>
      <c r="D729" s="5">
        <v>25</v>
      </c>
      <c r="E729">
        <v>2380</v>
      </c>
      <c r="F729" s="4" t="s">
        <v>214</v>
      </c>
      <c r="G729" t="s">
        <v>29</v>
      </c>
      <c r="H729" t="s">
        <v>215</v>
      </c>
    </row>
    <row r="730" spans="1:8" x14ac:dyDescent="0.25">
      <c r="A730" t="s">
        <v>623</v>
      </c>
      <c r="B730" t="s">
        <v>292</v>
      </c>
      <c r="C730" s="5">
        <v>4321</v>
      </c>
      <c r="D730" s="5">
        <v>147</v>
      </c>
      <c r="E730">
        <v>3501</v>
      </c>
      <c r="F730" s="4" t="s">
        <v>648</v>
      </c>
      <c r="G730" t="s">
        <v>29</v>
      </c>
      <c r="H730" t="s">
        <v>649</v>
      </c>
    </row>
    <row r="731" spans="1:8" x14ac:dyDescent="0.25">
      <c r="A731" t="s">
        <v>623</v>
      </c>
      <c r="B731" t="s">
        <v>287</v>
      </c>
      <c r="C731" s="5">
        <v>119160</v>
      </c>
      <c r="D731" s="5">
        <v>2835</v>
      </c>
      <c r="E731">
        <v>104847</v>
      </c>
      <c r="F731" s="4" t="s">
        <v>552</v>
      </c>
      <c r="G731" t="s">
        <v>29</v>
      </c>
      <c r="H731" t="s">
        <v>553</v>
      </c>
    </row>
    <row r="732" spans="1:8" x14ac:dyDescent="0.25">
      <c r="A732" t="s">
        <v>623</v>
      </c>
      <c r="B732" t="s">
        <v>290</v>
      </c>
      <c r="C732" s="5">
        <v>2</v>
      </c>
      <c r="D732" s="5">
        <v>0</v>
      </c>
      <c r="E732">
        <v>0</v>
      </c>
      <c r="F732" s="4" t="s">
        <v>29</v>
      </c>
      <c r="G732" t="s">
        <v>29</v>
      </c>
      <c r="H732" t="s">
        <v>291</v>
      </c>
    </row>
    <row r="733" spans="1:8" x14ac:dyDescent="0.25">
      <c r="A733" t="s">
        <v>623</v>
      </c>
      <c r="B733" t="s">
        <v>284</v>
      </c>
      <c r="C733" s="5">
        <v>181882</v>
      </c>
      <c r="D733" s="5">
        <v>2689</v>
      </c>
      <c r="E733">
        <v>80964</v>
      </c>
      <c r="F733" s="4" t="s">
        <v>285</v>
      </c>
      <c r="G733" t="s">
        <v>29</v>
      </c>
      <c r="H733" t="s">
        <v>286</v>
      </c>
    </row>
    <row r="734" spans="1:8" x14ac:dyDescent="0.25">
      <c r="A734" t="s">
        <v>623</v>
      </c>
      <c r="B734" t="s">
        <v>281</v>
      </c>
      <c r="C734" s="5">
        <v>253853</v>
      </c>
      <c r="D734" s="5">
        <v>5312</v>
      </c>
      <c r="E734">
        <v>63750</v>
      </c>
      <c r="F734" s="4" t="s">
        <v>282</v>
      </c>
      <c r="G734" t="s">
        <v>29</v>
      </c>
      <c r="H734" t="s">
        <v>283</v>
      </c>
    </row>
    <row r="735" spans="1:8" x14ac:dyDescent="0.25">
      <c r="A735" t="s">
        <v>623</v>
      </c>
      <c r="B735" t="s">
        <v>280</v>
      </c>
      <c r="C735" s="5">
        <v>1723782</v>
      </c>
      <c r="D735" s="5">
        <v>18309</v>
      </c>
      <c r="E735">
        <v>1665367</v>
      </c>
      <c r="F735" s="4" t="s">
        <v>165</v>
      </c>
      <c r="G735" t="s">
        <v>29</v>
      </c>
      <c r="H735" t="s">
        <v>166</v>
      </c>
    </row>
    <row r="736" spans="1:8" x14ac:dyDescent="0.25">
      <c r="A736" t="s">
        <v>623</v>
      </c>
      <c r="B736" t="s">
        <v>279</v>
      </c>
      <c r="C736" s="5">
        <v>878366</v>
      </c>
      <c r="D736" s="5">
        <v>11145</v>
      </c>
      <c r="E736">
        <v>46266</v>
      </c>
      <c r="F736" s="4" t="s">
        <v>53</v>
      </c>
      <c r="G736" t="s">
        <v>29</v>
      </c>
      <c r="H736" t="s">
        <v>54</v>
      </c>
    </row>
    <row r="737" spans="1:8" x14ac:dyDescent="0.25">
      <c r="A737" t="s">
        <v>623</v>
      </c>
      <c r="B737" t="s">
        <v>278</v>
      </c>
      <c r="C737" s="5">
        <v>89746</v>
      </c>
      <c r="D737" s="5">
        <v>2287</v>
      </c>
      <c r="E737">
        <v>67939</v>
      </c>
      <c r="F737" s="4" t="s">
        <v>513</v>
      </c>
      <c r="G737" t="s">
        <v>29</v>
      </c>
      <c r="H737" t="s">
        <v>514</v>
      </c>
    </row>
    <row r="738" spans="1:8" x14ac:dyDescent="0.25">
      <c r="A738" t="s">
        <v>623</v>
      </c>
      <c r="B738" t="s">
        <v>275</v>
      </c>
      <c r="C738" s="5">
        <v>4812594</v>
      </c>
      <c r="D738" s="5">
        <v>132423</v>
      </c>
      <c r="E738">
        <v>3619151</v>
      </c>
      <c r="F738" s="4" t="s">
        <v>276</v>
      </c>
      <c r="G738" t="s">
        <v>29</v>
      </c>
      <c r="H738" t="s">
        <v>277</v>
      </c>
    </row>
    <row r="739" spans="1:8" x14ac:dyDescent="0.25">
      <c r="A739" t="s">
        <v>623</v>
      </c>
      <c r="B739" t="s">
        <v>272</v>
      </c>
      <c r="C739" s="5">
        <v>14571</v>
      </c>
      <c r="D739" s="5">
        <v>34</v>
      </c>
      <c r="E739">
        <v>4761</v>
      </c>
      <c r="F739" s="4" t="s">
        <v>273</v>
      </c>
      <c r="G739" t="s">
        <v>29</v>
      </c>
      <c r="H739" t="s">
        <v>274</v>
      </c>
    </row>
    <row r="740" spans="1:8" x14ac:dyDescent="0.25">
      <c r="A740" t="s">
        <v>623</v>
      </c>
      <c r="B740" t="s">
        <v>269</v>
      </c>
      <c r="C740" s="5">
        <v>5996155</v>
      </c>
      <c r="D740" s="5">
        <v>127439</v>
      </c>
      <c r="E740">
        <v>2680900</v>
      </c>
      <c r="F740" s="4" t="s">
        <v>650</v>
      </c>
      <c r="G740" t="s">
        <v>29</v>
      </c>
      <c r="H740" t="s">
        <v>651</v>
      </c>
    </row>
    <row r="741" spans="1:8" x14ac:dyDescent="0.25">
      <c r="A741" t="s">
        <v>623</v>
      </c>
      <c r="B741" t="s">
        <v>266</v>
      </c>
      <c r="C741" s="5">
        <v>2064011</v>
      </c>
      <c r="D741" s="5">
        <v>23372</v>
      </c>
      <c r="E741">
        <v>1446123</v>
      </c>
      <c r="F741" s="4" t="s">
        <v>267</v>
      </c>
      <c r="G741" t="s">
        <v>29</v>
      </c>
      <c r="H741" t="s">
        <v>268</v>
      </c>
    </row>
    <row r="742" spans="1:8" x14ac:dyDescent="0.25">
      <c r="A742" t="s">
        <v>623</v>
      </c>
      <c r="B742" t="s">
        <v>263</v>
      </c>
      <c r="C742" s="5">
        <v>34377113</v>
      </c>
      <c r="D742" s="5">
        <v>461389</v>
      </c>
      <c r="E742">
        <v>15491779</v>
      </c>
      <c r="F742" s="4" t="s">
        <v>264</v>
      </c>
      <c r="G742" t="s">
        <v>29</v>
      </c>
      <c r="H742" t="s">
        <v>265</v>
      </c>
    </row>
    <row r="743" spans="1:8" x14ac:dyDescent="0.25">
      <c r="A743" t="s">
        <v>623</v>
      </c>
      <c r="B743" t="s">
        <v>260</v>
      </c>
      <c r="C743" s="5">
        <v>1334766</v>
      </c>
      <c r="D743" s="5">
        <v>8124</v>
      </c>
      <c r="E743">
        <v>978945</v>
      </c>
      <c r="F743" s="4" t="s">
        <v>261</v>
      </c>
      <c r="G743" t="s">
        <v>29</v>
      </c>
      <c r="H743" t="s">
        <v>262</v>
      </c>
    </row>
    <row r="744" spans="1:8" x14ac:dyDescent="0.25">
      <c r="A744" t="s">
        <v>623</v>
      </c>
      <c r="B744" t="s">
        <v>257</v>
      </c>
      <c r="C744" s="5">
        <v>472547</v>
      </c>
      <c r="D744" s="5">
        <v>5492</v>
      </c>
      <c r="E744">
        <v>201952</v>
      </c>
      <c r="F744" s="4" t="s">
        <v>258</v>
      </c>
      <c r="G744" t="s">
        <v>29</v>
      </c>
      <c r="H744" t="s">
        <v>259</v>
      </c>
    </row>
    <row r="745" spans="1:8" x14ac:dyDescent="0.25">
      <c r="A745" t="s">
        <v>623</v>
      </c>
      <c r="B745" t="s">
        <v>254</v>
      </c>
      <c r="C745" s="5">
        <v>4248409</v>
      </c>
      <c r="D745" s="5">
        <v>143557</v>
      </c>
      <c r="E745">
        <v>638292</v>
      </c>
      <c r="F745" s="4" t="s">
        <v>255</v>
      </c>
      <c r="G745" t="s">
        <v>29</v>
      </c>
      <c r="H745" t="s">
        <v>256</v>
      </c>
    </row>
    <row r="746" spans="1:8" x14ac:dyDescent="0.25">
      <c r="A746" t="s">
        <v>623</v>
      </c>
      <c r="B746" t="s">
        <v>251</v>
      </c>
      <c r="C746" s="5">
        <v>909998</v>
      </c>
      <c r="D746" s="5">
        <v>31398</v>
      </c>
      <c r="E746">
        <v>20110</v>
      </c>
      <c r="F746" s="4" t="s">
        <v>388</v>
      </c>
      <c r="G746" t="s">
        <v>29</v>
      </c>
      <c r="H746" t="s">
        <v>389</v>
      </c>
    </row>
    <row r="747" spans="1:8" x14ac:dyDescent="0.25">
      <c r="A747" t="s">
        <v>623</v>
      </c>
      <c r="B747" t="s">
        <v>248</v>
      </c>
      <c r="C747" s="5">
        <v>24233</v>
      </c>
      <c r="D747" s="5">
        <v>702</v>
      </c>
      <c r="E747">
        <v>26</v>
      </c>
      <c r="F747" s="4" t="s">
        <v>249</v>
      </c>
      <c r="G747" t="s">
        <v>29</v>
      </c>
      <c r="H747" t="s">
        <v>250</v>
      </c>
    </row>
    <row r="748" spans="1:8" x14ac:dyDescent="0.25">
      <c r="A748" t="s">
        <v>623</v>
      </c>
      <c r="B748" t="s">
        <v>245</v>
      </c>
      <c r="C748" s="5">
        <v>502569</v>
      </c>
      <c r="D748" s="5">
        <v>9546</v>
      </c>
      <c r="E748">
        <v>147040</v>
      </c>
      <c r="F748" s="4" t="s">
        <v>652</v>
      </c>
      <c r="G748" t="s">
        <v>29</v>
      </c>
      <c r="H748" t="s">
        <v>653</v>
      </c>
    </row>
    <row r="749" spans="1:8" x14ac:dyDescent="0.25">
      <c r="A749" t="s">
        <v>623</v>
      </c>
      <c r="B749" t="s">
        <v>242</v>
      </c>
      <c r="C749" s="5">
        <v>376595</v>
      </c>
      <c r="D749" s="5">
        <v>10312</v>
      </c>
      <c r="E749">
        <v>157704</v>
      </c>
      <c r="F749" s="4" t="s">
        <v>243</v>
      </c>
      <c r="G749" t="s">
        <v>29</v>
      </c>
      <c r="H749" t="s">
        <v>244</v>
      </c>
    </row>
    <row r="750" spans="1:8" x14ac:dyDescent="0.25">
      <c r="A750" t="s">
        <v>623</v>
      </c>
      <c r="B750" t="s">
        <v>239</v>
      </c>
      <c r="C750" s="5">
        <v>12368</v>
      </c>
      <c r="D750" s="5">
        <v>213</v>
      </c>
      <c r="E750">
        <v>8979</v>
      </c>
      <c r="F750" s="4" t="s">
        <v>240</v>
      </c>
      <c r="G750" t="s">
        <v>29</v>
      </c>
      <c r="H750" t="s">
        <v>241</v>
      </c>
    </row>
    <row r="751" spans="1:8" x14ac:dyDescent="0.25">
      <c r="A751" t="s">
        <v>623</v>
      </c>
      <c r="B751" t="s">
        <v>236</v>
      </c>
      <c r="C751" s="5">
        <v>36257</v>
      </c>
      <c r="D751" s="5">
        <v>945</v>
      </c>
      <c r="E751">
        <v>18616</v>
      </c>
      <c r="F751" s="4" t="s">
        <v>237</v>
      </c>
      <c r="G751" t="s">
        <v>29</v>
      </c>
      <c r="H751" t="s">
        <v>238</v>
      </c>
    </row>
    <row r="752" spans="1:8" x14ac:dyDescent="0.25">
      <c r="A752" t="s">
        <v>623</v>
      </c>
      <c r="B752" t="s">
        <v>233</v>
      </c>
      <c r="C752" s="5">
        <v>6150</v>
      </c>
      <c r="D752" s="5">
        <v>143</v>
      </c>
      <c r="E752">
        <v>389</v>
      </c>
      <c r="F752" s="4" t="s">
        <v>581</v>
      </c>
      <c r="G752" t="s">
        <v>29</v>
      </c>
      <c r="H752" t="s">
        <v>582</v>
      </c>
    </row>
    <row r="753" spans="1:8" x14ac:dyDescent="0.25">
      <c r="A753" t="s">
        <v>623</v>
      </c>
      <c r="B753" t="s">
        <v>232</v>
      </c>
      <c r="C753" s="5">
        <v>605749</v>
      </c>
      <c r="D753" s="5">
        <v>15474</v>
      </c>
      <c r="E753">
        <v>181438</v>
      </c>
      <c r="F753" s="4" t="s">
        <v>513</v>
      </c>
      <c r="G753" t="s">
        <v>29</v>
      </c>
      <c r="H753" t="s">
        <v>514</v>
      </c>
    </row>
    <row r="754" spans="1:8" x14ac:dyDescent="0.25">
      <c r="A754" t="s">
        <v>623</v>
      </c>
      <c r="B754" t="s">
        <v>229</v>
      </c>
      <c r="C754" s="5">
        <v>792239</v>
      </c>
      <c r="D754" s="5">
        <v>16361</v>
      </c>
      <c r="E754">
        <v>173701</v>
      </c>
      <c r="F754" s="4" t="s">
        <v>310</v>
      </c>
      <c r="G754" t="s">
        <v>29</v>
      </c>
      <c r="H754" t="s">
        <v>311</v>
      </c>
    </row>
    <row r="755" spans="1:8" x14ac:dyDescent="0.25">
      <c r="A755" t="s">
        <v>623</v>
      </c>
      <c r="B755" t="s">
        <v>228</v>
      </c>
      <c r="C755" s="5">
        <v>13459</v>
      </c>
      <c r="D755" s="5">
        <v>168</v>
      </c>
      <c r="E755">
        <v>4739</v>
      </c>
      <c r="F755" s="4" t="s">
        <v>107</v>
      </c>
      <c r="G755" t="s">
        <v>29</v>
      </c>
      <c r="H755" t="s">
        <v>108</v>
      </c>
    </row>
    <row r="756" spans="1:8" x14ac:dyDescent="0.25">
      <c r="A756" t="s">
        <v>623</v>
      </c>
      <c r="B756" t="s">
        <v>225</v>
      </c>
      <c r="C756" s="5">
        <v>54474</v>
      </c>
      <c r="D756" s="5">
        <v>820</v>
      </c>
      <c r="E756">
        <v>23593</v>
      </c>
      <c r="F756" s="4" t="s">
        <v>202</v>
      </c>
      <c r="G756" t="s">
        <v>29</v>
      </c>
      <c r="H756" t="s">
        <v>203</v>
      </c>
    </row>
    <row r="757" spans="1:8" x14ac:dyDescent="0.25">
      <c r="A757" t="s">
        <v>623</v>
      </c>
      <c r="B757" t="s">
        <v>222</v>
      </c>
      <c r="C757" s="5">
        <v>30709</v>
      </c>
      <c r="D757" s="5">
        <v>387</v>
      </c>
      <c r="E757">
        <v>11202</v>
      </c>
      <c r="F757" s="4" t="s">
        <v>223</v>
      </c>
      <c r="G757" t="s">
        <v>29</v>
      </c>
      <c r="H757" t="s">
        <v>224</v>
      </c>
    </row>
    <row r="758" spans="1:8" x14ac:dyDescent="0.25">
      <c r="A758" t="s">
        <v>623</v>
      </c>
      <c r="B758" t="s">
        <v>219</v>
      </c>
      <c r="C758" s="5">
        <v>9973</v>
      </c>
      <c r="D758" s="5">
        <v>341</v>
      </c>
      <c r="E758">
        <v>4727</v>
      </c>
      <c r="F758" s="4" t="s">
        <v>220</v>
      </c>
      <c r="G758" t="s">
        <v>29</v>
      </c>
      <c r="H758" t="s">
        <v>221</v>
      </c>
    </row>
    <row r="759" spans="1:8" x14ac:dyDescent="0.25">
      <c r="A759" t="s">
        <v>623</v>
      </c>
      <c r="B759" t="s">
        <v>216</v>
      </c>
      <c r="C759" s="5">
        <v>6168</v>
      </c>
      <c r="D759" s="5">
        <v>98</v>
      </c>
      <c r="E759">
        <v>1878</v>
      </c>
      <c r="F759" s="4" t="s">
        <v>361</v>
      </c>
      <c r="G759" t="s">
        <v>29</v>
      </c>
      <c r="H759" t="s">
        <v>362</v>
      </c>
    </row>
    <row r="760" spans="1:8" x14ac:dyDescent="0.25">
      <c r="A760" t="s">
        <v>623</v>
      </c>
      <c r="B760" t="s">
        <v>213</v>
      </c>
      <c r="C760" s="5">
        <v>130391</v>
      </c>
      <c r="D760" s="5">
        <v>1188</v>
      </c>
      <c r="E760">
        <v>115788</v>
      </c>
      <c r="F760" s="4" t="s">
        <v>146</v>
      </c>
      <c r="G760" t="s">
        <v>29</v>
      </c>
      <c r="H760" t="s">
        <v>147</v>
      </c>
    </row>
    <row r="761" spans="1:8" x14ac:dyDescent="0.25">
      <c r="A761" t="s">
        <v>623</v>
      </c>
      <c r="B761" t="s">
        <v>210</v>
      </c>
      <c r="C761" s="5">
        <v>45028</v>
      </c>
      <c r="D761" s="5">
        <v>315</v>
      </c>
      <c r="E761">
        <v>44312</v>
      </c>
      <c r="F761" s="4" t="s">
        <v>211</v>
      </c>
      <c r="G761" t="s">
        <v>29</v>
      </c>
      <c r="H761" t="s">
        <v>212</v>
      </c>
    </row>
    <row r="762" spans="1:8" x14ac:dyDescent="0.25">
      <c r="A762" t="s">
        <v>623</v>
      </c>
      <c r="B762" t="s">
        <v>207</v>
      </c>
      <c r="C762" s="5">
        <v>755046</v>
      </c>
      <c r="D762" s="5">
        <v>10509</v>
      </c>
      <c r="E762">
        <v>179554</v>
      </c>
      <c r="F762" s="4" t="s">
        <v>208</v>
      </c>
      <c r="G762" t="s">
        <v>29</v>
      </c>
      <c r="H762" t="s">
        <v>209</v>
      </c>
    </row>
    <row r="763" spans="1:8" x14ac:dyDescent="0.25">
      <c r="A763" t="s">
        <v>623</v>
      </c>
      <c r="B763" t="s">
        <v>204</v>
      </c>
      <c r="C763" s="5">
        <v>5863</v>
      </c>
      <c r="D763" s="5">
        <v>200</v>
      </c>
      <c r="E763">
        <v>1255</v>
      </c>
      <c r="F763" s="4" t="s">
        <v>205</v>
      </c>
      <c r="G763" t="s">
        <v>29</v>
      </c>
      <c r="H763" t="s">
        <v>206</v>
      </c>
    </row>
    <row r="764" spans="1:8" x14ac:dyDescent="0.25">
      <c r="A764" t="s">
        <v>623</v>
      </c>
      <c r="B764" t="s">
        <v>201</v>
      </c>
      <c r="C764" s="5">
        <v>9373118</v>
      </c>
      <c r="D764" s="5">
        <v>142195</v>
      </c>
      <c r="E764">
        <v>6023751</v>
      </c>
      <c r="F764" s="4" t="s">
        <v>589</v>
      </c>
      <c r="G764" t="s">
        <v>29</v>
      </c>
      <c r="H764" t="s">
        <v>590</v>
      </c>
    </row>
    <row r="765" spans="1:8" x14ac:dyDescent="0.25">
      <c r="A765" t="s">
        <v>623</v>
      </c>
      <c r="B765" t="s">
        <v>198</v>
      </c>
      <c r="C765" s="5">
        <v>36310</v>
      </c>
      <c r="D765" s="5">
        <v>259</v>
      </c>
      <c r="E765">
        <v>10669</v>
      </c>
      <c r="F765" s="4" t="s">
        <v>488</v>
      </c>
      <c r="G765" t="s">
        <v>29</v>
      </c>
      <c r="H765" t="s">
        <v>489</v>
      </c>
    </row>
    <row r="766" spans="1:8" x14ac:dyDescent="0.25">
      <c r="A766" t="s">
        <v>623</v>
      </c>
      <c r="B766" t="s">
        <v>195</v>
      </c>
      <c r="C766" s="5">
        <v>7040242</v>
      </c>
      <c r="D766" s="5">
        <v>115565</v>
      </c>
      <c r="E766">
        <v>109702</v>
      </c>
      <c r="F766" s="4" t="s">
        <v>196</v>
      </c>
      <c r="G766" t="s">
        <v>29</v>
      </c>
      <c r="H766" t="s">
        <v>197</v>
      </c>
    </row>
    <row r="767" spans="1:8" x14ac:dyDescent="0.25">
      <c r="A767" t="s">
        <v>623</v>
      </c>
      <c r="B767" t="s">
        <v>192</v>
      </c>
      <c r="C767" s="5">
        <v>2667</v>
      </c>
      <c r="D767" s="5">
        <v>6</v>
      </c>
      <c r="E767">
        <v>471</v>
      </c>
      <c r="F767" s="4" t="s">
        <v>193</v>
      </c>
      <c r="G767" t="s">
        <v>29</v>
      </c>
      <c r="H767" t="s">
        <v>194</v>
      </c>
    </row>
    <row r="768" spans="1:8" x14ac:dyDescent="0.25">
      <c r="A768" t="s">
        <v>623</v>
      </c>
      <c r="B768" t="s">
        <v>189</v>
      </c>
      <c r="C768" s="5">
        <v>52298</v>
      </c>
      <c r="D768" s="5">
        <v>675</v>
      </c>
      <c r="E768">
        <v>28690</v>
      </c>
      <c r="F768" s="4" t="s">
        <v>417</v>
      </c>
      <c r="G768" t="s">
        <v>29</v>
      </c>
      <c r="H768" t="s">
        <v>418</v>
      </c>
    </row>
    <row r="769" spans="1:8" x14ac:dyDescent="0.25">
      <c r="A769" t="s">
        <v>623</v>
      </c>
      <c r="B769" t="s">
        <v>186</v>
      </c>
      <c r="C769" s="5">
        <v>164492</v>
      </c>
      <c r="D769" s="5">
        <v>1200</v>
      </c>
      <c r="E769">
        <v>153361</v>
      </c>
      <c r="F769" s="4" t="s">
        <v>187</v>
      </c>
      <c r="G769" t="s">
        <v>29</v>
      </c>
      <c r="H769" t="s">
        <v>188</v>
      </c>
    </row>
    <row r="770" spans="1:8" x14ac:dyDescent="0.25">
      <c r="A770" t="s">
        <v>623</v>
      </c>
      <c r="B770" t="s">
        <v>185</v>
      </c>
      <c r="C770" s="5">
        <v>367369</v>
      </c>
      <c r="D770" s="5">
        <v>6551</v>
      </c>
      <c r="E770">
        <v>150811</v>
      </c>
      <c r="F770" s="4" t="s">
        <v>68</v>
      </c>
      <c r="G770" t="s">
        <v>29</v>
      </c>
      <c r="H770" t="s">
        <v>69</v>
      </c>
    </row>
    <row r="771" spans="1:8" x14ac:dyDescent="0.25">
      <c r="A771" t="s">
        <v>623</v>
      </c>
      <c r="B771" t="s">
        <v>182</v>
      </c>
      <c r="C771" s="5">
        <v>5032056</v>
      </c>
      <c r="D771" s="5">
        <v>87558</v>
      </c>
      <c r="E771">
        <v>3452461</v>
      </c>
      <c r="F771" s="4" t="s">
        <v>183</v>
      </c>
      <c r="G771" t="s">
        <v>29</v>
      </c>
      <c r="H771" t="s">
        <v>184</v>
      </c>
    </row>
    <row r="772" spans="1:8" x14ac:dyDescent="0.25">
      <c r="A772" t="s">
        <v>623</v>
      </c>
      <c r="B772" t="s">
        <v>179</v>
      </c>
      <c r="C772" s="5">
        <v>6959</v>
      </c>
      <c r="D772" s="5">
        <v>47</v>
      </c>
      <c r="E772">
        <v>352</v>
      </c>
      <c r="F772" s="4" t="s">
        <v>605</v>
      </c>
      <c r="G772" t="s">
        <v>29</v>
      </c>
      <c r="H772" t="s">
        <v>606</v>
      </c>
    </row>
    <row r="773" spans="1:8" x14ac:dyDescent="0.25">
      <c r="A773" t="s">
        <v>623</v>
      </c>
      <c r="B773" t="s">
        <v>176</v>
      </c>
      <c r="C773" s="5">
        <v>338414</v>
      </c>
      <c r="D773" s="5">
        <v>19130</v>
      </c>
      <c r="E773">
        <v>214067</v>
      </c>
      <c r="F773" s="4" t="s">
        <v>575</v>
      </c>
      <c r="G773" t="s">
        <v>29</v>
      </c>
      <c r="H773" t="s">
        <v>576</v>
      </c>
    </row>
    <row r="774" spans="1:8" x14ac:dyDescent="0.25">
      <c r="A774" t="s">
        <v>623</v>
      </c>
      <c r="B774" t="s">
        <v>173</v>
      </c>
      <c r="C774" s="5">
        <v>205883</v>
      </c>
      <c r="D774" s="5">
        <v>1617</v>
      </c>
      <c r="E774">
        <v>129102</v>
      </c>
      <c r="F774" s="4" t="s">
        <v>174</v>
      </c>
      <c r="G774" t="s">
        <v>29</v>
      </c>
      <c r="H774" t="s">
        <v>175</v>
      </c>
    </row>
    <row r="775" spans="1:8" x14ac:dyDescent="0.25">
      <c r="A775" t="s">
        <v>623</v>
      </c>
      <c r="B775" t="s">
        <v>170</v>
      </c>
      <c r="C775" s="5">
        <v>519386</v>
      </c>
      <c r="D775" s="5">
        <v>32989</v>
      </c>
      <c r="E775">
        <v>77193</v>
      </c>
      <c r="F775" s="4" t="s">
        <v>171</v>
      </c>
      <c r="G775" t="s">
        <v>29</v>
      </c>
      <c r="H775" t="s">
        <v>172</v>
      </c>
    </row>
    <row r="776" spans="1:8" x14ac:dyDescent="0.25">
      <c r="A776" t="s">
        <v>623</v>
      </c>
      <c r="B776" t="s">
        <v>167</v>
      </c>
      <c r="C776" s="5">
        <v>207254</v>
      </c>
      <c r="D776" s="5">
        <v>5950</v>
      </c>
      <c r="E776">
        <v>127972</v>
      </c>
      <c r="F776" s="4" t="s">
        <v>168</v>
      </c>
      <c r="G776" t="s">
        <v>29</v>
      </c>
      <c r="H776" t="s">
        <v>169</v>
      </c>
    </row>
    <row r="777" spans="1:8" x14ac:dyDescent="0.25">
      <c r="A777" t="s">
        <v>623</v>
      </c>
      <c r="B777" t="s">
        <v>164</v>
      </c>
      <c r="C777" s="5">
        <v>389090</v>
      </c>
      <c r="D777" s="5">
        <v>4153</v>
      </c>
      <c r="E777">
        <v>374272</v>
      </c>
      <c r="F777" s="4" t="s">
        <v>654</v>
      </c>
      <c r="G777" t="s">
        <v>29</v>
      </c>
      <c r="H777" t="s">
        <v>655</v>
      </c>
    </row>
    <row r="778" spans="1:8" x14ac:dyDescent="0.25">
      <c r="A778" t="s">
        <v>623</v>
      </c>
      <c r="B778" t="s">
        <v>161</v>
      </c>
      <c r="C778" s="5">
        <v>5070</v>
      </c>
      <c r="D778" s="5">
        <v>33</v>
      </c>
      <c r="E778">
        <v>1688</v>
      </c>
      <c r="F778" s="4" t="s">
        <v>86</v>
      </c>
      <c r="G778" t="s">
        <v>29</v>
      </c>
      <c r="H778" t="s">
        <v>87</v>
      </c>
    </row>
    <row r="779" spans="1:8" x14ac:dyDescent="0.25">
      <c r="A779" t="s">
        <v>623</v>
      </c>
      <c r="B779" t="s">
        <v>160</v>
      </c>
      <c r="C779" s="5">
        <v>405737</v>
      </c>
      <c r="D779" s="5">
        <v>2740</v>
      </c>
      <c r="E779">
        <v>328667</v>
      </c>
      <c r="F779" s="4" t="s">
        <v>605</v>
      </c>
      <c r="G779" t="s">
        <v>29</v>
      </c>
      <c r="H779" t="s">
        <v>606</v>
      </c>
    </row>
    <row r="780" spans="1:8" x14ac:dyDescent="0.25">
      <c r="A780" t="s">
        <v>623</v>
      </c>
      <c r="B780" t="s">
        <v>157</v>
      </c>
      <c r="C780" s="5">
        <v>13493</v>
      </c>
      <c r="D780" s="5">
        <v>186</v>
      </c>
      <c r="E780">
        <v>898</v>
      </c>
      <c r="F780" s="4" t="s">
        <v>158</v>
      </c>
      <c r="G780" t="s">
        <v>29</v>
      </c>
      <c r="H780" t="s">
        <v>159</v>
      </c>
    </row>
    <row r="781" spans="1:8" x14ac:dyDescent="0.25">
      <c r="A781" t="s">
        <v>623</v>
      </c>
      <c r="B781" t="s">
        <v>154</v>
      </c>
      <c r="C781" s="5">
        <v>4816177</v>
      </c>
      <c r="D781" s="5">
        <v>96731</v>
      </c>
      <c r="E781">
        <v>518113</v>
      </c>
      <c r="F781" s="4" t="s">
        <v>656</v>
      </c>
      <c r="G781" t="s">
        <v>29</v>
      </c>
      <c r="H781" t="s">
        <v>657</v>
      </c>
    </row>
    <row r="782" spans="1:8" x14ac:dyDescent="0.25">
      <c r="A782" t="s">
        <v>623</v>
      </c>
      <c r="B782" t="s">
        <v>151</v>
      </c>
      <c r="C782" s="5">
        <v>1819158</v>
      </c>
      <c r="D782" s="5">
        <v>31053</v>
      </c>
      <c r="E782">
        <v>119802</v>
      </c>
      <c r="F782" s="4" t="s">
        <v>658</v>
      </c>
      <c r="G782" t="s">
        <v>29</v>
      </c>
      <c r="H782" t="s">
        <v>659</v>
      </c>
    </row>
    <row r="783" spans="1:8" x14ac:dyDescent="0.25">
      <c r="A783" t="s">
        <v>623</v>
      </c>
      <c r="B783" t="s">
        <v>148</v>
      </c>
      <c r="C783" s="5">
        <v>125947</v>
      </c>
      <c r="D783" s="5">
        <v>577</v>
      </c>
      <c r="E783">
        <v>9269</v>
      </c>
      <c r="F783" s="4" t="s">
        <v>149</v>
      </c>
      <c r="G783" t="s">
        <v>29</v>
      </c>
      <c r="H783" t="s">
        <v>150</v>
      </c>
    </row>
    <row r="784" spans="1:8" x14ac:dyDescent="0.25">
      <c r="A784" t="s">
        <v>623</v>
      </c>
      <c r="B784" t="s">
        <v>145</v>
      </c>
      <c r="C784" s="5">
        <v>38263</v>
      </c>
      <c r="D784" s="5">
        <v>350</v>
      </c>
      <c r="E784">
        <v>23479</v>
      </c>
      <c r="F784" s="4" t="s">
        <v>146</v>
      </c>
      <c r="G784" t="s">
        <v>29</v>
      </c>
      <c r="H784" t="s">
        <v>147</v>
      </c>
    </row>
    <row r="785" spans="1:8" x14ac:dyDescent="0.25">
      <c r="A785" t="s">
        <v>623</v>
      </c>
      <c r="B785" t="s">
        <v>144</v>
      </c>
      <c r="C785" s="5">
        <v>956452</v>
      </c>
      <c r="D785" s="5">
        <v>8265</v>
      </c>
      <c r="E785">
        <v>776852</v>
      </c>
      <c r="F785" s="4" t="s">
        <v>122</v>
      </c>
      <c r="G785" t="s">
        <v>29</v>
      </c>
      <c r="H785" t="s">
        <v>123</v>
      </c>
    </row>
    <row r="786" spans="1:8" x14ac:dyDescent="0.25">
      <c r="A786" t="s">
        <v>623</v>
      </c>
      <c r="B786" t="s">
        <v>143</v>
      </c>
      <c r="C786" s="5">
        <v>562966</v>
      </c>
      <c r="D786" s="5">
        <v>7164</v>
      </c>
      <c r="E786">
        <v>551231</v>
      </c>
      <c r="F786" s="4" t="s">
        <v>53</v>
      </c>
      <c r="G786" t="s">
        <v>29</v>
      </c>
      <c r="H786" t="s">
        <v>54</v>
      </c>
    </row>
    <row r="787" spans="1:8" x14ac:dyDescent="0.25">
      <c r="A787" t="s">
        <v>623</v>
      </c>
      <c r="B787" t="s">
        <v>140</v>
      </c>
      <c r="C787" s="5">
        <v>5016959</v>
      </c>
      <c r="D787" s="5">
        <v>127571</v>
      </c>
      <c r="E787">
        <v>3679047</v>
      </c>
      <c r="F787" s="4" t="s">
        <v>141</v>
      </c>
      <c r="G787" t="s">
        <v>29</v>
      </c>
      <c r="H787" t="s">
        <v>142</v>
      </c>
    </row>
    <row r="788" spans="1:8" x14ac:dyDescent="0.25">
      <c r="A788" t="s">
        <v>623</v>
      </c>
      <c r="B788" t="s">
        <v>137</v>
      </c>
      <c r="C788" s="5">
        <v>97885</v>
      </c>
      <c r="D788" s="5">
        <v>4636</v>
      </c>
      <c r="E788">
        <v>40226</v>
      </c>
      <c r="F788" s="4" t="s">
        <v>660</v>
      </c>
      <c r="G788" t="s">
        <v>29</v>
      </c>
      <c r="H788" t="s">
        <v>661</v>
      </c>
    </row>
    <row r="789" spans="1:8" x14ac:dyDescent="0.25">
      <c r="A789" t="s">
        <v>623</v>
      </c>
      <c r="B789" t="s">
        <v>134</v>
      </c>
      <c r="C789" s="5">
        <v>104348</v>
      </c>
      <c r="D789" s="5">
        <v>1731</v>
      </c>
      <c r="E789">
        <v>90149</v>
      </c>
      <c r="F789" s="4" t="s">
        <v>135</v>
      </c>
      <c r="G789" t="s">
        <v>29</v>
      </c>
      <c r="H789" t="s">
        <v>136</v>
      </c>
    </row>
    <row r="790" spans="1:8" x14ac:dyDescent="0.25">
      <c r="A790" t="s">
        <v>623</v>
      </c>
      <c r="B790" t="s">
        <v>131</v>
      </c>
      <c r="C790" s="5">
        <v>1711442</v>
      </c>
      <c r="D790" s="5">
        <v>37879</v>
      </c>
      <c r="E790">
        <v>83323</v>
      </c>
      <c r="F790" s="4" t="s">
        <v>132</v>
      </c>
      <c r="G790" t="s">
        <v>29</v>
      </c>
      <c r="H790" t="s">
        <v>133</v>
      </c>
    </row>
    <row r="791" spans="1:8" x14ac:dyDescent="0.25">
      <c r="A791" t="s">
        <v>623</v>
      </c>
      <c r="B791" t="s">
        <v>128</v>
      </c>
      <c r="C791" s="5">
        <v>61426</v>
      </c>
      <c r="D791" s="5">
        <v>699</v>
      </c>
      <c r="E791">
        <v>27728</v>
      </c>
      <c r="F791" s="4" t="s">
        <v>129</v>
      </c>
      <c r="G791" t="s">
        <v>29</v>
      </c>
      <c r="H791" t="s">
        <v>130</v>
      </c>
    </row>
    <row r="792" spans="1:8" x14ac:dyDescent="0.25">
      <c r="A792" t="s">
        <v>623</v>
      </c>
      <c r="B792" t="s">
        <v>127</v>
      </c>
      <c r="C792" s="5">
        <v>894093</v>
      </c>
      <c r="D792" s="5">
        <v>11282</v>
      </c>
      <c r="E792">
        <v>690789</v>
      </c>
      <c r="F792" s="4" t="s">
        <v>223</v>
      </c>
      <c r="G792" t="s">
        <v>29</v>
      </c>
      <c r="H792" t="s">
        <v>224</v>
      </c>
    </row>
    <row r="793" spans="1:8" x14ac:dyDescent="0.25">
      <c r="A793" t="s">
        <v>623</v>
      </c>
      <c r="B793" t="s">
        <v>124</v>
      </c>
      <c r="C793" s="5">
        <v>18153</v>
      </c>
      <c r="D793" s="5">
        <v>309</v>
      </c>
      <c r="E793">
        <v>7758</v>
      </c>
      <c r="F793" s="4" t="s">
        <v>125</v>
      </c>
      <c r="G793" t="s">
        <v>29</v>
      </c>
      <c r="H793" t="s">
        <v>126</v>
      </c>
    </row>
    <row r="794" spans="1:8" x14ac:dyDescent="0.25">
      <c r="A794" t="s">
        <v>623</v>
      </c>
      <c r="B794" t="s">
        <v>121</v>
      </c>
      <c r="C794" s="5">
        <v>11579</v>
      </c>
      <c r="D794" s="5">
        <v>100</v>
      </c>
      <c r="E794">
        <v>4975</v>
      </c>
      <c r="F794" s="4" t="s">
        <v>122</v>
      </c>
      <c r="G794" t="s">
        <v>29</v>
      </c>
      <c r="H794" t="s">
        <v>123</v>
      </c>
    </row>
    <row r="795" spans="1:8" x14ac:dyDescent="0.25">
      <c r="A795" t="s">
        <v>623</v>
      </c>
      <c r="B795" t="s">
        <v>118</v>
      </c>
      <c r="C795" s="5">
        <v>57638</v>
      </c>
      <c r="D795" s="5">
        <v>1099</v>
      </c>
      <c r="E795">
        <v>38195</v>
      </c>
      <c r="F795" s="4" t="s">
        <v>119</v>
      </c>
      <c r="G795" t="s">
        <v>29</v>
      </c>
      <c r="H795" t="s">
        <v>120</v>
      </c>
    </row>
    <row r="796" spans="1:8" x14ac:dyDescent="0.25">
      <c r="A796" t="s">
        <v>623</v>
      </c>
      <c r="B796" t="s">
        <v>115</v>
      </c>
      <c r="C796" s="5">
        <v>1743338</v>
      </c>
      <c r="D796" s="5">
        <v>29246</v>
      </c>
      <c r="E796">
        <v>1612969</v>
      </c>
      <c r="F796" s="4" t="s">
        <v>116</v>
      </c>
      <c r="G796" t="s">
        <v>29</v>
      </c>
      <c r="H796" t="s">
        <v>117</v>
      </c>
    </row>
    <row r="797" spans="1:8" x14ac:dyDescent="0.25">
      <c r="A797" t="s">
        <v>623</v>
      </c>
      <c r="B797" t="s">
        <v>112</v>
      </c>
      <c r="C797" s="5">
        <v>28162</v>
      </c>
      <c r="D797" s="5">
        <v>509</v>
      </c>
      <c r="E797">
        <v>19812</v>
      </c>
      <c r="F797" s="4" t="s">
        <v>571</v>
      </c>
      <c r="G797" t="s">
        <v>29</v>
      </c>
      <c r="H797" t="s">
        <v>572</v>
      </c>
    </row>
    <row r="798" spans="1:8" x14ac:dyDescent="0.25">
      <c r="A798" t="s">
        <v>623</v>
      </c>
      <c r="B798" t="s">
        <v>109</v>
      </c>
      <c r="C798" s="5">
        <v>615814</v>
      </c>
      <c r="D798" s="5">
        <v>4758</v>
      </c>
      <c r="E798">
        <v>220002</v>
      </c>
      <c r="F798" s="4" t="s">
        <v>110</v>
      </c>
      <c r="G798" t="s">
        <v>29</v>
      </c>
      <c r="H798" t="s">
        <v>111</v>
      </c>
    </row>
    <row r="799" spans="1:8" x14ac:dyDescent="0.25">
      <c r="A799" t="s">
        <v>623</v>
      </c>
      <c r="B799" t="s">
        <v>106</v>
      </c>
      <c r="C799" s="5">
        <v>193449</v>
      </c>
      <c r="D799" s="5">
        <v>2409</v>
      </c>
      <c r="E799">
        <v>188247</v>
      </c>
      <c r="F799" s="4" t="s">
        <v>107</v>
      </c>
      <c r="G799" t="s">
        <v>29</v>
      </c>
      <c r="H799" t="s">
        <v>108</v>
      </c>
    </row>
    <row r="800" spans="1:8" x14ac:dyDescent="0.25">
      <c r="A800" t="s">
        <v>623</v>
      </c>
      <c r="B800" t="s">
        <v>103</v>
      </c>
      <c r="C800" s="5">
        <v>2623</v>
      </c>
      <c r="D800" s="5">
        <v>3</v>
      </c>
      <c r="E800">
        <v>689</v>
      </c>
      <c r="F800" s="4" t="s">
        <v>104</v>
      </c>
      <c r="G800" t="s">
        <v>29</v>
      </c>
      <c r="H800" t="s">
        <v>105</v>
      </c>
    </row>
    <row r="801" spans="1:8" x14ac:dyDescent="0.25">
      <c r="A801" t="s">
        <v>623</v>
      </c>
      <c r="B801" t="s">
        <v>100</v>
      </c>
      <c r="C801" s="5">
        <v>22529</v>
      </c>
      <c r="D801" s="5">
        <v>661</v>
      </c>
      <c r="E801">
        <v>13472</v>
      </c>
      <c r="F801" s="4" t="s">
        <v>101</v>
      </c>
      <c r="G801" t="s">
        <v>29</v>
      </c>
      <c r="H801" t="s">
        <v>102</v>
      </c>
    </row>
    <row r="802" spans="1:8" x14ac:dyDescent="0.25">
      <c r="A802" t="s">
        <v>623</v>
      </c>
      <c r="B802" t="s">
        <v>97</v>
      </c>
      <c r="C802" s="5">
        <v>21886077</v>
      </c>
      <c r="D802" s="5">
        <v>609573</v>
      </c>
      <c r="E802">
        <v>4718114</v>
      </c>
      <c r="F802" s="4" t="s">
        <v>662</v>
      </c>
      <c r="G802" t="s">
        <v>29</v>
      </c>
      <c r="H802" t="s">
        <v>663</v>
      </c>
    </row>
    <row r="803" spans="1:8" x14ac:dyDescent="0.25">
      <c r="A803" t="s">
        <v>623</v>
      </c>
      <c r="B803" t="s">
        <v>94</v>
      </c>
      <c r="C803" s="5">
        <v>518266</v>
      </c>
      <c r="D803" s="5">
        <v>18967</v>
      </c>
      <c r="E803">
        <v>248993</v>
      </c>
      <c r="F803" s="4" t="s">
        <v>569</v>
      </c>
      <c r="G803" t="s">
        <v>29</v>
      </c>
      <c r="H803" t="s">
        <v>570</v>
      </c>
    </row>
    <row r="804" spans="1:8" x14ac:dyDescent="0.25">
      <c r="A804" t="s">
        <v>623</v>
      </c>
      <c r="B804" t="s">
        <v>91</v>
      </c>
      <c r="C804" s="5">
        <v>13782</v>
      </c>
      <c r="D804" s="5">
        <v>93</v>
      </c>
      <c r="E804">
        <v>5481</v>
      </c>
      <c r="F804" s="4" t="s">
        <v>92</v>
      </c>
      <c r="G804" t="s">
        <v>29</v>
      </c>
      <c r="H804" t="s">
        <v>93</v>
      </c>
    </row>
    <row r="805" spans="1:8" x14ac:dyDescent="0.25">
      <c r="A805" t="s">
        <v>623</v>
      </c>
      <c r="B805" t="s">
        <v>88</v>
      </c>
      <c r="C805" s="5">
        <v>1660</v>
      </c>
      <c r="D805" s="5">
        <v>6</v>
      </c>
      <c r="E805">
        <v>1316</v>
      </c>
      <c r="F805" s="4" t="s">
        <v>89</v>
      </c>
      <c r="G805" t="s">
        <v>29</v>
      </c>
      <c r="H805" t="s">
        <v>90</v>
      </c>
    </row>
    <row r="806" spans="1:8" x14ac:dyDescent="0.25">
      <c r="A806" t="s">
        <v>623</v>
      </c>
      <c r="B806" t="s">
        <v>85</v>
      </c>
      <c r="C806" s="5">
        <v>24804</v>
      </c>
      <c r="D806" s="5">
        <v>161</v>
      </c>
      <c r="E806">
        <v>6162</v>
      </c>
      <c r="F806" s="4" t="s">
        <v>86</v>
      </c>
      <c r="G806" t="s">
        <v>29</v>
      </c>
      <c r="H806" t="s">
        <v>87</v>
      </c>
    </row>
    <row r="807" spans="1:8" x14ac:dyDescent="0.25">
      <c r="A807" t="s">
        <v>623</v>
      </c>
      <c r="B807" t="s">
        <v>82</v>
      </c>
      <c r="C807" s="5">
        <v>20162</v>
      </c>
      <c r="D807" s="5">
        <v>38</v>
      </c>
      <c r="E807">
        <v>4391</v>
      </c>
      <c r="F807" s="4" t="s">
        <v>83</v>
      </c>
      <c r="G807" t="s">
        <v>29</v>
      </c>
      <c r="H807" t="s">
        <v>84</v>
      </c>
    </row>
    <row r="808" spans="1:8" x14ac:dyDescent="0.25">
      <c r="A808" t="s">
        <v>623</v>
      </c>
      <c r="B808" t="s">
        <v>79</v>
      </c>
      <c r="C808" s="5">
        <v>277098</v>
      </c>
      <c r="D808" s="5">
        <v>1393</v>
      </c>
      <c r="E808">
        <v>89605</v>
      </c>
      <c r="F808" s="4" t="s">
        <v>80</v>
      </c>
      <c r="G808" t="s">
        <v>29</v>
      </c>
      <c r="H808" t="s">
        <v>81</v>
      </c>
    </row>
    <row r="809" spans="1:8" x14ac:dyDescent="0.25">
      <c r="A809" t="s">
        <v>623</v>
      </c>
      <c r="B809" t="s">
        <v>76</v>
      </c>
      <c r="C809" s="5">
        <v>638048</v>
      </c>
      <c r="D809" s="5">
        <v>25408</v>
      </c>
      <c r="E809">
        <v>314986</v>
      </c>
      <c r="F809" s="4" t="s">
        <v>77</v>
      </c>
      <c r="G809" t="s">
        <v>29</v>
      </c>
      <c r="H809" t="s">
        <v>78</v>
      </c>
    </row>
    <row r="810" spans="1:8" x14ac:dyDescent="0.25">
      <c r="A810" t="s">
        <v>623</v>
      </c>
      <c r="B810" t="s">
        <v>73</v>
      </c>
      <c r="C810" s="5">
        <v>15103</v>
      </c>
      <c r="D810" s="5">
        <v>221</v>
      </c>
      <c r="E810">
        <v>9302</v>
      </c>
      <c r="F810" s="4" t="s">
        <v>565</v>
      </c>
      <c r="G810" t="s">
        <v>29</v>
      </c>
      <c r="H810" t="s">
        <v>566</v>
      </c>
    </row>
    <row r="811" spans="1:8" x14ac:dyDescent="0.25">
      <c r="A811" t="s">
        <v>623</v>
      </c>
      <c r="B811" t="s">
        <v>70</v>
      </c>
      <c r="C811" s="5">
        <v>1438830</v>
      </c>
      <c r="D811" s="5">
        <v>26200</v>
      </c>
      <c r="E811">
        <v>783304</v>
      </c>
      <c r="F811" s="4" t="s">
        <v>563</v>
      </c>
      <c r="G811" t="s">
        <v>29</v>
      </c>
      <c r="H811" t="s">
        <v>564</v>
      </c>
    </row>
    <row r="812" spans="1:8" x14ac:dyDescent="0.25">
      <c r="A812" t="s">
        <v>623</v>
      </c>
      <c r="B812" t="s">
        <v>67</v>
      </c>
      <c r="C812" s="5">
        <v>1571228</v>
      </c>
      <c r="D812" s="5">
        <v>27901</v>
      </c>
      <c r="E812">
        <v>678732</v>
      </c>
      <c r="F812" s="4" t="s">
        <v>68</v>
      </c>
      <c r="G812" t="s">
        <v>29</v>
      </c>
      <c r="H812" t="s">
        <v>69</v>
      </c>
    </row>
    <row r="813" spans="1:8" x14ac:dyDescent="0.25">
      <c r="A813" t="s">
        <v>623</v>
      </c>
      <c r="B813" t="s">
        <v>64</v>
      </c>
      <c r="C813" s="5">
        <v>20265</v>
      </c>
      <c r="D813" s="5">
        <v>181</v>
      </c>
      <c r="E813">
        <v>13397</v>
      </c>
      <c r="F813" s="4" t="s">
        <v>65</v>
      </c>
      <c r="G813" t="s">
        <v>29</v>
      </c>
      <c r="H813" t="s">
        <v>66</v>
      </c>
    </row>
    <row r="814" spans="1:8" x14ac:dyDescent="0.25">
      <c r="A814" t="s">
        <v>623</v>
      </c>
      <c r="B814" t="s">
        <v>61</v>
      </c>
      <c r="C814" s="5">
        <v>259913</v>
      </c>
      <c r="D814" s="5">
        <v>11840</v>
      </c>
      <c r="E814">
        <v>149109</v>
      </c>
      <c r="F814" s="4" t="s">
        <v>664</v>
      </c>
      <c r="G814" t="s">
        <v>29</v>
      </c>
      <c r="H814" t="s">
        <v>665</v>
      </c>
    </row>
    <row r="815" spans="1:8" x14ac:dyDescent="0.25">
      <c r="A815" t="s">
        <v>623</v>
      </c>
      <c r="B815" t="s">
        <v>58</v>
      </c>
      <c r="C815" s="5">
        <v>548591</v>
      </c>
      <c r="D815" s="5">
        <v>7293</v>
      </c>
      <c r="E815">
        <v>298281</v>
      </c>
      <c r="F815" s="4" t="s">
        <v>59</v>
      </c>
      <c r="G815" t="s">
        <v>29</v>
      </c>
      <c r="H815" t="s">
        <v>60</v>
      </c>
    </row>
    <row r="816" spans="1:8" x14ac:dyDescent="0.25">
      <c r="A816" t="s">
        <v>623</v>
      </c>
      <c r="B816" t="s">
        <v>55</v>
      </c>
      <c r="C816" s="5">
        <v>182870</v>
      </c>
      <c r="D816" s="5">
        <v>1841</v>
      </c>
      <c r="E816">
        <v>142652</v>
      </c>
      <c r="F816" s="4" t="s">
        <v>559</v>
      </c>
      <c r="G816" t="s">
        <v>29</v>
      </c>
      <c r="H816" t="s">
        <v>560</v>
      </c>
    </row>
    <row r="817" spans="1:8" x14ac:dyDescent="0.25">
      <c r="A817" t="s">
        <v>623</v>
      </c>
      <c r="B817" t="s">
        <v>52</v>
      </c>
      <c r="C817" s="5">
        <v>892065</v>
      </c>
      <c r="D817" s="5">
        <v>11515</v>
      </c>
      <c r="E817">
        <v>649385</v>
      </c>
      <c r="F817" s="4" t="s">
        <v>417</v>
      </c>
      <c r="G817" t="s">
        <v>29</v>
      </c>
      <c r="H817" t="s">
        <v>418</v>
      </c>
    </row>
    <row r="818" spans="1:8" x14ac:dyDescent="0.25">
      <c r="A818" t="s">
        <v>623</v>
      </c>
      <c r="B818" t="s">
        <v>49</v>
      </c>
      <c r="C818" s="5">
        <v>5298069</v>
      </c>
      <c r="D818" s="5">
        <v>116143</v>
      </c>
      <c r="E818">
        <v>1156464</v>
      </c>
      <c r="F818" s="4" t="s">
        <v>50</v>
      </c>
      <c r="G818" t="s">
        <v>29</v>
      </c>
      <c r="H818" t="s">
        <v>51</v>
      </c>
    </row>
    <row r="819" spans="1:8" x14ac:dyDescent="0.25">
      <c r="A819" t="s">
        <v>623</v>
      </c>
      <c r="B819" t="s">
        <v>46</v>
      </c>
      <c r="C819" s="5">
        <v>64724</v>
      </c>
      <c r="D819" s="5">
        <v>1721</v>
      </c>
      <c r="E819">
        <v>49487</v>
      </c>
      <c r="F819" s="4" t="s">
        <v>47</v>
      </c>
      <c r="G819" t="s">
        <v>29</v>
      </c>
      <c r="H819" t="s">
        <v>48</v>
      </c>
    </row>
    <row r="820" spans="1:8" x14ac:dyDescent="0.25">
      <c r="A820" t="s">
        <v>623</v>
      </c>
      <c r="B820" t="s">
        <v>43</v>
      </c>
      <c r="C820" s="5">
        <v>321243</v>
      </c>
      <c r="D820" s="5">
        <v>6700</v>
      </c>
      <c r="E820">
        <v>5373</v>
      </c>
      <c r="F820" s="4" t="s">
        <v>282</v>
      </c>
      <c r="G820" t="s">
        <v>29</v>
      </c>
      <c r="H820" t="s">
        <v>283</v>
      </c>
    </row>
    <row r="821" spans="1:8" x14ac:dyDescent="0.25">
      <c r="A821" t="s">
        <v>623</v>
      </c>
      <c r="B821" t="s">
        <v>40</v>
      </c>
      <c r="C821" s="5">
        <v>189355</v>
      </c>
      <c r="D821" s="5">
        <v>2966</v>
      </c>
      <c r="E821">
        <v>81993</v>
      </c>
      <c r="F821" s="4" t="s">
        <v>217</v>
      </c>
      <c r="G821" t="s">
        <v>29</v>
      </c>
      <c r="H821" t="s">
        <v>218</v>
      </c>
    </row>
    <row r="822" spans="1:8" x14ac:dyDescent="0.25">
      <c r="A822" t="s">
        <v>623</v>
      </c>
      <c r="B822" t="s">
        <v>37</v>
      </c>
      <c r="C822" s="5">
        <v>4091</v>
      </c>
      <c r="D822" s="5">
        <v>105</v>
      </c>
      <c r="E822">
        <v>1170</v>
      </c>
      <c r="F822" s="4" t="s">
        <v>555</v>
      </c>
      <c r="G822" t="s">
        <v>29</v>
      </c>
      <c r="H822" t="s">
        <v>556</v>
      </c>
    </row>
    <row r="823" spans="1:8" x14ac:dyDescent="0.25">
      <c r="A823" t="s">
        <v>623</v>
      </c>
      <c r="B823" t="s">
        <v>34</v>
      </c>
      <c r="C823" s="5">
        <v>156397</v>
      </c>
      <c r="D823" s="5">
        <v>7288</v>
      </c>
      <c r="E823">
        <v>55409</v>
      </c>
      <c r="F823" s="4" t="s">
        <v>35</v>
      </c>
      <c r="G823" t="s">
        <v>29</v>
      </c>
      <c r="H823" t="s">
        <v>36</v>
      </c>
    </row>
    <row r="824" spans="1:8" x14ac:dyDescent="0.25">
      <c r="A824" t="s">
        <v>623</v>
      </c>
      <c r="B824" t="s">
        <v>31</v>
      </c>
      <c r="C824" s="5">
        <v>740500</v>
      </c>
      <c r="D824" s="5">
        <v>2142</v>
      </c>
      <c r="E824">
        <v>279060</v>
      </c>
      <c r="F824" s="4" t="s">
        <v>32</v>
      </c>
      <c r="G824" t="s">
        <v>29</v>
      </c>
      <c r="H824" t="s">
        <v>33</v>
      </c>
    </row>
    <row r="825" spans="1:8" x14ac:dyDescent="0.25">
      <c r="A825" t="s">
        <v>623</v>
      </c>
      <c r="B825" t="s">
        <v>27</v>
      </c>
      <c r="C825" s="5">
        <v>15705</v>
      </c>
      <c r="D825" s="5">
        <v>130</v>
      </c>
      <c r="E825">
        <v>6298</v>
      </c>
      <c r="F825" s="4" t="s">
        <v>28</v>
      </c>
      <c r="G825" t="s">
        <v>29</v>
      </c>
      <c r="H825" t="s">
        <v>30</v>
      </c>
    </row>
    <row r="826" spans="1:8" x14ac:dyDescent="0.25">
      <c r="A826" t="s">
        <v>666</v>
      </c>
      <c r="B826" t="s">
        <v>27</v>
      </c>
      <c r="C826" s="5">
        <v>15618</v>
      </c>
      <c r="D826" s="5">
        <v>130</v>
      </c>
      <c r="E826">
        <v>13201</v>
      </c>
      <c r="F826" s="4" t="s">
        <v>28</v>
      </c>
      <c r="G826" t="s">
        <v>29</v>
      </c>
      <c r="H826" t="s">
        <v>30</v>
      </c>
    </row>
    <row r="827" spans="1:8" x14ac:dyDescent="0.25">
      <c r="A827" t="s">
        <v>666</v>
      </c>
      <c r="B827" t="s">
        <v>31</v>
      </c>
      <c r="C827" s="5">
        <v>740432</v>
      </c>
      <c r="D827" s="5">
        <v>2140</v>
      </c>
      <c r="E827">
        <v>634788</v>
      </c>
      <c r="F827" s="4" t="s">
        <v>32</v>
      </c>
      <c r="G827" t="s">
        <v>29</v>
      </c>
      <c r="H827" t="s">
        <v>33</v>
      </c>
    </row>
    <row r="828" spans="1:8" x14ac:dyDescent="0.25">
      <c r="A828" t="s">
        <v>666</v>
      </c>
      <c r="B828" t="s">
        <v>34</v>
      </c>
      <c r="C828" s="5">
        <v>156397</v>
      </c>
      <c r="D828" s="5">
        <v>7284</v>
      </c>
      <c r="E828">
        <v>126534</v>
      </c>
      <c r="F828" s="4" t="s">
        <v>35</v>
      </c>
      <c r="G828" t="s">
        <v>29</v>
      </c>
      <c r="H828" t="s">
        <v>36</v>
      </c>
    </row>
    <row r="829" spans="1:8" x14ac:dyDescent="0.25">
      <c r="A829" t="s">
        <v>666</v>
      </c>
      <c r="B829" t="s">
        <v>37</v>
      </c>
      <c r="C829" s="5">
        <v>4091</v>
      </c>
      <c r="D829" s="5">
        <v>105</v>
      </c>
      <c r="E829">
        <v>937</v>
      </c>
      <c r="F829" s="4" t="s">
        <v>555</v>
      </c>
      <c r="G829" t="s">
        <v>29</v>
      </c>
      <c r="H829" t="s">
        <v>556</v>
      </c>
    </row>
    <row r="830" spans="1:8" x14ac:dyDescent="0.25">
      <c r="A830" t="s">
        <v>666</v>
      </c>
      <c r="B830" t="s">
        <v>40</v>
      </c>
      <c r="C830" s="5">
        <v>189125</v>
      </c>
      <c r="D830" s="5">
        <v>2955</v>
      </c>
      <c r="E830">
        <v>110860</v>
      </c>
      <c r="F830" s="4" t="s">
        <v>41</v>
      </c>
      <c r="G830" t="s">
        <v>29</v>
      </c>
      <c r="H830" t="s">
        <v>42</v>
      </c>
    </row>
    <row r="831" spans="1:8" x14ac:dyDescent="0.25">
      <c r="A831" t="s">
        <v>666</v>
      </c>
      <c r="B831" t="s">
        <v>43</v>
      </c>
      <c r="C831" s="5">
        <v>320433</v>
      </c>
      <c r="D831" s="5">
        <v>6670</v>
      </c>
      <c r="E831">
        <v>164933</v>
      </c>
      <c r="F831" s="4" t="s">
        <v>549</v>
      </c>
      <c r="G831" t="s">
        <v>29</v>
      </c>
      <c r="H831" t="s">
        <v>550</v>
      </c>
    </row>
    <row r="832" spans="1:8" x14ac:dyDescent="0.25">
      <c r="A832" t="s">
        <v>666</v>
      </c>
      <c r="B832" t="s">
        <v>46</v>
      </c>
      <c r="C832" s="5">
        <v>64674</v>
      </c>
      <c r="D832" s="5">
        <v>1720</v>
      </c>
      <c r="E832">
        <v>3107</v>
      </c>
      <c r="F832" s="4" t="s">
        <v>47</v>
      </c>
      <c r="G832" t="s">
        <v>29</v>
      </c>
      <c r="H832" t="s">
        <v>48</v>
      </c>
    </row>
    <row r="833" spans="1:8" x14ac:dyDescent="0.25">
      <c r="A833" t="s">
        <v>666</v>
      </c>
      <c r="B833" t="s">
        <v>49</v>
      </c>
      <c r="C833" s="5">
        <v>5296781</v>
      </c>
      <c r="D833" s="5">
        <v>116104</v>
      </c>
      <c r="E833">
        <v>1302880</v>
      </c>
      <c r="F833" s="4" t="s">
        <v>50</v>
      </c>
      <c r="G833" t="s">
        <v>29</v>
      </c>
      <c r="H833" t="s">
        <v>51</v>
      </c>
    </row>
    <row r="834" spans="1:8" x14ac:dyDescent="0.25">
      <c r="A834" t="s">
        <v>666</v>
      </c>
      <c r="B834" t="s">
        <v>52</v>
      </c>
      <c r="C834" s="5">
        <v>883887</v>
      </c>
      <c r="D834" s="5">
        <v>11502</v>
      </c>
      <c r="E834">
        <v>133499</v>
      </c>
      <c r="F834" s="4" t="s">
        <v>190</v>
      </c>
      <c r="G834" t="s">
        <v>29</v>
      </c>
      <c r="H834" t="s">
        <v>191</v>
      </c>
    </row>
    <row r="835" spans="1:8" x14ac:dyDescent="0.25">
      <c r="A835" t="s">
        <v>666</v>
      </c>
      <c r="B835" t="s">
        <v>55</v>
      </c>
      <c r="C835" s="5">
        <v>181578</v>
      </c>
      <c r="D835" s="5">
        <v>1827</v>
      </c>
      <c r="E835">
        <v>140757</v>
      </c>
      <c r="F835" s="4" t="s">
        <v>559</v>
      </c>
      <c r="G835" t="s">
        <v>29</v>
      </c>
      <c r="H835" t="s">
        <v>560</v>
      </c>
    </row>
    <row r="836" spans="1:8" x14ac:dyDescent="0.25">
      <c r="A836" t="s">
        <v>666</v>
      </c>
      <c r="B836" t="s">
        <v>58</v>
      </c>
      <c r="C836" s="5">
        <v>547281</v>
      </c>
      <c r="D836" s="5">
        <v>7269</v>
      </c>
      <c r="E836">
        <v>372813</v>
      </c>
      <c r="F836" s="4" t="s">
        <v>59</v>
      </c>
      <c r="G836" t="s">
        <v>29</v>
      </c>
      <c r="H836" t="s">
        <v>60</v>
      </c>
    </row>
    <row r="837" spans="1:8" x14ac:dyDescent="0.25">
      <c r="A837" t="s">
        <v>666</v>
      </c>
      <c r="B837" t="s">
        <v>61</v>
      </c>
      <c r="C837" s="5">
        <v>257401</v>
      </c>
      <c r="D837" s="5">
        <v>11717</v>
      </c>
      <c r="E837">
        <v>47280</v>
      </c>
      <c r="F837" s="4" t="s">
        <v>561</v>
      </c>
      <c r="G837" t="s">
        <v>29</v>
      </c>
      <c r="H837" t="s">
        <v>562</v>
      </c>
    </row>
    <row r="838" spans="1:8" x14ac:dyDescent="0.25">
      <c r="A838" t="s">
        <v>666</v>
      </c>
      <c r="B838" t="s">
        <v>64</v>
      </c>
      <c r="C838" s="5">
        <v>20069</v>
      </c>
      <c r="D838" s="5">
        <v>180</v>
      </c>
      <c r="E838">
        <v>1830</v>
      </c>
      <c r="F838" s="4" t="s">
        <v>667</v>
      </c>
      <c r="G838" t="s">
        <v>29</v>
      </c>
      <c r="H838" t="s">
        <v>668</v>
      </c>
    </row>
    <row r="839" spans="1:8" x14ac:dyDescent="0.25">
      <c r="A839" t="s">
        <v>666</v>
      </c>
      <c r="B839" t="s">
        <v>67</v>
      </c>
      <c r="C839" s="5">
        <v>1571013</v>
      </c>
      <c r="D839" s="5">
        <v>27895</v>
      </c>
      <c r="E839">
        <v>205796</v>
      </c>
      <c r="F839" s="4" t="s">
        <v>68</v>
      </c>
      <c r="G839" t="s">
        <v>29</v>
      </c>
      <c r="H839" t="s">
        <v>69</v>
      </c>
    </row>
    <row r="840" spans="1:8" x14ac:dyDescent="0.25">
      <c r="A840" t="s">
        <v>666</v>
      </c>
      <c r="B840" t="s">
        <v>70</v>
      </c>
      <c r="C840" s="5">
        <v>1414463</v>
      </c>
      <c r="D840" s="5">
        <v>26131</v>
      </c>
      <c r="E840">
        <v>1199828</v>
      </c>
      <c r="F840" s="4" t="s">
        <v>535</v>
      </c>
      <c r="G840" t="s">
        <v>29</v>
      </c>
      <c r="H840" t="s">
        <v>536</v>
      </c>
    </row>
    <row r="841" spans="1:8" x14ac:dyDescent="0.25">
      <c r="A841" t="s">
        <v>666</v>
      </c>
      <c r="B841" t="s">
        <v>73</v>
      </c>
      <c r="C841" s="5">
        <v>15103</v>
      </c>
      <c r="D841" s="5">
        <v>221</v>
      </c>
      <c r="E841">
        <v>7082</v>
      </c>
      <c r="F841" s="4" t="s">
        <v>565</v>
      </c>
      <c r="G841" t="s">
        <v>29</v>
      </c>
      <c r="H841" t="s">
        <v>566</v>
      </c>
    </row>
    <row r="842" spans="1:8" x14ac:dyDescent="0.25">
      <c r="A842" t="s">
        <v>666</v>
      </c>
      <c r="B842" t="s">
        <v>76</v>
      </c>
      <c r="C842" s="5">
        <v>632762</v>
      </c>
      <c r="D842" s="5">
        <v>25074</v>
      </c>
      <c r="E842">
        <v>375696</v>
      </c>
      <c r="F842" s="4" t="s">
        <v>669</v>
      </c>
      <c r="G842" t="s">
        <v>29</v>
      </c>
      <c r="H842" t="s">
        <v>670</v>
      </c>
    </row>
    <row r="843" spans="1:8" x14ac:dyDescent="0.25">
      <c r="A843" t="s">
        <v>666</v>
      </c>
      <c r="B843" t="s">
        <v>79</v>
      </c>
      <c r="C843" s="5">
        <v>277081</v>
      </c>
      <c r="D843" s="5">
        <v>1393</v>
      </c>
      <c r="E843">
        <v>63910</v>
      </c>
      <c r="F843" s="4" t="s">
        <v>80</v>
      </c>
      <c r="G843" t="s">
        <v>29</v>
      </c>
      <c r="H843" t="s">
        <v>81</v>
      </c>
    </row>
    <row r="844" spans="1:8" x14ac:dyDescent="0.25">
      <c r="A844" t="s">
        <v>666</v>
      </c>
      <c r="B844" t="s">
        <v>82</v>
      </c>
      <c r="C844" s="5">
        <v>20136</v>
      </c>
      <c r="D844" s="5">
        <v>38</v>
      </c>
      <c r="E844">
        <v>13812</v>
      </c>
      <c r="F844" s="4" t="s">
        <v>83</v>
      </c>
      <c r="G844" t="s">
        <v>29</v>
      </c>
      <c r="H844" t="s">
        <v>84</v>
      </c>
    </row>
    <row r="845" spans="1:8" x14ac:dyDescent="0.25">
      <c r="A845" t="s">
        <v>666</v>
      </c>
      <c r="B845" t="s">
        <v>85</v>
      </c>
      <c r="C845" s="5">
        <v>24804</v>
      </c>
      <c r="D845" s="5">
        <v>161</v>
      </c>
      <c r="E845">
        <v>12941</v>
      </c>
      <c r="F845" s="4" t="s">
        <v>86</v>
      </c>
      <c r="G845" t="s">
        <v>29</v>
      </c>
      <c r="H845" t="s">
        <v>87</v>
      </c>
    </row>
    <row r="846" spans="1:8" x14ac:dyDescent="0.25">
      <c r="A846" t="s">
        <v>666</v>
      </c>
      <c r="B846" t="s">
        <v>88</v>
      </c>
      <c r="C846" s="5">
        <v>1660</v>
      </c>
      <c r="D846" s="5">
        <v>6</v>
      </c>
      <c r="E846">
        <v>1509</v>
      </c>
      <c r="F846" s="4" t="s">
        <v>89</v>
      </c>
      <c r="G846" t="s">
        <v>29</v>
      </c>
      <c r="H846" t="s">
        <v>90</v>
      </c>
    </row>
    <row r="847" spans="1:8" x14ac:dyDescent="0.25">
      <c r="A847" t="s">
        <v>666</v>
      </c>
      <c r="B847" t="s">
        <v>91</v>
      </c>
      <c r="C847" s="5">
        <v>13742</v>
      </c>
      <c r="D847" s="5">
        <v>93</v>
      </c>
      <c r="E847">
        <v>1878</v>
      </c>
      <c r="F847" s="4" t="s">
        <v>605</v>
      </c>
      <c r="G847" t="s">
        <v>29</v>
      </c>
      <c r="H847" t="s">
        <v>606</v>
      </c>
    </row>
    <row r="848" spans="1:8" x14ac:dyDescent="0.25">
      <c r="A848" t="s">
        <v>666</v>
      </c>
      <c r="B848" t="s">
        <v>94</v>
      </c>
      <c r="C848" s="5">
        <v>517902</v>
      </c>
      <c r="D848" s="5">
        <v>18964</v>
      </c>
      <c r="E848">
        <v>212019</v>
      </c>
      <c r="F848" s="4" t="s">
        <v>569</v>
      </c>
      <c r="G848" t="s">
        <v>29</v>
      </c>
      <c r="H848" t="s">
        <v>570</v>
      </c>
    </row>
    <row r="849" spans="1:8" x14ac:dyDescent="0.25">
      <c r="A849" t="s">
        <v>666</v>
      </c>
      <c r="B849" t="s">
        <v>97</v>
      </c>
      <c r="C849" s="5">
        <v>21880439</v>
      </c>
      <c r="D849" s="5">
        <v>609447</v>
      </c>
      <c r="E849">
        <v>6564293</v>
      </c>
      <c r="F849" s="4" t="s">
        <v>662</v>
      </c>
      <c r="G849" t="s">
        <v>29</v>
      </c>
      <c r="H849" t="s">
        <v>663</v>
      </c>
    </row>
    <row r="850" spans="1:8" x14ac:dyDescent="0.25">
      <c r="A850" t="s">
        <v>666</v>
      </c>
      <c r="B850" t="s">
        <v>100</v>
      </c>
      <c r="C850" s="5">
        <v>22485</v>
      </c>
      <c r="D850" s="5">
        <v>657</v>
      </c>
      <c r="E850">
        <v>201</v>
      </c>
      <c r="F850" s="4" t="s">
        <v>671</v>
      </c>
      <c r="G850" t="s">
        <v>29</v>
      </c>
      <c r="H850" t="s">
        <v>672</v>
      </c>
    </row>
    <row r="851" spans="1:8" x14ac:dyDescent="0.25">
      <c r="A851" t="s">
        <v>666</v>
      </c>
      <c r="B851" t="s">
        <v>103</v>
      </c>
      <c r="C851" s="5">
        <v>2623</v>
      </c>
      <c r="D851" s="5">
        <v>3</v>
      </c>
      <c r="E851">
        <v>840</v>
      </c>
      <c r="F851" s="4" t="s">
        <v>104</v>
      </c>
      <c r="G851" t="s">
        <v>29</v>
      </c>
      <c r="H851" t="s">
        <v>105</v>
      </c>
    </row>
    <row r="852" spans="1:8" x14ac:dyDescent="0.25">
      <c r="A852" t="s">
        <v>666</v>
      </c>
      <c r="B852" t="s">
        <v>106</v>
      </c>
      <c r="C852" s="5">
        <v>192935</v>
      </c>
      <c r="D852" s="5">
        <v>2407</v>
      </c>
      <c r="E852">
        <v>70555</v>
      </c>
      <c r="F852" s="4" t="s">
        <v>107</v>
      </c>
      <c r="G852" t="s">
        <v>29</v>
      </c>
      <c r="H852" t="s">
        <v>108</v>
      </c>
    </row>
    <row r="853" spans="1:8" x14ac:dyDescent="0.25">
      <c r="A853" t="s">
        <v>666</v>
      </c>
      <c r="B853" t="s">
        <v>109</v>
      </c>
      <c r="C853" s="5">
        <v>613927</v>
      </c>
      <c r="D853" s="5">
        <v>4745</v>
      </c>
      <c r="E853">
        <v>275207</v>
      </c>
      <c r="F853" s="4" t="s">
        <v>110</v>
      </c>
      <c r="G853" t="s">
        <v>29</v>
      </c>
      <c r="H853" t="s">
        <v>111</v>
      </c>
    </row>
    <row r="854" spans="1:8" x14ac:dyDescent="0.25">
      <c r="A854" t="s">
        <v>666</v>
      </c>
      <c r="B854" t="s">
        <v>112</v>
      </c>
      <c r="C854" s="5">
        <v>27894</v>
      </c>
      <c r="D854" s="5">
        <v>509</v>
      </c>
      <c r="E854">
        <v>16918</v>
      </c>
      <c r="F854" s="4" t="s">
        <v>563</v>
      </c>
      <c r="G854" t="s">
        <v>29</v>
      </c>
      <c r="H854" t="s">
        <v>564</v>
      </c>
    </row>
    <row r="855" spans="1:8" x14ac:dyDescent="0.25">
      <c r="A855" t="s">
        <v>666</v>
      </c>
      <c r="B855" t="s">
        <v>115</v>
      </c>
      <c r="C855" s="5">
        <v>1738543</v>
      </c>
      <c r="D855" s="5">
        <v>29203</v>
      </c>
      <c r="E855">
        <v>322474</v>
      </c>
      <c r="F855" s="4" t="s">
        <v>116</v>
      </c>
      <c r="G855" t="s">
        <v>29</v>
      </c>
      <c r="H855" t="s">
        <v>117</v>
      </c>
    </row>
    <row r="856" spans="1:8" x14ac:dyDescent="0.25">
      <c r="A856" t="s">
        <v>666</v>
      </c>
      <c r="B856" t="s">
        <v>118</v>
      </c>
      <c r="C856" s="5">
        <v>57605</v>
      </c>
      <c r="D856" s="5">
        <v>1098</v>
      </c>
      <c r="E856">
        <v>40903</v>
      </c>
      <c r="F856" s="4" t="s">
        <v>119</v>
      </c>
      <c r="G856" t="s">
        <v>29</v>
      </c>
      <c r="H856" t="s">
        <v>120</v>
      </c>
    </row>
    <row r="857" spans="1:8" x14ac:dyDescent="0.25">
      <c r="A857" t="s">
        <v>666</v>
      </c>
      <c r="B857" t="s">
        <v>121</v>
      </c>
      <c r="C857" s="5">
        <v>11579</v>
      </c>
      <c r="D857" s="5">
        <v>100</v>
      </c>
      <c r="E857">
        <v>5461</v>
      </c>
      <c r="F857" s="4" t="s">
        <v>122</v>
      </c>
      <c r="G857" t="s">
        <v>29</v>
      </c>
      <c r="H857" t="s">
        <v>123</v>
      </c>
    </row>
    <row r="858" spans="1:8" x14ac:dyDescent="0.25">
      <c r="A858" t="s">
        <v>666</v>
      </c>
      <c r="B858" t="s">
        <v>124</v>
      </c>
      <c r="C858" s="5">
        <v>17944</v>
      </c>
      <c r="D858" s="5">
        <v>297</v>
      </c>
      <c r="E858">
        <v>16922</v>
      </c>
      <c r="F858" s="4" t="s">
        <v>135</v>
      </c>
      <c r="G858" t="s">
        <v>29</v>
      </c>
      <c r="H858" t="s">
        <v>136</v>
      </c>
    </row>
    <row r="859" spans="1:8" x14ac:dyDescent="0.25">
      <c r="A859" t="s">
        <v>666</v>
      </c>
      <c r="B859" t="s">
        <v>127</v>
      </c>
      <c r="C859" s="5">
        <v>887446</v>
      </c>
      <c r="D859" s="5">
        <v>11274</v>
      </c>
      <c r="E859">
        <v>269774</v>
      </c>
      <c r="F859" s="4" t="s">
        <v>53</v>
      </c>
      <c r="G859" t="s">
        <v>29</v>
      </c>
      <c r="H859" t="s">
        <v>54</v>
      </c>
    </row>
    <row r="860" spans="1:8" x14ac:dyDescent="0.25">
      <c r="A860" t="s">
        <v>666</v>
      </c>
      <c r="B860" t="s">
        <v>128</v>
      </c>
      <c r="C860" s="5">
        <v>61421</v>
      </c>
      <c r="D860" s="5">
        <v>699</v>
      </c>
      <c r="E860">
        <v>6194</v>
      </c>
      <c r="F860" s="4" t="s">
        <v>129</v>
      </c>
      <c r="G860" t="s">
        <v>29</v>
      </c>
      <c r="H860" t="s">
        <v>130</v>
      </c>
    </row>
    <row r="861" spans="1:8" x14ac:dyDescent="0.25">
      <c r="A861" t="s">
        <v>666</v>
      </c>
      <c r="B861" t="s">
        <v>131</v>
      </c>
      <c r="C861" s="5">
        <v>1709189</v>
      </c>
      <c r="D861" s="5">
        <v>37862</v>
      </c>
      <c r="E861">
        <v>488949</v>
      </c>
      <c r="F861" s="4" t="s">
        <v>673</v>
      </c>
      <c r="G861" t="s">
        <v>29</v>
      </c>
      <c r="H861" t="s">
        <v>674</v>
      </c>
    </row>
    <row r="862" spans="1:8" x14ac:dyDescent="0.25">
      <c r="A862" t="s">
        <v>666</v>
      </c>
      <c r="B862" t="s">
        <v>134</v>
      </c>
      <c r="C862" s="5">
        <v>104348</v>
      </c>
      <c r="D862" s="5">
        <v>1731</v>
      </c>
      <c r="E862">
        <v>24584</v>
      </c>
      <c r="F862" s="4" t="s">
        <v>135</v>
      </c>
      <c r="G862" t="s">
        <v>29</v>
      </c>
      <c r="H862" t="s">
        <v>136</v>
      </c>
    </row>
    <row r="863" spans="1:8" x14ac:dyDescent="0.25">
      <c r="A863" t="s">
        <v>666</v>
      </c>
      <c r="B863" t="s">
        <v>137</v>
      </c>
      <c r="C863" s="5">
        <v>97823</v>
      </c>
      <c r="D863" s="5">
        <v>4636</v>
      </c>
      <c r="E863">
        <v>82723</v>
      </c>
      <c r="F863" s="4" t="s">
        <v>660</v>
      </c>
      <c r="G863" t="s">
        <v>29</v>
      </c>
      <c r="H863" t="s">
        <v>661</v>
      </c>
    </row>
    <row r="864" spans="1:8" x14ac:dyDescent="0.25">
      <c r="A864" t="s">
        <v>666</v>
      </c>
      <c r="B864" t="s">
        <v>140</v>
      </c>
      <c r="C864" s="5">
        <v>5015042</v>
      </c>
      <c r="D864" s="5">
        <v>127533</v>
      </c>
      <c r="E864">
        <v>4007855</v>
      </c>
      <c r="F864" s="4" t="s">
        <v>141</v>
      </c>
      <c r="G864" t="s">
        <v>29</v>
      </c>
      <c r="H864" t="s">
        <v>142</v>
      </c>
    </row>
    <row r="865" spans="1:8" x14ac:dyDescent="0.25">
      <c r="A865" t="s">
        <v>666</v>
      </c>
      <c r="B865" t="s">
        <v>143</v>
      </c>
      <c r="C865" s="5">
        <v>562316</v>
      </c>
      <c r="D865" s="5">
        <v>7134</v>
      </c>
      <c r="E865">
        <v>868</v>
      </c>
      <c r="F865" s="4" t="s">
        <v>53</v>
      </c>
      <c r="G865" t="s">
        <v>29</v>
      </c>
      <c r="H865" t="s">
        <v>54</v>
      </c>
    </row>
    <row r="866" spans="1:8" x14ac:dyDescent="0.25">
      <c r="A866" t="s">
        <v>666</v>
      </c>
      <c r="B866" t="s">
        <v>144</v>
      </c>
      <c r="C866" s="5">
        <v>955981</v>
      </c>
      <c r="D866" s="5">
        <v>8262</v>
      </c>
      <c r="E866">
        <v>674692</v>
      </c>
      <c r="F866" s="4" t="s">
        <v>122</v>
      </c>
      <c r="G866" t="s">
        <v>29</v>
      </c>
      <c r="H866" t="s">
        <v>123</v>
      </c>
    </row>
    <row r="867" spans="1:8" x14ac:dyDescent="0.25">
      <c r="A867" t="s">
        <v>666</v>
      </c>
      <c r="B867" t="s">
        <v>145</v>
      </c>
      <c r="C867" s="5">
        <v>38256</v>
      </c>
      <c r="D867" s="5">
        <v>349</v>
      </c>
      <c r="E867">
        <v>5616</v>
      </c>
      <c r="F867" s="4" t="s">
        <v>146</v>
      </c>
      <c r="G867" t="s">
        <v>29</v>
      </c>
      <c r="H867" t="s">
        <v>147</v>
      </c>
    </row>
    <row r="868" spans="1:8" x14ac:dyDescent="0.25">
      <c r="A868" t="s">
        <v>666</v>
      </c>
      <c r="B868" t="s">
        <v>148</v>
      </c>
      <c r="C868" s="5">
        <v>125413</v>
      </c>
      <c r="D868" s="5">
        <v>577</v>
      </c>
      <c r="E868">
        <v>34891</v>
      </c>
      <c r="F868" s="4" t="s">
        <v>149</v>
      </c>
      <c r="G868" t="s">
        <v>29</v>
      </c>
      <c r="H868" t="s">
        <v>150</v>
      </c>
    </row>
    <row r="869" spans="1:8" x14ac:dyDescent="0.25">
      <c r="A869" t="s">
        <v>666</v>
      </c>
      <c r="B869" t="s">
        <v>151</v>
      </c>
      <c r="C869" s="5">
        <v>1816161</v>
      </c>
      <c r="D869" s="5">
        <v>31022</v>
      </c>
      <c r="E869">
        <v>488092</v>
      </c>
      <c r="F869" s="4" t="s">
        <v>658</v>
      </c>
      <c r="G869" t="s">
        <v>29</v>
      </c>
      <c r="H869" t="s">
        <v>659</v>
      </c>
    </row>
    <row r="870" spans="1:8" x14ac:dyDescent="0.25">
      <c r="A870" t="s">
        <v>666</v>
      </c>
      <c r="B870" t="s">
        <v>154</v>
      </c>
      <c r="C870" s="5">
        <v>4792463</v>
      </c>
      <c r="D870" s="5">
        <v>96563</v>
      </c>
      <c r="E870">
        <v>955849</v>
      </c>
      <c r="F870" s="4" t="s">
        <v>656</v>
      </c>
      <c r="G870" t="s">
        <v>29</v>
      </c>
      <c r="H870" t="s">
        <v>657</v>
      </c>
    </row>
    <row r="871" spans="1:8" x14ac:dyDescent="0.25">
      <c r="A871" t="s">
        <v>666</v>
      </c>
      <c r="B871" t="s">
        <v>157</v>
      </c>
      <c r="C871" s="5">
        <v>13491</v>
      </c>
      <c r="D871" s="5">
        <v>186</v>
      </c>
      <c r="E871">
        <v>1221</v>
      </c>
      <c r="F871" s="4" t="s">
        <v>158</v>
      </c>
      <c r="G871" t="s">
        <v>29</v>
      </c>
      <c r="H871" t="s">
        <v>159</v>
      </c>
    </row>
    <row r="872" spans="1:8" x14ac:dyDescent="0.25">
      <c r="A872" t="s">
        <v>666</v>
      </c>
      <c r="B872" t="s">
        <v>160</v>
      </c>
      <c r="C872" s="5">
        <v>403420</v>
      </c>
      <c r="D872" s="5">
        <v>2738</v>
      </c>
      <c r="E872">
        <v>86544</v>
      </c>
      <c r="F872" s="4" t="s">
        <v>605</v>
      </c>
      <c r="G872" t="s">
        <v>29</v>
      </c>
      <c r="H872" t="s">
        <v>606</v>
      </c>
    </row>
    <row r="873" spans="1:8" x14ac:dyDescent="0.25">
      <c r="A873" t="s">
        <v>666</v>
      </c>
      <c r="B873" t="s">
        <v>161</v>
      </c>
      <c r="C873" s="5">
        <v>4961</v>
      </c>
      <c r="D873" s="5">
        <v>32</v>
      </c>
      <c r="E873">
        <v>1396</v>
      </c>
      <c r="F873" s="4" t="s">
        <v>86</v>
      </c>
      <c r="G873" t="s">
        <v>29</v>
      </c>
      <c r="H873" t="s">
        <v>87</v>
      </c>
    </row>
    <row r="874" spans="1:8" x14ac:dyDescent="0.25">
      <c r="A874" t="s">
        <v>666</v>
      </c>
      <c r="B874" t="s">
        <v>164</v>
      </c>
      <c r="C874" s="5">
        <v>388165</v>
      </c>
      <c r="D874" s="5">
        <v>4150</v>
      </c>
      <c r="E874">
        <v>32436</v>
      </c>
      <c r="F874" s="4" t="s">
        <v>654</v>
      </c>
      <c r="G874" t="s">
        <v>29</v>
      </c>
      <c r="H874" t="s">
        <v>655</v>
      </c>
    </row>
    <row r="875" spans="1:8" x14ac:dyDescent="0.25">
      <c r="A875" t="s">
        <v>666</v>
      </c>
      <c r="B875" t="s">
        <v>167</v>
      </c>
      <c r="C875" s="5">
        <v>207156</v>
      </c>
      <c r="D875" s="5">
        <v>5945</v>
      </c>
      <c r="E875">
        <v>70100</v>
      </c>
      <c r="F875" s="4" t="s">
        <v>168</v>
      </c>
      <c r="G875" t="s">
        <v>29</v>
      </c>
      <c r="H875" t="s">
        <v>169</v>
      </c>
    </row>
    <row r="876" spans="1:8" x14ac:dyDescent="0.25">
      <c r="A876" t="s">
        <v>666</v>
      </c>
      <c r="B876" t="s">
        <v>170</v>
      </c>
      <c r="C876" s="5">
        <v>519386</v>
      </c>
      <c r="D876" s="5">
        <v>32989</v>
      </c>
      <c r="E876">
        <v>282560</v>
      </c>
      <c r="F876" s="4" t="s">
        <v>171</v>
      </c>
      <c r="G876" t="s">
        <v>29</v>
      </c>
      <c r="H876" t="s">
        <v>172</v>
      </c>
    </row>
    <row r="877" spans="1:8" x14ac:dyDescent="0.25">
      <c r="A877" t="s">
        <v>666</v>
      </c>
      <c r="B877" t="s">
        <v>173</v>
      </c>
      <c r="C877" s="5">
        <v>205096</v>
      </c>
      <c r="D877" s="5">
        <v>1610</v>
      </c>
      <c r="E877">
        <v>82657</v>
      </c>
      <c r="F877" s="4" t="s">
        <v>297</v>
      </c>
      <c r="G877" t="s">
        <v>29</v>
      </c>
      <c r="H877" t="s">
        <v>298</v>
      </c>
    </row>
    <row r="878" spans="1:8" x14ac:dyDescent="0.25">
      <c r="A878" t="s">
        <v>666</v>
      </c>
      <c r="B878" t="s">
        <v>176</v>
      </c>
      <c r="C878" s="5">
        <v>337485</v>
      </c>
      <c r="D878" s="5">
        <v>19076</v>
      </c>
      <c r="E878">
        <v>207759</v>
      </c>
      <c r="F878" s="4" t="s">
        <v>575</v>
      </c>
      <c r="G878" t="s">
        <v>29</v>
      </c>
      <c r="H878" t="s">
        <v>576</v>
      </c>
    </row>
    <row r="879" spans="1:8" x14ac:dyDescent="0.25">
      <c r="A879" t="s">
        <v>666</v>
      </c>
      <c r="B879" t="s">
        <v>179</v>
      </c>
      <c r="C879" s="5">
        <v>6948</v>
      </c>
      <c r="D879" s="5">
        <v>46</v>
      </c>
      <c r="E879">
        <v>5259</v>
      </c>
      <c r="F879" s="4" t="s">
        <v>162</v>
      </c>
      <c r="G879" t="s">
        <v>29</v>
      </c>
      <c r="H879" t="s">
        <v>163</v>
      </c>
    </row>
    <row r="880" spans="1:8" x14ac:dyDescent="0.25">
      <c r="A880" t="s">
        <v>666</v>
      </c>
      <c r="B880" t="s">
        <v>182</v>
      </c>
      <c r="C880" s="5">
        <v>5025639</v>
      </c>
      <c r="D880" s="5">
        <v>87504</v>
      </c>
      <c r="E880">
        <v>270583</v>
      </c>
      <c r="F880" s="4" t="s">
        <v>183</v>
      </c>
      <c r="G880" t="s">
        <v>29</v>
      </c>
      <c r="H880" t="s">
        <v>184</v>
      </c>
    </row>
    <row r="881" spans="1:8" x14ac:dyDescent="0.25">
      <c r="A881" t="s">
        <v>666</v>
      </c>
      <c r="B881" t="s">
        <v>185</v>
      </c>
      <c r="C881" s="5">
        <v>367210</v>
      </c>
      <c r="D881" s="5">
        <v>6542</v>
      </c>
      <c r="E881">
        <v>175519</v>
      </c>
      <c r="F881" s="4" t="s">
        <v>68</v>
      </c>
      <c r="G881" t="s">
        <v>29</v>
      </c>
      <c r="H881" t="s">
        <v>69</v>
      </c>
    </row>
    <row r="882" spans="1:8" x14ac:dyDescent="0.25">
      <c r="A882" t="s">
        <v>666</v>
      </c>
      <c r="B882" t="s">
        <v>186</v>
      </c>
      <c r="C882" s="5">
        <v>162476</v>
      </c>
      <c r="D882" s="5">
        <v>1188</v>
      </c>
      <c r="E882">
        <v>156078</v>
      </c>
      <c r="F882" s="4" t="s">
        <v>187</v>
      </c>
      <c r="G882" t="s">
        <v>29</v>
      </c>
      <c r="H882" t="s">
        <v>188</v>
      </c>
    </row>
    <row r="883" spans="1:8" x14ac:dyDescent="0.25">
      <c r="A883" t="s">
        <v>666</v>
      </c>
      <c r="B883" t="s">
        <v>189</v>
      </c>
      <c r="C883" s="5">
        <v>52247</v>
      </c>
      <c r="D883" s="5">
        <v>674</v>
      </c>
      <c r="E883">
        <v>5312</v>
      </c>
      <c r="F883" s="4" t="s">
        <v>417</v>
      </c>
      <c r="G883" t="s">
        <v>29</v>
      </c>
      <c r="H883" t="s">
        <v>418</v>
      </c>
    </row>
    <row r="884" spans="1:8" x14ac:dyDescent="0.25">
      <c r="A884" t="s">
        <v>666</v>
      </c>
      <c r="B884" t="s">
        <v>192</v>
      </c>
      <c r="C884" s="5">
        <v>2615</v>
      </c>
      <c r="D884" s="5">
        <v>5</v>
      </c>
      <c r="E884">
        <v>2142</v>
      </c>
      <c r="F884" s="4" t="s">
        <v>83</v>
      </c>
      <c r="G884" t="s">
        <v>29</v>
      </c>
      <c r="H884" t="s">
        <v>84</v>
      </c>
    </row>
    <row r="885" spans="1:8" x14ac:dyDescent="0.25">
      <c r="A885" t="s">
        <v>666</v>
      </c>
      <c r="B885" t="s">
        <v>195</v>
      </c>
      <c r="C885" s="5">
        <v>7038485</v>
      </c>
      <c r="D885" s="5">
        <v>115523</v>
      </c>
      <c r="E885">
        <v>6562266</v>
      </c>
      <c r="F885" s="4" t="s">
        <v>196</v>
      </c>
      <c r="G885" t="s">
        <v>29</v>
      </c>
      <c r="H885" t="s">
        <v>197</v>
      </c>
    </row>
    <row r="886" spans="1:8" x14ac:dyDescent="0.25">
      <c r="A886" t="s">
        <v>666</v>
      </c>
      <c r="B886" t="s">
        <v>198</v>
      </c>
      <c r="C886" s="5">
        <v>36174</v>
      </c>
      <c r="D886" s="5">
        <v>254</v>
      </c>
      <c r="E886">
        <v>24177</v>
      </c>
      <c r="F886" s="4" t="s">
        <v>211</v>
      </c>
      <c r="G886" t="s">
        <v>29</v>
      </c>
      <c r="H886" t="s">
        <v>212</v>
      </c>
    </row>
    <row r="887" spans="1:8" x14ac:dyDescent="0.25">
      <c r="A887" t="s">
        <v>666</v>
      </c>
      <c r="B887" t="s">
        <v>201</v>
      </c>
      <c r="C887" s="5">
        <v>9340808</v>
      </c>
      <c r="D887" s="5">
        <v>142138</v>
      </c>
      <c r="E887">
        <v>4029304</v>
      </c>
      <c r="F887" s="4" t="s">
        <v>589</v>
      </c>
      <c r="G887" t="s">
        <v>29</v>
      </c>
      <c r="H887" t="s">
        <v>590</v>
      </c>
    </row>
    <row r="888" spans="1:8" x14ac:dyDescent="0.25">
      <c r="A888" t="s">
        <v>666</v>
      </c>
      <c r="B888" t="s">
        <v>204</v>
      </c>
      <c r="C888" s="5">
        <v>5861</v>
      </c>
      <c r="D888" s="5">
        <v>198</v>
      </c>
      <c r="E888">
        <v>1406</v>
      </c>
      <c r="F888" s="4" t="s">
        <v>255</v>
      </c>
      <c r="G888" t="s">
        <v>29</v>
      </c>
      <c r="H888" t="s">
        <v>256</v>
      </c>
    </row>
    <row r="889" spans="1:8" x14ac:dyDescent="0.25">
      <c r="A889" t="s">
        <v>666</v>
      </c>
      <c r="B889" t="s">
        <v>207</v>
      </c>
      <c r="C889" s="5">
        <v>752855</v>
      </c>
      <c r="D889" s="5">
        <v>10435</v>
      </c>
      <c r="E889">
        <v>80567</v>
      </c>
      <c r="F889" s="4" t="s">
        <v>208</v>
      </c>
      <c r="G889" t="s">
        <v>29</v>
      </c>
      <c r="H889" t="s">
        <v>209</v>
      </c>
    </row>
    <row r="890" spans="1:8" x14ac:dyDescent="0.25">
      <c r="A890" t="s">
        <v>666</v>
      </c>
      <c r="B890" t="s">
        <v>210</v>
      </c>
      <c r="C890" s="5">
        <v>44964</v>
      </c>
      <c r="D890" s="5">
        <v>313</v>
      </c>
      <c r="E890">
        <v>10455</v>
      </c>
      <c r="F890" s="4" t="s">
        <v>211</v>
      </c>
      <c r="G890" t="s">
        <v>29</v>
      </c>
      <c r="H890" t="s">
        <v>212</v>
      </c>
    </row>
    <row r="891" spans="1:8" x14ac:dyDescent="0.25">
      <c r="A891" t="s">
        <v>666</v>
      </c>
      <c r="B891" t="s">
        <v>213</v>
      </c>
      <c r="C891" s="5">
        <v>130391</v>
      </c>
      <c r="D891" s="5">
        <v>1188</v>
      </c>
      <c r="E891">
        <v>122549</v>
      </c>
      <c r="F891" s="4" t="s">
        <v>146</v>
      </c>
      <c r="G891" t="s">
        <v>29</v>
      </c>
      <c r="H891" t="s">
        <v>147</v>
      </c>
    </row>
    <row r="892" spans="1:8" x14ac:dyDescent="0.25">
      <c r="A892" t="s">
        <v>666</v>
      </c>
      <c r="B892" t="s">
        <v>216</v>
      </c>
      <c r="C892" s="5">
        <v>6153</v>
      </c>
      <c r="D892" s="5">
        <v>98</v>
      </c>
      <c r="E892">
        <v>5888</v>
      </c>
      <c r="F892" s="4" t="s">
        <v>361</v>
      </c>
      <c r="G892" t="s">
        <v>29</v>
      </c>
      <c r="H892" t="s">
        <v>362</v>
      </c>
    </row>
    <row r="893" spans="1:8" x14ac:dyDescent="0.25">
      <c r="A893" t="s">
        <v>666</v>
      </c>
      <c r="B893" t="s">
        <v>219</v>
      </c>
      <c r="C893" s="5">
        <v>9973</v>
      </c>
      <c r="D893" s="5">
        <v>341</v>
      </c>
      <c r="E893">
        <v>2142</v>
      </c>
      <c r="F893" s="4" t="s">
        <v>220</v>
      </c>
      <c r="G893" t="s">
        <v>29</v>
      </c>
      <c r="H893" t="s">
        <v>221</v>
      </c>
    </row>
    <row r="894" spans="1:8" x14ac:dyDescent="0.25">
      <c r="A894" t="s">
        <v>666</v>
      </c>
      <c r="B894" t="s">
        <v>222</v>
      </c>
      <c r="C894" s="5">
        <v>30681</v>
      </c>
      <c r="D894" s="5">
        <v>385</v>
      </c>
      <c r="E894">
        <v>23210</v>
      </c>
      <c r="F894" s="4" t="s">
        <v>107</v>
      </c>
      <c r="G894" t="s">
        <v>29</v>
      </c>
      <c r="H894" t="s">
        <v>108</v>
      </c>
    </row>
    <row r="895" spans="1:8" x14ac:dyDescent="0.25">
      <c r="A895" t="s">
        <v>666</v>
      </c>
      <c r="B895" t="s">
        <v>225</v>
      </c>
      <c r="C895" s="5">
        <v>54474</v>
      </c>
      <c r="D895" s="5">
        <v>820</v>
      </c>
      <c r="E895">
        <v>24823</v>
      </c>
      <c r="F895" s="4" t="s">
        <v>202</v>
      </c>
      <c r="G895" t="s">
        <v>29</v>
      </c>
      <c r="H895" t="s">
        <v>203</v>
      </c>
    </row>
    <row r="896" spans="1:8" x14ac:dyDescent="0.25">
      <c r="A896" t="s">
        <v>666</v>
      </c>
      <c r="B896" t="s">
        <v>228</v>
      </c>
      <c r="C896" s="5">
        <v>13407</v>
      </c>
      <c r="D896" s="5">
        <v>168</v>
      </c>
      <c r="E896">
        <v>3538</v>
      </c>
      <c r="F896" s="4" t="s">
        <v>107</v>
      </c>
      <c r="G896" t="s">
        <v>29</v>
      </c>
      <c r="H896" t="s">
        <v>108</v>
      </c>
    </row>
    <row r="897" spans="1:8" x14ac:dyDescent="0.25">
      <c r="A897" t="s">
        <v>666</v>
      </c>
      <c r="B897" t="s">
        <v>229</v>
      </c>
      <c r="C897" s="5">
        <v>784904</v>
      </c>
      <c r="D897" s="5">
        <v>16295</v>
      </c>
      <c r="E897">
        <v>75011</v>
      </c>
      <c r="F897" s="4" t="s">
        <v>549</v>
      </c>
      <c r="G897" t="s">
        <v>29</v>
      </c>
      <c r="H897" t="s">
        <v>550</v>
      </c>
    </row>
    <row r="898" spans="1:8" x14ac:dyDescent="0.25">
      <c r="A898" t="s">
        <v>666</v>
      </c>
      <c r="B898" t="s">
        <v>232</v>
      </c>
      <c r="C898" s="5">
        <v>605664</v>
      </c>
      <c r="D898" s="5">
        <v>15437</v>
      </c>
      <c r="E898">
        <v>214146</v>
      </c>
      <c r="F898" s="4" t="s">
        <v>513</v>
      </c>
      <c r="G898" t="s">
        <v>29</v>
      </c>
      <c r="H898" t="s">
        <v>514</v>
      </c>
    </row>
    <row r="899" spans="1:8" x14ac:dyDescent="0.25">
      <c r="A899" t="s">
        <v>666</v>
      </c>
      <c r="B899" t="s">
        <v>233</v>
      </c>
      <c r="C899" s="5">
        <v>6150</v>
      </c>
      <c r="D899" s="5">
        <v>143</v>
      </c>
      <c r="E899">
        <v>5172</v>
      </c>
      <c r="F899" s="4" t="s">
        <v>581</v>
      </c>
      <c r="G899" t="s">
        <v>29</v>
      </c>
      <c r="H899" t="s">
        <v>582</v>
      </c>
    </row>
    <row r="900" spans="1:8" x14ac:dyDescent="0.25">
      <c r="A900" t="s">
        <v>666</v>
      </c>
      <c r="B900" t="s">
        <v>236</v>
      </c>
      <c r="C900" s="5">
        <v>36079</v>
      </c>
      <c r="D900" s="5">
        <v>941</v>
      </c>
      <c r="E900">
        <v>13888</v>
      </c>
      <c r="F900" s="4" t="s">
        <v>237</v>
      </c>
      <c r="G900" t="s">
        <v>29</v>
      </c>
      <c r="H900" t="s">
        <v>238</v>
      </c>
    </row>
    <row r="901" spans="1:8" x14ac:dyDescent="0.25">
      <c r="A901" t="s">
        <v>666</v>
      </c>
      <c r="B901" t="s">
        <v>239</v>
      </c>
      <c r="C901" s="5">
        <v>12368</v>
      </c>
      <c r="D901" s="5">
        <v>213</v>
      </c>
      <c r="E901">
        <v>3084</v>
      </c>
      <c r="F901" s="4" t="s">
        <v>240</v>
      </c>
      <c r="G901" t="s">
        <v>29</v>
      </c>
      <c r="H901" t="s">
        <v>241</v>
      </c>
    </row>
    <row r="902" spans="1:8" x14ac:dyDescent="0.25">
      <c r="A902" t="s">
        <v>666</v>
      </c>
      <c r="B902" t="s">
        <v>242</v>
      </c>
      <c r="C902" s="5">
        <v>376281</v>
      </c>
      <c r="D902" s="5">
        <v>10308</v>
      </c>
      <c r="E902">
        <v>223142</v>
      </c>
      <c r="F902" s="4" t="s">
        <v>243</v>
      </c>
      <c r="G902" t="s">
        <v>29</v>
      </c>
      <c r="H902" t="s">
        <v>244</v>
      </c>
    </row>
    <row r="903" spans="1:8" x14ac:dyDescent="0.25">
      <c r="A903" t="s">
        <v>666</v>
      </c>
      <c r="B903" t="s">
        <v>245</v>
      </c>
      <c r="C903" s="5">
        <v>501327</v>
      </c>
      <c r="D903" s="5">
        <v>9500</v>
      </c>
      <c r="E903">
        <v>102245</v>
      </c>
      <c r="F903" s="4" t="s">
        <v>461</v>
      </c>
      <c r="G903" t="s">
        <v>29</v>
      </c>
      <c r="H903" t="s">
        <v>462</v>
      </c>
    </row>
    <row r="904" spans="1:8" x14ac:dyDescent="0.25">
      <c r="A904" t="s">
        <v>666</v>
      </c>
      <c r="B904" t="s">
        <v>248</v>
      </c>
      <c r="C904" s="5">
        <v>24073</v>
      </c>
      <c r="D904" s="5">
        <v>685</v>
      </c>
      <c r="E904">
        <v>3400</v>
      </c>
      <c r="F904" s="4" t="s">
        <v>675</v>
      </c>
      <c r="G904" t="s">
        <v>29</v>
      </c>
      <c r="H904" t="s">
        <v>676</v>
      </c>
    </row>
    <row r="905" spans="1:8" x14ac:dyDescent="0.25">
      <c r="A905" t="s">
        <v>666</v>
      </c>
      <c r="B905" t="s">
        <v>251</v>
      </c>
      <c r="C905" s="5">
        <v>892164</v>
      </c>
      <c r="D905" s="5">
        <v>31184</v>
      </c>
      <c r="E905">
        <v>417756</v>
      </c>
      <c r="F905" s="4" t="s">
        <v>677</v>
      </c>
      <c r="G905" t="s">
        <v>29</v>
      </c>
      <c r="H905" t="s">
        <v>678</v>
      </c>
    </row>
    <row r="906" spans="1:8" x14ac:dyDescent="0.25">
      <c r="A906" t="s">
        <v>666</v>
      </c>
      <c r="B906" t="s">
        <v>254</v>
      </c>
      <c r="C906" s="5">
        <v>4248165</v>
      </c>
      <c r="D906" s="5">
        <v>143545</v>
      </c>
      <c r="E906">
        <v>2936132</v>
      </c>
      <c r="F906" s="4" t="s">
        <v>255</v>
      </c>
      <c r="G906" t="s">
        <v>29</v>
      </c>
      <c r="H906" t="s">
        <v>256</v>
      </c>
    </row>
    <row r="907" spans="1:8" x14ac:dyDescent="0.25">
      <c r="A907" t="s">
        <v>666</v>
      </c>
      <c r="B907" t="s">
        <v>257</v>
      </c>
      <c r="C907" s="5">
        <v>469386</v>
      </c>
      <c r="D907" s="5">
        <v>5492</v>
      </c>
      <c r="E907">
        <v>158264</v>
      </c>
      <c r="F907" s="4" t="s">
        <v>378</v>
      </c>
      <c r="G907" t="s">
        <v>29</v>
      </c>
      <c r="H907" t="s">
        <v>379</v>
      </c>
    </row>
    <row r="908" spans="1:8" x14ac:dyDescent="0.25">
      <c r="A908" t="s">
        <v>666</v>
      </c>
      <c r="B908" t="s">
        <v>260</v>
      </c>
      <c r="C908" s="5">
        <v>1333989</v>
      </c>
      <c r="D908" s="5">
        <v>8122</v>
      </c>
      <c r="E908">
        <v>611590</v>
      </c>
      <c r="F908" s="4" t="s">
        <v>261</v>
      </c>
      <c r="G908" t="s">
        <v>29</v>
      </c>
      <c r="H908" t="s">
        <v>262</v>
      </c>
    </row>
    <row r="909" spans="1:8" x14ac:dyDescent="0.25">
      <c r="A909" t="s">
        <v>666</v>
      </c>
      <c r="B909" t="s">
        <v>263</v>
      </c>
      <c r="C909" s="5">
        <v>34366987</v>
      </c>
      <c r="D909" s="5">
        <v>461057</v>
      </c>
      <c r="E909">
        <v>33556828</v>
      </c>
      <c r="F909" s="4" t="s">
        <v>264</v>
      </c>
      <c r="G909" t="s">
        <v>29</v>
      </c>
      <c r="H909" t="s">
        <v>265</v>
      </c>
    </row>
    <row r="910" spans="1:8" x14ac:dyDescent="0.25">
      <c r="A910" t="s">
        <v>666</v>
      </c>
      <c r="B910" t="s">
        <v>266</v>
      </c>
      <c r="C910" s="5">
        <v>2062863</v>
      </c>
      <c r="D910" s="5">
        <v>23344</v>
      </c>
      <c r="E910">
        <v>1562355</v>
      </c>
      <c r="F910" s="4" t="s">
        <v>267</v>
      </c>
      <c r="G910" t="s">
        <v>29</v>
      </c>
      <c r="H910" t="s">
        <v>268</v>
      </c>
    </row>
    <row r="911" spans="1:8" x14ac:dyDescent="0.25">
      <c r="A911" t="s">
        <v>666</v>
      </c>
      <c r="B911" t="s">
        <v>269</v>
      </c>
      <c r="C911" s="5">
        <v>5987814</v>
      </c>
      <c r="D911" s="5">
        <v>127299</v>
      </c>
      <c r="E911">
        <v>3375510</v>
      </c>
      <c r="F911" s="4" t="s">
        <v>650</v>
      </c>
      <c r="G911" t="s">
        <v>29</v>
      </c>
      <c r="H911" t="s">
        <v>651</v>
      </c>
    </row>
    <row r="912" spans="1:8" x14ac:dyDescent="0.25">
      <c r="A912" t="s">
        <v>666</v>
      </c>
      <c r="B912" t="s">
        <v>272</v>
      </c>
      <c r="C912" s="5">
        <v>14255</v>
      </c>
      <c r="D912" s="5">
        <v>34</v>
      </c>
      <c r="E912">
        <v>5340</v>
      </c>
      <c r="F912" s="4" t="s">
        <v>454</v>
      </c>
      <c r="G912" t="s">
        <v>29</v>
      </c>
      <c r="H912" t="s">
        <v>455</v>
      </c>
    </row>
    <row r="913" spans="1:8" x14ac:dyDescent="0.25">
      <c r="A913" t="s">
        <v>666</v>
      </c>
      <c r="B913" t="s">
        <v>275</v>
      </c>
      <c r="C913" s="5">
        <v>4808047</v>
      </c>
      <c r="D913" s="5">
        <v>132391</v>
      </c>
      <c r="E913">
        <v>3328263</v>
      </c>
      <c r="F913" s="4" t="s">
        <v>276</v>
      </c>
      <c r="G913" t="s">
        <v>29</v>
      </c>
      <c r="H913" t="s">
        <v>277</v>
      </c>
    </row>
    <row r="914" spans="1:8" x14ac:dyDescent="0.25">
      <c r="A914" t="s">
        <v>666</v>
      </c>
      <c r="B914" t="s">
        <v>278</v>
      </c>
      <c r="C914" s="5">
        <v>89681</v>
      </c>
      <c r="D914" s="5">
        <v>2275</v>
      </c>
      <c r="E914">
        <v>3514</v>
      </c>
      <c r="F914" s="4" t="s">
        <v>141</v>
      </c>
      <c r="G914" t="s">
        <v>29</v>
      </c>
      <c r="H914" t="s">
        <v>142</v>
      </c>
    </row>
    <row r="915" spans="1:8" x14ac:dyDescent="0.25">
      <c r="A915" t="s">
        <v>666</v>
      </c>
      <c r="B915" t="s">
        <v>279</v>
      </c>
      <c r="C915" s="5">
        <v>875804</v>
      </c>
      <c r="D915" s="5">
        <v>11128</v>
      </c>
      <c r="E915">
        <v>815010</v>
      </c>
      <c r="F915" s="4" t="s">
        <v>53</v>
      </c>
      <c r="G915" t="s">
        <v>29</v>
      </c>
      <c r="H915" t="s">
        <v>54</v>
      </c>
    </row>
    <row r="916" spans="1:8" x14ac:dyDescent="0.25">
      <c r="A916" t="s">
        <v>666</v>
      </c>
      <c r="B916" t="s">
        <v>280</v>
      </c>
      <c r="C916" s="5">
        <v>1723682</v>
      </c>
      <c r="D916" s="5">
        <v>18306</v>
      </c>
      <c r="E916">
        <v>1665882</v>
      </c>
      <c r="F916" s="4" t="s">
        <v>165</v>
      </c>
      <c r="G916" t="s">
        <v>29</v>
      </c>
      <c r="H916" t="s">
        <v>166</v>
      </c>
    </row>
    <row r="917" spans="1:8" x14ac:dyDescent="0.25">
      <c r="A917" t="s">
        <v>666</v>
      </c>
      <c r="B917" t="s">
        <v>281</v>
      </c>
      <c r="C917" s="5">
        <v>253833</v>
      </c>
      <c r="D917" s="5">
        <v>5312</v>
      </c>
      <c r="E917">
        <v>44781</v>
      </c>
      <c r="F917" s="4" t="s">
        <v>282</v>
      </c>
      <c r="G917" t="s">
        <v>29</v>
      </c>
      <c r="H917" t="s">
        <v>283</v>
      </c>
    </row>
    <row r="918" spans="1:8" x14ac:dyDescent="0.25">
      <c r="A918" t="s">
        <v>666</v>
      </c>
      <c r="B918" t="s">
        <v>284</v>
      </c>
      <c r="C918" s="5">
        <v>181830</v>
      </c>
      <c r="D918" s="5">
        <v>2686</v>
      </c>
      <c r="E918">
        <v>114855</v>
      </c>
      <c r="F918" s="4" t="s">
        <v>285</v>
      </c>
      <c r="G918" t="s">
        <v>29</v>
      </c>
      <c r="H918" t="s">
        <v>286</v>
      </c>
    </row>
    <row r="919" spans="1:8" x14ac:dyDescent="0.25">
      <c r="A919" t="s">
        <v>666</v>
      </c>
      <c r="B919" t="s">
        <v>290</v>
      </c>
      <c r="C919" s="5">
        <v>2</v>
      </c>
      <c r="D919" s="5">
        <v>0</v>
      </c>
      <c r="E919">
        <v>0</v>
      </c>
      <c r="F919" s="4" t="s">
        <v>29</v>
      </c>
      <c r="G919" t="s">
        <v>29</v>
      </c>
      <c r="H919" t="s">
        <v>291</v>
      </c>
    </row>
    <row r="920" spans="1:8" x14ac:dyDescent="0.25">
      <c r="A920" t="s">
        <v>666</v>
      </c>
      <c r="B920" t="s">
        <v>287</v>
      </c>
      <c r="C920" s="5">
        <v>119092</v>
      </c>
      <c r="D920" s="5">
        <v>2829</v>
      </c>
      <c r="E920">
        <v>13314</v>
      </c>
      <c r="F920" s="4" t="s">
        <v>552</v>
      </c>
      <c r="G920" t="s">
        <v>29</v>
      </c>
      <c r="H920" t="s">
        <v>553</v>
      </c>
    </row>
    <row r="921" spans="1:8" x14ac:dyDescent="0.25">
      <c r="A921" t="s">
        <v>666</v>
      </c>
      <c r="B921" t="s">
        <v>292</v>
      </c>
      <c r="C921" s="5">
        <v>4315</v>
      </c>
      <c r="D921" s="5">
        <v>147</v>
      </c>
      <c r="E921">
        <v>2162</v>
      </c>
      <c r="F921" s="4" t="s">
        <v>205</v>
      </c>
      <c r="G921" t="s">
        <v>29</v>
      </c>
      <c r="H921" t="s">
        <v>206</v>
      </c>
    </row>
    <row r="922" spans="1:8" x14ac:dyDescent="0.25">
      <c r="A922" t="s">
        <v>666</v>
      </c>
      <c r="B922" t="s">
        <v>293</v>
      </c>
      <c r="C922" s="5">
        <v>2717</v>
      </c>
      <c r="D922" s="5">
        <v>25</v>
      </c>
      <c r="E922">
        <v>2300</v>
      </c>
      <c r="F922" s="4" t="s">
        <v>214</v>
      </c>
      <c r="G922" t="s">
        <v>29</v>
      </c>
      <c r="H922" t="s">
        <v>215</v>
      </c>
    </row>
    <row r="923" spans="1:8" x14ac:dyDescent="0.25">
      <c r="A923" t="s">
        <v>666</v>
      </c>
      <c r="B923" t="s">
        <v>296</v>
      </c>
      <c r="C923" s="5">
        <v>381694</v>
      </c>
      <c r="D923" s="5">
        <v>2980</v>
      </c>
      <c r="E923">
        <v>6813</v>
      </c>
      <c r="F923" s="4" t="s">
        <v>297</v>
      </c>
      <c r="G923" t="s">
        <v>29</v>
      </c>
      <c r="H923" t="s">
        <v>298</v>
      </c>
    </row>
    <row r="924" spans="1:8" x14ac:dyDescent="0.25">
      <c r="A924" t="s">
        <v>666</v>
      </c>
      <c r="B924" t="s">
        <v>299</v>
      </c>
      <c r="C924" s="5">
        <v>412844</v>
      </c>
      <c r="D924" s="5">
        <v>2462</v>
      </c>
      <c r="E924">
        <v>171695</v>
      </c>
      <c r="F924" s="4" t="s">
        <v>300</v>
      </c>
      <c r="G924" t="s">
        <v>29</v>
      </c>
      <c r="H924" t="s">
        <v>301</v>
      </c>
    </row>
    <row r="925" spans="1:8" x14ac:dyDescent="0.25">
      <c r="A925" t="s">
        <v>666</v>
      </c>
      <c r="B925" t="s">
        <v>302</v>
      </c>
      <c r="C925" s="5">
        <v>1029986</v>
      </c>
      <c r="D925" s="5">
        <v>17263</v>
      </c>
      <c r="E925">
        <v>175917</v>
      </c>
      <c r="F925" s="4" t="s">
        <v>116</v>
      </c>
      <c r="G925" t="s">
        <v>29</v>
      </c>
      <c r="H925" t="s">
        <v>117</v>
      </c>
    </row>
    <row r="926" spans="1:8" x14ac:dyDescent="0.25">
      <c r="A926" t="s">
        <v>666</v>
      </c>
      <c r="B926" t="s">
        <v>303</v>
      </c>
      <c r="C926" s="5">
        <v>47056</v>
      </c>
      <c r="D926" s="5">
        <v>82</v>
      </c>
      <c r="E926">
        <v>4767</v>
      </c>
      <c r="F926" s="4" t="s">
        <v>679</v>
      </c>
      <c r="G926" t="s">
        <v>29</v>
      </c>
      <c r="H926" t="s">
        <v>680</v>
      </c>
    </row>
    <row r="927" spans="1:8" x14ac:dyDescent="0.25">
      <c r="A927" t="s">
        <v>666</v>
      </c>
      <c r="B927" t="s">
        <v>306</v>
      </c>
      <c r="C927" s="5">
        <v>646629</v>
      </c>
      <c r="D927" s="5">
        <v>8546</v>
      </c>
      <c r="E927">
        <v>583340</v>
      </c>
      <c r="F927" s="4" t="s">
        <v>307</v>
      </c>
      <c r="G927" t="s">
        <v>29</v>
      </c>
      <c r="H927" t="s">
        <v>308</v>
      </c>
    </row>
    <row r="928" spans="1:8" x14ac:dyDescent="0.25">
      <c r="A928" t="s">
        <v>666</v>
      </c>
      <c r="B928" t="s">
        <v>309</v>
      </c>
      <c r="C928" s="5">
        <v>12688</v>
      </c>
      <c r="D928" s="5">
        <v>260</v>
      </c>
      <c r="E928">
        <v>3222</v>
      </c>
      <c r="F928" s="4" t="s">
        <v>579</v>
      </c>
      <c r="G928" t="s">
        <v>29</v>
      </c>
      <c r="H928" t="s">
        <v>580</v>
      </c>
    </row>
    <row r="929" spans="1:8" x14ac:dyDescent="0.25">
      <c r="A929" t="s">
        <v>666</v>
      </c>
      <c r="B929" t="s">
        <v>312</v>
      </c>
      <c r="C929" s="5">
        <v>3728</v>
      </c>
      <c r="D929" s="5">
        <v>61</v>
      </c>
      <c r="E929">
        <v>2192</v>
      </c>
      <c r="F929" s="4" t="s">
        <v>196</v>
      </c>
      <c r="G929" t="s">
        <v>29</v>
      </c>
      <c r="H929" t="s">
        <v>197</v>
      </c>
    </row>
    <row r="930" spans="1:8" x14ac:dyDescent="0.25">
      <c r="A930" t="s">
        <v>666</v>
      </c>
      <c r="B930" t="s">
        <v>315</v>
      </c>
      <c r="C930" s="5">
        <v>545256</v>
      </c>
      <c r="D930" s="5">
        <v>13856</v>
      </c>
      <c r="E930">
        <v>45041</v>
      </c>
      <c r="F930" s="4" t="s">
        <v>141</v>
      </c>
      <c r="G930" t="s">
        <v>29</v>
      </c>
      <c r="H930" t="s">
        <v>142</v>
      </c>
    </row>
    <row r="931" spans="1:8" x14ac:dyDescent="0.25">
      <c r="A931" t="s">
        <v>666</v>
      </c>
      <c r="B931" t="s">
        <v>316</v>
      </c>
      <c r="C931" s="5">
        <v>5815</v>
      </c>
      <c r="D931" s="5">
        <v>287</v>
      </c>
      <c r="E931">
        <v>2212</v>
      </c>
      <c r="F931" s="4" t="s">
        <v>644</v>
      </c>
      <c r="G931" t="s">
        <v>29</v>
      </c>
      <c r="H931" t="s">
        <v>645</v>
      </c>
    </row>
    <row r="932" spans="1:8" x14ac:dyDescent="0.25">
      <c r="A932" t="s">
        <v>666</v>
      </c>
      <c r="B932" t="s">
        <v>319</v>
      </c>
      <c r="C932" s="5">
        <v>21685</v>
      </c>
      <c r="D932" s="5">
        <v>659</v>
      </c>
      <c r="E932">
        <v>18092</v>
      </c>
      <c r="F932" s="4" t="s">
        <v>320</v>
      </c>
      <c r="G932" t="s">
        <v>29</v>
      </c>
      <c r="H932" t="s">
        <v>321</v>
      </c>
    </row>
    <row r="933" spans="1:8" x14ac:dyDescent="0.25">
      <c r="A933" t="s">
        <v>666</v>
      </c>
      <c r="B933" t="s">
        <v>322</v>
      </c>
      <c r="C933" s="5">
        <v>427118</v>
      </c>
      <c r="D933" s="5">
        <v>6111</v>
      </c>
      <c r="E933">
        <v>26533</v>
      </c>
      <c r="F933" s="4" t="s">
        <v>323</v>
      </c>
      <c r="G933" t="s">
        <v>29</v>
      </c>
      <c r="H933" t="s">
        <v>324</v>
      </c>
    </row>
    <row r="934" spans="1:8" x14ac:dyDescent="0.25">
      <c r="A934" t="s">
        <v>666</v>
      </c>
      <c r="B934" t="s">
        <v>325</v>
      </c>
      <c r="C934" s="5">
        <v>82842</v>
      </c>
      <c r="D934" s="5">
        <v>849</v>
      </c>
      <c r="E934">
        <v>47605</v>
      </c>
      <c r="F934" s="4" t="s">
        <v>326</v>
      </c>
      <c r="G934" t="s">
        <v>29</v>
      </c>
      <c r="H934" t="s">
        <v>327</v>
      </c>
    </row>
    <row r="935" spans="1:8" x14ac:dyDescent="0.25">
      <c r="A935" t="s">
        <v>666</v>
      </c>
      <c r="B935" t="s">
        <v>328</v>
      </c>
      <c r="C935" s="5">
        <v>231824</v>
      </c>
      <c r="D935" s="5">
        <v>3499</v>
      </c>
      <c r="E935">
        <v>142767</v>
      </c>
      <c r="F935" s="4" t="s">
        <v>202</v>
      </c>
      <c r="G935" t="s">
        <v>29</v>
      </c>
      <c r="H935" t="s">
        <v>203</v>
      </c>
    </row>
    <row r="936" spans="1:8" x14ac:dyDescent="0.25">
      <c r="A936" t="s">
        <v>666</v>
      </c>
      <c r="B936" t="s">
        <v>329</v>
      </c>
      <c r="C936" s="5">
        <v>360914</v>
      </c>
      <c r="D936" s="5">
        <v>5207</v>
      </c>
      <c r="E936">
        <v>289400</v>
      </c>
      <c r="F936" s="4" t="s">
        <v>330</v>
      </c>
      <c r="G936" t="s">
        <v>29</v>
      </c>
      <c r="H936" t="s">
        <v>331</v>
      </c>
    </row>
    <row r="937" spans="1:8" x14ac:dyDescent="0.25">
      <c r="A937" t="s">
        <v>666</v>
      </c>
      <c r="B937" t="s">
        <v>332</v>
      </c>
      <c r="C937" s="5">
        <v>947396</v>
      </c>
      <c r="D937" s="5">
        <v>14713</v>
      </c>
      <c r="E937">
        <v>631039</v>
      </c>
      <c r="F937" s="4" t="s">
        <v>333</v>
      </c>
      <c r="G937" t="s">
        <v>29</v>
      </c>
      <c r="H937" t="s">
        <v>334</v>
      </c>
    </row>
    <row r="938" spans="1:8" x14ac:dyDescent="0.25">
      <c r="A938" t="s">
        <v>666</v>
      </c>
      <c r="B938" t="s">
        <v>335</v>
      </c>
      <c r="C938" s="5">
        <v>3436</v>
      </c>
      <c r="D938" s="5">
        <v>36</v>
      </c>
      <c r="E938">
        <v>1087</v>
      </c>
      <c r="F938" s="4" t="s">
        <v>642</v>
      </c>
      <c r="G938" t="s">
        <v>29</v>
      </c>
      <c r="H938" t="s">
        <v>643</v>
      </c>
    </row>
    <row r="939" spans="1:8" x14ac:dyDescent="0.25">
      <c r="A939" t="s">
        <v>666</v>
      </c>
      <c r="B939" t="s">
        <v>338</v>
      </c>
      <c r="C939" s="5">
        <v>345964</v>
      </c>
      <c r="D939" s="5">
        <v>8099</v>
      </c>
      <c r="E939">
        <v>268356</v>
      </c>
      <c r="F939" s="4" t="s">
        <v>681</v>
      </c>
      <c r="G939" t="s">
        <v>29</v>
      </c>
      <c r="H939" t="s">
        <v>682</v>
      </c>
    </row>
    <row r="940" spans="1:8" x14ac:dyDescent="0.25">
      <c r="A940" t="s">
        <v>666</v>
      </c>
      <c r="B940" t="s">
        <v>341</v>
      </c>
      <c r="C940" s="5">
        <v>148579</v>
      </c>
      <c r="D940" s="5">
        <v>2148</v>
      </c>
      <c r="E940">
        <v>112893</v>
      </c>
      <c r="F940" s="4" t="s">
        <v>342</v>
      </c>
      <c r="G940" t="s">
        <v>29</v>
      </c>
      <c r="H940" t="s">
        <v>343</v>
      </c>
    </row>
    <row r="941" spans="1:8" x14ac:dyDescent="0.25">
      <c r="A941" t="s">
        <v>666</v>
      </c>
      <c r="B941" t="s">
        <v>344</v>
      </c>
      <c r="C941" s="5">
        <v>3941</v>
      </c>
      <c r="D941" s="5">
        <v>56</v>
      </c>
      <c r="E941">
        <v>2060</v>
      </c>
      <c r="F941" s="4" t="s">
        <v>640</v>
      </c>
      <c r="G941" t="s">
        <v>29</v>
      </c>
      <c r="H941" t="s">
        <v>641</v>
      </c>
    </row>
    <row r="942" spans="1:8" x14ac:dyDescent="0.25">
      <c r="A942" t="s">
        <v>666</v>
      </c>
      <c r="B942" t="s">
        <v>347</v>
      </c>
      <c r="C942" s="5">
        <v>43632</v>
      </c>
      <c r="D942" s="5">
        <v>964</v>
      </c>
      <c r="E942">
        <v>38030</v>
      </c>
      <c r="F942" s="4" t="s">
        <v>132</v>
      </c>
      <c r="G942" t="s">
        <v>29</v>
      </c>
      <c r="H942" t="s">
        <v>133</v>
      </c>
    </row>
    <row r="943" spans="1:8" x14ac:dyDescent="0.25">
      <c r="A943" t="s">
        <v>666</v>
      </c>
      <c r="B943" t="s">
        <v>348</v>
      </c>
      <c r="C943" s="5">
        <v>4</v>
      </c>
      <c r="D943" s="5">
        <v>0</v>
      </c>
      <c r="E943">
        <v>3</v>
      </c>
      <c r="F943" s="4" t="s">
        <v>29</v>
      </c>
      <c r="G943" t="s">
        <v>29</v>
      </c>
      <c r="H943" t="s">
        <v>291</v>
      </c>
    </row>
    <row r="944" spans="1:8" x14ac:dyDescent="0.25">
      <c r="A944" t="s">
        <v>666</v>
      </c>
      <c r="B944" t="s">
        <v>349</v>
      </c>
      <c r="C944" s="5">
        <v>206077</v>
      </c>
      <c r="D944" s="5">
        <v>7232</v>
      </c>
      <c r="E944">
        <v>103562</v>
      </c>
      <c r="F944" s="4" t="s">
        <v>350</v>
      </c>
      <c r="G944" t="s">
        <v>29</v>
      </c>
      <c r="H944" t="s">
        <v>351</v>
      </c>
    </row>
    <row r="945" spans="1:8" x14ac:dyDescent="0.25">
      <c r="A945" t="s">
        <v>666</v>
      </c>
      <c r="B945" t="s">
        <v>352</v>
      </c>
      <c r="C945" s="5">
        <v>16371</v>
      </c>
      <c r="D945" s="5">
        <v>576</v>
      </c>
      <c r="E945">
        <v>15580</v>
      </c>
      <c r="F945" s="4" t="s">
        <v>353</v>
      </c>
      <c r="G945" t="s">
        <v>29</v>
      </c>
      <c r="H945" t="s">
        <v>354</v>
      </c>
    </row>
    <row r="946" spans="1:8" x14ac:dyDescent="0.25">
      <c r="A946" t="s">
        <v>666</v>
      </c>
      <c r="B946" t="s">
        <v>355</v>
      </c>
      <c r="C946" s="5">
        <v>506816</v>
      </c>
      <c r="D946" s="5">
        <v>18821</v>
      </c>
      <c r="E946">
        <v>53215</v>
      </c>
      <c r="F946" s="4" t="s">
        <v>593</v>
      </c>
      <c r="G946" t="s">
        <v>29</v>
      </c>
      <c r="H946" t="s">
        <v>594</v>
      </c>
    </row>
    <row r="947" spans="1:8" x14ac:dyDescent="0.25">
      <c r="A947" t="s">
        <v>666</v>
      </c>
      <c r="B947" t="s">
        <v>358</v>
      </c>
      <c r="C947" s="5">
        <v>367412</v>
      </c>
      <c r="D947" s="5">
        <v>1817</v>
      </c>
      <c r="E947">
        <v>346600</v>
      </c>
      <c r="F947" s="4" t="s">
        <v>638</v>
      </c>
      <c r="G947" t="s">
        <v>29</v>
      </c>
      <c r="H947" t="s">
        <v>639</v>
      </c>
    </row>
    <row r="948" spans="1:8" x14ac:dyDescent="0.25">
      <c r="A948" t="s">
        <v>666</v>
      </c>
      <c r="B948" t="s">
        <v>359</v>
      </c>
      <c r="C948" s="5">
        <v>77</v>
      </c>
      <c r="D948" s="5">
        <v>0</v>
      </c>
      <c r="E948">
        <v>62</v>
      </c>
      <c r="F948" s="4" t="s">
        <v>29</v>
      </c>
      <c r="G948" t="s">
        <v>29</v>
      </c>
      <c r="H948" t="s">
        <v>291</v>
      </c>
    </row>
    <row r="949" spans="1:8" x14ac:dyDescent="0.25">
      <c r="A949" t="s">
        <v>666</v>
      </c>
      <c r="B949" t="s">
        <v>360</v>
      </c>
      <c r="C949" s="5">
        <v>43347</v>
      </c>
      <c r="D949" s="5">
        <v>683</v>
      </c>
      <c r="E949">
        <v>2246</v>
      </c>
      <c r="F949" s="4" t="s">
        <v>577</v>
      </c>
      <c r="G949" t="s">
        <v>29</v>
      </c>
      <c r="H949" t="s">
        <v>578</v>
      </c>
    </row>
    <row r="950" spans="1:8" x14ac:dyDescent="0.25">
      <c r="A950" t="s">
        <v>666</v>
      </c>
      <c r="B950" t="s">
        <v>363</v>
      </c>
      <c r="C950" s="5">
        <v>37703</v>
      </c>
      <c r="D950" s="5">
        <v>801</v>
      </c>
      <c r="E950">
        <v>3401</v>
      </c>
      <c r="F950" s="4" t="s">
        <v>270</v>
      </c>
      <c r="G950" t="s">
        <v>29</v>
      </c>
      <c r="H950" t="s">
        <v>271</v>
      </c>
    </row>
    <row r="951" spans="1:8" x14ac:dyDescent="0.25">
      <c r="A951" t="s">
        <v>666</v>
      </c>
      <c r="B951" t="s">
        <v>364</v>
      </c>
      <c r="C951" s="5">
        <v>37904</v>
      </c>
      <c r="D951" s="5">
        <v>462</v>
      </c>
      <c r="E951">
        <v>4642</v>
      </c>
      <c r="F951" s="4" t="s">
        <v>365</v>
      </c>
      <c r="G951" t="s">
        <v>29</v>
      </c>
      <c r="H951" t="s">
        <v>366</v>
      </c>
    </row>
    <row r="952" spans="1:8" x14ac:dyDescent="0.25">
      <c r="A952" t="s">
        <v>666</v>
      </c>
      <c r="B952" t="s">
        <v>367</v>
      </c>
      <c r="C952" s="5">
        <v>18314</v>
      </c>
      <c r="D952" s="5">
        <v>199</v>
      </c>
      <c r="E952">
        <v>669</v>
      </c>
      <c r="F952" s="4" t="s">
        <v>683</v>
      </c>
      <c r="G952" t="s">
        <v>29</v>
      </c>
      <c r="H952" t="s">
        <v>684</v>
      </c>
    </row>
    <row r="953" spans="1:8" x14ac:dyDescent="0.25">
      <c r="A953" t="s">
        <v>666</v>
      </c>
      <c r="B953" t="s">
        <v>368</v>
      </c>
      <c r="C953" s="5">
        <v>88817</v>
      </c>
      <c r="D953" s="5">
        <v>245</v>
      </c>
      <c r="E953">
        <v>48368</v>
      </c>
      <c r="F953" s="4" t="s">
        <v>369</v>
      </c>
      <c r="G953" t="s">
        <v>29</v>
      </c>
      <c r="H953" t="s">
        <v>370</v>
      </c>
    </row>
    <row r="954" spans="1:8" x14ac:dyDescent="0.25">
      <c r="A954" t="s">
        <v>666</v>
      </c>
      <c r="B954" t="s">
        <v>371</v>
      </c>
      <c r="C954" s="5">
        <v>61815</v>
      </c>
      <c r="D954" s="5">
        <v>2302</v>
      </c>
      <c r="E954">
        <v>10470</v>
      </c>
      <c r="F954" s="4" t="s">
        <v>372</v>
      </c>
      <c r="G954" t="s">
        <v>29</v>
      </c>
      <c r="H954" t="s">
        <v>373</v>
      </c>
    </row>
    <row r="955" spans="1:8" x14ac:dyDescent="0.25">
      <c r="A955" t="s">
        <v>666</v>
      </c>
      <c r="B955" t="s">
        <v>374</v>
      </c>
      <c r="C955" s="5">
        <v>3826786</v>
      </c>
      <c r="D955" s="5">
        <v>289734</v>
      </c>
      <c r="E955">
        <v>2965659</v>
      </c>
      <c r="F955" s="4" t="s">
        <v>375</v>
      </c>
      <c r="G955" t="s">
        <v>29</v>
      </c>
      <c r="H955" t="s">
        <v>376</v>
      </c>
    </row>
    <row r="956" spans="1:8" x14ac:dyDescent="0.25">
      <c r="A956" t="s">
        <v>666</v>
      </c>
      <c r="B956" t="s">
        <v>377</v>
      </c>
      <c r="C956" s="5">
        <v>2506309</v>
      </c>
      <c r="D956" s="5">
        <v>29291</v>
      </c>
      <c r="E956">
        <v>2137760</v>
      </c>
      <c r="F956" s="4" t="s">
        <v>378</v>
      </c>
      <c r="G956" t="s">
        <v>29</v>
      </c>
      <c r="H956" t="s">
        <v>379</v>
      </c>
    </row>
    <row r="957" spans="1:8" x14ac:dyDescent="0.25">
      <c r="A957" t="s">
        <v>666</v>
      </c>
      <c r="B957" t="s">
        <v>380</v>
      </c>
      <c r="C957" s="5">
        <v>151368</v>
      </c>
      <c r="D957" s="5">
        <v>1934</v>
      </c>
      <c r="E957">
        <v>129083</v>
      </c>
      <c r="F957" s="4" t="s">
        <v>381</v>
      </c>
      <c r="G957" t="s">
        <v>29</v>
      </c>
      <c r="H957" t="s">
        <v>382</v>
      </c>
    </row>
    <row r="958" spans="1:8" x14ac:dyDescent="0.25">
      <c r="A958" t="s">
        <v>666</v>
      </c>
      <c r="B958" t="s">
        <v>383</v>
      </c>
      <c r="C958" s="5">
        <v>129009</v>
      </c>
      <c r="D958" s="5">
        <v>3563</v>
      </c>
      <c r="E958">
        <v>17159</v>
      </c>
      <c r="F958" s="4" t="s">
        <v>384</v>
      </c>
      <c r="G958" t="s">
        <v>29</v>
      </c>
      <c r="H958" t="s">
        <v>385</v>
      </c>
    </row>
    <row r="959" spans="1:8" x14ac:dyDescent="0.25">
      <c r="A959" t="s">
        <v>666</v>
      </c>
      <c r="B959" t="s">
        <v>386</v>
      </c>
      <c r="C959" s="5">
        <v>11306</v>
      </c>
      <c r="D959" s="5">
        <v>268</v>
      </c>
      <c r="E959">
        <v>7027</v>
      </c>
      <c r="F959" s="4" t="s">
        <v>636</v>
      </c>
      <c r="G959" t="s">
        <v>29</v>
      </c>
      <c r="H959" t="s">
        <v>637</v>
      </c>
    </row>
    <row r="960" spans="1:8" x14ac:dyDescent="0.25">
      <c r="A960" t="s">
        <v>666</v>
      </c>
      <c r="B960" t="s">
        <v>387</v>
      </c>
      <c r="C960" s="5">
        <v>6490</v>
      </c>
      <c r="D960" s="5">
        <v>220</v>
      </c>
      <c r="E960">
        <v>1354</v>
      </c>
      <c r="F960" s="4" t="s">
        <v>585</v>
      </c>
      <c r="G960" t="s">
        <v>29</v>
      </c>
      <c r="H960" t="s">
        <v>586</v>
      </c>
    </row>
    <row r="961" spans="1:8" x14ac:dyDescent="0.25">
      <c r="A961" t="s">
        <v>666</v>
      </c>
      <c r="B961" t="s">
        <v>390</v>
      </c>
      <c r="C961" s="5">
        <v>212713</v>
      </c>
      <c r="D961" s="5">
        <v>2906</v>
      </c>
      <c r="E961">
        <v>23726</v>
      </c>
      <c r="F961" s="4" t="s">
        <v>391</v>
      </c>
      <c r="G961" t="s">
        <v>29</v>
      </c>
      <c r="H961" t="s">
        <v>392</v>
      </c>
    </row>
    <row r="962" spans="1:8" x14ac:dyDescent="0.25">
      <c r="A962" t="s">
        <v>666</v>
      </c>
      <c r="B962" t="s">
        <v>393</v>
      </c>
      <c r="C962" s="5">
        <v>16699</v>
      </c>
      <c r="D962" s="5">
        <v>209</v>
      </c>
      <c r="E962">
        <v>12873</v>
      </c>
      <c r="F962" s="4" t="s">
        <v>107</v>
      </c>
      <c r="G962" t="s">
        <v>29</v>
      </c>
      <c r="H962" t="s">
        <v>108</v>
      </c>
    </row>
    <row r="963" spans="1:8" x14ac:dyDescent="0.25">
      <c r="A963" t="s">
        <v>666</v>
      </c>
      <c r="B963" t="s">
        <v>396</v>
      </c>
      <c r="C963" s="5">
        <v>2241183</v>
      </c>
      <c r="D963" s="5">
        <v>19003</v>
      </c>
      <c r="E963">
        <v>1481968</v>
      </c>
      <c r="F963" s="4" t="s">
        <v>685</v>
      </c>
      <c r="G963" t="s">
        <v>29</v>
      </c>
      <c r="H963" t="s">
        <v>686</v>
      </c>
    </row>
    <row r="964" spans="1:8" x14ac:dyDescent="0.25">
      <c r="A964" t="s">
        <v>666</v>
      </c>
      <c r="B964" t="s">
        <v>399</v>
      </c>
      <c r="C964" s="5">
        <v>216855</v>
      </c>
      <c r="D964" s="5">
        <v>922</v>
      </c>
      <c r="E964">
        <v>98634</v>
      </c>
      <c r="F964" s="4" t="s">
        <v>400</v>
      </c>
      <c r="G964" t="s">
        <v>29</v>
      </c>
      <c r="H964" t="s">
        <v>401</v>
      </c>
    </row>
    <row r="965" spans="1:8" x14ac:dyDescent="0.25">
      <c r="A965" t="s">
        <v>666</v>
      </c>
      <c r="B965" t="s">
        <v>402</v>
      </c>
      <c r="C965" s="5">
        <v>814558</v>
      </c>
      <c r="D965" s="5">
        <v>11448</v>
      </c>
      <c r="E965">
        <v>637926</v>
      </c>
      <c r="F965" s="4" t="s">
        <v>345</v>
      </c>
      <c r="G965" t="s">
        <v>29</v>
      </c>
      <c r="H965" t="s">
        <v>346</v>
      </c>
    </row>
    <row r="966" spans="1:8" x14ac:dyDescent="0.25">
      <c r="A966" t="s">
        <v>666</v>
      </c>
      <c r="B966" t="s">
        <v>405</v>
      </c>
      <c r="C966" s="5">
        <v>7649</v>
      </c>
      <c r="D966" s="5">
        <v>32</v>
      </c>
      <c r="E966">
        <v>3235</v>
      </c>
      <c r="F966" s="4" t="s">
        <v>597</v>
      </c>
      <c r="G966" t="s">
        <v>29</v>
      </c>
      <c r="H966" t="s">
        <v>598</v>
      </c>
    </row>
    <row r="967" spans="1:8" x14ac:dyDescent="0.25">
      <c r="A967" t="s">
        <v>666</v>
      </c>
      <c r="B967" t="s">
        <v>408</v>
      </c>
      <c r="C967" s="5">
        <v>304365</v>
      </c>
      <c r="D967" s="5">
        <v>4112</v>
      </c>
      <c r="E967">
        <v>228849</v>
      </c>
      <c r="F967" s="4" t="s">
        <v>409</v>
      </c>
      <c r="G967" t="s">
        <v>29</v>
      </c>
      <c r="H967" t="s">
        <v>410</v>
      </c>
    </row>
    <row r="968" spans="1:8" x14ac:dyDescent="0.25">
      <c r="A968" t="s">
        <v>666</v>
      </c>
      <c r="B968" t="s">
        <v>411</v>
      </c>
      <c r="C968" s="5">
        <v>473416</v>
      </c>
      <c r="D968" s="5">
        <v>7329</v>
      </c>
      <c r="E968">
        <v>182048</v>
      </c>
      <c r="F968" s="4" t="s">
        <v>333</v>
      </c>
      <c r="G968" t="s">
        <v>29</v>
      </c>
      <c r="H968" t="s">
        <v>334</v>
      </c>
    </row>
    <row r="969" spans="1:8" x14ac:dyDescent="0.25">
      <c r="A969" t="s">
        <v>666</v>
      </c>
      <c r="B969" t="s">
        <v>412</v>
      </c>
      <c r="C969" s="5">
        <v>2207550</v>
      </c>
      <c r="D969" s="5">
        <v>200430</v>
      </c>
      <c r="E969">
        <v>1936675</v>
      </c>
      <c r="F969" s="4" t="s">
        <v>601</v>
      </c>
      <c r="G969" t="s">
        <v>29</v>
      </c>
      <c r="H969" t="s">
        <v>602</v>
      </c>
    </row>
    <row r="970" spans="1:8" x14ac:dyDescent="0.25">
      <c r="A970" t="s">
        <v>666</v>
      </c>
      <c r="B970" t="s">
        <v>415</v>
      </c>
      <c r="C970" s="5">
        <v>45573</v>
      </c>
      <c r="D970" s="5">
        <v>636</v>
      </c>
      <c r="E970">
        <v>43011</v>
      </c>
      <c r="F970" s="4" t="s">
        <v>403</v>
      </c>
      <c r="G970" t="s">
        <v>29</v>
      </c>
      <c r="H970" t="s">
        <v>404</v>
      </c>
    </row>
    <row r="971" spans="1:8" x14ac:dyDescent="0.25">
      <c r="A971" t="s">
        <v>666</v>
      </c>
      <c r="B971" t="s">
        <v>416</v>
      </c>
      <c r="C971" s="5">
        <v>31479</v>
      </c>
      <c r="D971" s="5">
        <v>407</v>
      </c>
      <c r="E971">
        <v>6342</v>
      </c>
      <c r="F971" s="4" t="s">
        <v>417</v>
      </c>
      <c r="G971" t="s">
        <v>29</v>
      </c>
      <c r="H971" t="s">
        <v>418</v>
      </c>
    </row>
    <row r="972" spans="1:8" x14ac:dyDescent="0.25">
      <c r="A972" t="s">
        <v>666</v>
      </c>
      <c r="B972" t="s">
        <v>419</v>
      </c>
      <c r="C972" s="5">
        <v>2803213</v>
      </c>
      <c r="D972" s="5">
        <v>44430</v>
      </c>
      <c r="E972">
        <v>2562417</v>
      </c>
      <c r="F972" s="4" t="s">
        <v>577</v>
      </c>
      <c r="G972" t="s">
        <v>29</v>
      </c>
      <c r="H972" t="s">
        <v>578</v>
      </c>
    </row>
    <row r="973" spans="1:8" x14ac:dyDescent="0.25">
      <c r="A973" t="s">
        <v>666</v>
      </c>
      <c r="B973" t="s">
        <v>420</v>
      </c>
      <c r="C973" s="5">
        <v>1277160</v>
      </c>
      <c r="D973" s="5">
        <v>28547</v>
      </c>
      <c r="E973">
        <v>231651</v>
      </c>
      <c r="F973" s="4" t="s">
        <v>603</v>
      </c>
      <c r="G973" t="s">
        <v>29</v>
      </c>
      <c r="H973" t="s">
        <v>604</v>
      </c>
    </row>
    <row r="974" spans="1:8" x14ac:dyDescent="0.25">
      <c r="A974" t="s">
        <v>666</v>
      </c>
      <c r="B974" t="s">
        <v>423</v>
      </c>
      <c r="C974" s="5">
        <v>3104220</v>
      </c>
      <c r="D974" s="5">
        <v>77757</v>
      </c>
      <c r="E974">
        <v>1532693</v>
      </c>
      <c r="F974" s="4" t="s">
        <v>458</v>
      </c>
      <c r="G974" t="s">
        <v>29</v>
      </c>
      <c r="H974" t="s">
        <v>459</v>
      </c>
    </row>
    <row r="975" spans="1:8" x14ac:dyDescent="0.25">
      <c r="A975" t="s">
        <v>666</v>
      </c>
      <c r="B975" t="s">
        <v>426</v>
      </c>
      <c r="C975" s="5">
        <v>455099</v>
      </c>
      <c r="D975" s="5">
        <v>4705</v>
      </c>
      <c r="E975">
        <v>17391</v>
      </c>
      <c r="F975" s="4" t="s">
        <v>687</v>
      </c>
      <c r="G975" t="s">
        <v>29</v>
      </c>
      <c r="H975" t="s">
        <v>688</v>
      </c>
    </row>
    <row r="976" spans="1:8" x14ac:dyDescent="0.25">
      <c r="A976" t="s">
        <v>666</v>
      </c>
      <c r="B976" t="s">
        <v>427</v>
      </c>
      <c r="C976" s="5">
        <v>1097557</v>
      </c>
      <c r="D976" s="5">
        <v>18203</v>
      </c>
      <c r="E976">
        <v>915103</v>
      </c>
      <c r="F976" s="4" t="s">
        <v>135</v>
      </c>
      <c r="G976" t="s">
        <v>29</v>
      </c>
      <c r="H976" t="s">
        <v>136</v>
      </c>
    </row>
    <row r="977" spans="1:8" x14ac:dyDescent="0.25">
      <c r="A977" t="s">
        <v>666</v>
      </c>
      <c r="B977" t="s">
        <v>428</v>
      </c>
      <c r="C977" s="5">
        <v>8</v>
      </c>
      <c r="D977" s="5">
        <v>0</v>
      </c>
      <c r="E977">
        <v>6</v>
      </c>
      <c r="F977" s="4" t="s">
        <v>29</v>
      </c>
      <c r="G977" t="s">
        <v>29</v>
      </c>
      <c r="H977" t="s">
        <v>291</v>
      </c>
    </row>
    <row r="978" spans="1:8" x14ac:dyDescent="0.25">
      <c r="A978" t="s">
        <v>666</v>
      </c>
      <c r="B978" t="s">
        <v>429</v>
      </c>
      <c r="C978" s="5">
        <v>461313</v>
      </c>
      <c r="D978" s="5">
        <v>16259</v>
      </c>
      <c r="E978">
        <v>367871</v>
      </c>
      <c r="F978" s="4" t="s">
        <v>353</v>
      </c>
      <c r="G978" t="s">
        <v>29</v>
      </c>
      <c r="H978" t="s">
        <v>354</v>
      </c>
    </row>
    <row r="979" spans="1:8" x14ac:dyDescent="0.25">
      <c r="A979" t="s">
        <v>666</v>
      </c>
      <c r="B979" t="s">
        <v>432</v>
      </c>
      <c r="C979" s="5">
        <v>240098</v>
      </c>
      <c r="D979" s="5">
        <v>611</v>
      </c>
      <c r="E979">
        <v>222357</v>
      </c>
      <c r="F979" s="4" t="s">
        <v>433</v>
      </c>
      <c r="G979" t="s">
        <v>29</v>
      </c>
      <c r="H979" t="s">
        <v>434</v>
      </c>
    </row>
    <row r="980" spans="1:8" x14ac:dyDescent="0.25">
      <c r="A980" t="s">
        <v>666</v>
      </c>
      <c r="B980" t="s">
        <v>435</v>
      </c>
      <c r="C980" s="5">
        <v>55125</v>
      </c>
      <c r="D980" s="5">
        <v>376</v>
      </c>
      <c r="E980">
        <v>40630</v>
      </c>
      <c r="F980" s="4" t="s">
        <v>605</v>
      </c>
      <c r="G980" t="s">
        <v>29</v>
      </c>
      <c r="H980" t="s">
        <v>606</v>
      </c>
    </row>
    <row r="981" spans="1:8" x14ac:dyDescent="0.25">
      <c r="A981" t="s">
        <v>666</v>
      </c>
      <c r="B981" t="s">
        <v>436</v>
      </c>
      <c r="C981" s="5">
        <v>1706882</v>
      </c>
      <c r="D981" s="5">
        <v>50755</v>
      </c>
      <c r="E981">
        <v>193060</v>
      </c>
      <c r="F981" s="4" t="s">
        <v>689</v>
      </c>
      <c r="G981" t="s">
        <v>29</v>
      </c>
      <c r="H981" t="s">
        <v>690</v>
      </c>
    </row>
    <row r="982" spans="1:8" x14ac:dyDescent="0.25">
      <c r="A982" t="s">
        <v>666</v>
      </c>
      <c r="B982" t="s">
        <v>439</v>
      </c>
      <c r="C982" s="5">
        <v>1183025</v>
      </c>
      <c r="D982" s="5">
        <v>10405</v>
      </c>
      <c r="E982">
        <v>825787</v>
      </c>
      <c r="F982" s="4" t="s">
        <v>609</v>
      </c>
      <c r="G982" t="s">
        <v>29</v>
      </c>
      <c r="H982" t="s">
        <v>610</v>
      </c>
    </row>
    <row r="983" spans="1:8" x14ac:dyDescent="0.25">
      <c r="A983" t="s">
        <v>666</v>
      </c>
      <c r="B983" t="s">
        <v>440</v>
      </c>
      <c r="C983" s="5">
        <v>8651561</v>
      </c>
      <c r="D983" s="5">
        <v>242241</v>
      </c>
      <c r="E983">
        <v>5807919</v>
      </c>
      <c r="F983" s="4" t="s">
        <v>441</v>
      </c>
      <c r="G983" t="s">
        <v>29</v>
      </c>
      <c r="H983" t="s">
        <v>442</v>
      </c>
    </row>
    <row r="984" spans="1:8" x14ac:dyDescent="0.25">
      <c r="A984" t="s">
        <v>666</v>
      </c>
      <c r="B984" t="s">
        <v>443</v>
      </c>
      <c r="C984" s="5">
        <v>99947</v>
      </c>
      <c r="D984" s="5">
        <v>1334</v>
      </c>
      <c r="E984">
        <v>56457</v>
      </c>
      <c r="F984" s="4" t="s">
        <v>59</v>
      </c>
      <c r="G984" t="s">
        <v>29</v>
      </c>
      <c r="H984" t="s">
        <v>60</v>
      </c>
    </row>
    <row r="985" spans="1:8" x14ac:dyDescent="0.25">
      <c r="A985" t="s">
        <v>666</v>
      </c>
      <c r="B985" t="s">
        <v>444</v>
      </c>
      <c r="C985" s="5">
        <v>548930</v>
      </c>
      <c r="D985" s="5">
        <v>8804</v>
      </c>
      <c r="E985">
        <v>158938</v>
      </c>
      <c r="F985" s="4" t="s">
        <v>313</v>
      </c>
      <c r="G985" t="s">
        <v>29</v>
      </c>
      <c r="H985" t="s">
        <v>314</v>
      </c>
    </row>
    <row r="986" spans="1:8" x14ac:dyDescent="0.25">
      <c r="A986" t="s">
        <v>666</v>
      </c>
      <c r="B986" t="s">
        <v>445</v>
      </c>
      <c r="C986" s="5">
        <v>20</v>
      </c>
      <c r="D986" s="5">
        <v>0</v>
      </c>
      <c r="E986">
        <v>12</v>
      </c>
      <c r="F986" s="4" t="s">
        <v>29</v>
      </c>
      <c r="G986" t="s">
        <v>29</v>
      </c>
      <c r="H986" t="s">
        <v>291</v>
      </c>
    </row>
    <row r="987" spans="1:8" x14ac:dyDescent="0.25">
      <c r="A987" t="s">
        <v>666</v>
      </c>
      <c r="B987" t="s">
        <v>446</v>
      </c>
      <c r="C987" s="5">
        <v>22381</v>
      </c>
      <c r="D987" s="5">
        <v>119</v>
      </c>
      <c r="E987">
        <v>15839</v>
      </c>
      <c r="F987" s="4" t="s">
        <v>447</v>
      </c>
      <c r="G987" t="s">
        <v>29</v>
      </c>
      <c r="H987" t="s">
        <v>448</v>
      </c>
    </row>
    <row r="988" spans="1:8" x14ac:dyDescent="0.25">
      <c r="A988" t="s">
        <v>666</v>
      </c>
      <c r="B988" t="s">
        <v>449</v>
      </c>
      <c r="C988" s="5">
        <v>40433</v>
      </c>
      <c r="D988" s="5">
        <v>3099</v>
      </c>
      <c r="E988">
        <v>5297</v>
      </c>
      <c r="F988" s="4" t="s">
        <v>632</v>
      </c>
      <c r="G988" t="s">
        <v>29</v>
      </c>
      <c r="H988" t="s">
        <v>633</v>
      </c>
    </row>
    <row r="989" spans="1:8" x14ac:dyDescent="0.25">
      <c r="A989" t="s">
        <v>666</v>
      </c>
      <c r="B989" t="s">
        <v>452</v>
      </c>
      <c r="C989" s="5">
        <v>1177094</v>
      </c>
      <c r="D989" s="5">
        <v>15057</v>
      </c>
      <c r="E989">
        <v>766258</v>
      </c>
      <c r="F989" s="4" t="s">
        <v>381</v>
      </c>
      <c r="G989" t="s">
        <v>29</v>
      </c>
      <c r="H989" t="s">
        <v>382</v>
      </c>
    </row>
    <row r="990" spans="1:8" x14ac:dyDescent="0.25">
      <c r="A990" t="s">
        <v>666</v>
      </c>
      <c r="B990" t="s">
        <v>453</v>
      </c>
      <c r="C990" s="5">
        <v>218333</v>
      </c>
      <c r="D990" s="5">
        <v>497</v>
      </c>
      <c r="E990">
        <v>157469</v>
      </c>
      <c r="F990" s="4" t="s">
        <v>273</v>
      </c>
      <c r="G990" t="s">
        <v>29</v>
      </c>
      <c r="H990" t="s">
        <v>274</v>
      </c>
    </row>
    <row r="991" spans="1:8" x14ac:dyDescent="0.25">
      <c r="A991" t="s">
        <v>666</v>
      </c>
      <c r="B991" t="s">
        <v>456</v>
      </c>
      <c r="C991" s="5">
        <v>355979</v>
      </c>
      <c r="D991" s="5">
        <v>4830</v>
      </c>
      <c r="E991">
        <v>79815</v>
      </c>
      <c r="F991" s="4" t="s">
        <v>630</v>
      </c>
      <c r="G991" t="s">
        <v>29</v>
      </c>
      <c r="H991" t="s">
        <v>631</v>
      </c>
    </row>
    <row r="992" spans="1:8" x14ac:dyDescent="0.25">
      <c r="A992" t="s">
        <v>666</v>
      </c>
      <c r="B992" t="s">
        <v>457</v>
      </c>
      <c r="C992" s="5">
        <v>518635</v>
      </c>
      <c r="D992" s="5">
        <v>13229</v>
      </c>
      <c r="E992">
        <v>420668</v>
      </c>
      <c r="F992" s="4" t="s">
        <v>513</v>
      </c>
      <c r="G992" t="s">
        <v>29</v>
      </c>
      <c r="H992" t="s">
        <v>514</v>
      </c>
    </row>
    <row r="993" spans="1:8" x14ac:dyDescent="0.25">
      <c r="A993" t="s">
        <v>666</v>
      </c>
      <c r="B993" t="s">
        <v>460</v>
      </c>
      <c r="C993" s="5">
        <v>6398</v>
      </c>
      <c r="D993" s="5">
        <v>121</v>
      </c>
      <c r="E993">
        <v>3828</v>
      </c>
      <c r="F993" s="4" t="s">
        <v>461</v>
      </c>
      <c r="G993" t="s">
        <v>29</v>
      </c>
      <c r="H993" t="s">
        <v>462</v>
      </c>
    </row>
    <row r="994" spans="1:8" x14ac:dyDescent="0.25">
      <c r="A994" t="s">
        <v>666</v>
      </c>
      <c r="B994" t="s">
        <v>463</v>
      </c>
      <c r="C994" s="5">
        <v>5588</v>
      </c>
      <c r="D994" s="5">
        <v>92</v>
      </c>
      <c r="E994">
        <v>2203</v>
      </c>
      <c r="F994" s="4" t="s">
        <v>691</v>
      </c>
      <c r="G994" t="s">
        <v>29</v>
      </c>
      <c r="H994" t="s">
        <v>692</v>
      </c>
    </row>
    <row r="995" spans="1:8" x14ac:dyDescent="0.25">
      <c r="A995" t="s">
        <v>666</v>
      </c>
      <c r="B995" t="s">
        <v>464</v>
      </c>
      <c r="C995" s="5">
        <v>73935</v>
      </c>
      <c r="D995" s="5">
        <v>1880</v>
      </c>
      <c r="E995">
        <v>28556</v>
      </c>
      <c r="F995" s="4" t="s">
        <v>141</v>
      </c>
      <c r="G995" t="s">
        <v>29</v>
      </c>
      <c r="H995" t="s">
        <v>142</v>
      </c>
    </row>
    <row r="996" spans="1:8" x14ac:dyDescent="0.25">
      <c r="A996" t="s">
        <v>666</v>
      </c>
      <c r="B996" t="s">
        <v>465</v>
      </c>
      <c r="C996" s="5">
        <v>22693</v>
      </c>
      <c r="D996" s="5">
        <v>1294</v>
      </c>
      <c r="E996">
        <v>342</v>
      </c>
      <c r="F996" s="4" t="s">
        <v>466</v>
      </c>
      <c r="G996" t="s">
        <v>29</v>
      </c>
      <c r="H996" t="s">
        <v>467</v>
      </c>
    </row>
    <row r="997" spans="1:8" x14ac:dyDescent="0.25">
      <c r="A997" t="s">
        <v>666</v>
      </c>
      <c r="B997" t="s">
        <v>468</v>
      </c>
      <c r="C997" s="5">
        <v>49550</v>
      </c>
      <c r="D997" s="5">
        <v>1114</v>
      </c>
      <c r="E997">
        <v>34432</v>
      </c>
      <c r="F997" s="4" t="s">
        <v>613</v>
      </c>
      <c r="G997" t="s">
        <v>29</v>
      </c>
      <c r="H997" t="s">
        <v>614</v>
      </c>
    </row>
    <row r="998" spans="1:8" x14ac:dyDescent="0.25">
      <c r="A998" t="s">
        <v>666</v>
      </c>
      <c r="B998" t="s">
        <v>471</v>
      </c>
      <c r="C998" s="5">
        <v>12453</v>
      </c>
      <c r="D998" s="5">
        <v>133</v>
      </c>
      <c r="E998">
        <v>7251</v>
      </c>
      <c r="F998" s="4" t="s">
        <v>654</v>
      </c>
      <c r="G998" t="s">
        <v>29</v>
      </c>
      <c r="H998" t="s">
        <v>655</v>
      </c>
    </row>
    <row r="999" spans="1:8" x14ac:dyDescent="0.25">
      <c r="A999" t="s">
        <v>666</v>
      </c>
      <c r="B999" t="s">
        <v>472</v>
      </c>
      <c r="C999" s="5">
        <v>3729</v>
      </c>
      <c r="D999" s="5">
        <v>56</v>
      </c>
      <c r="E999">
        <v>2724</v>
      </c>
      <c r="F999" s="4" t="s">
        <v>226</v>
      </c>
      <c r="G999" t="s">
        <v>29</v>
      </c>
      <c r="H999" t="s">
        <v>227</v>
      </c>
    </row>
    <row r="1000" spans="1:8" x14ac:dyDescent="0.25">
      <c r="A1000" t="s">
        <v>666</v>
      </c>
      <c r="B1000" t="s">
        <v>473</v>
      </c>
      <c r="C1000" s="5">
        <v>116258</v>
      </c>
      <c r="D1000" s="5">
        <v>3682</v>
      </c>
      <c r="E1000">
        <v>66164</v>
      </c>
      <c r="F1000" s="4" t="s">
        <v>628</v>
      </c>
      <c r="G1000" t="s">
        <v>29</v>
      </c>
      <c r="H1000" t="s">
        <v>629</v>
      </c>
    </row>
    <row r="1001" spans="1:8" x14ac:dyDescent="0.25">
      <c r="A1001" t="s">
        <v>666</v>
      </c>
      <c r="B1001" t="s">
        <v>476</v>
      </c>
      <c r="C1001" s="5">
        <v>44191</v>
      </c>
      <c r="D1001" s="5">
        <v>2593</v>
      </c>
      <c r="E1001">
        <v>5540</v>
      </c>
      <c r="F1001" s="4" t="s">
        <v>693</v>
      </c>
      <c r="G1001" t="s">
        <v>29</v>
      </c>
      <c r="H1001" t="s">
        <v>694</v>
      </c>
    </row>
    <row r="1002" spans="1:8" x14ac:dyDescent="0.25">
      <c r="A1002" t="s">
        <v>666</v>
      </c>
      <c r="B1002" t="s">
        <v>479</v>
      </c>
      <c r="C1002" s="5">
        <v>46457</v>
      </c>
      <c r="D1002" s="5">
        <v>1244</v>
      </c>
      <c r="E1002">
        <v>38777</v>
      </c>
      <c r="F1002" s="4" t="s">
        <v>480</v>
      </c>
      <c r="G1002" t="s">
        <v>29</v>
      </c>
      <c r="H1002" t="s">
        <v>481</v>
      </c>
    </row>
    <row r="1003" spans="1:8" x14ac:dyDescent="0.25">
      <c r="A1003" t="s">
        <v>666</v>
      </c>
      <c r="B1003" t="s">
        <v>482</v>
      </c>
      <c r="C1003" s="5">
        <v>5107</v>
      </c>
      <c r="D1003" s="5">
        <v>175</v>
      </c>
      <c r="E1003">
        <v>1378</v>
      </c>
      <c r="F1003" s="4" t="s">
        <v>252</v>
      </c>
      <c r="G1003" t="s">
        <v>29</v>
      </c>
      <c r="H1003" t="s">
        <v>253</v>
      </c>
    </row>
    <row r="1004" spans="1:8" x14ac:dyDescent="0.25">
      <c r="A1004" t="s">
        <v>666</v>
      </c>
      <c r="B1004" t="s">
        <v>483</v>
      </c>
      <c r="C1004" s="5">
        <v>26114</v>
      </c>
      <c r="D1004" s="5">
        <v>243</v>
      </c>
      <c r="E1004">
        <v>24817</v>
      </c>
      <c r="F1004" s="4" t="s">
        <v>484</v>
      </c>
      <c r="G1004" t="s">
        <v>29</v>
      </c>
      <c r="H1004" t="s">
        <v>485</v>
      </c>
    </row>
    <row r="1005" spans="1:8" x14ac:dyDescent="0.25">
      <c r="A1005" t="s">
        <v>666</v>
      </c>
      <c r="B1005" t="s">
        <v>486</v>
      </c>
      <c r="C1005" s="5">
        <v>1967999</v>
      </c>
      <c r="D1005" s="5">
        <v>19664</v>
      </c>
      <c r="E1005">
        <v>1706831</v>
      </c>
      <c r="F1005" s="4" t="s">
        <v>56</v>
      </c>
      <c r="G1005" t="s">
        <v>29</v>
      </c>
      <c r="H1005" t="s">
        <v>57</v>
      </c>
    </row>
    <row r="1006" spans="1:8" x14ac:dyDescent="0.25">
      <c r="A1006" t="s">
        <v>666</v>
      </c>
      <c r="B1006" t="s">
        <v>487</v>
      </c>
      <c r="C1006" s="5">
        <v>17486</v>
      </c>
      <c r="D1006" s="5">
        <v>125</v>
      </c>
      <c r="E1006">
        <v>9879</v>
      </c>
      <c r="F1006" s="4" t="s">
        <v>488</v>
      </c>
      <c r="G1006" t="s">
        <v>29</v>
      </c>
      <c r="H1006" t="s">
        <v>489</v>
      </c>
    </row>
    <row r="1007" spans="1:8" x14ac:dyDescent="0.25">
      <c r="A1007" t="s">
        <v>666</v>
      </c>
      <c r="B1007" t="s">
        <v>490</v>
      </c>
      <c r="C1007" s="5">
        <v>19799</v>
      </c>
      <c r="D1007" s="5">
        <v>122</v>
      </c>
      <c r="E1007">
        <v>6337</v>
      </c>
      <c r="F1007" s="4" t="s">
        <v>491</v>
      </c>
      <c r="G1007" t="s">
        <v>29</v>
      </c>
      <c r="H1007" t="s">
        <v>492</v>
      </c>
    </row>
    <row r="1008" spans="1:8" x14ac:dyDescent="0.25">
      <c r="A1008" t="s">
        <v>666</v>
      </c>
      <c r="B1008" t="s">
        <v>493</v>
      </c>
      <c r="C1008" s="5">
        <v>713308</v>
      </c>
      <c r="D1008" s="5">
        <v>25276</v>
      </c>
      <c r="E1008">
        <v>145134</v>
      </c>
      <c r="F1008" s="4" t="s">
        <v>494</v>
      </c>
      <c r="G1008" t="s">
        <v>29</v>
      </c>
      <c r="H1008" t="s">
        <v>495</v>
      </c>
    </row>
    <row r="1009" spans="1:8" x14ac:dyDescent="0.25">
      <c r="A1009" t="s">
        <v>666</v>
      </c>
      <c r="B1009" t="s">
        <v>496</v>
      </c>
      <c r="C1009" s="5">
        <v>1</v>
      </c>
      <c r="D1009" s="5">
        <v>0</v>
      </c>
      <c r="E1009">
        <v>1</v>
      </c>
      <c r="F1009" s="4" t="s">
        <v>29</v>
      </c>
      <c r="G1009" t="s">
        <v>29</v>
      </c>
      <c r="H1009" t="s">
        <v>291</v>
      </c>
    </row>
    <row r="1010" spans="1:8" x14ac:dyDescent="0.25">
      <c r="A1010" t="s">
        <v>666</v>
      </c>
      <c r="B1010" t="s">
        <v>497</v>
      </c>
      <c r="C1010" s="5">
        <v>8233649</v>
      </c>
      <c r="D1010" s="5">
        <v>72127</v>
      </c>
      <c r="E1010">
        <v>3579112</v>
      </c>
      <c r="F1010" s="4" t="s">
        <v>609</v>
      </c>
      <c r="G1010" t="s">
        <v>29</v>
      </c>
      <c r="H1010" t="s">
        <v>610</v>
      </c>
    </row>
    <row r="1011" spans="1:8" x14ac:dyDescent="0.25">
      <c r="A1011" t="s">
        <v>666</v>
      </c>
      <c r="B1011" t="s">
        <v>500</v>
      </c>
      <c r="C1011" s="5">
        <v>59304</v>
      </c>
      <c r="D1011" s="5">
        <v>1772</v>
      </c>
      <c r="E1011">
        <v>38188</v>
      </c>
      <c r="F1011" s="4" t="s">
        <v>501</v>
      </c>
      <c r="G1011" t="s">
        <v>29</v>
      </c>
      <c r="H1011" t="s">
        <v>502</v>
      </c>
    </row>
    <row r="1012" spans="1:8" x14ac:dyDescent="0.25">
      <c r="A1012" t="s">
        <v>666</v>
      </c>
      <c r="B1012" t="s">
        <v>503</v>
      </c>
      <c r="C1012" s="5">
        <v>16442</v>
      </c>
      <c r="D1012" s="5">
        <v>847</v>
      </c>
      <c r="E1012">
        <v>5759</v>
      </c>
      <c r="F1012" s="4" t="s">
        <v>504</v>
      </c>
      <c r="G1012" t="s">
        <v>29</v>
      </c>
      <c r="H1012" t="s">
        <v>505</v>
      </c>
    </row>
    <row r="1013" spans="1:8" x14ac:dyDescent="0.25">
      <c r="A1013" t="s">
        <v>666</v>
      </c>
      <c r="B1013" t="s">
        <v>506</v>
      </c>
      <c r="C1013" s="5">
        <v>26196</v>
      </c>
      <c r="D1013" s="5">
        <v>725</v>
      </c>
      <c r="E1013">
        <v>12834</v>
      </c>
      <c r="F1013" s="4" t="s">
        <v>507</v>
      </c>
      <c r="G1013" t="s">
        <v>29</v>
      </c>
      <c r="H1013" t="s">
        <v>508</v>
      </c>
    </row>
    <row r="1014" spans="1:8" x14ac:dyDescent="0.25">
      <c r="A1014" t="s">
        <v>666</v>
      </c>
      <c r="B1014" t="s">
        <v>509</v>
      </c>
      <c r="C1014" s="5">
        <v>3218967</v>
      </c>
      <c r="D1014" s="5">
        <v>76657</v>
      </c>
      <c r="E1014">
        <v>770570</v>
      </c>
      <c r="F1014" s="4" t="s">
        <v>552</v>
      </c>
      <c r="G1014" t="s">
        <v>29</v>
      </c>
      <c r="H1014" t="s">
        <v>553</v>
      </c>
    </row>
    <row r="1015" spans="1:8" x14ac:dyDescent="0.25">
      <c r="A1015" t="s">
        <v>666</v>
      </c>
      <c r="B1015" t="s">
        <v>512</v>
      </c>
      <c r="C1015" s="5">
        <v>126570</v>
      </c>
      <c r="D1015" s="5">
        <v>3227</v>
      </c>
      <c r="E1015">
        <v>27795</v>
      </c>
      <c r="F1015" s="4" t="s">
        <v>513</v>
      </c>
      <c r="G1015" t="s">
        <v>29</v>
      </c>
      <c r="H1015" t="s">
        <v>514</v>
      </c>
    </row>
    <row r="1016" spans="1:8" x14ac:dyDescent="0.25">
      <c r="A1016" t="s">
        <v>666</v>
      </c>
      <c r="B1016" t="s">
        <v>515</v>
      </c>
      <c r="C1016" s="5">
        <v>46487244</v>
      </c>
      <c r="D1016" s="5">
        <v>754425</v>
      </c>
      <c r="E1016">
        <v>5318104</v>
      </c>
      <c r="F1016" s="4" t="s">
        <v>516</v>
      </c>
      <c r="G1016" t="s">
        <v>29</v>
      </c>
      <c r="H1016" t="s">
        <v>517</v>
      </c>
    </row>
    <row r="1017" spans="1:8" x14ac:dyDescent="0.25">
      <c r="A1017" t="s">
        <v>666</v>
      </c>
      <c r="B1017" t="s">
        <v>518</v>
      </c>
      <c r="C1017" s="5">
        <v>395268</v>
      </c>
      <c r="D1017" s="5">
        <v>6086</v>
      </c>
      <c r="E1017">
        <v>139099</v>
      </c>
      <c r="F1017" s="4" t="s">
        <v>519</v>
      </c>
      <c r="G1017" t="s">
        <v>29</v>
      </c>
      <c r="H1017" t="s">
        <v>520</v>
      </c>
    </row>
    <row r="1018" spans="1:8" x14ac:dyDescent="0.25">
      <c r="A1018" t="s">
        <v>666</v>
      </c>
      <c r="B1018" t="s">
        <v>521</v>
      </c>
      <c r="C1018" s="5">
        <v>187924</v>
      </c>
      <c r="D1018" s="5">
        <v>1338</v>
      </c>
      <c r="E1018">
        <v>34799</v>
      </c>
      <c r="F1018" s="4" t="s">
        <v>488</v>
      </c>
      <c r="G1018" t="s">
        <v>29</v>
      </c>
      <c r="H1018" t="s">
        <v>489</v>
      </c>
    </row>
    <row r="1019" spans="1:8" x14ac:dyDescent="0.25">
      <c r="A1019" t="s">
        <v>666</v>
      </c>
      <c r="B1019" t="s">
        <v>522</v>
      </c>
      <c r="C1019" s="5">
        <v>27</v>
      </c>
      <c r="D1019" s="5">
        <v>0</v>
      </c>
      <c r="E1019">
        <v>7</v>
      </c>
      <c r="F1019" s="4" t="s">
        <v>29</v>
      </c>
      <c r="G1019" t="s">
        <v>29</v>
      </c>
      <c r="H1019" t="s">
        <v>291</v>
      </c>
    </row>
    <row r="1020" spans="1:8" x14ac:dyDescent="0.25">
      <c r="A1020" t="s">
        <v>666</v>
      </c>
      <c r="B1020" t="s">
        <v>523</v>
      </c>
      <c r="C1020" s="5">
        <v>5092</v>
      </c>
      <c r="D1020" s="5">
        <v>69</v>
      </c>
      <c r="E1020">
        <v>765</v>
      </c>
      <c r="F1020" s="4" t="s">
        <v>630</v>
      </c>
      <c r="G1020" t="s">
        <v>29</v>
      </c>
      <c r="H1020" t="s">
        <v>631</v>
      </c>
    </row>
    <row r="1021" spans="1:8" x14ac:dyDescent="0.25">
      <c r="A1021" t="s">
        <v>666</v>
      </c>
      <c r="B1021" t="s">
        <v>524</v>
      </c>
      <c r="C1021" s="5">
        <v>413135</v>
      </c>
      <c r="D1021" s="5">
        <v>4965</v>
      </c>
      <c r="E1021">
        <v>1819</v>
      </c>
      <c r="F1021" s="4" t="s">
        <v>525</v>
      </c>
      <c r="G1021" t="s">
        <v>29</v>
      </c>
      <c r="H1021" t="s">
        <v>526</v>
      </c>
    </row>
    <row r="1022" spans="1:8" x14ac:dyDescent="0.25">
      <c r="A1022" t="s">
        <v>666</v>
      </c>
      <c r="B1022" t="s">
        <v>527</v>
      </c>
      <c r="C1022" s="5">
        <v>968684</v>
      </c>
      <c r="D1022" s="5">
        <v>22531</v>
      </c>
      <c r="E1022">
        <v>127611</v>
      </c>
      <c r="F1022" s="4" t="s">
        <v>581</v>
      </c>
      <c r="G1022" t="s">
        <v>29</v>
      </c>
      <c r="H1022" t="s">
        <v>582</v>
      </c>
    </row>
    <row r="1023" spans="1:8" x14ac:dyDescent="0.25">
      <c r="A1023" t="s">
        <v>666</v>
      </c>
      <c r="B1023" t="s">
        <v>530</v>
      </c>
      <c r="C1023" s="5">
        <v>6</v>
      </c>
      <c r="D1023" s="5">
        <v>1</v>
      </c>
      <c r="E1023">
        <v>1</v>
      </c>
      <c r="F1023" s="4" t="s">
        <v>531</v>
      </c>
      <c r="G1023" t="s">
        <v>29</v>
      </c>
      <c r="H1023" t="s">
        <v>532</v>
      </c>
    </row>
    <row r="1024" spans="1:8" x14ac:dyDescent="0.25">
      <c r="A1024" t="s">
        <v>666</v>
      </c>
      <c r="B1024" t="s">
        <v>533</v>
      </c>
      <c r="C1024" s="5">
        <v>3</v>
      </c>
      <c r="D1024" s="5">
        <v>0</v>
      </c>
      <c r="E1024">
        <v>2</v>
      </c>
      <c r="F1024" s="4" t="s">
        <v>29</v>
      </c>
      <c r="G1024" t="s">
        <v>29</v>
      </c>
      <c r="H1024" t="s">
        <v>291</v>
      </c>
    </row>
    <row r="1025" spans="1:8" x14ac:dyDescent="0.25">
      <c r="A1025" t="s">
        <v>666</v>
      </c>
      <c r="B1025" t="s">
        <v>534</v>
      </c>
      <c r="C1025" s="5">
        <v>160872</v>
      </c>
      <c r="D1025" s="5">
        <v>2978</v>
      </c>
      <c r="E1025">
        <v>15924</v>
      </c>
      <c r="F1025" s="4" t="s">
        <v>535</v>
      </c>
      <c r="G1025" t="s">
        <v>29</v>
      </c>
      <c r="H1025" t="s">
        <v>536</v>
      </c>
    </row>
    <row r="1026" spans="1:8" x14ac:dyDescent="0.25">
      <c r="A1026" t="s">
        <v>666</v>
      </c>
      <c r="B1026" t="s">
        <v>537</v>
      </c>
      <c r="C1026" s="5">
        <v>9870</v>
      </c>
      <c r="D1026" s="5">
        <v>1909</v>
      </c>
      <c r="E1026">
        <v>3634</v>
      </c>
      <c r="F1026" s="4" t="s">
        <v>695</v>
      </c>
      <c r="G1026" t="s">
        <v>29</v>
      </c>
      <c r="H1026" t="s">
        <v>696</v>
      </c>
    </row>
    <row r="1027" spans="1:8" x14ac:dyDescent="0.25">
      <c r="A1027" t="s">
        <v>666</v>
      </c>
      <c r="B1027" t="s">
        <v>540</v>
      </c>
      <c r="C1027" s="5">
        <v>20651</v>
      </c>
      <c r="D1027" s="5">
        <v>185</v>
      </c>
      <c r="E1027">
        <v>3790</v>
      </c>
      <c r="F1027" s="4" t="s">
        <v>667</v>
      </c>
      <c r="G1027" t="s">
        <v>29</v>
      </c>
      <c r="H1027" t="s">
        <v>668</v>
      </c>
    </row>
    <row r="1028" spans="1:8" x14ac:dyDescent="0.25">
      <c r="A1028" t="s">
        <v>666</v>
      </c>
      <c r="B1028" t="s">
        <v>541</v>
      </c>
      <c r="C1028" s="5">
        <v>2923956</v>
      </c>
      <c r="D1028" s="5">
        <v>89332</v>
      </c>
      <c r="E1028">
        <v>61369</v>
      </c>
      <c r="F1028" s="4" t="s">
        <v>542</v>
      </c>
      <c r="G1028" t="s">
        <v>29</v>
      </c>
      <c r="H1028" t="s">
        <v>543</v>
      </c>
    </row>
    <row r="1029" spans="1:8" x14ac:dyDescent="0.25">
      <c r="A1029" t="s">
        <v>666</v>
      </c>
      <c r="B1029" t="s">
        <v>544</v>
      </c>
      <c r="C1029" s="5">
        <v>209902</v>
      </c>
      <c r="D1029" s="5">
        <v>3664</v>
      </c>
      <c r="E1029">
        <v>168266</v>
      </c>
      <c r="F1029" s="4" t="s">
        <v>545</v>
      </c>
      <c r="G1029" t="s">
        <v>29</v>
      </c>
      <c r="H1029" t="s">
        <v>546</v>
      </c>
    </row>
    <row r="1030" spans="1:8" x14ac:dyDescent="0.25">
      <c r="A1030" t="s">
        <v>666</v>
      </c>
      <c r="B1030" t="s">
        <v>547</v>
      </c>
      <c r="C1030" s="5">
        <v>133187</v>
      </c>
      <c r="D1030" s="5">
        <v>4685</v>
      </c>
      <c r="E1030">
        <v>39002</v>
      </c>
      <c r="F1030" s="4" t="s">
        <v>353</v>
      </c>
      <c r="G1030" t="s">
        <v>29</v>
      </c>
      <c r="H1030" t="s">
        <v>354</v>
      </c>
    </row>
    <row r="1031" spans="1:8" x14ac:dyDescent="0.25">
      <c r="A1031" t="s">
        <v>666</v>
      </c>
      <c r="B1031" t="s">
        <v>548</v>
      </c>
      <c r="C1031" s="5">
        <v>721</v>
      </c>
      <c r="D1031" s="5">
        <v>15</v>
      </c>
      <c r="E1031">
        <v>563</v>
      </c>
      <c r="F1031" s="4" t="s">
        <v>549</v>
      </c>
      <c r="G1031" t="s">
        <v>29</v>
      </c>
      <c r="H1031" t="s">
        <v>550</v>
      </c>
    </row>
    <row r="1032" spans="1:8" x14ac:dyDescent="0.25">
      <c r="A1032" t="s">
        <v>697</v>
      </c>
      <c r="B1032" t="s">
        <v>548</v>
      </c>
      <c r="C1032" s="5">
        <v>721</v>
      </c>
      <c r="D1032" s="5">
        <v>15</v>
      </c>
      <c r="E1032">
        <v>22</v>
      </c>
      <c r="F1032" s="4" t="s">
        <v>549</v>
      </c>
      <c r="G1032" t="s">
        <v>29</v>
      </c>
      <c r="H1032" t="s">
        <v>550</v>
      </c>
    </row>
    <row r="1033" spans="1:8" x14ac:dyDescent="0.25">
      <c r="A1033" t="s">
        <v>697</v>
      </c>
      <c r="B1033" t="s">
        <v>547</v>
      </c>
      <c r="C1033" s="5">
        <v>133168</v>
      </c>
      <c r="D1033" s="5">
        <v>4685</v>
      </c>
      <c r="E1033">
        <v>51491</v>
      </c>
      <c r="F1033" s="4" t="s">
        <v>353</v>
      </c>
      <c r="G1033" t="s">
        <v>29</v>
      </c>
      <c r="H1033" t="s">
        <v>354</v>
      </c>
    </row>
    <row r="1034" spans="1:8" x14ac:dyDescent="0.25">
      <c r="A1034" t="s">
        <v>697</v>
      </c>
      <c r="B1034" t="s">
        <v>544</v>
      </c>
      <c r="C1034" s="5">
        <v>209869</v>
      </c>
      <c r="D1034" s="5">
        <v>3663</v>
      </c>
      <c r="E1034">
        <v>132257</v>
      </c>
      <c r="F1034" s="4" t="s">
        <v>545</v>
      </c>
      <c r="G1034" t="s">
        <v>29</v>
      </c>
      <c r="H1034" t="s">
        <v>546</v>
      </c>
    </row>
    <row r="1035" spans="1:8" x14ac:dyDescent="0.25">
      <c r="A1035" t="s">
        <v>697</v>
      </c>
      <c r="B1035" t="s">
        <v>541</v>
      </c>
      <c r="C1035" s="5">
        <v>2923751</v>
      </c>
      <c r="D1035" s="5">
        <v>89319</v>
      </c>
      <c r="E1035">
        <v>2399289</v>
      </c>
      <c r="F1035" s="4" t="s">
        <v>698</v>
      </c>
      <c r="G1035" t="s">
        <v>29</v>
      </c>
      <c r="H1035" t="s">
        <v>699</v>
      </c>
    </row>
    <row r="1036" spans="1:8" x14ac:dyDescent="0.25">
      <c r="A1036" t="s">
        <v>697</v>
      </c>
      <c r="B1036" t="s">
        <v>540</v>
      </c>
      <c r="C1036" s="5">
        <v>20651</v>
      </c>
      <c r="D1036" s="5">
        <v>185</v>
      </c>
      <c r="E1036">
        <v>17855</v>
      </c>
      <c r="F1036" s="4" t="s">
        <v>667</v>
      </c>
      <c r="G1036" t="s">
        <v>29</v>
      </c>
      <c r="H1036" t="s">
        <v>668</v>
      </c>
    </row>
    <row r="1037" spans="1:8" x14ac:dyDescent="0.25">
      <c r="A1037" t="s">
        <v>697</v>
      </c>
      <c r="B1037" t="s">
        <v>537</v>
      </c>
      <c r="C1037" s="5">
        <v>9858</v>
      </c>
      <c r="D1037" s="5">
        <v>1907</v>
      </c>
      <c r="E1037">
        <v>4196</v>
      </c>
      <c r="F1037" s="4" t="s">
        <v>695</v>
      </c>
      <c r="G1037" t="s">
        <v>29</v>
      </c>
      <c r="H1037" t="s">
        <v>696</v>
      </c>
    </row>
    <row r="1038" spans="1:8" x14ac:dyDescent="0.25">
      <c r="A1038" t="s">
        <v>697</v>
      </c>
      <c r="B1038" t="s">
        <v>534</v>
      </c>
      <c r="C1038" s="5">
        <v>160853</v>
      </c>
      <c r="D1038" s="5">
        <v>2978</v>
      </c>
      <c r="E1038">
        <v>28756</v>
      </c>
      <c r="F1038" s="4" t="s">
        <v>535</v>
      </c>
      <c r="G1038" t="s">
        <v>29</v>
      </c>
      <c r="H1038" t="s">
        <v>536</v>
      </c>
    </row>
    <row r="1039" spans="1:8" x14ac:dyDescent="0.25">
      <c r="A1039" t="s">
        <v>697</v>
      </c>
      <c r="B1039" t="s">
        <v>533</v>
      </c>
      <c r="C1039" s="5">
        <v>3</v>
      </c>
      <c r="D1039" s="5">
        <v>0</v>
      </c>
      <c r="E1039">
        <v>3</v>
      </c>
      <c r="F1039" s="4" t="s">
        <v>29</v>
      </c>
      <c r="G1039" t="s">
        <v>29</v>
      </c>
      <c r="H1039" t="s">
        <v>291</v>
      </c>
    </row>
    <row r="1040" spans="1:8" x14ac:dyDescent="0.25">
      <c r="A1040" t="s">
        <v>697</v>
      </c>
      <c r="B1040" t="s">
        <v>530</v>
      </c>
      <c r="C1040" s="5">
        <v>6</v>
      </c>
      <c r="D1040" s="5">
        <v>1</v>
      </c>
      <c r="E1040">
        <v>0</v>
      </c>
      <c r="F1040" s="4" t="s">
        <v>531</v>
      </c>
      <c r="G1040" t="s">
        <v>29</v>
      </c>
      <c r="H1040" t="s">
        <v>532</v>
      </c>
    </row>
    <row r="1041" spans="1:8" x14ac:dyDescent="0.25">
      <c r="A1041" t="s">
        <v>697</v>
      </c>
      <c r="B1041" t="s">
        <v>527</v>
      </c>
      <c r="C1041" s="5">
        <v>961038</v>
      </c>
      <c r="D1041" s="5">
        <v>22470</v>
      </c>
      <c r="E1041">
        <v>486977</v>
      </c>
      <c r="F1041" s="4" t="s">
        <v>681</v>
      </c>
      <c r="G1041" t="s">
        <v>29</v>
      </c>
      <c r="H1041" t="s">
        <v>682</v>
      </c>
    </row>
    <row r="1042" spans="1:8" x14ac:dyDescent="0.25">
      <c r="A1042" t="s">
        <v>697</v>
      </c>
      <c r="B1042" t="s">
        <v>524</v>
      </c>
      <c r="C1042" s="5">
        <v>412472</v>
      </c>
      <c r="D1042" s="5">
        <v>4955</v>
      </c>
      <c r="E1042">
        <v>86177</v>
      </c>
      <c r="F1042" s="4" t="s">
        <v>525</v>
      </c>
      <c r="G1042" t="s">
        <v>29</v>
      </c>
      <c r="H1042" t="s">
        <v>526</v>
      </c>
    </row>
    <row r="1043" spans="1:8" x14ac:dyDescent="0.25">
      <c r="A1043" t="s">
        <v>697</v>
      </c>
      <c r="B1043" t="s">
        <v>523</v>
      </c>
      <c r="C1043" s="5">
        <v>5092</v>
      </c>
      <c r="D1043" s="5">
        <v>69</v>
      </c>
      <c r="E1043">
        <v>48</v>
      </c>
      <c r="F1043" s="4" t="s">
        <v>630</v>
      </c>
      <c r="G1043" t="s">
        <v>29</v>
      </c>
      <c r="H1043" t="s">
        <v>631</v>
      </c>
    </row>
    <row r="1044" spans="1:8" x14ac:dyDescent="0.25">
      <c r="A1044" t="s">
        <v>697</v>
      </c>
      <c r="B1044" t="s">
        <v>522</v>
      </c>
      <c r="C1044" s="5">
        <v>27</v>
      </c>
      <c r="D1044" s="5">
        <v>0</v>
      </c>
      <c r="E1044">
        <v>15</v>
      </c>
      <c r="F1044" s="4" t="s">
        <v>29</v>
      </c>
      <c r="G1044" t="s">
        <v>29</v>
      </c>
      <c r="H1044" t="s">
        <v>291</v>
      </c>
    </row>
    <row r="1045" spans="1:8" x14ac:dyDescent="0.25">
      <c r="A1045" t="s">
        <v>697</v>
      </c>
      <c r="B1045" t="s">
        <v>521</v>
      </c>
      <c r="C1045" s="5">
        <v>187666</v>
      </c>
      <c r="D1045" s="5">
        <v>1336</v>
      </c>
      <c r="E1045">
        <v>159745</v>
      </c>
      <c r="F1045" s="4" t="s">
        <v>488</v>
      </c>
      <c r="G1045" t="s">
        <v>29</v>
      </c>
      <c r="H1045" t="s">
        <v>489</v>
      </c>
    </row>
    <row r="1046" spans="1:8" x14ac:dyDescent="0.25">
      <c r="A1046" t="s">
        <v>697</v>
      </c>
      <c r="B1046" t="s">
        <v>518</v>
      </c>
      <c r="C1046" s="5">
        <v>395099</v>
      </c>
      <c r="D1046" s="5">
        <v>6085</v>
      </c>
      <c r="E1046">
        <v>345366</v>
      </c>
      <c r="F1046" s="4" t="s">
        <v>519</v>
      </c>
      <c r="G1046" t="s">
        <v>29</v>
      </c>
      <c r="H1046" t="s">
        <v>520</v>
      </c>
    </row>
    <row r="1047" spans="1:8" x14ac:dyDescent="0.25">
      <c r="A1047" t="s">
        <v>697</v>
      </c>
      <c r="B1047" t="s">
        <v>515</v>
      </c>
      <c r="C1047" s="5">
        <v>46465253</v>
      </c>
      <c r="D1047" s="5">
        <v>754306</v>
      </c>
      <c r="E1047">
        <v>25254132</v>
      </c>
      <c r="F1047" s="4" t="s">
        <v>516</v>
      </c>
      <c r="G1047" t="s">
        <v>29</v>
      </c>
      <c r="H1047" t="s">
        <v>517</v>
      </c>
    </row>
    <row r="1048" spans="1:8" x14ac:dyDescent="0.25">
      <c r="A1048" t="s">
        <v>697</v>
      </c>
      <c r="B1048" t="s">
        <v>512</v>
      </c>
      <c r="C1048" s="5">
        <v>126492</v>
      </c>
      <c r="D1048" s="5">
        <v>3226</v>
      </c>
      <c r="E1048">
        <v>67866</v>
      </c>
      <c r="F1048" s="4" t="s">
        <v>513</v>
      </c>
      <c r="G1048" t="s">
        <v>29</v>
      </c>
      <c r="H1048" t="s">
        <v>514</v>
      </c>
    </row>
    <row r="1049" spans="1:8" x14ac:dyDescent="0.25">
      <c r="A1049" t="s">
        <v>697</v>
      </c>
      <c r="B1049" t="s">
        <v>509</v>
      </c>
      <c r="C1049" s="5">
        <v>3200411</v>
      </c>
      <c r="D1049" s="5">
        <v>76175</v>
      </c>
      <c r="E1049">
        <v>24022</v>
      </c>
      <c r="F1049" s="4" t="s">
        <v>552</v>
      </c>
      <c r="G1049" t="s">
        <v>29</v>
      </c>
      <c r="H1049" t="s">
        <v>553</v>
      </c>
    </row>
    <row r="1050" spans="1:8" x14ac:dyDescent="0.25">
      <c r="A1050" t="s">
        <v>697</v>
      </c>
      <c r="B1050" t="s">
        <v>506</v>
      </c>
      <c r="C1050" s="5">
        <v>26196</v>
      </c>
      <c r="D1050" s="5">
        <v>725</v>
      </c>
      <c r="E1050">
        <v>3311</v>
      </c>
      <c r="F1050" s="4" t="s">
        <v>507</v>
      </c>
      <c r="G1050" t="s">
        <v>29</v>
      </c>
      <c r="H1050" t="s">
        <v>508</v>
      </c>
    </row>
    <row r="1051" spans="1:8" x14ac:dyDescent="0.25">
      <c r="A1051" t="s">
        <v>697</v>
      </c>
      <c r="B1051" t="s">
        <v>503</v>
      </c>
      <c r="C1051" s="5">
        <v>16438</v>
      </c>
      <c r="D1051" s="5">
        <v>847</v>
      </c>
      <c r="E1051">
        <v>14179</v>
      </c>
      <c r="F1051" s="4" t="s">
        <v>504</v>
      </c>
      <c r="G1051" t="s">
        <v>29</v>
      </c>
      <c r="H1051" t="s">
        <v>505</v>
      </c>
    </row>
    <row r="1052" spans="1:8" x14ac:dyDescent="0.25">
      <c r="A1052" t="s">
        <v>697</v>
      </c>
      <c r="B1052" t="s">
        <v>500</v>
      </c>
      <c r="C1052" s="5">
        <v>58975</v>
      </c>
      <c r="D1052" s="5">
        <v>1764</v>
      </c>
      <c r="E1052">
        <v>55479</v>
      </c>
      <c r="F1052" s="4" t="s">
        <v>501</v>
      </c>
      <c r="G1052" t="s">
        <v>29</v>
      </c>
      <c r="H1052" t="s">
        <v>502</v>
      </c>
    </row>
    <row r="1053" spans="1:8" x14ac:dyDescent="0.25">
      <c r="A1053" t="s">
        <v>697</v>
      </c>
      <c r="B1053" t="s">
        <v>497</v>
      </c>
      <c r="C1053" s="5">
        <v>8206345</v>
      </c>
      <c r="D1053" s="5">
        <v>71927</v>
      </c>
      <c r="E1053">
        <v>5977522</v>
      </c>
      <c r="F1053" s="4" t="s">
        <v>609</v>
      </c>
      <c r="G1053" t="s">
        <v>29</v>
      </c>
      <c r="H1053" t="s">
        <v>610</v>
      </c>
    </row>
    <row r="1054" spans="1:8" x14ac:dyDescent="0.25">
      <c r="A1054" t="s">
        <v>697</v>
      </c>
      <c r="B1054" t="s">
        <v>496</v>
      </c>
      <c r="C1054" s="5">
        <v>1</v>
      </c>
      <c r="D1054" s="5">
        <v>0</v>
      </c>
      <c r="E1054">
        <v>1</v>
      </c>
      <c r="F1054" s="4" t="s">
        <v>29</v>
      </c>
      <c r="G1054" t="s">
        <v>29</v>
      </c>
      <c r="H1054" t="s">
        <v>291</v>
      </c>
    </row>
    <row r="1055" spans="1:8" x14ac:dyDescent="0.25">
      <c r="A1055" t="s">
        <v>697</v>
      </c>
      <c r="B1055" t="s">
        <v>493</v>
      </c>
      <c r="C1055" s="5">
        <v>713254</v>
      </c>
      <c r="D1055" s="5">
        <v>25272</v>
      </c>
      <c r="E1055">
        <v>156965</v>
      </c>
      <c r="F1055" s="4" t="s">
        <v>494</v>
      </c>
      <c r="G1055" t="s">
        <v>29</v>
      </c>
      <c r="H1055" t="s">
        <v>495</v>
      </c>
    </row>
    <row r="1056" spans="1:8" x14ac:dyDescent="0.25">
      <c r="A1056" t="s">
        <v>697</v>
      </c>
      <c r="B1056" t="s">
        <v>490</v>
      </c>
      <c r="C1056" s="5">
        <v>19799</v>
      </c>
      <c r="D1056" s="5">
        <v>122</v>
      </c>
      <c r="E1056">
        <v>10853</v>
      </c>
      <c r="F1056" s="4" t="s">
        <v>491</v>
      </c>
      <c r="G1056" t="s">
        <v>29</v>
      </c>
      <c r="H1056" t="s">
        <v>492</v>
      </c>
    </row>
    <row r="1057" spans="1:8" x14ac:dyDescent="0.25">
      <c r="A1057" t="s">
        <v>697</v>
      </c>
      <c r="B1057" t="s">
        <v>487</v>
      </c>
      <c r="C1057" s="5">
        <v>17486</v>
      </c>
      <c r="D1057" s="5">
        <v>125</v>
      </c>
      <c r="E1057">
        <v>7632</v>
      </c>
      <c r="F1057" s="4" t="s">
        <v>488</v>
      </c>
      <c r="G1057" t="s">
        <v>29</v>
      </c>
      <c r="H1057" t="s">
        <v>489</v>
      </c>
    </row>
    <row r="1058" spans="1:8" x14ac:dyDescent="0.25">
      <c r="A1058" t="s">
        <v>697</v>
      </c>
      <c r="B1058" t="s">
        <v>486</v>
      </c>
      <c r="C1058" s="5">
        <v>1960039</v>
      </c>
      <c r="D1058" s="5">
        <v>19611</v>
      </c>
      <c r="E1058">
        <v>1049863</v>
      </c>
      <c r="F1058" s="4" t="s">
        <v>56</v>
      </c>
      <c r="G1058" t="s">
        <v>29</v>
      </c>
      <c r="H1058" t="s">
        <v>57</v>
      </c>
    </row>
    <row r="1059" spans="1:8" x14ac:dyDescent="0.25">
      <c r="A1059" t="s">
        <v>697</v>
      </c>
      <c r="B1059" t="s">
        <v>483</v>
      </c>
      <c r="C1059" s="5">
        <v>26114</v>
      </c>
      <c r="D1059" s="5">
        <v>243</v>
      </c>
      <c r="E1059">
        <v>15008</v>
      </c>
      <c r="F1059" s="4" t="s">
        <v>484</v>
      </c>
      <c r="G1059" t="s">
        <v>29</v>
      </c>
      <c r="H1059" t="s">
        <v>485</v>
      </c>
    </row>
    <row r="1060" spans="1:8" x14ac:dyDescent="0.25">
      <c r="A1060" t="s">
        <v>697</v>
      </c>
      <c r="B1060" t="s">
        <v>482</v>
      </c>
      <c r="C1060" s="5">
        <v>5107</v>
      </c>
      <c r="D1060" s="5">
        <v>175</v>
      </c>
      <c r="E1060">
        <v>2444</v>
      </c>
      <c r="F1060" s="4" t="s">
        <v>252</v>
      </c>
      <c r="G1060" t="s">
        <v>29</v>
      </c>
      <c r="H1060" t="s">
        <v>253</v>
      </c>
    </row>
    <row r="1061" spans="1:8" x14ac:dyDescent="0.25">
      <c r="A1061" t="s">
        <v>697</v>
      </c>
      <c r="B1061" t="s">
        <v>479</v>
      </c>
      <c r="C1061" s="5">
        <v>46457</v>
      </c>
      <c r="D1061" s="5">
        <v>1244</v>
      </c>
      <c r="E1061">
        <v>43109</v>
      </c>
      <c r="F1061" s="4" t="s">
        <v>480</v>
      </c>
      <c r="G1061" t="s">
        <v>29</v>
      </c>
      <c r="H1061" t="s">
        <v>481</v>
      </c>
    </row>
    <row r="1062" spans="1:8" x14ac:dyDescent="0.25">
      <c r="A1062" t="s">
        <v>697</v>
      </c>
      <c r="B1062" t="s">
        <v>476</v>
      </c>
      <c r="C1062" s="5">
        <v>44191</v>
      </c>
      <c r="D1062" s="5">
        <v>2593</v>
      </c>
      <c r="E1062">
        <v>30102</v>
      </c>
      <c r="F1062" s="4" t="s">
        <v>693</v>
      </c>
      <c r="G1062" t="s">
        <v>29</v>
      </c>
      <c r="H1062" t="s">
        <v>694</v>
      </c>
    </row>
    <row r="1063" spans="1:8" x14ac:dyDescent="0.25">
      <c r="A1063" t="s">
        <v>697</v>
      </c>
      <c r="B1063" t="s">
        <v>473</v>
      </c>
      <c r="C1063" s="5">
        <v>116258</v>
      </c>
      <c r="D1063" s="5">
        <v>3675</v>
      </c>
      <c r="E1063">
        <v>35284</v>
      </c>
      <c r="F1063" s="4" t="s">
        <v>474</v>
      </c>
      <c r="G1063" t="s">
        <v>29</v>
      </c>
      <c r="H1063" t="s">
        <v>475</v>
      </c>
    </row>
    <row r="1064" spans="1:8" x14ac:dyDescent="0.25">
      <c r="A1064" t="s">
        <v>697</v>
      </c>
      <c r="B1064" t="s">
        <v>472</v>
      </c>
      <c r="C1064" s="5">
        <v>3721</v>
      </c>
      <c r="D1064" s="5">
        <v>56</v>
      </c>
      <c r="E1064">
        <v>1581</v>
      </c>
      <c r="F1064" s="4" t="s">
        <v>226</v>
      </c>
      <c r="G1064" t="s">
        <v>29</v>
      </c>
      <c r="H1064" t="s">
        <v>227</v>
      </c>
    </row>
    <row r="1065" spans="1:8" x14ac:dyDescent="0.25">
      <c r="A1065" t="s">
        <v>697</v>
      </c>
      <c r="B1065" t="s">
        <v>471</v>
      </c>
      <c r="C1065" s="5">
        <v>12453</v>
      </c>
      <c r="D1065" s="5">
        <v>133</v>
      </c>
      <c r="E1065">
        <v>1825</v>
      </c>
      <c r="F1065" s="4" t="s">
        <v>654</v>
      </c>
      <c r="G1065" t="s">
        <v>29</v>
      </c>
      <c r="H1065" t="s">
        <v>655</v>
      </c>
    </row>
    <row r="1066" spans="1:8" x14ac:dyDescent="0.25">
      <c r="A1066" t="s">
        <v>697</v>
      </c>
      <c r="B1066" t="s">
        <v>468</v>
      </c>
      <c r="C1066" s="5">
        <v>49504</v>
      </c>
      <c r="D1066" s="5">
        <v>1112</v>
      </c>
      <c r="E1066">
        <v>26759</v>
      </c>
      <c r="F1066" s="4" t="s">
        <v>613</v>
      </c>
      <c r="G1066" t="s">
        <v>29</v>
      </c>
      <c r="H1066" t="s">
        <v>614</v>
      </c>
    </row>
    <row r="1067" spans="1:8" x14ac:dyDescent="0.25">
      <c r="A1067" t="s">
        <v>697</v>
      </c>
      <c r="B1067" t="s">
        <v>465</v>
      </c>
      <c r="C1067" s="5">
        <v>22693</v>
      </c>
      <c r="D1067" s="5">
        <v>1294</v>
      </c>
      <c r="E1067">
        <v>13306</v>
      </c>
      <c r="F1067" s="4" t="s">
        <v>466</v>
      </c>
      <c r="G1067" t="s">
        <v>29</v>
      </c>
      <c r="H1067" t="s">
        <v>467</v>
      </c>
    </row>
    <row r="1068" spans="1:8" x14ac:dyDescent="0.25">
      <c r="A1068" t="s">
        <v>697</v>
      </c>
      <c r="B1068" t="s">
        <v>464</v>
      </c>
      <c r="C1068" s="5">
        <v>73935</v>
      </c>
      <c r="D1068" s="5">
        <v>1880</v>
      </c>
      <c r="E1068">
        <v>63698</v>
      </c>
      <c r="F1068" s="4" t="s">
        <v>141</v>
      </c>
      <c r="G1068" t="s">
        <v>29</v>
      </c>
      <c r="H1068" t="s">
        <v>142</v>
      </c>
    </row>
    <row r="1069" spans="1:8" x14ac:dyDescent="0.25">
      <c r="A1069" t="s">
        <v>697</v>
      </c>
      <c r="B1069" t="s">
        <v>463</v>
      </c>
      <c r="C1069" s="5">
        <v>5588</v>
      </c>
      <c r="D1069" s="5">
        <v>92</v>
      </c>
      <c r="E1069">
        <v>25</v>
      </c>
      <c r="F1069" s="4" t="s">
        <v>691</v>
      </c>
      <c r="G1069" t="s">
        <v>29</v>
      </c>
      <c r="H1069" t="s">
        <v>692</v>
      </c>
    </row>
    <row r="1070" spans="1:8" x14ac:dyDescent="0.25">
      <c r="A1070" t="s">
        <v>697</v>
      </c>
      <c r="B1070" t="s">
        <v>460</v>
      </c>
      <c r="C1070" s="5">
        <v>6398</v>
      </c>
      <c r="D1070" s="5">
        <v>121</v>
      </c>
      <c r="E1070">
        <v>380</v>
      </c>
      <c r="F1070" s="4" t="s">
        <v>461</v>
      </c>
      <c r="G1070" t="s">
        <v>29</v>
      </c>
      <c r="H1070" t="s">
        <v>462</v>
      </c>
    </row>
    <row r="1071" spans="1:8" x14ac:dyDescent="0.25">
      <c r="A1071" t="s">
        <v>697</v>
      </c>
      <c r="B1071" t="s">
        <v>457</v>
      </c>
      <c r="C1071" s="5">
        <v>513297</v>
      </c>
      <c r="D1071" s="5">
        <v>13205</v>
      </c>
      <c r="E1071">
        <v>405096</v>
      </c>
      <c r="F1071" s="4" t="s">
        <v>555</v>
      </c>
      <c r="G1071" t="s">
        <v>29</v>
      </c>
      <c r="H1071" t="s">
        <v>556</v>
      </c>
    </row>
    <row r="1072" spans="1:8" x14ac:dyDescent="0.25">
      <c r="A1072" t="s">
        <v>697</v>
      </c>
      <c r="B1072" t="s">
        <v>456</v>
      </c>
      <c r="C1072" s="5">
        <v>353660</v>
      </c>
      <c r="D1072" s="5">
        <v>4820</v>
      </c>
      <c r="E1072">
        <v>311712</v>
      </c>
      <c r="F1072" s="4" t="s">
        <v>630</v>
      </c>
      <c r="G1072" t="s">
        <v>29</v>
      </c>
      <c r="H1072" t="s">
        <v>631</v>
      </c>
    </row>
    <row r="1073" spans="1:8" x14ac:dyDescent="0.25">
      <c r="A1073" t="s">
        <v>697</v>
      </c>
      <c r="B1073" t="s">
        <v>453</v>
      </c>
      <c r="C1073" s="5">
        <v>215780</v>
      </c>
      <c r="D1073" s="5">
        <v>480</v>
      </c>
      <c r="E1073">
        <v>144933</v>
      </c>
      <c r="F1073" s="4" t="s">
        <v>193</v>
      </c>
      <c r="G1073" t="s">
        <v>29</v>
      </c>
      <c r="H1073" t="s">
        <v>194</v>
      </c>
    </row>
    <row r="1074" spans="1:8" x14ac:dyDescent="0.25">
      <c r="A1074" t="s">
        <v>697</v>
      </c>
      <c r="B1074" t="s">
        <v>452</v>
      </c>
      <c r="C1074" s="5">
        <v>1177094</v>
      </c>
      <c r="D1074" s="5">
        <v>15057</v>
      </c>
      <c r="E1074">
        <v>106313</v>
      </c>
      <c r="F1074" s="4" t="s">
        <v>381</v>
      </c>
      <c r="G1074" t="s">
        <v>29</v>
      </c>
      <c r="H1074" t="s">
        <v>382</v>
      </c>
    </row>
    <row r="1075" spans="1:8" x14ac:dyDescent="0.25">
      <c r="A1075" t="s">
        <v>697</v>
      </c>
      <c r="B1075" t="s">
        <v>449</v>
      </c>
      <c r="C1075" s="5">
        <v>40433</v>
      </c>
      <c r="D1075" s="5">
        <v>3099</v>
      </c>
      <c r="E1075">
        <v>32491</v>
      </c>
      <c r="F1075" s="4" t="s">
        <v>632</v>
      </c>
      <c r="G1075" t="s">
        <v>29</v>
      </c>
      <c r="H1075" t="s">
        <v>633</v>
      </c>
    </row>
    <row r="1076" spans="1:8" x14ac:dyDescent="0.25">
      <c r="A1076" t="s">
        <v>697</v>
      </c>
      <c r="B1076" t="s">
        <v>446</v>
      </c>
      <c r="C1076" s="5">
        <v>22381</v>
      </c>
      <c r="D1076" s="5">
        <v>119</v>
      </c>
      <c r="E1076">
        <v>19791</v>
      </c>
      <c r="F1076" s="4" t="s">
        <v>447</v>
      </c>
      <c r="G1076" t="s">
        <v>29</v>
      </c>
      <c r="H1076" t="s">
        <v>448</v>
      </c>
    </row>
    <row r="1077" spans="1:8" x14ac:dyDescent="0.25">
      <c r="A1077" t="s">
        <v>697</v>
      </c>
      <c r="B1077" t="s">
        <v>445</v>
      </c>
      <c r="C1077" s="5">
        <v>20</v>
      </c>
      <c r="D1077" s="5">
        <v>0</v>
      </c>
      <c r="E1077">
        <v>17</v>
      </c>
      <c r="F1077" s="4" t="s">
        <v>29</v>
      </c>
      <c r="G1077" t="s">
        <v>29</v>
      </c>
      <c r="H1077" t="s">
        <v>291</v>
      </c>
    </row>
    <row r="1078" spans="1:8" x14ac:dyDescent="0.25">
      <c r="A1078" t="s">
        <v>697</v>
      </c>
      <c r="B1078" t="s">
        <v>444</v>
      </c>
      <c r="C1078" s="5">
        <v>548890</v>
      </c>
      <c r="D1078" s="5">
        <v>8803</v>
      </c>
      <c r="E1078">
        <v>6177</v>
      </c>
      <c r="F1078" s="4" t="s">
        <v>313</v>
      </c>
      <c r="G1078" t="s">
        <v>29</v>
      </c>
      <c r="H1078" t="s">
        <v>314</v>
      </c>
    </row>
    <row r="1079" spans="1:8" x14ac:dyDescent="0.25">
      <c r="A1079" t="s">
        <v>697</v>
      </c>
      <c r="B1079" t="s">
        <v>443</v>
      </c>
      <c r="C1079" s="5">
        <v>99931</v>
      </c>
      <c r="D1079" s="5">
        <v>1332</v>
      </c>
      <c r="E1079">
        <v>68004</v>
      </c>
      <c r="F1079" s="4" t="s">
        <v>59</v>
      </c>
      <c r="G1079" t="s">
        <v>29</v>
      </c>
      <c r="H1079" t="s">
        <v>60</v>
      </c>
    </row>
    <row r="1080" spans="1:8" x14ac:dyDescent="0.25">
      <c r="A1080" t="s">
        <v>697</v>
      </c>
      <c r="B1080" t="s">
        <v>440</v>
      </c>
      <c r="C1080" s="5">
        <v>8613533</v>
      </c>
      <c r="D1080" s="5">
        <v>241095</v>
      </c>
      <c r="E1080">
        <v>7096030</v>
      </c>
      <c r="F1080" s="4" t="s">
        <v>441</v>
      </c>
      <c r="G1080" t="s">
        <v>29</v>
      </c>
      <c r="H1080" t="s">
        <v>442</v>
      </c>
    </row>
    <row r="1081" spans="1:8" x14ac:dyDescent="0.25">
      <c r="A1081" t="s">
        <v>697</v>
      </c>
      <c r="B1081" t="s">
        <v>439</v>
      </c>
      <c r="C1081" s="5">
        <v>1179137</v>
      </c>
      <c r="D1081" s="5">
        <v>10336</v>
      </c>
      <c r="E1081">
        <v>507041</v>
      </c>
      <c r="F1081" s="4" t="s">
        <v>609</v>
      </c>
      <c r="G1081" t="s">
        <v>29</v>
      </c>
      <c r="H1081" t="s">
        <v>610</v>
      </c>
    </row>
    <row r="1082" spans="1:8" x14ac:dyDescent="0.25">
      <c r="A1082" t="s">
        <v>697</v>
      </c>
      <c r="B1082" t="s">
        <v>436</v>
      </c>
      <c r="C1082" s="5">
        <v>1701589</v>
      </c>
      <c r="D1082" s="5">
        <v>50482</v>
      </c>
      <c r="E1082">
        <v>254956</v>
      </c>
      <c r="F1082" s="4" t="s">
        <v>689</v>
      </c>
      <c r="G1082" t="s">
        <v>29</v>
      </c>
      <c r="H1082" t="s">
        <v>690</v>
      </c>
    </row>
    <row r="1083" spans="1:8" x14ac:dyDescent="0.25">
      <c r="A1083" t="s">
        <v>697</v>
      </c>
      <c r="B1083" t="s">
        <v>435</v>
      </c>
      <c r="C1083" s="5">
        <v>55125</v>
      </c>
      <c r="D1083" s="5">
        <v>376</v>
      </c>
      <c r="E1083">
        <v>40929</v>
      </c>
      <c r="F1083" s="4" t="s">
        <v>605</v>
      </c>
      <c r="G1083" t="s">
        <v>29</v>
      </c>
      <c r="H1083" t="s">
        <v>606</v>
      </c>
    </row>
    <row r="1084" spans="1:8" x14ac:dyDescent="0.25">
      <c r="A1084" t="s">
        <v>697</v>
      </c>
      <c r="B1084" t="s">
        <v>432</v>
      </c>
      <c r="C1084" s="5">
        <v>239995</v>
      </c>
      <c r="D1084" s="5">
        <v>611</v>
      </c>
      <c r="E1084">
        <v>3169</v>
      </c>
      <c r="F1084" s="4" t="s">
        <v>433</v>
      </c>
      <c r="G1084" t="s">
        <v>29</v>
      </c>
      <c r="H1084" t="s">
        <v>434</v>
      </c>
    </row>
    <row r="1085" spans="1:8" x14ac:dyDescent="0.25">
      <c r="A1085" t="s">
        <v>697</v>
      </c>
      <c r="B1085" t="s">
        <v>429</v>
      </c>
      <c r="C1085" s="5">
        <v>461275</v>
      </c>
      <c r="D1085" s="5">
        <v>16258</v>
      </c>
      <c r="E1085">
        <v>323653</v>
      </c>
      <c r="F1085" s="4" t="s">
        <v>353</v>
      </c>
      <c r="G1085" t="s">
        <v>29</v>
      </c>
      <c r="H1085" t="s">
        <v>354</v>
      </c>
    </row>
    <row r="1086" spans="1:8" x14ac:dyDescent="0.25">
      <c r="A1086" t="s">
        <v>697</v>
      </c>
      <c r="B1086" t="s">
        <v>428</v>
      </c>
      <c r="C1086" s="5">
        <v>8</v>
      </c>
      <c r="D1086" s="5">
        <v>0</v>
      </c>
      <c r="E1086">
        <v>1</v>
      </c>
      <c r="F1086" s="4" t="s">
        <v>29</v>
      </c>
      <c r="G1086" t="s">
        <v>29</v>
      </c>
      <c r="H1086" t="s">
        <v>291</v>
      </c>
    </row>
    <row r="1087" spans="1:8" x14ac:dyDescent="0.25">
      <c r="A1087" t="s">
        <v>697</v>
      </c>
      <c r="B1087" t="s">
        <v>427</v>
      </c>
      <c r="C1087" s="5">
        <v>1096534</v>
      </c>
      <c r="D1087" s="5">
        <v>18198</v>
      </c>
      <c r="E1087">
        <v>674567</v>
      </c>
      <c r="F1087" s="4" t="s">
        <v>135</v>
      </c>
      <c r="G1087" t="s">
        <v>29</v>
      </c>
      <c r="H1087" t="s">
        <v>136</v>
      </c>
    </row>
    <row r="1088" spans="1:8" x14ac:dyDescent="0.25">
      <c r="A1088" t="s">
        <v>697</v>
      </c>
      <c r="B1088" t="s">
        <v>426</v>
      </c>
      <c r="C1088" s="5">
        <v>455099</v>
      </c>
      <c r="D1088" s="5">
        <v>4705</v>
      </c>
      <c r="E1088">
        <v>16135</v>
      </c>
      <c r="F1088" s="4" t="s">
        <v>687</v>
      </c>
      <c r="G1088" t="s">
        <v>29</v>
      </c>
      <c r="H1088" t="s">
        <v>688</v>
      </c>
    </row>
    <row r="1089" spans="1:8" x14ac:dyDescent="0.25">
      <c r="A1089" t="s">
        <v>697</v>
      </c>
      <c r="B1089" t="s">
        <v>423</v>
      </c>
      <c r="C1089" s="5">
        <v>3091713</v>
      </c>
      <c r="D1089" s="5">
        <v>77733</v>
      </c>
      <c r="E1089">
        <v>1817707</v>
      </c>
      <c r="F1089" s="4" t="s">
        <v>700</v>
      </c>
      <c r="G1089" t="s">
        <v>29</v>
      </c>
      <c r="H1089" t="s">
        <v>701</v>
      </c>
    </row>
    <row r="1090" spans="1:8" x14ac:dyDescent="0.25">
      <c r="A1090" t="s">
        <v>697</v>
      </c>
      <c r="B1090" t="s">
        <v>420</v>
      </c>
      <c r="C1090" s="5">
        <v>1276711</v>
      </c>
      <c r="D1090" s="5">
        <v>28538</v>
      </c>
      <c r="E1090">
        <v>31703</v>
      </c>
      <c r="F1090" s="4" t="s">
        <v>603</v>
      </c>
      <c r="G1090" t="s">
        <v>29</v>
      </c>
      <c r="H1090" t="s">
        <v>604</v>
      </c>
    </row>
    <row r="1091" spans="1:8" x14ac:dyDescent="0.25">
      <c r="A1091" t="s">
        <v>697</v>
      </c>
      <c r="B1091" t="s">
        <v>419</v>
      </c>
      <c r="C1091" s="5">
        <v>2800621</v>
      </c>
      <c r="D1091" s="5">
        <v>44239</v>
      </c>
      <c r="E1091">
        <v>2658613</v>
      </c>
      <c r="F1091" s="4" t="s">
        <v>577</v>
      </c>
      <c r="G1091" t="s">
        <v>29</v>
      </c>
      <c r="H1091" t="s">
        <v>578</v>
      </c>
    </row>
    <row r="1092" spans="1:8" x14ac:dyDescent="0.25">
      <c r="A1092" t="s">
        <v>697</v>
      </c>
      <c r="B1092" t="s">
        <v>416</v>
      </c>
      <c r="C1092" s="5">
        <v>31287</v>
      </c>
      <c r="D1092" s="5">
        <v>406</v>
      </c>
      <c r="E1092">
        <v>16602</v>
      </c>
      <c r="F1092" s="4" t="s">
        <v>190</v>
      </c>
      <c r="G1092" t="s">
        <v>29</v>
      </c>
      <c r="H1092" t="s">
        <v>191</v>
      </c>
    </row>
    <row r="1093" spans="1:8" x14ac:dyDescent="0.25">
      <c r="A1093" t="s">
        <v>697</v>
      </c>
      <c r="B1093" t="s">
        <v>415</v>
      </c>
      <c r="C1093" s="5">
        <v>45573</v>
      </c>
      <c r="D1093" s="5">
        <v>636</v>
      </c>
      <c r="E1093">
        <v>17876</v>
      </c>
      <c r="F1093" s="4" t="s">
        <v>403</v>
      </c>
      <c r="G1093" t="s">
        <v>29</v>
      </c>
      <c r="H1093" t="s">
        <v>404</v>
      </c>
    </row>
    <row r="1094" spans="1:8" x14ac:dyDescent="0.25">
      <c r="A1094" t="s">
        <v>697</v>
      </c>
      <c r="B1094" t="s">
        <v>412</v>
      </c>
      <c r="C1094" s="5">
        <v>2206556</v>
      </c>
      <c r="D1094" s="5">
        <v>200409</v>
      </c>
      <c r="E1094">
        <v>1380179</v>
      </c>
      <c r="F1094" s="4" t="s">
        <v>601</v>
      </c>
      <c r="G1094" t="s">
        <v>29</v>
      </c>
      <c r="H1094" t="s">
        <v>602</v>
      </c>
    </row>
    <row r="1095" spans="1:8" x14ac:dyDescent="0.25">
      <c r="A1095" t="s">
        <v>697</v>
      </c>
      <c r="B1095" t="s">
        <v>411</v>
      </c>
      <c r="C1095" s="5">
        <v>473303</v>
      </c>
      <c r="D1095" s="5">
        <v>7325</v>
      </c>
      <c r="E1095">
        <v>356616</v>
      </c>
      <c r="F1095" s="4" t="s">
        <v>333</v>
      </c>
      <c r="G1095" t="s">
        <v>29</v>
      </c>
      <c r="H1095" t="s">
        <v>334</v>
      </c>
    </row>
    <row r="1096" spans="1:8" x14ac:dyDescent="0.25">
      <c r="A1096" t="s">
        <v>697</v>
      </c>
      <c r="B1096" t="s">
        <v>408</v>
      </c>
      <c r="C1096" s="5">
        <v>304329</v>
      </c>
      <c r="D1096" s="5">
        <v>4112</v>
      </c>
      <c r="E1096">
        <v>219737</v>
      </c>
      <c r="F1096" s="4" t="s">
        <v>409</v>
      </c>
      <c r="G1096" t="s">
        <v>29</v>
      </c>
      <c r="H1096" t="s">
        <v>410</v>
      </c>
    </row>
    <row r="1097" spans="1:8" x14ac:dyDescent="0.25">
      <c r="A1097" t="s">
        <v>697</v>
      </c>
      <c r="B1097" t="s">
        <v>405</v>
      </c>
      <c r="C1097" s="5">
        <v>7457</v>
      </c>
      <c r="D1097" s="5">
        <v>31</v>
      </c>
      <c r="E1097">
        <v>6352</v>
      </c>
      <c r="F1097" s="4" t="s">
        <v>597</v>
      </c>
      <c r="G1097" t="s">
        <v>29</v>
      </c>
      <c r="H1097" t="s">
        <v>598</v>
      </c>
    </row>
    <row r="1098" spans="1:8" x14ac:dyDescent="0.25">
      <c r="A1098" t="s">
        <v>697</v>
      </c>
      <c r="B1098" t="s">
        <v>402</v>
      </c>
      <c r="C1098" s="5">
        <v>814417</v>
      </c>
      <c r="D1098" s="5">
        <v>11439</v>
      </c>
      <c r="E1098">
        <v>152619</v>
      </c>
      <c r="F1098" s="4" t="s">
        <v>403</v>
      </c>
      <c r="G1098" t="s">
        <v>29</v>
      </c>
      <c r="H1098" t="s">
        <v>404</v>
      </c>
    </row>
    <row r="1099" spans="1:8" x14ac:dyDescent="0.25">
      <c r="A1099" t="s">
        <v>697</v>
      </c>
      <c r="B1099" t="s">
        <v>399</v>
      </c>
      <c r="C1099" s="5">
        <v>215857</v>
      </c>
      <c r="D1099" s="5">
        <v>922</v>
      </c>
      <c r="E1099">
        <v>398</v>
      </c>
      <c r="F1099" s="4" t="s">
        <v>400</v>
      </c>
      <c r="G1099" t="s">
        <v>29</v>
      </c>
      <c r="H1099" t="s">
        <v>401</v>
      </c>
    </row>
    <row r="1100" spans="1:8" x14ac:dyDescent="0.25">
      <c r="A1100" t="s">
        <v>697</v>
      </c>
      <c r="B1100" t="s">
        <v>396</v>
      </c>
      <c r="C1100" s="5">
        <v>2229807</v>
      </c>
      <c r="D1100" s="5">
        <v>18995</v>
      </c>
      <c r="E1100">
        <v>941944</v>
      </c>
      <c r="F1100" s="4" t="s">
        <v>685</v>
      </c>
      <c r="G1100" t="s">
        <v>29</v>
      </c>
      <c r="H1100" t="s">
        <v>686</v>
      </c>
    </row>
    <row r="1101" spans="1:8" x14ac:dyDescent="0.25">
      <c r="A1101" t="s">
        <v>697</v>
      </c>
      <c r="B1101" t="s">
        <v>393</v>
      </c>
      <c r="C1101" s="5">
        <v>16699</v>
      </c>
      <c r="D1101" s="5">
        <v>209</v>
      </c>
      <c r="E1101">
        <v>6169</v>
      </c>
      <c r="F1101" s="4" t="s">
        <v>107</v>
      </c>
      <c r="G1101" t="s">
        <v>29</v>
      </c>
      <c r="H1101" t="s">
        <v>108</v>
      </c>
    </row>
    <row r="1102" spans="1:8" x14ac:dyDescent="0.25">
      <c r="A1102" t="s">
        <v>697</v>
      </c>
      <c r="B1102" t="s">
        <v>390</v>
      </c>
      <c r="C1102" s="5">
        <v>212627</v>
      </c>
      <c r="D1102" s="5">
        <v>2905</v>
      </c>
      <c r="E1102">
        <v>44068</v>
      </c>
      <c r="F1102" s="4" t="s">
        <v>391</v>
      </c>
      <c r="G1102" t="s">
        <v>29</v>
      </c>
      <c r="H1102" t="s">
        <v>392</v>
      </c>
    </row>
    <row r="1103" spans="1:8" x14ac:dyDescent="0.25">
      <c r="A1103" t="s">
        <v>697</v>
      </c>
      <c r="B1103" t="s">
        <v>387</v>
      </c>
      <c r="C1103" s="5">
        <v>6457</v>
      </c>
      <c r="D1103" s="5">
        <v>220</v>
      </c>
      <c r="E1103">
        <v>1355</v>
      </c>
      <c r="F1103" s="4" t="s">
        <v>205</v>
      </c>
      <c r="G1103" t="s">
        <v>29</v>
      </c>
      <c r="H1103" t="s">
        <v>206</v>
      </c>
    </row>
    <row r="1104" spans="1:8" x14ac:dyDescent="0.25">
      <c r="A1104" t="s">
        <v>697</v>
      </c>
      <c r="B1104" t="s">
        <v>386</v>
      </c>
      <c r="C1104" s="5">
        <v>11294</v>
      </c>
      <c r="D1104" s="5">
        <v>267</v>
      </c>
      <c r="E1104">
        <v>4526</v>
      </c>
      <c r="F1104" s="4" t="s">
        <v>339</v>
      </c>
      <c r="G1104" t="s">
        <v>29</v>
      </c>
      <c r="H1104" t="s">
        <v>340</v>
      </c>
    </row>
    <row r="1105" spans="1:8" x14ac:dyDescent="0.25">
      <c r="A1105" t="s">
        <v>697</v>
      </c>
      <c r="B1105" t="s">
        <v>383</v>
      </c>
      <c r="C1105" s="5">
        <v>128999</v>
      </c>
      <c r="D1105" s="5">
        <v>3561</v>
      </c>
      <c r="E1105">
        <v>68407</v>
      </c>
      <c r="F1105" s="4" t="s">
        <v>384</v>
      </c>
      <c r="G1105" t="s">
        <v>29</v>
      </c>
      <c r="H1105" t="s">
        <v>385</v>
      </c>
    </row>
    <row r="1106" spans="1:8" x14ac:dyDescent="0.25">
      <c r="A1106" t="s">
        <v>697</v>
      </c>
      <c r="B1106" t="s">
        <v>380</v>
      </c>
      <c r="C1106" s="5">
        <v>151367</v>
      </c>
      <c r="D1106" s="5">
        <v>1934</v>
      </c>
      <c r="E1106">
        <v>84138</v>
      </c>
      <c r="F1106" s="4" t="s">
        <v>381</v>
      </c>
      <c r="G1106" t="s">
        <v>29</v>
      </c>
      <c r="H1106" t="s">
        <v>382</v>
      </c>
    </row>
    <row r="1107" spans="1:8" x14ac:dyDescent="0.25">
      <c r="A1107" t="s">
        <v>697</v>
      </c>
      <c r="B1107" t="s">
        <v>377</v>
      </c>
      <c r="C1107" s="5">
        <v>2501966</v>
      </c>
      <c r="D1107" s="5">
        <v>29256</v>
      </c>
      <c r="E1107">
        <v>2454009</v>
      </c>
      <c r="F1107" s="4" t="s">
        <v>378</v>
      </c>
      <c r="G1107" t="s">
        <v>29</v>
      </c>
      <c r="H1107" t="s">
        <v>379</v>
      </c>
    </row>
    <row r="1108" spans="1:8" x14ac:dyDescent="0.25">
      <c r="A1108" t="s">
        <v>697</v>
      </c>
      <c r="B1108" t="s">
        <v>374</v>
      </c>
      <c r="C1108" s="5">
        <v>3825404</v>
      </c>
      <c r="D1108" s="5">
        <v>289674</v>
      </c>
      <c r="E1108">
        <v>2898200</v>
      </c>
      <c r="F1108" s="4" t="s">
        <v>375</v>
      </c>
      <c r="G1108" t="s">
        <v>29</v>
      </c>
      <c r="H1108" t="s">
        <v>376</v>
      </c>
    </row>
    <row r="1109" spans="1:8" x14ac:dyDescent="0.25">
      <c r="A1109" t="s">
        <v>697</v>
      </c>
      <c r="B1109" t="s">
        <v>371</v>
      </c>
      <c r="C1109" s="5">
        <v>61815</v>
      </c>
      <c r="D1109" s="5">
        <v>2302</v>
      </c>
      <c r="E1109">
        <v>20167</v>
      </c>
      <c r="F1109" s="4" t="s">
        <v>372</v>
      </c>
      <c r="G1109" t="s">
        <v>29</v>
      </c>
      <c r="H1109" t="s">
        <v>373</v>
      </c>
    </row>
    <row r="1110" spans="1:8" x14ac:dyDescent="0.25">
      <c r="A1110" t="s">
        <v>697</v>
      </c>
      <c r="B1110" t="s">
        <v>368</v>
      </c>
      <c r="C1110" s="5">
        <v>88635</v>
      </c>
      <c r="D1110" s="5">
        <v>245</v>
      </c>
      <c r="E1110">
        <v>22909</v>
      </c>
      <c r="F1110" s="4" t="s">
        <v>369</v>
      </c>
      <c r="G1110" t="s">
        <v>29</v>
      </c>
      <c r="H1110" t="s">
        <v>370</v>
      </c>
    </row>
    <row r="1111" spans="1:8" x14ac:dyDescent="0.25">
      <c r="A1111" t="s">
        <v>697</v>
      </c>
      <c r="B1111" t="s">
        <v>367</v>
      </c>
      <c r="C1111" s="5">
        <v>18314</v>
      </c>
      <c r="D1111" s="5">
        <v>199</v>
      </c>
      <c r="E1111">
        <v>1388</v>
      </c>
      <c r="F1111" s="4" t="s">
        <v>683</v>
      </c>
      <c r="G1111" t="s">
        <v>29</v>
      </c>
      <c r="H1111" t="s">
        <v>684</v>
      </c>
    </row>
    <row r="1112" spans="1:8" x14ac:dyDescent="0.25">
      <c r="A1112" t="s">
        <v>697</v>
      </c>
      <c r="B1112" t="s">
        <v>364</v>
      </c>
      <c r="C1112" s="5">
        <v>37854</v>
      </c>
      <c r="D1112" s="5">
        <v>462</v>
      </c>
      <c r="E1112">
        <v>9369</v>
      </c>
      <c r="F1112" s="4" t="s">
        <v>365</v>
      </c>
      <c r="G1112" t="s">
        <v>29</v>
      </c>
      <c r="H1112" t="s">
        <v>366</v>
      </c>
    </row>
    <row r="1113" spans="1:8" x14ac:dyDescent="0.25">
      <c r="A1113" t="s">
        <v>697</v>
      </c>
      <c r="B1113" t="s">
        <v>363</v>
      </c>
      <c r="C1113" s="5">
        <v>37659</v>
      </c>
      <c r="D1113" s="5">
        <v>801</v>
      </c>
      <c r="E1113">
        <v>16840</v>
      </c>
      <c r="F1113" s="4" t="s">
        <v>650</v>
      </c>
      <c r="G1113" t="s">
        <v>29</v>
      </c>
      <c r="H1113" t="s">
        <v>651</v>
      </c>
    </row>
    <row r="1114" spans="1:8" x14ac:dyDescent="0.25">
      <c r="A1114" t="s">
        <v>697</v>
      </c>
      <c r="B1114" t="s">
        <v>360</v>
      </c>
      <c r="C1114" s="5">
        <v>43347</v>
      </c>
      <c r="D1114" s="5">
        <v>683</v>
      </c>
      <c r="E1114">
        <v>34374</v>
      </c>
      <c r="F1114" s="4" t="s">
        <v>577</v>
      </c>
      <c r="G1114" t="s">
        <v>29</v>
      </c>
      <c r="H1114" t="s">
        <v>578</v>
      </c>
    </row>
    <row r="1115" spans="1:8" x14ac:dyDescent="0.25">
      <c r="A1115" t="s">
        <v>697</v>
      </c>
      <c r="B1115" t="s">
        <v>359</v>
      </c>
      <c r="C1115" s="5">
        <v>77</v>
      </c>
      <c r="D1115" s="5">
        <v>0</v>
      </c>
      <c r="E1115">
        <v>20</v>
      </c>
      <c r="F1115" s="4" t="s">
        <v>29</v>
      </c>
      <c r="G1115" t="s">
        <v>29</v>
      </c>
      <c r="H1115" t="s">
        <v>291</v>
      </c>
    </row>
    <row r="1116" spans="1:8" x14ac:dyDescent="0.25">
      <c r="A1116" t="s">
        <v>697</v>
      </c>
      <c r="B1116" t="s">
        <v>358</v>
      </c>
      <c r="C1116" s="5">
        <v>366962</v>
      </c>
      <c r="D1116" s="5">
        <v>1809</v>
      </c>
      <c r="E1116">
        <v>345494</v>
      </c>
      <c r="F1116" s="4" t="s">
        <v>638</v>
      </c>
      <c r="G1116" t="s">
        <v>29</v>
      </c>
      <c r="H1116" t="s">
        <v>639</v>
      </c>
    </row>
    <row r="1117" spans="1:8" x14ac:dyDescent="0.25">
      <c r="A1117" t="s">
        <v>697</v>
      </c>
      <c r="B1117" t="s">
        <v>355</v>
      </c>
      <c r="C1117" s="5">
        <v>505998</v>
      </c>
      <c r="D1117" s="5">
        <v>18804</v>
      </c>
      <c r="E1117">
        <v>468944</v>
      </c>
      <c r="F1117" s="4" t="s">
        <v>372</v>
      </c>
      <c r="G1117" t="s">
        <v>29</v>
      </c>
      <c r="H1117" t="s">
        <v>373</v>
      </c>
    </row>
    <row r="1118" spans="1:8" x14ac:dyDescent="0.25">
      <c r="A1118" t="s">
        <v>697</v>
      </c>
      <c r="B1118" t="s">
        <v>352</v>
      </c>
      <c r="C1118" s="5">
        <v>16342</v>
      </c>
      <c r="D1118" s="5">
        <v>574</v>
      </c>
      <c r="E1118">
        <v>15486</v>
      </c>
      <c r="F1118" s="4" t="s">
        <v>350</v>
      </c>
      <c r="G1118" t="s">
        <v>29</v>
      </c>
      <c r="H1118" t="s">
        <v>351</v>
      </c>
    </row>
    <row r="1119" spans="1:8" x14ac:dyDescent="0.25">
      <c r="A1119" t="s">
        <v>697</v>
      </c>
      <c r="B1119" t="s">
        <v>349</v>
      </c>
      <c r="C1119" s="5">
        <v>205623</v>
      </c>
      <c r="D1119" s="5">
        <v>7217</v>
      </c>
      <c r="E1119">
        <v>48896</v>
      </c>
      <c r="F1119" s="4" t="s">
        <v>350</v>
      </c>
      <c r="G1119" t="s">
        <v>29</v>
      </c>
      <c r="H1119" t="s">
        <v>351</v>
      </c>
    </row>
    <row r="1120" spans="1:8" x14ac:dyDescent="0.25">
      <c r="A1120" t="s">
        <v>697</v>
      </c>
      <c r="B1120" t="s">
        <v>348</v>
      </c>
      <c r="C1120" s="5">
        <v>4</v>
      </c>
      <c r="D1120" s="5">
        <v>0</v>
      </c>
      <c r="E1120">
        <v>1</v>
      </c>
      <c r="F1120" s="4" t="s">
        <v>29</v>
      </c>
      <c r="G1120" t="s">
        <v>29</v>
      </c>
      <c r="H1120" t="s">
        <v>291</v>
      </c>
    </row>
    <row r="1121" spans="1:8" x14ac:dyDescent="0.25">
      <c r="A1121" t="s">
        <v>697</v>
      </c>
      <c r="B1121" t="s">
        <v>347</v>
      </c>
      <c r="C1121" s="5">
        <v>43632</v>
      </c>
      <c r="D1121" s="5">
        <v>964</v>
      </c>
      <c r="E1121">
        <v>33201</v>
      </c>
      <c r="F1121" s="4" t="s">
        <v>132</v>
      </c>
      <c r="G1121" t="s">
        <v>29</v>
      </c>
      <c r="H1121" t="s">
        <v>133</v>
      </c>
    </row>
    <row r="1122" spans="1:8" x14ac:dyDescent="0.25">
      <c r="A1122" t="s">
        <v>697</v>
      </c>
      <c r="B1122" t="s">
        <v>344</v>
      </c>
      <c r="C1122" s="5">
        <v>3941</v>
      </c>
      <c r="D1122" s="5">
        <v>56</v>
      </c>
      <c r="E1122">
        <v>1938</v>
      </c>
      <c r="F1122" s="4" t="s">
        <v>640</v>
      </c>
      <c r="G1122" t="s">
        <v>29</v>
      </c>
      <c r="H1122" t="s">
        <v>641</v>
      </c>
    </row>
    <row r="1123" spans="1:8" x14ac:dyDescent="0.25">
      <c r="A1123" t="s">
        <v>697</v>
      </c>
      <c r="B1123" t="s">
        <v>341</v>
      </c>
      <c r="C1123" s="5">
        <v>148027</v>
      </c>
      <c r="D1123" s="5">
        <v>2145</v>
      </c>
      <c r="E1123">
        <v>52613</v>
      </c>
      <c r="F1123" s="4" t="s">
        <v>342</v>
      </c>
      <c r="G1123" t="s">
        <v>29</v>
      </c>
      <c r="H1123" t="s">
        <v>343</v>
      </c>
    </row>
    <row r="1124" spans="1:8" x14ac:dyDescent="0.25">
      <c r="A1124" t="s">
        <v>697</v>
      </c>
      <c r="B1124" t="s">
        <v>338</v>
      </c>
      <c r="C1124" s="5">
        <v>345517</v>
      </c>
      <c r="D1124" s="5">
        <v>8056</v>
      </c>
      <c r="E1124">
        <v>222804</v>
      </c>
      <c r="F1124" s="4" t="s">
        <v>581</v>
      </c>
      <c r="G1124" t="s">
        <v>29</v>
      </c>
      <c r="H1124" t="s">
        <v>582</v>
      </c>
    </row>
    <row r="1125" spans="1:8" x14ac:dyDescent="0.25">
      <c r="A1125" t="s">
        <v>697</v>
      </c>
      <c r="B1125" t="s">
        <v>335</v>
      </c>
      <c r="C1125" s="5">
        <v>3436</v>
      </c>
      <c r="D1125" s="5">
        <v>36</v>
      </c>
      <c r="E1125">
        <v>1915</v>
      </c>
      <c r="F1125" s="4" t="s">
        <v>642</v>
      </c>
      <c r="G1125" t="s">
        <v>29</v>
      </c>
      <c r="H1125" t="s">
        <v>643</v>
      </c>
    </row>
    <row r="1126" spans="1:8" x14ac:dyDescent="0.25">
      <c r="A1126" t="s">
        <v>697</v>
      </c>
      <c r="B1126" t="s">
        <v>332</v>
      </c>
      <c r="C1126" s="5">
        <v>947307</v>
      </c>
      <c r="D1126" s="5">
        <v>14706</v>
      </c>
      <c r="E1126">
        <v>798851</v>
      </c>
      <c r="F1126" s="4" t="s">
        <v>333</v>
      </c>
      <c r="G1126" t="s">
        <v>29</v>
      </c>
      <c r="H1126" t="s">
        <v>334</v>
      </c>
    </row>
    <row r="1127" spans="1:8" x14ac:dyDescent="0.25">
      <c r="A1127" t="s">
        <v>697</v>
      </c>
      <c r="B1127" t="s">
        <v>329</v>
      </c>
      <c r="C1127" s="5">
        <v>360266</v>
      </c>
      <c r="D1127" s="5">
        <v>5186</v>
      </c>
      <c r="E1127">
        <v>239141</v>
      </c>
      <c r="F1127" s="4" t="s">
        <v>330</v>
      </c>
      <c r="G1127" t="s">
        <v>29</v>
      </c>
      <c r="H1127" t="s">
        <v>331</v>
      </c>
    </row>
    <row r="1128" spans="1:8" x14ac:dyDescent="0.25">
      <c r="A1128" t="s">
        <v>697</v>
      </c>
      <c r="B1128" t="s">
        <v>328</v>
      </c>
      <c r="C1128" s="5">
        <v>230569</v>
      </c>
      <c r="D1128" s="5">
        <v>3472</v>
      </c>
      <c r="E1128">
        <v>34712</v>
      </c>
      <c r="F1128" s="4" t="s">
        <v>202</v>
      </c>
      <c r="G1128" t="s">
        <v>29</v>
      </c>
      <c r="H1128" t="s">
        <v>203</v>
      </c>
    </row>
    <row r="1129" spans="1:8" x14ac:dyDescent="0.25">
      <c r="A1129" t="s">
        <v>697</v>
      </c>
      <c r="B1129" t="s">
        <v>325</v>
      </c>
      <c r="C1129" s="5">
        <v>82842</v>
      </c>
      <c r="D1129" s="5">
        <v>849</v>
      </c>
      <c r="E1129">
        <v>65897</v>
      </c>
      <c r="F1129" s="4" t="s">
        <v>326</v>
      </c>
      <c r="G1129" t="s">
        <v>29</v>
      </c>
      <c r="H1129" t="s">
        <v>327</v>
      </c>
    </row>
    <row r="1130" spans="1:8" x14ac:dyDescent="0.25">
      <c r="A1130" t="s">
        <v>697</v>
      </c>
      <c r="B1130" t="s">
        <v>322</v>
      </c>
      <c r="C1130" s="5">
        <v>424884</v>
      </c>
      <c r="D1130" s="5">
        <v>6084</v>
      </c>
      <c r="E1130">
        <v>364055</v>
      </c>
      <c r="F1130" s="4" t="s">
        <v>323</v>
      </c>
      <c r="G1130" t="s">
        <v>29</v>
      </c>
      <c r="H1130" t="s">
        <v>324</v>
      </c>
    </row>
    <row r="1131" spans="1:8" x14ac:dyDescent="0.25">
      <c r="A1131" t="s">
        <v>697</v>
      </c>
      <c r="B1131" t="s">
        <v>319</v>
      </c>
      <c r="C1131" s="5">
        <v>21685</v>
      </c>
      <c r="D1131" s="5">
        <v>659</v>
      </c>
      <c r="E1131">
        <v>17832</v>
      </c>
      <c r="F1131" s="4" t="s">
        <v>320</v>
      </c>
      <c r="G1131" t="s">
        <v>29</v>
      </c>
      <c r="H1131" t="s">
        <v>321</v>
      </c>
    </row>
    <row r="1132" spans="1:8" x14ac:dyDescent="0.25">
      <c r="A1132" t="s">
        <v>697</v>
      </c>
      <c r="B1132" t="s">
        <v>316</v>
      </c>
      <c r="C1132" s="5">
        <v>5815</v>
      </c>
      <c r="D1132" s="5">
        <v>287</v>
      </c>
      <c r="E1132">
        <v>351</v>
      </c>
      <c r="F1132" s="4" t="s">
        <v>644</v>
      </c>
      <c r="G1132" t="s">
        <v>29</v>
      </c>
      <c r="H1132" t="s">
        <v>645</v>
      </c>
    </row>
    <row r="1133" spans="1:8" x14ac:dyDescent="0.25">
      <c r="A1133" t="s">
        <v>697</v>
      </c>
      <c r="B1133" t="s">
        <v>315</v>
      </c>
      <c r="C1133" s="5">
        <v>544630</v>
      </c>
      <c r="D1133" s="5">
        <v>13841</v>
      </c>
      <c r="E1133">
        <v>456069</v>
      </c>
      <c r="F1133" s="4" t="s">
        <v>141</v>
      </c>
      <c r="G1133" t="s">
        <v>29</v>
      </c>
      <c r="H1133" t="s">
        <v>142</v>
      </c>
    </row>
    <row r="1134" spans="1:8" x14ac:dyDescent="0.25">
      <c r="A1134" t="s">
        <v>697</v>
      </c>
      <c r="B1134" t="s">
        <v>312</v>
      </c>
      <c r="C1134" s="5">
        <v>3728</v>
      </c>
      <c r="D1134" s="5">
        <v>61</v>
      </c>
      <c r="E1134">
        <v>1004</v>
      </c>
      <c r="F1134" s="4" t="s">
        <v>196</v>
      </c>
      <c r="G1134" t="s">
        <v>29</v>
      </c>
      <c r="H1134" t="s">
        <v>197</v>
      </c>
    </row>
    <row r="1135" spans="1:8" x14ac:dyDescent="0.25">
      <c r="A1135" t="s">
        <v>697</v>
      </c>
      <c r="B1135" t="s">
        <v>309</v>
      </c>
      <c r="C1135" s="5">
        <v>12688</v>
      </c>
      <c r="D1135" s="5">
        <v>260</v>
      </c>
      <c r="E1135">
        <v>7997</v>
      </c>
      <c r="F1135" s="4" t="s">
        <v>579</v>
      </c>
      <c r="G1135" t="s">
        <v>29</v>
      </c>
      <c r="H1135" t="s">
        <v>580</v>
      </c>
    </row>
    <row r="1136" spans="1:8" x14ac:dyDescent="0.25">
      <c r="A1136" t="s">
        <v>697</v>
      </c>
      <c r="B1136" t="s">
        <v>306</v>
      </c>
      <c r="C1136" s="5">
        <v>645805</v>
      </c>
      <c r="D1136" s="5">
        <v>8540</v>
      </c>
      <c r="E1136">
        <v>210781</v>
      </c>
      <c r="F1136" s="4" t="s">
        <v>307</v>
      </c>
      <c r="G1136" t="s">
        <v>29</v>
      </c>
      <c r="H1136" t="s">
        <v>308</v>
      </c>
    </row>
    <row r="1137" spans="1:8" x14ac:dyDescent="0.25">
      <c r="A1137" t="s">
        <v>697</v>
      </c>
      <c r="B1137" t="s">
        <v>303</v>
      </c>
      <c r="C1137" s="5">
        <v>45980</v>
      </c>
      <c r="D1137" s="5">
        <v>81</v>
      </c>
      <c r="E1137">
        <v>14428</v>
      </c>
      <c r="F1137" s="4" t="s">
        <v>304</v>
      </c>
      <c r="G1137" t="s">
        <v>29</v>
      </c>
      <c r="H1137" t="s">
        <v>305</v>
      </c>
    </row>
    <row r="1138" spans="1:8" x14ac:dyDescent="0.25">
      <c r="A1138" t="s">
        <v>697</v>
      </c>
      <c r="B1138" t="s">
        <v>302</v>
      </c>
      <c r="C1138" s="5">
        <v>1028928</v>
      </c>
      <c r="D1138" s="5">
        <v>17263</v>
      </c>
      <c r="E1138">
        <v>241173</v>
      </c>
      <c r="F1138" s="4" t="s">
        <v>116</v>
      </c>
      <c r="G1138" t="s">
        <v>29</v>
      </c>
      <c r="H1138" t="s">
        <v>117</v>
      </c>
    </row>
    <row r="1139" spans="1:8" x14ac:dyDescent="0.25">
      <c r="A1139" t="s">
        <v>697</v>
      </c>
      <c r="B1139" t="s">
        <v>299</v>
      </c>
      <c r="C1139" s="5">
        <v>412821</v>
      </c>
      <c r="D1139" s="5">
        <v>2462</v>
      </c>
      <c r="E1139">
        <v>4901</v>
      </c>
      <c r="F1139" s="4" t="s">
        <v>300</v>
      </c>
      <c r="G1139" t="s">
        <v>29</v>
      </c>
      <c r="H1139" t="s">
        <v>301</v>
      </c>
    </row>
    <row r="1140" spans="1:8" x14ac:dyDescent="0.25">
      <c r="A1140" t="s">
        <v>697</v>
      </c>
      <c r="B1140" t="s">
        <v>296</v>
      </c>
      <c r="C1140" s="5">
        <v>379935</v>
      </c>
      <c r="D1140" s="5">
        <v>2967</v>
      </c>
      <c r="E1140">
        <v>195507</v>
      </c>
      <c r="F1140" s="4" t="s">
        <v>297</v>
      </c>
      <c r="G1140" t="s">
        <v>29</v>
      </c>
      <c r="H1140" t="s">
        <v>298</v>
      </c>
    </row>
    <row r="1141" spans="1:8" x14ac:dyDescent="0.25">
      <c r="A1141" t="s">
        <v>697</v>
      </c>
      <c r="B1141" t="s">
        <v>293</v>
      </c>
      <c r="C1141" s="5">
        <v>2708</v>
      </c>
      <c r="D1141" s="5">
        <v>25</v>
      </c>
      <c r="E1141">
        <v>1308</v>
      </c>
      <c r="F1141" s="4" t="s">
        <v>214</v>
      </c>
      <c r="G1141" t="s">
        <v>29</v>
      </c>
      <c r="H1141" t="s">
        <v>215</v>
      </c>
    </row>
    <row r="1142" spans="1:8" x14ac:dyDescent="0.25">
      <c r="A1142" t="s">
        <v>697</v>
      </c>
      <c r="B1142" t="s">
        <v>292</v>
      </c>
      <c r="C1142" s="5">
        <v>4307</v>
      </c>
      <c r="D1142" s="5">
        <v>147</v>
      </c>
      <c r="E1142">
        <v>3463</v>
      </c>
      <c r="F1142" s="4" t="s">
        <v>205</v>
      </c>
      <c r="G1142" t="s">
        <v>29</v>
      </c>
      <c r="H1142" t="s">
        <v>206</v>
      </c>
    </row>
    <row r="1143" spans="1:8" x14ac:dyDescent="0.25">
      <c r="A1143" t="s">
        <v>697</v>
      </c>
      <c r="B1143" t="s">
        <v>287</v>
      </c>
      <c r="C1143" s="5">
        <v>119021</v>
      </c>
      <c r="D1143" s="5">
        <v>2824</v>
      </c>
      <c r="E1143">
        <v>108314</v>
      </c>
      <c r="F1143" s="4" t="s">
        <v>636</v>
      </c>
      <c r="G1143" t="s">
        <v>29</v>
      </c>
      <c r="H1143" t="s">
        <v>637</v>
      </c>
    </row>
    <row r="1144" spans="1:8" x14ac:dyDescent="0.25">
      <c r="A1144" t="s">
        <v>697</v>
      </c>
      <c r="B1144" t="s">
        <v>290</v>
      </c>
      <c r="C1144" s="5">
        <v>2</v>
      </c>
      <c r="D1144" s="5">
        <v>0</v>
      </c>
      <c r="E1144">
        <v>2</v>
      </c>
      <c r="F1144" s="4" t="s">
        <v>29</v>
      </c>
      <c r="G1144" t="s">
        <v>29</v>
      </c>
      <c r="H1144" t="s">
        <v>291</v>
      </c>
    </row>
    <row r="1145" spans="1:8" x14ac:dyDescent="0.25">
      <c r="A1145" t="s">
        <v>697</v>
      </c>
      <c r="B1145" t="s">
        <v>284</v>
      </c>
      <c r="C1145" s="5">
        <v>181764</v>
      </c>
      <c r="D1145" s="5">
        <v>2683</v>
      </c>
      <c r="E1145">
        <v>107916</v>
      </c>
      <c r="F1145" s="4" t="s">
        <v>285</v>
      </c>
      <c r="G1145" t="s">
        <v>29</v>
      </c>
      <c r="H1145" t="s">
        <v>286</v>
      </c>
    </row>
    <row r="1146" spans="1:8" x14ac:dyDescent="0.25">
      <c r="A1146" t="s">
        <v>697</v>
      </c>
      <c r="B1146" t="s">
        <v>281</v>
      </c>
      <c r="C1146" s="5">
        <v>253813</v>
      </c>
      <c r="D1146" s="5">
        <v>5305</v>
      </c>
      <c r="E1146">
        <v>213923</v>
      </c>
      <c r="F1146" s="4" t="s">
        <v>282</v>
      </c>
      <c r="G1146" t="s">
        <v>29</v>
      </c>
      <c r="H1146" t="s">
        <v>283</v>
      </c>
    </row>
    <row r="1147" spans="1:8" x14ac:dyDescent="0.25">
      <c r="A1147" t="s">
        <v>697</v>
      </c>
      <c r="B1147" t="s">
        <v>280</v>
      </c>
      <c r="C1147" s="5">
        <v>1723525</v>
      </c>
      <c r="D1147" s="5">
        <v>18306</v>
      </c>
      <c r="E1147">
        <v>889312</v>
      </c>
      <c r="F1147" s="4" t="s">
        <v>165</v>
      </c>
      <c r="G1147" t="s">
        <v>29</v>
      </c>
      <c r="H1147" t="s">
        <v>166</v>
      </c>
    </row>
    <row r="1148" spans="1:8" x14ac:dyDescent="0.25">
      <c r="A1148" t="s">
        <v>697</v>
      </c>
      <c r="B1148" t="s">
        <v>279</v>
      </c>
      <c r="C1148" s="5">
        <v>873707</v>
      </c>
      <c r="D1148" s="5">
        <v>11114</v>
      </c>
      <c r="E1148">
        <v>654196</v>
      </c>
      <c r="F1148" s="4" t="s">
        <v>53</v>
      </c>
      <c r="G1148" t="s">
        <v>29</v>
      </c>
      <c r="H1148" t="s">
        <v>54</v>
      </c>
    </row>
    <row r="1149" spans="1:8" x14ac:dyDescent="0.25">
      <c r="A1149" t="s">
        <v>697</v>
      </c>
      <c r="B1149" t="s">
        <v>278</v>
      </c>
      <c r="C1149" s="5">
        <v>89587</v>
      </c>
      <c r="D1149" s="5">
        <v>2274</v>
      </c>
      <c r="E1149">
        <v>49847</v>
      </c>
      <c r="F1149" s="4" t="s">
        <v>141</v>
      </c>
      <c r="G1149" t="s">
        <v>29</v>
      </c>
      <c r="H1149" t="s">
        <v>142</v>
      </c>
    </row>
    <row r="1150" spans="1:8" x14ac:dyDescent="0.25">
      <c r="A1150" t="s">
        <v>697</v>
      </c>
      <c r="B1150" t="s">
        <v>275</v>
      </c>
      <c r="C1150" s="5">
        <v>4802225</v>
      </c>
      <c r="D1150" s="5">
        <v>132365</v>
      </c>
      <c r="E1150">
        <v>1768775</v>
      </c>
      <c r="F1150" s="4" t="s">
        <v>384</v>
      </c>
      <c r="G1150" t="s">
        <v>29</v>
      </c>
      <c r="H1150" t="s">
        <v>385</v>
      </c>
    </row>
    <row r="1151" spans="1:8" x14ac:dyDescent="0.25">
      <c r="A1151" t="s">
        <v>697</v>
      </c>
      <c r="B1151" t="s">
        <v>272</v>
      </c>
      <c r="C1151" s="5">
        <v>14255</v>
      </c>
      <c r="D1151" s="5">
        <v>34</v>
      </c>
      <c r="E1151">
        <v>13647</v>
      </c>
      <c r="F1151" s="4" t="s">
        <v>454</v>
      </c>
      <c r="G1151" t="s">
        <v>29</v>
      </c>
      <c r="H1151" t="s">
        <v>455</v>
      </c>
    </row>
    <row r="1152" spans="1:8" x14ac:dyDescent="0.25">
      <c r="A1152" t="s">
        <v>697</v>
      </c>
      <c r="B1152" t="s">
        <v>269</v>
      </c>
      <c r="C1152" s="5">
        <v>5980260</v>
      </c>
      <c r="D1152" s="5">
        <v>127173</v>
      </c>
      <c r="E1152">
        <v>2003749</v>
      </c>
      <c r="F1152" s="4" t="s">
        <v>650</v>
      </c>
      <c r="G1152" t="s">
        <v>29</v>
      </c>
      <c r="H1152" t="s">
        <v>651</v>
      </c>
    </row>
    <row r="1153" spans="1:8" x14ac:dyDescent="0.25">
      <c r="A1153" t="s">
        <v>697</v>
      </c>
      <c r="B1153" t="s">
        <v>266</v>
      </c>
      <c r="C1153" s="5">
        <v>2061939</v>
      </c>
      <c r="D1153" s="5">
        <v>23319</v>
      </c>
      <c r="E1153">
        <v>1548025</v>
      </c>
      <c r="F1153" s="4" t="s">
        <v>267</v>
      </c>
      <c r="G1153" t="s">
        <v>29</v>
      </c>
      <c r="H1153" t="s">
        <v>268</v>
      </c>
    </row>
    <row r="1154" spans="1:8" x14ac:dyDescent="0.25">
      <c r="A1154" t="s">
        <v>697</v>
      </c>
      <c r="B1154" t="s">
        <v>263</v>
      </c>
      <c r="C1154" s="5">
        <v>34355509</v>
      </c>
      <c r="D1154" s="5">
        <v>460791</v>
      </c>
      <c r="E1154">
        <v>31484283</v>
      </c>
      <c r="F1154" s="4" t="s">
        <v>264</v>
      </c>
      <c r="G1154" t="s">
        <v>29</v>
      </c>
      <c r="H1154" t="s">
        <v>265</v>
      </c>
    </row>
    <row r="1155" spans="1:8" x14ac:dyDescent="0.25">
      <c r="A1155" t="s">
        <v>697</v>
      </c>
      <c r="B1155" t="s">
        <v>260</v>
      </c>
      <c r="C1155" s="5">
        <v>1333605</v>
      </c>
      <c r="D1155" s="5">
        <v>8114</v>
      </c>
      <c r="E1155">
        <v>25139</v>
      </c>
      <c r="F1155" s="4" t="s">
        <v>261</v>
      </c>
      <c r="G1155" t="s">
        <v>29</v>
      </c>
      <c r="H1155" t="s">
        <v>262</v>
      </c>
    </row>
    <row r="1156" spans="1:8" x14ac:dyDescent="0.25">
      <c r="A1156" t="s">
        <v>697</v>
      </c>
      <c r="B1156" t="s">
        <v>257</v>
      </c>
      <c r="C1156" s="5">
        <v>465958</v>
      </c>
      <c r="D1156" s="5">
        <v>5492</v>
      </c>
      <c r="E1156">
        <v>239247</v>
      </c>
      <c r="F1156" s="4" t="s">
        <v>702</v>
      </c>
      <c r="G1156" t="s">
        <v>29</v>
      </c>
      <c r="H1156" t="s">
        <v>703</v>
      </c>
    </row>
    <row r="1157" spans="1:8" x14ac:dyDescent="0.25">
      <c r="A1157" t="s">
        <v>697</v>
      </c>
      <c r="B1157" t="s">
        <v>254</v>
      </c>
      <c r="C1157" s="5">
        <v>4247721</v>
      </c>
      <c r="D1157" s="5">
        <v>143534</v>
      </c>
      <c r="E1157">
        <v>848050</v>
      </c>
      <c r="F1157" s="4" t="s">
        <v>255</v>
      </c>
      <c r="G1157" t="s">
        <v>29</v>
      </c>
      <c r="H1157" t="s">
        <v>256</v>
      </c>
    </row>
    <row r="1158" spans="1:8" x14ac:dyDescent="0.25">
      <c r="A1158" t="s">
        <v>697</v>
      </c>
      <c r="B1158" t="s">
        <v>251</v>
      </c>
      <c r="C1158" s="5">
        <v>892164</v>
      </c>
      <c r="D1158" s="5">
        <v>31184</v>
      </c>
      <c r="E1158">
        <v>746362</v>
      </c>
      <c r="F1158" s="4" t="s">
        <v>677</v>
      </c>
      <c r="G1158" t="s">
        <v>29</v>
      </c>
      <c r="H1158" t="s">
        <v>678</v>
      </c>
    </row>
    <row r="1159" spans="1:8" x14ac:dyDescent="0.25">
      <c r="A1159" t="s">
        <v>697</v>
      </c>
      <c r="B1159" t="s">
        <v>248</v>
      </c>
      <c r="C1159" s="5">
        <v>24073</v>
      </c>
      <c r="D1159" s="5">
        <v>685</v>
      </c>
      <c r="E1159">
        <v>10893</v>
      </c>
      <c r="F1159" s="4" t="s">
        <v>675</v>
      </c>
      <c r="G1159" t="s">
        <v>29</v>
      </c>
      <c r="H1159" t="s">
        <v>676</v>
      </c>
    </row>
    <row r="1160" spans="1:8" x14ac:dyDescent="0.25">
      <c r="A1160" t="s">
        <v>697</v>
      </c>
      <c r="B1160" t="s">
        <v>245</v>
      </c>
      <c r="C1160" s="5">
        <v>497168</v>
      </c>
      <c r="D1160" s="5">
        <v>9450</v>
      </c>
      <c r="E1160">
        <v>416046</v>
      </c>
      <c r="F1160" s="4" t="s">
        <v>652</v>
      </c>
      <c r="G1160" t="s">
        <v>29</v>
      </c>
      <c r="H1160" t="s">
        <v>653</v>
      </c>
    </row>
    <row r="1161" spans="1:8" x14ac:dyDescent="0.25">
      <c r="A1161" t="s">
        <v>697</v>
      </c>
      <c r="B1161" t="s">
        <v>242</v>
      </c>
      <c r="C1161" s="5">
        <v>376281</v>
      </c>
      <c r="D1161" s="5">
        <v>10308</v>
      </c>
      <c r="E1161">
        <v>328480</v>
      </c>
      <c r="F1161" s="4" t="s">
        <v>243</v>
      </c>
      <c r="G1161" t="s">
        <v>29</v>
      </c>
      <c r="H1161" t="s">
        <v>244</v>
      </c>
    </row>
    <row r="1162" spans="1:8" x14ac:dyDescent="0.25">
      <c r="A1162" t="s">
        <v>697</v>
      </c>
      <c r="B1162" t="s">
        <v>239</v>
      </c>
      <c r="C1162" s="5">
        <v>12367</v>
      </c>
      <c r="D1162" s="5">
        <v>213</v>
      </c>
      <c r="E1162">
        <v>3538</v>
      </c>
      <c r="F1162" s="4" t="s">
        <v>240</v>
      </c>
      <c r="G1162" t="s">
        <v>29</v>
      </c>
      <c r="H1162" t="s">
        <v>241</v>
      </c>
    </row>
    <row r="1163" spans="1:8" x14ac:dyDescent="0.25">
      <c r="A1163" t="s">
        <v>697</v>
      </c>
      <c r="B1163" t="s">
        <v>236</v>
      </c>
      <c r="C1163" s="5">
        <v>36079</v>
      </c>
      <c r="D1163" s="5">
        <v>941</v>
      </c>
      <c r="E1163">
        <v>5510</v>
      </c>
      <c r="F1163" s="4" t="s">
        <v>237</v>
      </c>
      <c r="G1163" t="s">
        <v>29</v>
      </c>
      <c r="H1163" t="s">
        <v>238</v>
      </c>
    </row>
    <row r="1164" spans="1:8" x14ac:dyDescent="0.25">
      <c r="A1164" t="s">
        <v>697</v>
      </c>
      <c r="B1164" t="s">
        <v>233</v>
      </c>
      <c r="C1164" s="5">
        <v>6150</v>
      </c>
      <c r="D1164" s="5">
        <v>143</v>
      </c>
      <c r="E1164">
        <v>939</v>
      </c>
      <c r="F1164" s="4" t="s">
        <v>581</v>
      </c>
      <c r="G1164" t="s">
        <v>29</v>
      </c>
      <c r="H1164" t="s">
        <v>582</v>
      </c>
    </row>
    <row r="1165" spans="1:8" x14ac:dyDescent="0.25">
      <c r="A1165" t="s">
        <v>697</v>
      </c>
      <c r="B1165" t="s">
        <v>232</v>
      </c>
      <c r="C1165" s="5">
        <v>605415</v>
      </c>
      <c r="D1165" s="5">
        <v>15389</v>
      </c>
      <c r="E1165">
        <v>549445</v>
      </c>
      <c r="F1165" s="4" t="s">
        <v>141</v>
      </c>
      <c r="G1165" t="s">
        <v>29</v>
      </c>
      <c r="H1165" t="s">
        <v>142</v>
      </c>
    </row>
    <row r="1166" spans="1:8" x14ac:dyDescent="0.25">
      <c r="A1166" t="s">
        <v>697</v>
      </c>
      <c r="B1166" t="s">
        <v>229</v>
      </c>
      <c r="C1166" s="5">
        <v>780621</v>
      </c>
      <c r="D1166" s="5">
        <v>16243</v>
      </c>
      <c r="E1166">
        <v>256013</v>
      </c>
      <c r="F1166" s="4" t="s">
        <v>549</v>
      </c>
      <c r="G1166" t="s">
        <v>29</v>
      </c>
      <c r="H1166" t="s">
        <v>550</v>
      </c>
    </row>
    <row r="1167" spans="1:8" x14ac:dyDescent="0.25">
      <c r="A1167" t="s">
        <v>697</v>
      </c>
      <c r="B1167" t="s">
        <v>228</v>
      </c>
      <c r="C1167" s="5">
        <v>13407</v>
      </c>
      <c r="D1167" s="5">
        <v>168</v>
      </c>
      <c r="E1167">
        <v>8288</v>
      </c>
      <c r="F1167" s="4" t="s">
        <v>107</v>
      </c>
      <c r="G1167" t="s">
        <v>29</v>
      </c>
      <c r="H1167" t="s">
        <v>108</v>
      </c>
    </row>
    <row r="1168" spans="1:8" x14ac:dyDescent="0.25">
      <c r="A1168" t="s">
        <v>697</v>
      </c>
      <c r="B1168" t="s">
        <v>225</v>
      </c>
      <c r="C1168" s="5">
        <v>54474</v>
      </c>
      <c r="D1168" s="5">
        <v>820</v>
      </c>
      <c r="E1168">
        <v>29300</v>
      </c>
      <c r="F1168" s="4" t="s">
        <v>202</v>
      </c>
      <c r="G1168" t="s">
        <v>29</v>
      </c>
      <c r="H1168" t="s">
        <v>203</v>
      </c>
    </row>
    <row r="1169" spans="1:8" x14ac:dyDescent="0.25">
      <c r="A1169" t="s">
        <v>697</v>
      </c>
      <c r="B1169" t="s">
        <v>222</v>
      </c>
      <c r="C1169" s="5">
        <v>30681</v>
      </c>
      <c r="D1169" s="5">
        <v>385</v>
      </c>
      <c r="E1169">
        <v>23358</v>
      </c>
      <c r="F1169" s="4" t="s">
        <v>107</v>
      </c>
      <c r="G1169" t="s">
        <v>29</v>
      </c>
      <c r="H1169" t="s">
        <v>108</v>
      </c>
    </row>
    <row r="1170" spans="1:8" x14ac:dyDescent="0.25">
      <c r="A1170" t="s">
        <v>697</v>
      </c>
      <c r="B1170" t="s">
        <v>219</v>
      </c>
      <c r="C1170" s="5">
        <v>9973</v>
      </c>
      <c r="D1170" s="5">
        <v>341</v>
      </c>
      <c r="E1170">
        <v>5033</v>
      </c>
      <c r="F1170" s="4" t="s">
        <v>220</v>
      </c>
      <c r="G1170" t="s">
        <v>29</v>
      </c>
      <c r="H1170" t="s">
        <v>221</v>
      </c>
    </row>
    <row r="1171" spans="1:8" x14ac:dyDescent="0.25">
      <c r="A1171" t="s">
        <v>697</v>
      </c>
      <c r="B1171" t="s">
        <v>216</v>
      </c>
      <c r="C1171" s="5">
        <v>6138</v>
      </c>
      <c r="D1171" s="5">
        <v>98</v>
      </c>
      <c r="E1171">
        <v>4432</v>
      </c>
      <c r="F1171" s="4" t="s">
        <v>313</v>
      </c>
      <c r="G1171" t="s">
        <v>29</v>
      </c>
      <c r="H1171" t="s">
        <v>314</v>
      </c>
    </row>
    <row r="1172" spans="1:8" x14ac:dyDescent="0.25">
      <c r="A1172" t="s">
        <v>697</v>
      </c>
      <c r="B1172" t="s">
        <v>213</v>
      </c>
      <c r="C1172" s="5">
        <v>130391</v>
      </c>
      <c r="D1172" s="5">
        <v>1188</v>
      </c>
      <c r="E1172">
        <v>56397</v>
      </c>
      <c r="F1172" s="4" t="s">
        <v>146</v>
      </c>
      <c r="G1172" t="s">
        <v>29</v>
      </c>
      <c r="H1172" t="s">
        <v>147</v>
      </c>
    </row>
    <row r="1173" spans="1:8" x14ac:dyDescent="0.25">
      <c r="A1173" t="s">
        <v>697</v>
      </c>
      <c r="B1173" t="s">
        <v>210</v>
      </c>
      <c r="C1173" s="5">
        <v>44964</v>
      </c>
      <c r="D1173" s="5">
        <v>313</v>
      </c>
      <c r="E1173">
        <v>22119</v>
      </c>
      <c r="F1173" s="4" t="s">
        <v>211</v>
      </c>
      <c r="G1173" t="s">
        <v>29</v>
      </c>
      <c r="H1173" t="s">
        <v>212</v>
      </c>
    </row>
    <row r="1174" spans="1:8" x14ac:dyDescent="0.25">
      <c r="A1174" t="s">
        <v>697</v>
      </c>
      <c r="B1174" t="s">
        <v>207</v>
      </c>
      <c r="C1174" s="5">
        <v>748751</v>
      </c>
      <c r="D1174" s="5">
        <v>10368</v>
      </c>
      <c r="E1174">
        <v>229527</v>
      </c>
      <c r="F1174" s="4" t="s">
        <v>158</v>
      </c>
      <c r="G1174" t="s">
        <v>29</v>
      </c>
      <c r="H1174" t="s">
        <v>159</v>
      </c>
    </row>
    <row r="1175" spans="1:8" x14ac:dyDescent="0.25">
      <c r="A1175" t="s">
        <v>697</v>
      </c>
      <c r="B1175" t="s">
        <v>204</v>
      </c>
      <c r="C1175" s="5">
        <v>5861</v>
      </c>
      <c r="D1175" s="5">
        <v>198</v>
      </c>
      <c r="E1175">
        <v>1356</v>
      </c>
      <c r="F1175" s="4" t="s">
        <v>255</v>
      </c>
      <c r="G1175" t="s">
        <v>29</v>
      </c>
      <c r="H1175" t="s">
        <v>256</v>
      </c>
    </row>
    <row r="1176" spans="1:8" x14ac:dyDescent="0.25">
      <c r="A1176" t="s">
        <v>697</v>
      </c>
      <c r="B1176" t="s">
        <v>201</v>
      </c>
      <c r="C1176" s="5">
        <v>9310934</v>
      </c>
      <c r="D1176" s="5">
        <v>142076</v>
      </c>
      <c r="E1176">
        <v>3093132</v>
      </c>
      <c r="F1176" s="4" t="s">
        <v>74</v>
      </c>
      <c r="G1176" t="s">
        <v>29</v>
      </c>
      <c r="H1176" t="s">
        <v>75</v>
      </c>
    </row>
    <row r="1177" spans="1:8" x14ac:dyDescent="0.25">
      <c r="A1177" t="s">
        <v>697</v>
      </c>
      <c r="B1177" t="s">
        <v>198</v>
      </c>
      <c r="C1177" s="5">
        <v>36174</v>
      </c>
      <c r="D1177" s="5">
        <v>254</v>
      </c>
      <c r="E1177">
        <v>14277</v>
      </c>
      <c r="F1177" s="4" t="s">
        <v>211</v>
      </c>
      <c r="G1177" t="s">
        <v>29</v>
      </c>
      <c r="H1177" t="s">
        <v>212</v>
      </c>
    </row>
    <row r="1178" spans="1:8" x14ac:dyDescent="0.25">
      <c r="A1178" t="s">
        <v>697</v>
      </c>
      <c r="B1178" t="s">
        <v>195</v>
      </c>
      <c r="C1178" s="5">
        <v>7029938</v>
      </c>
      <c r="D1178" s="5">
        <v>115513</v>
      </c>
      <c r="E1178">
        <v>4259832</v>
      </c>
      <c r="F1178" s="4" t="s">
        <v>196</v>
      </c>
      <c r="G1178" t="s">
        <v>29</v>
      </c>
      <c r="H1178" t="s">
        <v>197</v>
      </c>
    </row>
    <row r="1179" spans="1:8" x14ac:dyDescent="0.25">
      <c r="A1179" t="s">
        <v>697</v>
      </c>
      <c r="B1179" t="s">
        <v>192</v>
      </c>
      <c r="C1179" s="5">
        <v>2586</v>
      </c>
      <c r="D1179" s="5">
        <v>5</v>
      </c>
      <c r="E1179">
        <v>2573</v>
      </c>
      <c r="F1179" s="4" t="s">
        <v>83</v>
      </c>
      <c r="G1179" t="s">
        <v>29</v>
      </c>
      <c r="H1179" t="s">
        <v>84</v>
      </c>
    </row>
    <row r="1180" spans="1:8" x14ac:dyDescent="0.25">
      <c r="A1180" t="s">
        <v>697</v>
      </c>
      <c r="B1180" t="s">
        <v>189</v>
      </c>
      <c r="C1180" s="5">
        <v>52247</v>
      </c>
      <c r="D1180" s="5">
        <v>674</v>
      </c>
      <c r="E1180">
        <v>1668</v>
      </c>
      <c r="F1180" s="4" t="s">
        <v>417</v>
      </c>
      <c r="G1180" t="s">
        <v>29</v>
      </c>
      <c r="H1180" t="s">
        <v>418</v>
      </c>
    </row>
    <row r="1181" spans="1:8" x14ac:dyDescent="0.25">
      <c r="A1181" t="s">
        <v>697</v>
      </c>
      <c r="B1181" t="s">
        <v>186</v>
      </c>
      <c r="C1181" s="5">
        <v>162476</v>
      </c>
      <c r="D1181" s="5">
        <v>1188</v>
      </c>
      <c r="E1181">
        <v>594</v>
      </c>
      <c r="F1181" s="4" t="s">
        <v>187</v>
      </c>
      <c r="G1181" t="s">
        <v>29</v>
      </c>
      <c r="H1181" t="s">
        <v>188</v>
      </c>
    </row>
    <row r="1182" spans="1:8" x14ac:dyDescent="0.25">
      <c r="A1182" t="s">
        <v>697</v>
      </c>
      <c r="B1182" t="s">
        <v>185</v>
      </c>
      <c r="C1182" s="5">
        <v>367062</v>
      </c>
      <c r="D1182" s="5">
        <v>6531</v>
      </c>
      <c r="E1182">
        <v>291728</v>
      </c>
      <c r="F1182" s="4" t="s">
        <v>68</v>
      </c>
      <c r="G1182" t="s">
        <v>29</v>
      </c>
      <c r="H1182" t="s">
        <v>69</v>
      </c>
    </row>
    <row r="1183" spans="1:8" x14ac:dyDescent="0.25">
      <c r="A1183" t="s">
        <v>697</v>
      </c>
      <c r="B1183" t="s">
        <v>182</v>
      </c>
      <c r="C1183" s="5">
        <v>5025639</v>
      </c>
      <c r="D1183" s="5">
        <v>87504</v>
      </c>
      <c r="E1183">
        <v>4449969</v>
      </c>
      <c r="F1183" s="4" t="s">
        <v>183</v>
      </c>
      <c r="G1183" t="s">
        <v>29</v>
      </c>
      <c r="H1183" t="s">
        <v>184</v>
      </c>
    </row>
    <row r="1184" spans="1:8" x14ac:dyDescent="0.25">
      <c r="A1184" t="s">
        <v>697</v>
      </c>
      <c r="B1184" t="s">
        <v>179</v>
      </c>
      <c r="C1184" s="5">
        <v>6943</v>
      </c>
      <c r="D1184" s="5">
        <v>46</v>
      </c>
      <c r="E1184">
        <v>2758</v>
      </c>
      <c r="F1184" s="4" t="s">
        <v>162</v>
      </c>
      <c r="G1184" t="s">
        <v>29</v>
      </c>
      <c r="H1184" t="s">
        <v>163</v>
      </c>
    </row>
    <row r="1185" spans="1:8" x14ac:dyDescent="0.25">
      <c r="A1185" t="s">
        <v>697</v>
      </c>
      <c r="B1185" t="s">
        <v>176</v>
      </c>
      <c r="C1185" s="5">
        <v>336582</v>
      </c>
      <c r="D1185" s="5">
        <v>19011</v>
      </c>
      <c r="E1185">
        <v>41090</v>
      </c>
      <c r="F1185" s="4" t="s">
        <v>575</v>
      </c>
      <c r="G1185" t="s">
        <v>29</v>
      </c>
      <c r="H1185" t="s">
        <v>576</v>
      </c>
    </row>
    <row r="1186" spans="1:8" x14ac:dyDescent="0.25">
      <c r="A1186" t="s">
        <v>697</v>
      </c>
      <c r="B1186" t="s">
        <v>173</v>
      </c>
      <c r="C1186" s="5">
        <v>204148</v>
      </c>
      <c r="D1186" s="5">
        <v>1598</v>
      </c>
      <c r="E1186">
        <v>47861</v>
      </c>
      <c r="F1186" s="4" t="s">
        <v>297</v>
      </c>
      <c r="G1186" t="s">
        <v>29</v>
      </c>
      <c r="H1186" t="s">
        <v>298</v>
      </c>
    </row>
    <row r="1187" spans="1:8" x14ac:dyDescent="0.25">
      <c r="A1187" t="s">
        <v>697</v>
      </c>
      <c r="B1187" t="s">
        <v>170</v>
      </c>
      <c r="C1187" s="5">
        <v>519386</v>
      </c>
      <c r="D1187" s="5">
        <v>32989</v>
      </c>
      <c r="E1187">
        <v>135399</v>
      </c>
      <c r="F1187" s="4" t="s">
        <v>171</v>
      </c>
      <c r="G1187" t="s">
        <v>29</v>
      </c>
      <c r="H1187" t="s">
        <v>172</v>
      </c>
    </row>
    <row r="1188" spans="1:8" x14ac:dyDescent="0.25">
      <c r="A1188" t="s">
        <v>697</v>
      </c>
      <c r="B1188" t="s">
        <v>167</v>
      </c>
      <c r="C1188" s="5">
        <v>207079</v>
      </c>
      <c r="D1188" s="5">
        <v>5941</v>
      </c>
      <c r="E1188">
        <v>97626</v>
      </c>
      <c r="F1188" s="4" t="s">
        <v>168</v>
      </c>
      <c r="G1188" t="s">
        <v>29</v>
      </c>
      <c r="H1188" t="s">
        <v>169</v>
      </c>
    </row>
    <row r="1189" spans="1:8" x14ac:dyDescent="0.25">
      <c r="A1189" t="s">
        <v>697</v>
      </c>
      <c r="B1189" t="s">
        <v>164</v>
      </c>
      <c r="C1189" s="5">
        <v>387269</v>
      </c>
      <c r="D1189" s="5">
        <v>4150</v>
      </c>
      <c r="E1189">
        <v>216352</v>
      </c>
      <c r="F1189" s="4" t="s">
        <v>654</v>
      </c>
      <c r="G1189" t="s">
        <v>29</v>
      </c>
      <c r="H1189" t="s">
        <v>655</v>
      </c>
    </row>
    <row r="1190" spans="1:8" x14ac:dyDescent="0.25">
      <c r="A1190" t="s">
        <v>697</v>
      </c>
      <c r="B1190" t="s">
        <v>161</v>
      </c>
      <c r="C1190" s="5">
        <v>4961</v>
      </c>
      <c r="D1190" s="5">
        <v>32</v>
      </c>
      <c r="E1190">
        <v>2364</v>
      </c>
      <c r="F1190" s="4" t="s">
        <v>86</v>
      </c>
      <c r="G1190" t="s">
        <v>29</v>
      </c>
      <c r="H1190" t="s">
        <v>87</v>
      </c>
    </row>
    <row r="1191" spans="1:8" x14ac:dyDescent="0.25">
      <c r="A1191" t="s">
        <v>697</v>
      </c>
      <c r="B1191" t="s">
        <v>160</v>
      </c>
      <c r="C1191" s="5">
        <v>401004</v>
      </c>
      <c r="D1191" s="5">
        <v>2735</v>
      </c>
      <c r="E1191">
        <v>24317</v>
      </c>
      <c r="F1191" s="4" t="s">
        <v>605</v>
      </c>
      <c r="G1191" t="s">
        <v>29</v>
      </c>
      <c r="H1191" t="s">
        <v>606</v>
      </c>
    </row>
    <row r="1192" spans="1:8" x14ac:dyDescent="0.25">
      <c r="A1192" t="s">
        <v>697</v>
      </c>
      <c r="B1192" t="s">
        <v>157</v>
      </c>
      <c r="C1192" s="5">
        <v>13491</v>
      </c>
      <c r="D1192" s="5">
        <v>186</v>
      </c>
      <c r="E1192">
        <v>3088</v>
      </c>
      <c r="F1192" s="4" t="s">
        <v>158</v>
      </c>
      <c r="G1192" t="s">
        <v>29</v>
      </c>
      <c r="H1192" t="s">
        <v>159</v>
      </c>
    </row>
    <row r="1193" spans="1:8" x14ac:dyDescent="0.25">
      <c r="A1193" t="s">
        <v>697</v>
      </c>
      <c r="B1193" t="s">
        <v>154</v>
      </c>
      <c r="C1193" s="5">
        <v>4779675</v>
      </c>
      <c r="D1193" s="5">
        <v>96529</v>
      </c>
      <c r="E1193">
        <v>3630303</v>
      </c>
      <c r="F1193" s="4" t="s">
        <v>704</v>
      </c>
      <c r="G1193" t="s">
        <v>29</v>
      </c>
      <c r="H1193" t="s">
        <v>705</v>
      </c>
    </row>
    <row r="1194" spans="1:8" x14ac:dyDescent="0.25">
      <c r="A1194" t="s">
        <v>697</v>
      </c>
      <c r="B1194" t="s">
        <v>151</v>
      </c>
      <c r="C1194" s="5">
        <v>1810395</v>
      </c>
      <c r="D1194" s="5">
        <v>30985</v>
      </c>
      <c r="E1194">
        <v>535463</v>
      </c>
      <c r="F1194" s="4" t="s">
        <v>658</v>
      </c>
      <c r="G1194" t="s">
        <v>29</v>
      </c>
      <c r="H1194" t="s">
        <v>659</v>
      </c>
    </row>
    <row r="1195" spans="1:8" x14ac:dyDescent="0.25">
      <c r="A1195" t="s">
        <v>697</v>
      </c>
      <c r="B1195" t="s">
        <v>148</v>
      </c>
      <c r="C1195" s="5">
        <v>125413</v>
      </c>
      <c r="D1195" s="5">
        <v>577</v>
      </c>
      <c r="E1195">
        <v>81422</v>
      </c>
      <c r="F1195" s="4" t="s">
        <v>149</v>
      </c>
      <c r="G1195" t="s">
        <v>29</v>
      </c>
      <c r="H1195" t="s">
        <v>150</v>
      </c>
    </row>
    <row r="1196" spans="1:8" x14ac:dyDescent="0.25">
      <c r="A1196" t="s">
        <v>697</v>
      </c>
      <c r="B1196" t="s">
        <v>145</v>
      </c>
      <c r="C1196" s="5">
        <v>38253</v>
      </c>
      <c r="D1196" s="5">
        <v>349</v>
      </c>
      <c r="E1196">
        <v>10565</v>
      </c>
      <c r="F1196" s="4" t="s">
        <v>146</v>
      </c>
      <c r="G1196" t="s">
        <v>29</v>
      </c>
      <c r="H1196" t="s">
        <v>147</v>
      </c>
    </row>
    <row r="1197" spans="1:8" x14ac:dyDescent="0.25">
      <c r="A1197" t="s">
        <v>697</v>
      </c>
      <c r="B1197" t="s">
        <v>144</v>
      </c>
      <c r="C1197" s="5">
        <v>955498</v>
      </c>
      <c r="D1197" s="5">
        <v>8261</v>
      </c>
      <c r="E1197">
        <v>65121</v>
      </c>
      <c r="F1197" s="4" t="s">
        <v>122</v>
      </c>
      <c r="G1197" t="s">
        <v>29</v>
      </c>
      <c r="H1197" t="s">
        <v>123</v>
      </c>
    </row>
    <row r="1198" spans="1:8" x14ac:dyDescent="0.25">
      <c r="A1198" t="s">
        <v>697</v>
      </c>
      <c r="B1198" t="s">
        <v>143</v>
      </c>
      <c r="C1198" s="5">
        <v>562316</v>
      </c>
      <c r="D1198" s="5">
        <v>7134</v>
      </c>
      <c r="E1198">
        <v>445088</v>
      </c>
      <c r="F1198" s="4" t="s">
        <v>53</v>
      </c>
      <c r="G1198" t="s">
        <v>29</v>
      </c>
      <c r="H1198" t="s">
        <v>54</v>
      </c>
    </row>
    <row r="1199" spans="1:8" x14ac:dyDescent="0.25">
      <c r="A1199" t="s">
        <v>697</v>
      </c>
      <c r="B1199" t="s">
        <v>140</v>
      </c>
      <c r="C1199" s="5">
        <v>5012981</v>
      </c>
      <c r="D1199" s="5">
        <v>127488</v>
      </c>
      <c r="E1199">
        <v>3102102</v>
      </c>
      <c r="F1199" s="4" t="s">
        <v>141</v>
      </c>
      <c r="G1199" t="s">
        <v>29</v>
      </c>
      <c r="H1199" t="s">
        <v>142</v>
      </c>
    </row>
    <row r="1200" spans="1:8" x14ac:dyDescent="0.25">
      <c r="A1200" t="s">
        <v>697</v>
      </c>
      <c r="B1200" t="s">
        <v>137</v>
      </c>
      <c r="C1200" s="5">
        <v>97734</v>
      </c>
      <c r="D1200" s="5">
        <v>4636</v>
      </c>
      <c r="E1200">
        <v>2136</v>
      </c>
      <c r="F1200" s="4" t="s">
        <v>660</v>
      </c>
      <c r="G1200" t="s">
        <v>29</v>
      </c>
      <c r="H1200" t="s">
        <v>661</v>
      </c>
    </row>
    <row r="1201" spans="1:8" x14ac:dyDescent="0.25">
      <c r="A1201" t="s">
        <v>697</v>
      </c>
      <c r="B1201" t="s">
        <v>134</v>
      </c>
      <c r="C1201" s="5">
        <v>104348</v>
      </c>
      <c r="D1201" s="5">
        <v>1731</v>
      </c>
      <c r="E1201">
        <v>24887</v>
      </c>
      <c r="F1201" s="4" t="s">
        <v>135</v>
      </c>
      <c r="G1201" t="s">
        <v>29</v>
      </c>
      <c r="H1201" t="s">
        <v>136</v>
      </c>
    </row>
    <row r="1202" spans="1:8" x14ac:dyDescent="0.25">
      <c r="A1202" t="s">
        <v>697</v>
      </c>
      <c r="B1202" t="s">
        <v>131</v>
      </c>
      <c r="C1202" s="5">
        <v>1706622</v>
      </c>
      <c r="D1202" s="5">
        <v>37841</v>
      </c>
      <c r="E1202">
        <v>130718</v>
      </c>
      <c r="F1202" s="4" t="s">
        <v>673</v>
      </c>
      <c r="G1202" t="s">
        <v>29</v>
      </c>
      <c r="H1202" t="s">
        <v>674</v>
      </c>
    </row>
    <row r="1203" spans="1:8" x14ac:dyDescent="0.25">
      <c r="A1203" t="s">
        <v>697</v>
      </c>
      <c r="B1203" t="s">
        <v>128</v>
      </c>
      <c r="C1203" s="5">
        <v>61404</v>
      </c>
      <c r="D1203" s="5">
        <v>699</v>
      </c>
      <c r="E1203">
        <v>15317</v>
      </c>
      <c r="F1203" s="4" t="s">
        <v>129</v>
      </c>
      <c r="G1203" t="s">
        <v>29</v>
      </c>
      <c r="H1203" t="s">
        <v>130</v>
      </c>
    </row>
    <row r="1204" spans="1:8" x14ac:dyDescent="0.25">
      <c r="A1204" t="s">
        <v>697</v>
      </c>
      <c r="B1204" t="s">
        <v>127</v>
      </c>
      <c r="C1204" s="5">
        <v>887446</v>
      </c>
      <c r="D1204" s="5">
        <v>11274</v>
      </c>
      <c r="E1204">
        <v>828888</v>
      </c>
      <c r="F1204" s="4" t="s">
        <v>53</v>
      </c>
      <c r="G1204" t="s">
        <v>29</v>
      </c>
      <c r="H1204" t="s">
        <v>54</v>
      </c>
    </row>
    <row r="1205" spans="1:8" x14ac:dyDescent="0.25">
      <c r="A1205" t="s">
        <v>697</v>
      </c>
      <c r="B1205" t="s">
        <v>124</v>
      </c>
      <c r="C1205" s="5">
        <v>17944</v>
      </c>
      <c r="D1205" s="5">
        <v>297</v>
      </c>
      <c r="E1205">
        <v>7411</v>
      </c>
      <c r="F1205" s="4" t="s">
        <v>135</v>
      </c>
      <c r="G1205" t="s">
        <v>29</v>
      </c>
      <c r="H1205" t="s">
        <v>136</v>
      </c>
    </row>
    <row r="1206" spans="1:8" x14ac:dyDescent="0.25">
      <c r="A1206" t="s">
        <v>697</v>
      </c>
      <c r="B1206" t="s">
        <v>121</v>
      </c>
      <c r="C1206" s="5">
        <v>11579</v>
      </c>
      <c r="D1206" s="5">
        <v>100</v>
      </c>
      <c r="E1206">
        <v>3072</v>
      </c>
      <c r="F1206" s="4" t="s">
        <v>122</v>
      </c>
      <c r="G1206" t="s">
        <v>29</v>
      </c>
      <c r="H1206" t="s">
        <v>123</v>
      </c>
    </row>
    <row r="1207" spans="1:8" x14ac:dyDescent="0.25">
      <c r="A1207" t="s">
        <v>697</v>
      </c>
      <c r="B1207" t="s">
        <v>118</v>
      </c>
      <c r="C1207" s="5">
        <v>57605</v>
      </c>
      <c r="D1207" s="5">
        <v>1098</v>
      </c>
      <c r="E1207">
        <v>46682</v>
      </c>
      <c r="F1207" s="4" t="s">
        <v>119</v>
      </c>
      <c r="G1207" t="s">
        <v>29</v>
      </c>
      <c r="H1207" t="s">
        <v>120</v>
      </c>
    </row>
    <row r="1208" spans="1:8" x14ac:dyDescent="0.25">
      <c r="A1208" t="s">
        <v>697</v>
      </c>
      <c r="B1208" t="s">
        <v>115</v>
      </c>
      <c r="C1208" s="5">
        <v>1737252</v>
      </c>
      <c r="D1208" s="5">
        <v>29192</v>
      </c>
      <c r="E1208">
        <v>1166893</v>
      </c>
      <c r="F1208" s="4" t="s">
        <v>116</v>
      </c>
      <c r="G1208" t="s">
        <v>29</v>
      </c>
      <c r="H1208" t="s">
        <v>117</v>
      </c>
    </row>
    <row r="1209" spans="1:8" x14ac:dyDescent="0.25">
      <c r="A1209" t="s">
        <v>697</v>
      </c>
      <c r="B1209" t="s">
        <v>112</v>
      </c>
      <c r="C1209" s="5">
        <v>27894</v>
      </c>
      <c r="D1209" s="5">
        <v>509</v>
      </c>
      <c r="E1209">
        <v>6524</v>
      </c>
      <c r="F1209" s="4" t="s">
        <v>563</v>
      </c>
      <c r="G1209" t="s">
        <v>29</v>
      </c>
      <c r="H1209" t="s">
        <v>564</v>
      </c>
    </row>
    <row r="1210" spans="1:8" x14ac:dyDescent="0.25">
      <c r="A1210" t="s">
        <v>697</v>
      </c>
      <c r="B1210" t="s">
        <v>109</v>
      </c>
      <c r="C1210" s="5">
        <v>612015</v>
      </c>
      <c r="D1210" s="5">
        <v>4730</v>
      </c>
      <c r="E1210">
        <v>342430</v>
      </c>
      <c r="F1210" s="4" t="s">
        <v>110</v>
      </c>
      <c r="G1210" t="s">
        <v>29</v>
      </c>
      <c r="H1210" t="s">
        <v>111</v>
      </c>
    </row>
    <row r="1211" spans="1:8" x14ac:dyDescent="0.25">
      <c r="A1211" t="s">
        <v>697</v>
      </c>
      <c r="B1211" t="s">
        <v>106</v>
      </c>
      <c r="C1211" s="5">
        <v>192935</v>
      </c>
      <c r="D1211" s="5">
        <v>2407</v>
      </c>
      <c r="E1211">
        <v>81396</v>
      </c>
      <c r="F1211" s="4" t="s">
        <v>107</v>
      </c>
      <c r="G1211" t="s">
        <v>29</v>
      </c>
      <c r="H1211" t="s">
        <v>108</v>
      </c>
    </row>
    <row r="1212" spans="1:8" x14ac:dyDescent="0.25">
      <c r="A1212" t="s">
        <v>697</v>
      </c>
      <c r="B1212" t="s">
        <v>103</v>
      </c>
      <c r="C1212" s="5">
        <v>2623</v>
      </c>
      <c r="D1212" s="5">
        <v>3</v>
      </c>
      <c r="E1212">
        <v>627</v>
      </c>
      <c r="F1212" s="4" t="s">
        <v>104</v>
      </c>
      <c r="G1212" t="s">
        <v>29</v>
      </c>
      <c r="H1212" t="s">
        <v>105</v>
      </c>
    </row>
    <row r="1213" spans="1:8" x14ac:dyDescent="0.25">
      <c r="A1213" t="s">
        <v>697</v>
      </c>
      <c r="B1213" t="s">
        <v>100</v>
      </c>
      <c r="C1213" s="5">
        <v>22485</v>
      </c>
      <c r="D1213" s="5">
        <v>657</v>
      </c>
      <c r="E1213">
        <v>17841</v>
      </c>
      <c r="F1213" s="4" t="s">
        <v>671</v>
      </c>
      <c r="G1213" t="s">
        <v>29</v>
      </c>
      <c r="H1213" t="s">
        <v>672</v>
      </c>
    </row>
    <row r="1214" spans="1:8" x14ac:dyDescent="0.25">
      <c r="A1214" t="s">
        <v>697</v>
      </c>
      <c r="B1214" t="s">
        <v>97</v>
      </c>
      <c r="C1214" s="5">
        <v>21874324</v>
      </c>
      <c r="D1214" s="5">
        <v>609388</v>
      </c>
      <c r="E1214">
        <v>13226319</v>
      </c>
      <c r="F1214" s="4" t="s">
        <v>662</v>
      </c>
      <c r="G1214" t="s">
        <v>29</v>
      </c>
      <c r="H1214" t="s">
        <v>663</v>
      </c>
    </row>
    <row r="1215" spans="1:8" x14ac:dyDescent="0.25">
      <c r="A1215" t="s">
        <v>697</v>
      </c>
      <c r="B1215" t="s">
        <v>94</v>
      </c>
      <c r="C1215" s="5">
        <v>517229</v>
      </c>
      <c r="D1215" s="5">
        <v>18960</v>
      </c>
      <c r="E1215">
        <v>281195</v>
      </c>
      <c r="F1215" s="4" t="s">
        <v>706</v>
      </c>
      <c r="G1215" t="s">
        <v>29</v>
      </c>
      <c r="H1215" t="s">
        <v>707</v>
      </c>
    </row>
    <row r="1216" spans="1:8" x14ac:dyDescent="0.25">
      <c r="A1216" t="s">
        <v>697</v>
      </c>
      <c r="B1216" t="s">
        <v>91</v>
      </c>
      <c r="C1216" s="5">
        <v>13742</v>
      </c>
      <c r="D1216" s="5">
        <v>93</v>
      </c>
      <c r="E1216">
        <v>13325</v>
      </c>
      <c r="F1216" s="4" t="s">
        <v>605</v>
      </c>
      <c r="G1216" t="s">
        <v>29</v>
      </c>
      <c r="H1216" t="s">
        <v>606</v>
      </c>
    </row>
    <row r="1217" spans="1:8" x14ac:dyDescent="0.25">
      <c r="A1217" t="s">
        <v>697</v>
      </c>
      <c r="B1217" t="s">
        <v>88</v>
      </c>
      <c r="C1217" s="5">
        <v>1660</v>
      </c>
      <c r="D1217" s="5">
        <v>6</v>
      </c>
      <c r="E1217">
        <v>1599</v>
      </c>
      <c r="F1217" s="4" t="s">
        <v>89</v>
      </c>
      <c r="G1217" t="s">
        <v>29</v>
      </c>
      <c r="H1217" t="s">
        <v>90</v>
      </c>
    </row>
    <row r="1218" spans="1:8" x14ac:dyDescent="0.25">
      <c r="A1218" t="s">
        <v>697</v>
      </c>
      <c r="B1218" t="s">
        <v>85</v>
      </c>
      <c r="C1218" s="5">
        <v>24804</v>
      </c>
      <c r="D1218" s="5">
        <v>161</v>
      </c>
      <c r="E1218">
        <v>7048</v>
      </c>
      <c r="F1218" s="4" t="s">
        <v>86</v>
      </c>
      <c r="G1218" t="s">
        <v>29</v>
      </c>
      <c r="H1218" t="s">
        <v>87</v>
      </c>
    </row>
    <row r="1219" spans="1:8" x14ac:dyDescent="0.25">
      <c r="A1219" t="s">
        <v>697</v>
      </c>
      <c r="B1219" t="s">
        <v>82</v>
      </c>
      <c r="C1219" s="5">
        <v>20136</v>
      </c>
      <c r="D1219" s="5">
        <v>38</v>
      </c>
      <c r="E1219">
        <v>2007</v>
      </c>
      <c r="F1219" s="4" t="s">
        <v>83</v>
      </c>
      <c r="G1219" t="s">
        <v>29</v>
      </c>
      <c r="H1219" t="s">
        <v>84</v>
      </c>
    </row>
    <row r="1220" spans="1:8" x14ac:dyDescent="0.25">
      <c r="A1220" t="s">
        <v>697</v>
      </c>
      <c r="B1220" t="s">
        <v>79</v>
      </c>
      <c r="C1220" s="5">
        <v>277041</v>
      </c>
      <c r="D1220" s="5">
        <v>1393</v>
      </c>
      <c r="E1220">
        <v>132362</v>
      </c>
      <c r="F1220" s="4" t="s">
        <v>80</v>
      </c>
      <c r="G1220" t="s">
        <v>29</v>
      </c>
      <c r="H1220" t="s">
        <v>81</v>
      </c>
    </row>
    <row r="1221" spans="1:8" x14ac:dyDescent="0.25">
      <c r="A1221" t="s">
        <v>697</v>
      </c>
      <c r="B1221" t="s">
        <v>76</v>
      </c>
      <c r="C1221" s="5">
        <v>631506</v>
      </c>
      <c r="D1221" s="5">
        <v>25005</v>
      </c>
      <c r="E1221">
        <v>506965</v>
      </c>
      <c r="F1221" s="4" t="s">
        <v>669</v>
      </c>
      <c r="G1221" t="s">
        <v>29</v>
      </c>
      <c r="H1221" t="s">
        <v>670</v>
      </c>
    </row>
    <row r="1222" spans="1:8" x14ac:dyDescent="0.25">
      <c r="A1222" t="s">
        <v>697</v>
      </c>
      <c r="B1222" t="s">
        <v>73</v>
      </c>
      <c r="C1222" s="5">
        <v>15103</v>
      </c>
      <c r="D1222" s="5">
        <v>221</v>
      </c>
      <c r="E1222">
        <v>2089</v>
      </c>
      <c r="F1222" s="4" t="s">
        <v>565</v>
      </c>
      <c r="G1222" t="s">
        <v>29</v>
      </c>
      <c r="H1222" t="s">
        <v>566</v>
      </c>
    </row>
    <row r="1223" spans="1:8" x14ac:dyDescent="0.25">
      <c r="A1223" t="s">
        <v>697</v>
      </c>
      <c r="B1223" t="s">
        <v>70</v>
      </c>
      <c r="C1223" s="5">
        <v>1414463</v>
      </c>
      <c r="D1223" s="5">
        <v>26131</v>
      </c>
      <c r="E1223">
        <v>209337</v>
      </c>
      <c r="F1223" s="4" t="s">
        <v>535</v>
      </c>
      <c r="G1223" t="s">
        <v>29</v>
      </c>
      <c r="H1223" t="s">
        <v>536</v>
      </c>
    </row>
    <row r="1224" spans="1:8" x14ac:dyDescent="0.25">
      <c r="A1224" t="s">
        <v>697</v>
      </c>
      <c r="B1224" t="s">
        <v>67</v>
      </c>
      <c r="C1224" s="5">
        <v>1570835</v>
      </c>
      <c r="D1224" s="5">
        <v>27891</v>
      </c>
      <c r="E1224">
        <v>1112327</v>
      </c>
      <c r="F1224" s="4" t="s">
        <v>68</v>
      </c>
      <c r="G1224" t="s">
        <v>29</v>
      </c>
      <c r="H1224" t="s">
        <v>69</v>
      </c>
    </row>
    <row r="1225" spans="1:8" x14ac:dyDescent="0.25">
      <c r="A1225" t="s">
        <v>697</v>
      </c>
      <c r="B1225" t="s">
        <v>64</v>
      </c>
      <c r="C1225" s="5">
        <v>19831</v>
      </c>
      <c r="D1225" s="5">
        <v>172</v>
      </c>
      <c r="E1225">
        <v>6026</v>
      </c>
      <c r="F1225" s="4" t="s">
        <v>498</v>
      </c>
      <c r="G1225" t="s">
        <v>29</v>
      </c>
      <c r="H1225" t="s">
        <v>499</v>
      </c>
    </row>
    <row r="1226" spans="1:8" x14ac:dyDescent="0.25">
      <c r="A1226" t="s">
        <v>697</v>
      </c>
      <c r="B1226" t="s">
        <v>61</v>
      </c>
      <c r="C1226" s="5">
        <v>257401</v>
      </c>
      <c r="D1226" s="5">
        <v>11717</v>
      </c>
      <c r="E1226">
        <v>156450</v>
      </c>
      <c r="F1226" s="4" t="s">
        <v>561</v>
      </c>
      <c r="G1226" t="s">
        <v>29</v>
      </c>
      <c r="H1226" t="s">
        <v>562</v>
      </c>
    </row>
    <row r="1227" spans="1:8" x14ac:dyDescent="0.25">
      <c r="A1227" t="s">
        <v>697</v>
      </c>
      <c r="B1227" t="s">
        <v>58</v>
      </c>
      <c r="C1227" s="5">
        <v>544650</v>
      </c>
      <c r="D1227" s="5">
        <v>7241</v>
      </c>
      <c r="E1227">
        <v>28401</v>
      </c>
      <c r="F1227" s="4" t="s">
        <v>59</v>
      </c>
      <c r="G1227" t="s">
        <v>29</v>
      </c>
      <c r="H1227" t="s">
        <v>60</v>
      </c>
    </row>
    <row r="1228" spans="1:8" x14ac:dyDescent="0.25">
      <c r="A1228" t="s">
        <v>697</v>
      </c>
      <c r="B1228" t="s">
        <v>55</v>
      </c>
      <c r="C1228" s="5">
        <v>180314</v>
      </c>
      <c r="D1228" s="5">
        <v>1815</v>
      </c>
      <c r="E1228">
        <v>150336</v>
      </c>
      <c r="F1228" s="4" t="s">
        <v>559</v>
      </c>
      <c r="G1228" t="s">
        <v>29</v>
      </c>
      <c r="H1228" t="s">
        <v>560</v>
      </c>
    </row>
    <row r="1229" spans="1:8" x14ac:dyDescent="0.25">
      <c r="A1229" t="s">
        <v>697</v>
      </c>
      <c r="B1229" t="s">
        <v>52</v>
      </c>
      <c r="C1229" s="5">
        <v>875333</v>
      </c>
      <c r="D1229" s="5">
        <v>11482</v>
      </c>
      <c r="E1229">
        <v>338731</v>
      </c>
      <c r="F1229" s="4" t="s">
        <v>708</v>
      </c>
      <c r="G1229" t="s">
        <v>29</v>
      </c>
      <c r="H1229" t="s">
        <v>709</v>
      </c>
    </row>
    <row r="1230" spans="1:8" x14ac:dyDescent="0.25">
      <c r="A1230" t="s">
        <v>697</v>
      </c>
      <c r="B1230" t="s">
        <v>49</v>
      </c>
      <c r="C1230" s="5">
        <v>5296188</v>
      </c>
      <c r="D1230" s="5">
        <v>116091</v>
      </c>
      <c r="E1230">
        <v>939403</v>
      </c>
      <c r="F1230" s="4" t="s">
        <v>50</v>
      </c>
      <c r="G1230" t="s">
        <v>29</v>
      </c>
      <c r="H1230" t="s">
        <v>51</v>
      </c>
    </row>
    <row r="1231" spans="1:8" x14ac:dyDescent="0.25">
      <c r="A1231" t="s">
        <v>697</v>
      </c>
      <c r="B1231" t="s">
        <v>46</v>
      </c>
      <c r="C1231" s="5">
        <v>64654</v>
      </c>
      <c r="D1231" s="5">
        <v>1719</v>
      </c>
      <c r="E1231">
        <v>11412</v>
      </c>
      <c r="F1231" s="4" t="s">
        <v>47</v>
      </c>
      <c r="G1231" t="s">
        <v>29</v>
      </c>
      <c r="H1231" t="s">
        <v>48</v>
      </c>
    </row>
    <row r="1232" spans="1:8" x14ac:dyDescent="0.25">
      <c r="A1232" t="s">
        <v>697</v>
      </c>
      <c r="B1232" t="s">
        <v>43</v>
      </c>
      <c r="C1232" s="5">
        <v>319016</v>
      </c>
      <c r="D1232" s="5">
        <v>6628</v>
      </c>
      <c r="E1232">
        <v>150197</v>
      </c>
      <c r="F1232" s="4" t="s">
        <v>549</v>
      </c>
      <c r="G1232" t="s">
        <v>29</v>
      </c>
      <c r="H1232" t="s">
        <v>550</v>
      </c>
    </row>
    <row r="1233" spans="1:8" x14ac:dyDescent="0.25">
      <c r="A1233" t="s">
        <v>697</v>
      </c>
      <c r="B1233" t="s">
        <v>40</v>
      </c>
      <c r="C1233" s="5">
        <v>187994</v>
      </c>
      <c r="D1233" s="5">
        <v>2948</v>
      </c>
      <c r="E1233">
        <v>151040</v>
      </c>
      <c r="F1233" s="4" t="s">
        <v>217</v>
      </c>
      <c r="G1233" t="s">
        <v>29</v>
      </c>
      <c r="H1233" t="s">
        <v>218</v>
      </c>
    </row>
    <row r="1234" spans="1:8" x14ac:dyDescent="0.25">
      <c r="A1234" t="s">
        <v>697</v>
      </c>
      <c r="B1234" t="s">
        <v>37</v>
      </c>
      <c r="C1234" s="5">
        <v>4091</v>
      </c>
      <c r="D1234" s="5">
        <v>105</v>
      </c>
      <c r="E1234">
        <v>1195</v>
      </c>
      <c r="F1234" s="4" t="s">
        <v>555</v>
      </c>
      <c r="G1234" t="s">
        <v>29</v>
      </c>
      <c r="H1234" t="s">
        <v>556</v>
      </c>
    </row>
    <row r="1235" spans="1:8" x14ac:dyDescent="0.25">
      <c r="A1235" t="s">
        <v>697</v>
      </c>
      <c r="B1235" t="s">
        <v>34</v>
      </c>
      <c r="C1235" s="5">
        <v>156397</v>
      </c>
      <c r="D1235" s="5">
        <v>7284</v>
      </c>
      <c r="E1235">
        <v>5599</v>
      </c>
      <c r="F1235" s="4" t="s">
        <v>35</v>
      </c>
      <c r="G1235" t="s">
        <v>29</v>
      </c>
      <c r="H1235" t="s">
        <v>36</v>
      </c>
    </row>
    <row r="1236" spans="1:8" x14ac:dyDescent="0.25">
      <c r="A1236" t="s">
        <v>697</v>
      </c>
      <c r="B1236" t="s">
        <v>31</v>
      </c>
      <c r="C1236" s="5">
        <v>740362</v>
      </c>
      <c r="D1236" s="5">
        <v>2139</v>
      </c>
      <c r="E1236">
        <v>272259</v>
      </c>
      <c r="F1236" s="4" t="s">
        <v>32</v>
      </c>
      <c r="G1236" t="s">
        <v>29</v>
      </c>
      <c r="H1236" t="s">
        <v>33</v>
      </c>
    </row>
    <row r="1237" spans="1:8" x14ac:dyDescent="0.25">
      <c r="A1237" t="s">
        <v>697</v>
      </c>
      <c r="B1237" t="s">
        <v>27</v>
      </c>
      <c r="C1237" s="5">
        <v>15618</v>
      </c>
      <c r="D1237" s="5">
        <v>130</v>
      </c>
      <c r="E1237">
        <v>5563</v>
      </c>
      <c r="F1237" s="4" t="s">
        <v>28</v>
      </c>
      <c r="G1237" t="s">
        <v>29</v>
      </c>
      <c r="H1237" t="s">
        <v>30</v>
      </c>
    </row>
    <row r="1238" spans="1:8" x14ac:dyDescent="0.25">
      <c r="A1238" t="s">
        <v>710</v>
      </c>
      <c r="B1238" t="s">
        <v>27</v>
      </c>
      <c r="C1238" s="5">
        <v>15618</v>
      </c>
      <c r="D1238" s="5">
        <v>130</v>
      </c>
      <c r="E1238">
        <v>11807</v>
      </c>
      <c r="F1238" s="4" t="s">
        <v>28</v>
      </c>
      <c r="G1238" t="s">
        <v>29</v>
      </c>
      <c r="H1238" t="s">
        <v>30</v>
      </c>
    </row>
    <row r="1239" spans="1:8" x14ac:dyDescent="0.25">
      <c r="A1239" t="s">
        <v>710</v>
      </c>
      <c r="B1239" t="s">
        <v>31</v>
      </c>
      <c r="C1239" s="5">
        <v>740289</v>
      </c>
      <c r="D1239" s="5">
        <v>2138</v>
      </c>
      <c r="E1239">
        <v>505815</v>
      </c>
      <c r="F1239" s="4" t="s">
        <v>32</v>
      </c>
      <c r="G1239" t="s">
        <v>29</v>
      </c>
      <c r="H1239" t="s">
        <v>33</v>
      </c>
    </row>
    <row r="1240" spans="1:8" x14ac:dyDescent="0.25">
      <c r="A1240" t="s">
        <v>710</v>
      </c>
      <c r="B1240" t="s">
        <v>34</v>
      </c>
      <c r="C1240" s="5">
        <v>156392</v>
      </c>
      <c r="D1240" s="5">
        <v>7284</v>
      </c>
      <c r="E1240">
        <v>71689</v>
      </c>
      <c r="F1240" s="4" t="s">
        <v>35</v>
      </c>
      <c r="G1240" t="s">
        <v>29</v>
      </c>
      <c r="H1240" t="s">
        <v>36</v>
      </c>
    </row>
    <row r="1241" spans="1:8" x14ac:dyDescent="0.25">
      <c r="A1241" t="s">
        <v>710</v>
      </c>
      <c r="B1241" t="s">
        <v>37</v>
      </c>
      <c r="C1241" s="5">
        <v>4078</v>
      </c>
      <c r="D1241" s="5">
        <v>104</v>
      </c>
      <c r="E1241">
        <v>744</v>
      </c>
      <c r="F1241" s="4" t="s">
        <v>513</v>
      </c>
      <c r="G1241" t="s">
        <v>29</v>
      </c>
      <c r="H1241" t="s">
        <v>514</v>
      </c>
    </row>
    <row r="1242" spans="1:8" x14ac:dyDescent="0.25">
      <c r="A1242" t="s">
        <v>710</v>
      </c>
      <c r="B1242" t="s">
        <v>40</v>
      </c>
      <c r="C1242" s="5">
        <v>187994</v>
      </c>
      <c r="D1242" s="5">
        <v>2948</v>
      </c>
      <c r="E1242">
        <v>12521</v>
      </c>
      <c r="F1242" s="4" t="s">
        <v>217</v>
      </c>
      <c r="G1242" t="s">
        <v>29</v>
      </c>
      <c r="H1242" t="s">
        <v>218</v>
      </c>
    </row>
    <row r="1243" spans="1:8" x14ac:dyDescent="0.25">
      <c r="A1243" t="s">
        <v>710</v>
      </c>
      <c r="B1243" t="s">
        <v>43</v>
      </c>
      <c r="C1243" s="5">
        <v>316839</v>
      </c>
      <c r="D1243" s="5">
        <v>6582</v>
      </c>
      <c r="E1243">
        <v>36335</v>
      </c>
      <c r="F1243" s="4" t="s">
        <v>549</v>
      </c>
      <c r="G1243" t="s">
        <v>29</v>
      </c>
      <c r="H1243" t="s">
        <v>550</v>
      </c>
    </row>
    <row r="1244" spans="1:8" x14ac:dyDescent="0.25">
      <c r="A1244" t="s">
        <v>710</v>
      </c>
      <c r="B1244" t="s">
        <v>46</v>
      </c>
      <c r="C1244" s="5">
        <v>64612</v>
      </c>
      <c r="D1244" s="5">
        <v>1719</v>
      </c>
      <c r="E1244">
        <v>15825</v>
      </c>
      <c r="F1244" s="4" t="s">
        <v>47</v>
      </c>
      <c r="G1244" t="s">
        <v>29</v>
      </c>
      <c r="H1244" t="s">
        <v>48</v>
      </c>
    </row>
    <row r="1245" spans="1:8" x14ac:dyDescent="0.25">
      <c r="A1245" t="s">
        <v>710</v>
      </c>
      <c r="B1245" t="s">
        <v>49</v>
      </c>
      <c r="C1245" s="5">
        <v>5295260</v>
      </c>
      <c r="D1245" s="5">
        <v>116083</v>
      </c>
      <c r="E1245">
        <v>3284148</v>
      </c>
      <c r="F1245" s="4" t="s">
        <v>50</v>
      </c>
      <c r="G1245" t="s">
        <v>29</v>
      </c>
      <c r="H1245" t="s">
        <v>51</v>
      </c>
    </row>
    <row r="1246" spans="1:8" x14ac:dyDescent="0.25">
      <c r="A1246" t="s">
        <v>710</v>
      </c>
      <c r="B1246" t="s">
        <v>52</v>
      </c>
      <c r="C1246" s="5">
        <v>865390</v>
      </c>
      <c r="D1246" s="5">
        <v>11451</v>
      </c>
      <c r="E1246">
        <v>20770</v>
      </c>
      <c r="F1246" s="4" t="s">
        <v>307</v>
      </c>
      <c r="G1246" t="s">
        <v>29</v>
      </c>
      <c r="H1246" t="s">
        <v>308</v>
      </c>
    </row>
    <row r="1247" spans="1:8" x14ac:dyDescent="0.25">
      <c r="A1247" t="s">
        <v>710</v>
      </c>
      <c r="B1247" t="s">
        <v>55</v>
      </c>
      <c r="C1247" s="5">
        <v>178927</v>
      </c>
      <c r="D1247" s="5">
        <v>1805</v>
      </c>
      <c r="E1247">
        <v>139703</v>
      </c>
      <c r="F1247" s="4" t="s">
        <v>559</v>
      </c>
      <c r="G1247" t="s">
        <v>29</v>
      </c>
      <c r="H1247" t="s">
        <v>560</v>
      </c>
    </row>
    <row r="1248" spans="1:8" x14ac:dyDescent="0.25">
      <c r="A1248" t="s">
        <v>710</v>
      </c>
      <c r="B1248" t="s">
        <v>58</v>
      </c>
      <c r="C1248" s="5">
        <v>542150</v>
      </c>
      <c r="D1248" s="5">
        <v>7208</v>
      </c>
      <c r="E1248">
        <v>84836</v>
      </c>
      <c r="F1248" s="4" t="s">
        <v>59</v>
      </c>
      <c r="G1248" t="s">
        <v>29</v>
      </c>
      <c r="H1248" t="s">
        <v>60</v>
      </c>
    </row>
    <row r="1249" spans="1:8" x14ac:dyDescent="0.25">
      <c r="A1249" t="s">
        <v>710</v>
      </c>
      <c r="B1249" t="s">
        <v>61</v>
      </c>
      <c r="C1249" s="5">
        <v>257401</v>
      </c>
      <c r="D1249" s="5">
        <v>11717</v>
      </c>
      <c r="E1249">
        <v>45971</v>
      </c>
      <c r="F1249" s="4" t="s">
        <v>561</v>
      </c>
      <c r="G1249" t="s">
        <v>29</v>
      </c>
      <c r="H1249" t="s">
        <v>562</v>
      </c>
    </row>
    <row r="1250" spans="1:8" x14ac:dyDescent="0.25">
      <c r="A1250" t="s">
        <v>710</v>
      </c>
      <c r="B1250" t="s">
        <v>64</v>
      </c>
      <c r="C1250" s="5">
        <v>19516</v>
      </c>
      <c r="D1250" s="5">
        <v>170</v>
      </c>
      <c r="E1250">
        <v>928</v>
      </c>
      <c r="F1250" s="4" t="s">
        <v>498</v>
      </c>
      <c r="G1250" t="s">
        <v>29</v>
      </c>
      <c r="H1250" t="s">
        <v>499</v>
      </c>
    </row>
    <row r="1251" spans="1:8" x14ac:dyDescent="0.25">
      <c r="A1251" t="s">
        <v>710</v>
      </c>
      <c r="B1251" t="s">
        <v>67</v>
      </c>
      <c r="C1251" s="5">
        <v>1570485</v>
      </c>
      <c r="D1251" s="5">
        <v>27887</v>
      </c>
      <c r="E1251">
        <v>1293303</v>
      </c>
      <c r="F1251" s="4" t="s">
        <v>68</v>
      </c>
      <c r="G1251" t="s">
        <v>29</v>
      </c>
      <c r="H1251" t="s">
        <v>69</v>
      </c>
    </row>
    <row r="1252" spans="1:8" x14ac:dyDescent="0.25">
      <c r="A1252" t="s">
        <v>710</v>
      </c>
      <c r="B1252" t="s">
        <v>70</v>
      </c>
      <c r="C1252" s="5">
        <v>1403548</v>
      </c>
      <c r="D1252" s="5">
        <v>26105</v>
      </c>
      <c r="E1252">
        <v>862417</v>
      </c>
      <c r="F1252" s="4" t="s">
        <v>113</v>
      </c>
      <c r="G1252" t="s">
        <v>29</v>
      </c>
      <c r="H1252" t="s">
        <v>114</v>
      </c>
    </row>
    <row r="1253" spans="1:8" x14ac:dyDescent="0.25">
      <c r="A1253" t="s">
        <v>710</v>
      </c>
      <c r="B1253" t="s">
        <v>73</v>
      </c>
      <c r="C1253" s="5">
        <v>15103</v>
      </c>
      <c r="D1253" s="5">
        <v>221</v>
      </c>
      <c r="E1253">
        <v>13617</v>
      </c>
      <c r="F1253" s="4" t="s">
        <v>565</v>
      </c>
      <c r="G1253" t="s">
        <v>29</v>
      </c>
      <c r="H1253" t="s">
        <v>566</v>
      </c>
    </row>
    <row r="1254" spans="1:8" x14ac:dyDescent="0.25">
      <c r="A1254" t="s">
        <v>710</v>
      </c>
      <c r="B1254" t="s">
        <v>76</v>
      </c>
      <c r="C1254" s="5">
        <v>628680</v>
      </c>
      <c r="D1254" s="5">
        <v>24940</v>
      </c>
      <c r="E1254">
        <v>175515</v>
      </c>
      <c r="F1254" s="4" t="s">
        <v>567</v>
      </c>
      <c r="G1254" t="s">
        <v>29</v>
      </c>
      <c r="H1254" t="s">
        <v>568</v>
      </c>
    </row>
    <row r="1255" spans="1:8" x14ac:dyDescent="0.25">
      <c r="A1255" t="s">
        <v>710</v>
      </c>
      <c r="B1255" t="s">
        <v>79</v>
      </c>
      <c r="C1255" s="5">
        <v>277011</v>
      </c>
      <c r="D1255" s="5">
        <v>1393</v>
      </c>
      <c r="E1255">
        <v>213865</v>
      </c>
      <c r="F1255" s="4" t="s">
        <v>80</v>
      </c>
      <c r="G1255" t="s">
        <v>29</v>
      </c>
      <c r="H1255" t="s">
        <v>81</v>
      </c>
    </row>
    <row r="1256" spans="1:8" x14ac:dyDescent="0.25">
      <c r="A1256" t="s">
        <v>710</v>
      </c>
      <c r="B1256" t="s">
        <v>82</v>
      </c>
      <c r="C1256" s="5">
        <v>20136</v>
      </c>
      <c r="D1256" s="5">
        <v>38</v>
      </c>
      <c r="E1256">
        <v>4024</v>
      </c>
      <c r="F1256" s="4" t="s">
        <v>83</v>
      </c>
      <c r="G1256" t="s">
        <v>29</v>
      </c>
      <c r="H1256" t="s">
        <v>84</v>
      </c>
    </row>
    <row r="1257" spans="1:8" x14ac:dyDescent="0.25">
      <c r="A1257" t="s">
        <v>710</v>
      </c>
      <c r="B1257" t="s">
        <v>85</v>
      </c>
      <c r="C1257" s="5">
        <v>24804</v>
      </c>
      <c r="D1257" s="5">
        <v>161</v>
      </c>
      <c r="E1257">
        <v>286</v>
      </c>
      <c r="F1257" s="4" t="s">
        <v>86</v>
      </c>
      <c r="G1257" t="s">
        <v>29</v>
      </c>
      <c r="H1257" t="s">
        <v>87</v>
      </c>
    </row>
    <row r="1258" spans="1:8" x14ac:dyDescent="0.25">
      <c r="A1258" t="s">
        <v>710</v>
      </c>
      <c r="B1258" t="s">
        <v>88</v>
      </c>
      <c r="C1258" s="5">
        <v>1660</v>
      </c>
      <c r="D1258" s="5">
        <v>6</v>
      </c>
      <c r="E1258">
        <v>229</v>
      </c>
      <c r="F1258" s="4" t="s">
        <v>89</v>
      </c>
      <c r="G1258" t="s">
        <v>29</v>
      </c>
      <c r="H1258" t="s">
        <v>90</v>
      </c>
    </row>
    <row r="1259" spans="1:8" x14ac:dyDescent="0.25">
      <c r="A1259" t="s">
        <v>710</v>
      </c>
      <c r="B1259" t="s">
        <v>91</v>
      </c>
      <c r="C1259" s="5">
        <v>13545</v>
      </c>
      <c r="D1259" s="5">
        <v>91</v>
      </c>
      <c r="E1259">
        <v>13296</v>
      </c>
      <c r="F1259" s="4" t="s">
        <v>92</v>
      </c>
      <c r="G1259" t="s">
        <v>29</v>
      </c>
      <c r="H1259" t="s">
        <v>93</v>
      </c>
    </row>
    <row r="1260" spans="1:8" x14ac:dyDescent="0.25">
      <c r="A1260" t="s">
        <v>710</v>
      </c>
      <c r="B1260" t="s">
        <v>94</v>
      </c>
      <c r="C1260" s="5">
        <v>517229</v>
      </c>
      <c r="D1260" s="5">
        <v>18960</v>
      </c>
      <c r="E1260">
        <v>352264</v>
      </c>
      <c r="F1260" s="4" t="s">
        <v>706</v>
      </c>
      <c r="G1260" t="s">
        <v>29</v>
      </c>
      <c r="H1260" t="s">
        <v>707</v>
      </c>
    </row>
    <row r="1261" spans="1:8" x14ac:dyDescent="0.25">
      <c r="A1261" t="s">
        <v>710</v>
      </c>
      <c r="B1261" t="s">
        <v>97</v>
      </c>
      <c r="C1261" s="5">
        <v>21862458</v>
      </c>
      <c r="D1261" s="5">
        <v>609060</v>
      </c>
      <c r="E1261">
        <v>3636865</v>
      </c>
      <c r="F1261" s="4" t="s">
        <v>662</v>
      </c>
      <c r="G1261" t="s">
        <v>29</v>
      </c>
      <c r="H1261" t="s">
        <v>663</v>
      </c>
    </row>
    <row r="1262" spans="1:8" x14ac:dyDescent="0.25">
      <c r="A1262" t="s">
        <v>710</v>
      </c>
      <c r="B1262" t="s">
        <v>100</v>
      </c>
      <c r="C1262" s="5">
        <v>22485</v>
      </c>
      <c r="D1262" s="5">
        <v>657</v>
      </c>
      <c r="E1262">
        <v>5370</v>
      </c>
      <c r="F1262" s="4" t="s">
        <v>671</v>
      </c>
      <c r="G1262" t="s">
        <v>29</v>
      </c>
      <c r="H1262" t="s">
        <v>672</v>
      </c>
    </row>
    <row r="1263" spans="1:8" x14ac:dyDescent="0.25">
      <c r="A1263" t="s">
        <v>710</v>
      </c>
      <c r="B1263" t="s">
        <v>103</v>
      </c>
      <c r="C1263" s="5">
        <v>2623</v>
      </c>
      <c r="D1263" s="5">
        <v>3</v>
      </c>
      <c r="E1263">
        <v>666</v>
      </c>
      <c r="F1263" s="4" t="s">
        <v>104</v>
      </c>
      <c r="G1263" t="s">
        <v>29</v>
      </c>
      <c r="H1263" t="s">
        <v>105</v>
      </c>
    </row>
    <row r="1264" spans="1:8" x14ac:dyDescent="0.25">
      <c r="A1264" t="s">
        <v>710</v>
      </c>
      <c r="B1264" t="s">
        <v>106</v>
      </c>
      <c r="C1264" s="5">
        <v>192935</v>
      </c>
      <c r="D1264" s="5">
        <v>2407</v>
      </c>
      <c r="E1264">
        <v>33724</v>
      </c>
      <c r="F1264" s="4" t="s">
        <v>107</v>
      </c>
      <c r="G1264" t="s">
        <v>29</v>
      </c>
      <c r="H1264" t="s">
        <v>108</v>
      </c>
    </row>
    <row r="1265" spans="1:8" x14ac:dyDescent="0.25">
      <c r="A1265" t="s">
        <v>710</v>
      </c>
      <c r="B1265" t="s">
        <v>109</v>
      </c>
      <c r="C1265" s="5">
        <v>610022</v>
      </c>
      <c r="D1265" s="5">
        <v>4712</v>
      </c>
      <c r="E1265">
        <v>108569</v>
      </c>
      <c r="F1265" s="4" t="s">
        <v>110</v>
      </c>
      <c r="G1265" t="s">
        <v>29</v>
      </c>
      <c r="H1265" t="s">
        <v>111</v>
      </c>
    </row>
    <row r="1266" spans="1:8" x14ac:dyDescent="0.25">
      <c r="A1266" t="s">
        <v>710</v>
      </c>
      <c r="B1266" t="s">
        <v>112</v>
      </c>
      <c r="C1266" s="5">
        <v>27894</v>
      </c>
      <c r="D1266" s="5">
        <v>509</v>
      </c>
      <c r="E1266">
        <v>25485</v>
      </c>
      <c r="F1266" s="4" t="s">
        <v>563</v>
      </c>
      <c r="G1266" t="s">
        <v>29</v>
      </c>
      <c r="H1266" t="s">
        <v>564</v>
      </c>
    </row>
    <row r="1267" spans="1:8" x14ac:dyDescent="0.25">
      <c r="A1267" t="s">
        <v>710</v>
      </c>
      <c r="B1267" t="s">
        <v>115</v>
      </c>
      <c r="C1267" s="5">
        <v>1735964</v>
      </c>
      <c r="D1267" s="5">
        <v>29185</v>
      </c>
      <c r="E1267">
        <v>785097</v>
      </c>
      <c r="F1267" s="4" t="s">
        <v>116</v>
      </c>
      <c r="G1267" t="s">
        <v>29</v>
      </c>
      <c r="H1267" t="s">
        <v>117</v>
      </c>
    </row>
    <row r="1268" spans="1:8" x14ac:dyDescent="0.25">
      <c r="A1268" t="s">
        <v>710</v>
      </c>
      <c r="B1268" t="s">
        <v>118</v>
      </c>
      <c r="C1268" s="5">
        <v>57605</v>
      </c>
      <c r="D1268" s="5">
        <v>1098</v>
      </c>
      <c r="E1268">
        <v>31192</v>
      </c>
      <c r="F1268" s="4" t="s">
        <v>119</v>
      </c>
      <c r="G1268" t="s">
        <v>29</v>
      </c>
      <c r="H1268" t="s">
        <v>120</v>
      </c>
    </row>
    <row r="1269" spans="1:8" x14ac:dyDescent="0.25">
      <c r="A1269" t="s">
        <v>710</v>
      </c>
      <c r="B1269" t="s">
        <v>121</v>
      </c>
      <c r="C1269" s="5">
        <v>11579</v>
      </c>
      <c r="D1269" s="5">
        <v>100</v>
      </c>
      <c r="E1269">
        <v>5520</v>
      </c>
      <c r="F1269" s="4" t="s">
        <v>122</v>
      </c>
      <c r="G1269" t="s">
        <v>29</v>
      </c>
      <c r="H1269" t="s">
        <v>123</v>
      </c>
    </row>
    <row r="1270" spans="1:8" x14ac:dyDescent="0.25">
      <c r="A1270" t="s">
        <v>710</v>
      </c>
      <c r="B1270" t="s">
        <v>124</v>
      </c>
      <c r="C1270" s="5">
        <v>17944</v>
      </c>
      <c r="D1270" s="5">
        <v>297</v>
      </c>
      <c r="E1270">
        <v>2778</v>
      </c>
      <c r="F1270" s="4" t="s">
        <v>135</v>
      </c>
      <c r="G1270" t="s">
        <v>29</v>
      </c>
      <c r="H1270" t="s">
        <v>136</v>
      </c>
    </row>
    <row r="1271" spans="1:8" x14ac:dyDescent="0.25">
      <c r="A1271" t="s">
        <v>710</v>
      </c>
      <c r="B1271" t="s">
        <v>127</v>
      </c>
      <c r="C1271" s="5">
        <v>887446</v>
      </c>
      <c r="D1271" s="5">
        <v>11273</v>
      </c>
      <c r="E1271">
        <v>79752</v>
      </c>
      <c r="F1271" s="4" t="s">
        <v>53</v>
      </c>
      <c r="G1271" t="s">
        <v>29</v>
      </c>
      <c r="H1271" t="s">
        <v>54</v>
      </c>
    </row>
    <row r="1272" spans="1:8" x14ac:dyDescent="0.25">
      <c r="A1272" t="s">
        <v>710</v>
      </c>
      <c r="B1272" t="s">
        <v>128</v>
      </c>
      <c r="C1272" s="5">
        <v>61387</v>
      </c>
      <c r="D1272" s="5">
        <v>698</v>
      </c>
      <c r="E1272">
        <v>46003</v>
      </c>
      <c r="F1272" s="4" t="s">
        <v>129</v>
      </c>
      <c r="G1272" t="s">
        <v>29</v>
      </c>
      <c r="H1272" t="s">
        <v>130</v>
      </c>
    </row>
    <row r="1273" spans="1:8" x14ac:dyDescent="0.25">
      <c r="A1273" t="s">
        <v>710</v>
      </c>
      <c r="B1273" t="s">
        <v>131</v>
      </c>
      <c r="C1273" s="5">
        <v>1703826</v>
      </c>
      <c r="D1273" s="5">
        <v>37814</v>
      </c>
      <c r="E1273">
        <v>1048432</v>
      </c>
      <c r="F1273" s="4" t="s">
        <v>673</v>
      </c>
      <c r="G1273" t="s">
        <v>29</v>
      </c>
      <c r="H1273" t="s">
        <v>674</v>
      </c>
    </row>
    <row r="1274" spans="1:8" x14ac:dyDescent="0.25">
      <c r="A1274" t="s">
        <v>710</v>
      </c>
      <c r="B1274" t="s">
        <v>134</v>
      </c>
      <c r="C1274" s="5">
        <v>104348</v>
      </c>
      <c r="D1274" s="5">
        <v>1731</v>
      </c>
      <c r="E1274">
        <v>93151</v>
      </c>
      <c r="F1274" s="4" t="s">
        <v>135</v>
      </c>
      <c r="G1274" t="s">
        <v>29</v>
      </c>
      <c r="H1274" t="s">
        <v>136</v>
      </c>
    </row>
    <row r="1275" spans="1:8" x14ac:dyDescent="0.25">
      <c r="A1275" t="s">
        <v>710</v>
      </c>
      <c r="B1275" t="s">
        <v>137</v>
      </c>
      <c r="C1275" s="5">
        <v>97665</v>
      </c>
      <c r="D1275" s="5">
        <v>4636</v>
      </c>
      <c r="E1275">
        <v>36570</v>
      </c>
      <c r="F1275" s="4" t="s">
        <v>711</v>
      </c>
      <c r="G1275" t="s">
        <v>29</v>
      </c>
      <c r="H1275" t="s">
        <v>712</v>
      </c>
    </row>
    <row r="1276" spans="1:8" x14ac:dyDescent="0.25">
      <c r="A1276" t="s">
        <v>710</v>
      </c>
      <c r="B1276" t="s">
        <v>140</v>
      </c>
      <c r="C1276" s="5">
        <v>5010982</v>
      </c>
      <c r="D1276" s="5">
        <v>127456</v>
      </c>
      <c r="E1276">
        <v>2653687</v>
      </c>
      <c r="F1276" s="4" t="s">
        <v>141</v>
      </c>
      <c r="G1276" t="s">
        <v>29</v>
      </c>
      <c r="H1276" t="s">
        <v>142</v>
      </c>
    </row>
    <row r="1277" spans="1:8" x14ac:dyDescent="0.25">
      <c r="A1277" t="s">
        <v>710</v>
      </c>
      <c r="B1277" t="s">
        <v>143</v>
      </c>
      <c r="C1277" s="5">
        <v>562316</v>
      </c>
      <c r="D1277" s="5">
        <v>7134</v>
      </c>
      <c r="E1277">
        <v>350080</v>
      </c>
      <c r="F1277" s="4" t="s">
        <v>53</v>
      </c>
      <c r="G1277" t="s">
        <v>29</v>
      </c>
      <c r="H1277" t="s">
        <v>54</v>
      </c>
    </row>
    <row r="1278" spans="1:8" x14ac:dyDescent="0.25">
      <c r="A1278" t="s">
        <v>710</v>
      </c>
      <c r="B1278" t="s">
        <v>144</v>
      </c>
      <c r="C1278" s="5">
        <v>954948</v>
      </c>
      <c r="D1278" s="5">
        <v>8257</v>
      </c>
      <c r="E1278">
        <v>591874</v>
      </c>
      <c r="F1278" s="4" t="s">
        <v>122</v>
      </c>
      <c r="G1278" t="s">
        <v>29</v>
      </c>
      <c r="H1278" t="s">
        <v>123</v>
      </c>
    </row>
    <row r="1279" spans="1:8" x14ac:dyDescent="0.25">
      <c r="A1279" t="s">
        <v>710</v>
      </c>
      <c r="B1279" t="s">
        <v>145</v>
      </c>
      <c r="C1279" s="5">
        <v>38242</v>
      </c>
      <c r="D1279" s="5">
        <v>349</v>
      </c>
      <c r="E1279">
        <v>33671</v>
      </c>
      <c r="F1279" s="4" t="s">
        <v>146</v>
      </c>
      <c r="G1279" t="s">
        <v>29</v>
      </c>
      <c r="H1279" t="s">
        <v>147</v>
      </c>
    </row>
    <row r="1280" spans="1:8" x14ac:dyDescent="0.25">
      <c r="A1280" t="s">
        <v>710</v>
      </c>
      <c r="B1280" t="s">
        <v>148</v>
      </c>
      <c r="C1280" s="5">
        <v>125413</v>
      </c>
      <c r="D1280" s="5">
        <v>576</v>
      </c>
      <c r="E1280">
        <v>43520</v>
      </c>
      <c r="F1280" s="4" t="s">
        <v>149</v>
      </c>
      <c r="G1280" t="s">
        <v>29</v>
      </c>
      <c r="H1280" t="s">
        <v>150</v>
      </c>
    </row>
    <row r="1281" spans="1:8" x14ac:dyDescent="0.25">
      <c r="A1281" t="s">
        <v>710</v>
      </c>
      <c r="B1281" t="s">
        <v>151</v>
      </c>
      <c r="C1281" s="5">
        <v>1801154</v>
      </c>
      <c r="D1281" s="5">
        <v>30938</v>
      </c>
      <c r="E1281">
        <v>1700859</v>
      </c>
      <c r="F1281" s="4" t="s">
        <v>240</v>
      </c>
      <c r="G1281" t="s">
        <v>29</v>
      </c>
      <c r="H1281" t="s">
        <v>241</v>
      </c>
    </row>
    <row r="1282" spans="1:8" x14ac:dyDescent="0.25">
      <c r="A1282" t="s">
        <v>710</v>
      </c>
      <c r="B1282" t="s">
        <v>154</v>
      </c>
      <c r="C1282" s="5">
        <v>4755887</v>
      </c>
      <c r="D1282" s="5">
        <v>96492</v>
      </c>
      <c r="E1282">
        <v>4079306</v>
      </c>
      <c r="F1282" s="4" t="s">
        <v>713</v>
      </c>
      <c r="G1282" t="s">
        <v>29</v>
      </c>
      <c r="H1282" t="s">
        <v>714</v>
      </c>
    </row>
    <row r="1283" spans="1:8" x14ac:dyDescent="0.25">
      <c r="A1283" t="s">
        <v>710</v>
      </c>
      <c r="B1283" t="s">
        <v>157</v>
      </c>
      <c r="C1283" s="5">
        <v>13491</v>
      </c>
      <c r="D1283" s="5">
        <v>183</v>
      </c>
      <c r="E1283">
        <v>9192</v>
      </c>
      <c r="F1283" s="4" t="s">
        <v>630</v>
      </c>
      <c r="G1283" t="s">
        <v>29</v>
      </c>
      <c r="H1283" t="s">
        <v>631</v>
      </c>
    </row>
    <row r="1284" spans="1:8" x14ac:dyDescent="0.25">
      <c r="A1284" t="s">
        <v>710</v>
      </c>
      <c r="B1284" t="s">
        <v>160</v>
      </c>
      <c r="C1284" s="5">
        <v>396656</v>
      </c>
      <c r="D1284" s="5">
        <v>2722</v>
      </c>
      <c r="E1284">
        <v>36806</v>
      </c>
      <c r="F1284" s="4" t="s">
        <v>180</v>
      </c>
      <c r="G1284" t="s">
        <v>29</v>
      </c>
      <c r="H1284" t="s">
        <v>181</v>
      </c>
    </row>
    <row r="1285" spans="1:8" x14ac:dyDescent="0.25">
      <c r="A1285" t="s">
        <v>710</v>
      </c>
      <c r="B1285" t="s">
        <v>161</v>
      </c>
      <c r="C1285" s="5">
        <v>4961</v>
      </c>
      <c r="D1285" s="5">
        <v>32</v>
      </c>
      <c r="E1285">
        <v>1580</v>
      </c>
      <c r="F1285" s="4" t="s">
        <v>86</v>
      </c>
      <c r="G1285" t="s">
        <v>29</v>
      </c>
      <c r="H1285" t="s">
        <v>87</v>
      </c>
    </row>
    <row r="1286" spans="1:8" x14ac:dyDescent="0.25">
      <c r="A1286" t="s">
        <v>710</v>
      </c>
      <c r="B1286" t="s">
        <v>164</v>
      </c>
      <c r="C1286" s="5">
        <v>386285</v>
      </c>
      <c r="D1286" s="5">
        <v>4148</v>
      </c>
      <c r="E1286">
        <v>258499</v>
      </c>
      <c r="F1286" s="4" t="s">
        <v>654</v>
      </c>
      <c r="G1286" t="s">
        <v>29</v>
      </c>
      <c r="H1286" t="s">
        <v>655</v>
      </c>
    </row>
    <row r="1287" spans="1:8" x14ac:dyDescent="0.25">
      <c r="A1287" t="s">
        <v>710</v>
      </c>
      <c r="B1287" t="s">
        <v>167</v>
      </c>
      <c r="C1287" s="5">
        <v>206995</v>
      </c>
      <c r="D1287" s="5">
        <v>5939</v>
      </c>
      <c r="E1287">
        <v>29462</v>
      </c>
      <c r="F1287" s="4" t="s">
        <v>168</v>
      </c>
      <c r="G1287" t="s">
        <v>29</v>
      </c>
      <c r="H1287" t="s">
        <v>169</v>
      </c>
    </row>
    <row r="1288" spans="1:8" x14ac:dyDescent="0.25">
      <c r="A1288" t="s">
        <v>710</v>
      </c>
      <c r="B1288" t="s">
        <v>170</v>
      </c>
      <c r="C1288" s="5">
        <v>518274</v>
      </c>
      <c r="D1288" s="5">
        <v>32983</v>
      </c>
      <c r="E1288">
        <v>434606</v>
      </c>
      <c r="F1288" s="4" t="s">
        <v>715</v>
      </c>
      <c r="G1288" t="s">
        <v>29</v>
      </c>
      <c r="H1288" t="s">
        <v>716</v>
      </c>
    </row>
    <row r="1289" spans="1:8" x14ac:dyDescent="0.25">
      <c r="A1289" t="s">
        <v>710</v>
      </c>
      <c r="B1289" t="s">
        <v>173</v>
      </c>
      <c r="C1289" s="5">
        <v>202629</v>
      </c>
      <c r="D1289" s="5">
        <v>1581</v>
      </c>
      <c r="E1289">
        <v>154522</v>
      </c>
      <c r="F1289" s="4" t="s">
        <v>297</v>
      </c>
      <c r="G1289" t="s">
        <v>29</v>
      </c>
      <c r="H1289" t="s">
        <v>298</v>
      </c>
    </row>
    <row r="1290" spans="1:8" x14ac:dyDescent="0.25">
      <c r="A1290" t="s">
        <v>710</v>
      </c>
      <c r="B1290" t="s">
        <v>176</v>
      </c>
      <c r="C1290" s="5">
        <v>335673</v>
      </c>
      <c r="D1290" s="5">
        <v>18949</v>
      </c>
      <c r="E1290">
        <v>131374</v>
      </c>
      <c r="F1290" s="4" t="s">
        <v>575</v>
      </c>
      <c r="G1290" t="s">
        <v>29</v>
      </c>
      <c r="H1290" t="s">
        <v>576</v>
      </c>
    </row>
    <row r="1291" spans="1:8" x14ac:dyDescent="0.25">
      <c r="A1291" t="s">
        <v>710</v>
      </c>
      <c r="B1291" t="s">
        <v>179</v>
      </c>
      <c r="C1291" s="5">
        <v>6910</v>
      </c>
      <c r="D1291" s="5">
        <v>45</v>
      </c>
      <c r="E1291">
        <v>878</v>
      </c>
      <c r="F1291" s="4" t="s">
        <v>86</v>
      </c>
      <c r="G1291" t="s">
        <v>29</v>
      </c>
      <c r="H1291" t="s">
        <v>87</v>
      </c>
    </row>
    <row r="1292" spans="1:8" x14ac:dyDescent="0.25">
      <c r="A1292" t="s">
        <v>710</v>
      </c>
      <c r="B1292" t="s">
        <v>182</v>
      </c>
      <c r="C1292" s="5">
        <v>5025639</v>
      </c>
      <c r="D1292" s="5">
        <v>87504</v>
      </c>
      <c r="E1292">
        <v>366262</v>
      </c>
      <c r="F1292" s="4" t="s">
        <v>183</v>
      </c>
      <c r="G1292" t="s">
        <v>29</v>
      </c>
      <c r="H1292" t="s">
        <v>184</v>
      </c>
    </row>
    <row r="1293" spans="1:8" x14ac:dyDescent="0.25">
      <c r="A1293" t="s">
        <v>710</v>
      </c>
      <c r="B1293" t="s">
        <v>185</v>
      </c>
      <c r="C1293" s="5">
        <v>366783</v>
      </c>
      <c r="D1293" s="5">
        <v>6517</v>
      </c>
      <c r="E1293">
        <v>311093</v>
      </c>
      <c r="F1293" s="4" t="s">
        <v>68</v>
      </c>
      <c r="G1293" t="s">
        <v>29</v>
      </c>
      <c r="H1293" t="s">
        <v>69</v>
      </c>
    </row>
    <row r="1294" spans="1:8" x14ac:dyDescent="0.25">
      <c r="A1294" t="s">
        <v>710</v>
      </c>
      <c r="B1294" t="s">
        <v>186</v>
      </c>
      <c r="C1294" s="5">
        <v>162476</v>
      </c>
      <c r="D1294" s="5">
        <v>1188</v>
      </c>
      <c r="E1294">
        <v>125154</v>
      </c>
      <c r="F1294" s="4" t="s">
        <v>187</v>
      </c>
      <c r="G1294" t="s">
        <v>29</v>
      </c>
      <c r="H1294" t="s">
        <v>188</v>
      </c>
    </row>
    <row r="1295" spans="1:8" x14ac:dyDescent="0.25">
      <c r="A1295" t="s">
        <v>710</v>
      </c>
      <c r="B1295" t="s">
        <v>189</v>
      </c>
      <c r="C1295" s="5">
        <v>52247</v>
      </c>
      <c r="D1295" s="5">
        <v>674</v>
      </c>
      <c r="E1295">
        <v>1978</v>
      </c>
      <c r="F1295" s="4" t="s">
        <v>417</v>
      </c>
      <c r="G1295" t="s">
        <v>29</v>
      </c>
      <c r="H1295" t="s">
        <v>418</v>
      </c>
    </row>
    <row r="1296" spans="1:8" x14ac:dyDescent="0.25">
      <c r="A1296" t="s">
        <v>710</v>
      </c>
      <c r="B1296" t="s">
        <v>192</v>
      </c>
      <c r="C1296" s="5">
        <v>2538</v>
      </c>
      <c r="D1296" s="5">
        <v>5</v>
      </c>
      <c r="E1296">
        <v>421</v>
      </c>
      <c r="F1296" s="4" t="s">
        <v>717</v>
      </c>
      <c r="G1296" t="s">
        <v>29</v>
      </c>
      <c r="H1296" t="s">
        <v>718</v>
      </c>
    </row>
    <row r="1297" spans="1:8" x14ac:dyDescent="0.25">
      <c r="A1297" t="s">
        <v>710</v>
      </c>
      <c r="B1297" t="s">
        <v>195</v>
      </c>
      <c r="C1297" s="5">
        <v>7020333</v>
      </c>
      <c r="D1297" s="5">
        <v>115488</v>
      </c>
      <c r="E1297">
        <v>87685</v>
      </c>
      <c r="F1297" s="4" t="s">
        <v>691</v>
      </c>
      <c r="G1297" t="s">
        <v>29</v>
      </c>
      <c r="H1297" t="s">
        <v>692</v>
      </c>
    </row>
    <row r="1298" spans="1:8" x14ac:dyDescent="0.25">
      <c r="A1298" t="s">
        <v>710</v>
      </c>
      <c r="B1298" t="s">
        <v>198</v>
      </c>
      <c r="C1298" s="5">
        <v>36020</v>
      </c>
      <c r="D1298" s="5">
        <v>249</v>
      </c>
      <c r="E1298">
        <v>22367</v>
      </c>
      <c r="F1298" s="4" t="s">
        <v>180</v>
      </c>
      <c r="G1298" t="s">
        <v>29</v>
      </c>
      <c r="H1298" t="s">
        <v>181</v>
      </c>
    </row>
    <row r="1299" spans="1:8" x14ac:dyDescent="0.25">
      <c r="A1299" t="s">
        <v>710</v>
      </c>
      <c r="B1299" t="s">
        <v>201</v>
      </c>
      <c r="C1299" s="5">
        <v>9280503</v>
      </c>
      <c r="D1299" s="5">
        <v>141921</v>
      </c>
      <c r="E1299">
        <v>1431277</v>
      </c>
      <c r="F1299" s="4" t="s">
        <v>74</v>
      </c>
      <c r="G1299" t="s">
        <v>29</v>
      </c>
      <c r="H1299" t="s">
        <v>75</v>
      </c>
    </row>
    <row r="1300" spans="1:8" x14ac:dyDescent="0.25">
      <c r="A1300" t="s">
        <v>710</v>
      </c>
      <c r="B1300" t="s">
        <v>204</v>
      </c>
      <c r="C1300" s="5">
        <v>5857</v>
      </c>
      <c r="D1300" s="5">
        <v>198</v>
      </c>
      <c r="E1300">
        <v>3269</v>
      </c>
      <c r="F1300" s="4" t="s">
        <v>255</v>
      </c>
      <c r="G1300" t="s">
        <v>29</v>
      </c>
      <c r="H1300" t="s">
        <v>256</v>
      </c>
    </row>
    <row r="1301" spans="1:8" x14ac:dyDescent="0.25">
      <c r="A1301" t="s">
        <v>710</v>
      </c>
      <c r="B1301" t="s">
        <v>207</v>
      </c>
      <c r="C1301" s="5">
        <v>743511</v>
      </c>
      <c r="D1301" s="5">
        <v>10300</v>
      </c>
      <c r="E1301">
        <v>245785</v>
      </c>
      <c r="F1301" s="4" t="s">
        <v>208</v>
      </c>
      <c r="G1301" t="s">
        <v>29</v>
      </c>
      <c r="H1301" t="s">
        <v>209</v>
      </c>
    </row>
    <row r="1302" spans="1:8" x14ac:dyDescent="0.25">
      <c r="A1302" t="s">
        <v>710</v>
      </c>
      <c r="B1302" t="s">
        <v>210</v>
      </c>
      <c r="C1302" s="5">
        <v>44964</v>
      </c>
      <c r="D1302" s="5">
        <v>313</v>
      </c>
      <c r="E1302">
        <v>31596</v>
      </c>
      <c r="F1302" s="4" t="s">
        <v>211</v>
      </c>
      <c r="G1302" t="s">
        <v>29</v>
      </c>
      <c r="H1302" t="s">
        <v>212</v>
      </c>
    </row>
    <row r="1303" spans="1:8" x14ac:dyDescent="0.25">
      <c r="A1303" t="s">
        <v>710</v>
      </c>
      <c r="B1303" t="s">
        <v>213</v>
      </c>
      <c r="C1303" s="5">
        <v>130391</v>
      </c>
      <c r="D1303" s="5">
        <v>1188</v>
      </c>
      <c r="E1303">
        <v>31577</v>
      </c>
      <c r="F1303" s="4" t="s">
        <v>146</v>
      </c>
      <c r="G1303" t="s">
        <v>29</v>
      </c>
      <c r="H1303" t="s">
        <v>147</v>
      </c>
    </row>
    <row r="1304" spans="1:8" x14ac:dyDescent="0.25">
      <c r="A1304" t="s">
        <v>710</v>
      </c>
      <c r="B1304" t="s">
        <v>216</v>
      </c>
      <c r="C1304" s="5">
        <v>6115</v>
      </c>
      <c r="D1304" s="5">
        <v>98</v>
      </c>
      <c r="E1304">
        <v>2297</v>
      </c>
      <c r="F1304" s="4" t="s">
        <v>313</v>
      </c>
      <c r="G1304" t="s">
        <v>29</v>
      </c>
      <c r="H1304" t="s">
        <v>314</v>
      </c>
    </row>
    <row r="1305" spans="1:8" x14ac:dyDescent="0.25">
      <c r="A1305" t="s">
        <v>710</v>
      </c>
      <c r="B1305" t="s">
        <v>219</v>
      </c>
      <c r="C1305" s="5">
        <v>9973</v>
      </c>
      <c r="D1305" s="5">
        <v>341</v>
      </c>
      <c r="E1305">
        <v>8416</v>
      </c>
      <c r="F1305" s="4" t="s">
        <v>220</v>
      </c>
      <c r="G1305" t="s">
        <v>29</v>
      </c>
      <c r="H1305" t="s">
        <v>221</v>
      </c>
    </row>
    <row r="1306" spans="1:8" x14ac:dyDescent="0.25">
      <c r="A1306" t="s">
        <v>710</v>
      </c>
      <c r="B1306" t="s">
        <v>222</v>
      </c>
      <c r="C1306" s="5">
        <v>30681</v>
      </c>
      <c r="D1306" s="5">
        <v>385</v>
      </c>
      <c r="E1306">
        <v>1437</v>
      </c>
      <c r="F1306" s="4" t="s">
        <v>107</v>
      </c>
      <c r="G1306" t="s">
        <v>29</v>
      </c>
      <c r="H1306" t="s">
        <v>108</v>
      </c>
    </row>
    <row r="1307" spans="1:8" x14ac:dyDescent="0.25">
      <c r="A1307" t="s">
        <v>710</v>
      </c>
      <c r="B1307" t="s">
        <v>225</v>
      </c>
      <c r="C1307" s="5">
        <v>54474</v>
      </c>
      <c r="D1307" s="5">
        <v>820</v>
      </c>
      <c r="E1307">
        <v>20023</v>
      </c>
      <c r="F1307" s="4" t="s">
        <v>202</v>
      </c>
      <c r="G1307" t="s">
        <v>29</v>
      </c>
      <c r="H1307" t="s">
        <v>203</v>
      </c>
    </row>
    <row r="1308" spans="1:8" x14ac:dyDescent="0.25">
      <c r="A1308" t="s">
        <v>710</v>
      </c>
      <c r="B1308" t="s">
        <v>228</v>
      </c>
      <c r="C1308" s="5">
        <v>13407</v>
      </c>
      <c r="D1308" s="5">
        <v>168</v>
      </c>
      <c r="E1308">
        <v>7708</v>
      </c>
      <c r="F1308" s="4" t="s">
        <v>107</v>
      </c>
      <c r="G1308" t="s">
        <v>29</v>
      </c>
      <c r="H1308" t="s">
        <v>108</v>
      </c>
    </row>
    <row r="1309" spans="1:8" x14ac:dyDescent="0.25">
      <c r="A1309" t="s">
        <v>710</v>
      </c>
      <c r="B1309" t="s">
        <v>229</v>
      </c>
      <c r="C1309" s="5">
        <v>774265</v>
      </c>
      <c r="D1309" s="5">
        <v>16200</v>
      </c>
      <c r="E1309">
        <v>707639</v>
      </c>
      <c r="F1309" s="4" t="s">
        <v>282</v>
      </c>
      <c r="G1309" t="s">
        <v>29</v>
      </c>
      <c r="H1309" t="s">
        <v>283</v>
      </c>
    </row>
    <row r="1310" spans="1:8" x14ac:dyDescent="0.25">
      <c r="A1310" t="s">
        <v>710</v>
      </c>
      <c r="B1310" t="s">
        <v>232</v>
      </c>
      <c r="C1310" s="5">
        <v>604586</v>
      </c>
      <c r="D1310" s="5">
        <v>15338</v>
      </c>
      <c r="E1310">
        <v>175821</v>
      </c>
      <c r="F1310" s="4" t="s">
        <v>141</v>
      </c>
      <c r="G1310" t="s">
        <v>29</v>
      </c>
      <c r="H1310" t="s">
        <v>142</v>
      </c>
    </row>
    <row r="1311" spans="1:8" x14ac:dyDescent="0.25">
      <c r="A1311" t="s">
        <v>710</v>
      </c>
      <c r="B1311" t="s">
        <v>233</v>
      </c>
      <c r="C1311" s="5">
        <v>6150</v>
      </c>
      <c r="D1311" s="5">
        <v>143</v>
      </c>
      <c r="E1311">
        <v>3849</v>
      </c>
      <c r="F1311" s="4" t="s">
        <v>581</v>
      </c>
      <c r="G1311" t="s">
        <v>29</v>
      </c>
      <c r="H1311" t="s">
        <v>582</v>
      </c>
    </row>
    <row r="1312" spans="1:8" x14ac:dyDescent="0.25">
      <c r="A1312" t="s">
        <v>710</v>
      </c>
      <c r="B1312" t="s">
        <v>236</v>
      </c>
      <c r="C1312" s="5">
        <v>35993</v>
      </c>
      <c r="D1312" s="5">
        <v>933</v>
      </c>
      <c r="E1312">
        <v>27925</v>
      </c>
      <c r="F1312" s="4" t="s">
        <v>719</v>
      </c>
      <c r="G1312" t="s">
        <v>29</v>
      </c>
      <c r="H1312" t="s">
        <v>720</v>
      </c>
    </row>
    <row r="1313" spans="1:8" x14ac:dyDescent="0.25">
      <c r="A1313" t="s">
        <v>710</v>
      </c>
      <c r="B1313" t="s">
        <v>239</v>
      </c>
      <c r="C1313" s="5">
        <v>12360</v>
      </c>
      <c r="D1313" s="5">
        <v>213</v>
      </c>
      <c r="E1313">
        <v>1167</v>
      </c>
      <c r="F1313" s="4" t="s">
        <v>240</v>
      </c>
      <c r="G1313" t="s">
        <v>29</v>
      </c>
      <c r="H1313" t="s">
        <v>241</v>
      </c>
    </row>
    <row r="1314" spans="1:8" x14ac:dyDescent="0.25">
      <c r="A1314" t="s">
        <v>710</v>
      </c>
      <c r="B1314" t="s">
        <v>242</v>
      </c>
      <c r="C1314" s="5">
        <v>376281</v>
      </c>
      <c r="D1314" s="5">
        <v>10308</v>
      </c>
      <c r="E1314">
        <v>282350</v>
      </c>
      <c r="F1314" s="4" t="s">
        <v>243</v>
      </c>
      <c r="G1314" t="s">
        <v>29</v>
      </c>
      <c r="H1314" t="s">
        <v>244</v>
      </c>
    </row>
    <row r="1315" spans="1:8" x14ac:dyDescent="0.25">
      <c r="A1315" t="s">
        <v>710</v>
      </c>
      <c r="B1315" t="s">
        <v>245</v>
      </c>
      <c r="C1315" s="5">
        <v>490074</v>
      </c>
      <c r="D1315" s="5">
        <v>9400</v>
      </c>
      <c r="E1315">
        <v>3214</v>
      </c>
      <c r="F1315" s="4" t="s">
        <v>721</v>
      </c>
      <c r="G1315" t="s">
        <v>29</v>
      </c>
      <c r="H1315" t="s">
        <v>722</v>
      </c>
    </row>
    <row r="1316" spans="1:8" x14ac:dyDescent="0.25">
      <c r="A1316" t="s">
        <v>710</v>
      </c>
      <c r="B1316" t="s">
        <v>248</v>
      </c>
      <c r="C1316" s="5">
        <v>24073</v>
      </c>
      <c r="D1316" s="5">
        <v>685</v>
      </c>
      <c r="E1316">
        <v>19282</v>
      </c>
      <c r="F1316" s="4" t="s">
        <v>675</v>
      </c>
      <c r="G1316" t="s">
        <v>29</v>
      </c>
      <c r="H1316" t="s">
        <v>676</v>
      </c>
    </row>
    <row r="1317" spans="1:8" x14ac:dyDescent="0.25">
      <c r="A1317" t="s">
        <v>710</v>
      </c>
      <c r="B1317" t="s">
        <v>251</v>
      </c>
      <c r="C1317" s="5">
        <v>892164</v>
      </c>
      <c r="D1317" s="5">
        <v>31184</v>
      </c>
      <c r="E1317">
        <v>469331</v>
      </c>
      <c r="F1317" s="4" t="s">
        <v>677</v>
      </c>
      <c r="G1317" t="s">
        <v>29</v>
      </c>
      <c r="H1317" t="s">
        <v>678</v>
      </c>
    </row>
    <row r="1318" spans="1:8" x14ac:dyDescent="0.25">
      <c r="A1318" t="s">
        <v>710</v>
      </c>
      <c r="B1318" t="s">
        <v>254</v>
      </c>
      <c r="C1318" s="5">
        <v>4247320</v>
      </c>
      <c r="D1318" s="5">
        <v>143519</v>
      </c>
      <c r="E1318">
        <v>2991447</v>
      </c>
      <c r="F1318" s="4" t="s">
        <v>255</v>
      </c>
      <c r="G1318" t="s">
        <v>29</v>
      </c>
      <c r="H1318" t="s">
        <v>256</v>
      </c>
    </row>
    <row r="1319" spans="1:8" x14ac:dyDescent="0.25">
      <c r="A1319" t="s">
        <v>710</v>
      </c>
      <c r="B1319" t="s">
        <v>257</v>
      </c>
      <c r="C1319" s="5">
        <v>462273</v>
      </c>
      <c r="D1319" s="5">
        <v>5492</v>
      </c>
      <c r="E1319">
        <v>232159</v>
      </c>
      <c r="F1319" s="4" t="s">
        <v>723</v>
      </c>
      <c r="G1319" t="s">
        <v>29</v>
      </c>
      <c r="H1319" t="s">
        <v>724</v>
      </c>
    </row>
    <row r="1320" spans="1:8" x14ac:dyDescent="0.25">
      <c r="A1320" t="s">
        <v>710</v>
      </c>
      <c r="B1320" t="s">
        <v>260</v>
      </c>
      <c r="C1320" s="5">
        <v>1333263</v>
      </c>
      <c r="D1320" s="5">
        <v>8112</v>
      </c>
      <c r="E1320">
        <v>864631</v>
      </c>
      <c r="F1320" s="4" t="s">
        <v>261</v>
      </c>
      <c r="G1320" t="s">
        <v>29</v>
      </c>
      <c r="H1320" t="s">
        <v>262</v>
      </c>
    </row>
    <row r="1321" spans="1:8" x14ac:dyDescent="0.25">
      <c r="A1321" t="s">
        <v>710</v>
      </c>
      <c r="B1321" t="s">
        <v>263</v>
      </c>
      <c r="C1321" s="5">
        <v>34344683</v>
      </c>
      <c r="D1321" s="5">
        <v>460265</v>
      </c>
      <c r="E1321">
        <v>23534998</v>
      </c>
      <c r="F1321" s="4" t="s">
        <v>264</v>
      </c>
      <c r="G1321" t="s">
        <v>29</v>
      </c>
      <c r="H1321" t="s">
        <v>265</v>
      </c>
    </row>
    <row r="1322" spans="1:8" x14ac:dyDescent="0.25">
      <c r="A1322" t="s">
        <v>710</v>
      </c>
      <c r="B1322" t="s">
        <v>266</v>
      </c>
      <c r="C1322" s="5">
        <v>2061222</v>
      </c>
      <c r="D1322" s="5">
        <v>23297</v>
      </c>
      <c r="E1322">
        <v>706589</v>
      </c>
      <c r="F1322" s="4" t="s">
        <v>267</v>
      </c>
      <c r="G1322" t="s">
        <v>29</v>
      </c>
      <c r="H1322" t="s">
        <v>268</v>
      </c>
    </row>
    <row r="1323" spans="1:8" x14ac:dyDescent="0.25">
      <c r="A1323" t="s">
        <v>710</v>
      </c>
      <c r="B1323" t="s">
        <v>269</v>
      </c>
      <c r="C1323" s="5">
        <v>5973457</v>
      </c>
      <c r="D1323" s="5">
        <v>127053</v>
      </c>
      <c r="E1323">
        <v>5699802</v>
      </c>
      <c r="F1323" s="4" t="s">
        <v>650</v>
      </c>
      <c r="G1323" t="s">
        <v>29</v>
      </c>
      <c r="H1323" t="s">
        <v>651</v>
      </c>
    </row>
    <row r="1324" spans="1:8" x14ac:dyDescent="0.25">
      <c r="A1324" t="s">
        <v>710</v>
      </c>
      <c r="B1324" t="s">
        <v>272</v>
      </c>
      <c r="C1324" s="5">
        <v>14255</v>
      </c>
      <c r="D1324" s="5">
        <v>34</v>
      </c>
      <c r="E1324">
        <v>12619</v>
      </c>
      <c r="F1324" s="4" t="s">
        <v>454</v>
      </c>
      <c r="G1324" t="s">
        <v>29</v>
      </c>
      <c r="H1324" t="s">
        <v>455</v>
      </c>
    </row>
    <row r="1325" spans="1:8" x14ac:dyDescent="0.25">
      <c r="A1325" t="s">
        <v>710</v>
      </c>
      <c r="B1325" t="s">
        <v>275</v>
      </c>
      <c r="C1325" s="5">
        <v>4795465</v>
      </c>
      <c r="D1325" s="5">
        <v>132334</v>
      </c>
      <c r="E1325">
        <v>2717989</v>
      </c>
      <c r="F1325" s="4" t="s">
        <v>384</v>
      </c>
      <c r="G1325" t="s">
        <v>29</v>
      </c>
      <c r="H1325" t="s">
        <v>385</v>
      </c>
    </row>
    <row r="1326" spans="1:8" x14ac:dyDescent="0.25">
      <c r="A1326" t="s">
        <v>710</v>
      </c>
      <c r="B1326" t="s">
        <v>278</v>
      </c>
      <c r="C1326" s="5">
        <v>89466</v>
      </c>
      <c r="D1326" s="5">
        <v>2272</v>
      </c>
      <c r="E1326">
        <v>11333</v>
      </c>
      <c r="F1326" s="4" t="s">
        <v>141</v>
      </c>
      <c r="G1326" t="s">
        <v>29</v>
      </c>
      <c r="H1326" t="s">
        <v>142</v>
      </c>
    </row>
    <row r="1327" spans="1:8" x14ac:dyDescent="0.25">
      <c r="A1327" t="s">
        <v>710</v>
      </c>
      <c r="B1327" t="s">
        <v>279</v>
      </c>
      <c r="C1327" s="5">
        <v>872585</v>
      </c>
      <c r="D1327" s="5">
        <v>11102</v>
      </c>
      <c r="E1327">
        <v>481045</v>
      </c>
      <c r="F1327" s="4" t="s">
        <v>53</v>
      </c>
      <c r="G1327" t="s">
        <v>29</v>
      </c>
      <c r="H1327" t="s">
        <v>54</v>
      </c>
    </row>
    <row r="1328" spans="1:8" x14ac:dyDescent="0.25">
      <c r="A1328" t="s">
        <v>710</v>
      </c>
      <c r="B1328" t="s">
        <v>280</v>
      </c>
      <c r="C1328" s="5">
        <v>1723295</v>
      </c>
      <c r="D1328" s="5">
        <v>18304</v>
      </c>
      <c r="E1328">
        <v>1427524</v>
      </c>
      <c r="F1328" s="4" t="s">
        <v>165</v>
      </c>
      <c r="G1328" t="s">
        <v>29</v>
      </c>
      <c r="H1328" t="s">
        <v>166</v>
      </c>
    </row>
    <row r="1329" spans="1:8" x14ac:dyDescent="0.25">
      <c r="A1329" t="s">
        <v>710</v>
      </c>
      <c r="B1329" t="s">
        <v>281</v>
      </c>
      <c r="C1329" s="5">
        <v>253737</v>
      </c>
      <c r="D1329" s="5">
        <v>5296</v>
      </c>
      <c r="E1329">
        <v>41834</v>
      </c>
      <c r="F1329" s="4" t="s">
        <v>282</v>
      </c>
      <c r="G1329" t="s">
        <v>29</v>
      </c>
      <c r="H1329" t="s">
        <v>283</v>
      </c>
    </row>
    <row r="1330" spans="1:8" x14ac:dyDescent="0.25">
      <c r="A1330" t="s">
        <v>710</v>
      </c>
      <c r="B1330" t="s">
        <v>284</v>
      </c>
      <c r="C1330" s="5">
        <v>181668</v>
      </c>
      <c r="D1330" s="5">
        <v>2681</v>
      </c>
      <c r="E1330">
        <v>74077</v>
      </c>
      <c r="F1330" s="4" t="s">
        <v>285</v>
      </c>
      <c r="G1330" t="s">
        <v>29</v>
      </c>
      <c r="H1330" t="s">
        <v>286</v>
      </c>
    </row>
    <row r="1331" spans="1:8" x14ac:dyDescent="0.25">
      <c r="A1331" t="s">
        <v>710</v>
      </c>
      <c r="B1331" t="s">
        <v>290</v>
      </c>
      <c r="C1331" s="5">
        <v>2</v>
      </c>
      <c r="D1331" s="5">
        <v>0</v>
      </c>
      <c r="E1331">
        <v>2</v>
      </c>
      <c r="F1331" s="4" t="s">
        <v>29</v>
      </c>
      <c r="G1331" t="s">
        <v>29</v>
      </c>
      <c r="H1331" t="s">
        <v>291</v>
      </c>
    </row>
    <row r="1332" spans="1:8" x14ac:dyDescent="0.25">
      <c r="A1332" t="s">
        <v>710</v>
      </c>
      <c r="B1332" t="s">
        <v>287</v>
      </c>
      <c r="C1332" s="5">
        <v>118948</v>
      </c>
      <c r="D1332" s="5">
        <v>2818</v>
      </c>
      <c r="E1332">
        <v>54724</v>
      </c>
      <c r="F1332" s="4" t="s">
        <v>636</v>
      </c>
      <c r="G1332" t="s">
        <v>29</v>
      </c>
      <c r="H1332" t="s">
        <v>637</v>
      </c>
    </row>
    <row r="1333" spans="1:8" x14ac:dyDescent="0.25">
      <c r="A1333" t="s">
        <v>710</v>
      </c>
      <c r="B1333" t="s">
        <v>292</v>
      </c>
      <c r="C1333" s="5">
        <v>4300</v>
      </c>
      <c r="D1333" s="5">
        <v>147</v>
      </c>
      <c r="E1333">
        <v>1448</v>
      </c>
      <c r="F1333" s="4" t="s">
        <v>220</v>
      </c>
      <c r="G1333" t="s">
        <v>29</v>
      </c>
      <c r="H1333" t="s">
        <v>221</v>
      </c>
    </row>
    <row r="1334" spans="1:8" x14ac:dyDescent="0.25">
      <c r="A1334" t="s">
        <v>710</v>
      </c>
      <c r="B1334" t="s">
        <v>293</v>
      </c>
      <c r="C1334" s="5">
        <v>2708</v>
      </c>
      <c r="D1334" s="5">
        <v>25</v>
      </c>
      <c r="E1334">
        <v>1758</v>
      </c>
      <c r="F1334" s="4" t="s">
        <v>214</v>
      </c>
      <c r="G1334" t="s">
        <v>29</v>
      </c>
      <c r="H1334" t="s">
        <v>215</v>
      </c>
    </row>
    <row r="1335" spans="1:8" x14ac:dyDescent="0.25">
      <c r="A1335" t="s">
        <v>710</v>
      </c>
      <c r="B1335" t="s">
        <v>296</v>
      </c>
      <c r="C1335" s="5">
        <v>377712</v>
      </c>
      <c r="D1335" s="5">
        <v>2956</v>
      </c>
      <c r="E1335">
        <v>3021</v>
      </c>
      <c r="F1335" s="4" t="s">
        <v>297</v>
      </c>
      <c r="G1335" t="s">
        <v>29</v>
      </c>
      <c r="H1335" t="s">
        <v>298</v>
      </c>
    </row>
    <row r="1336" spans="1:8" x14ac:dyDescent="0.25">
      <c r="A1336" t="s">
        <v>710</v>
      </c>
      <c r="B1336" t="s">
        <v>299</v>
      </c>
      <c r="C1336" s="5">
        <v>412793</v>
      </c>
      <c r="D1336" s="5">
        <v>2462</v>
      </c>
      <c r="E1336">
        <v>98178</v>
      </c>
      <c r="F1336" s="4" t="s">
        <v>300</v>
      </c>
      <c r="G1336" t="s">
        <v>29</v>
      </c>
      <c r="H1336" t="s">
        <v>301</v>
      </c>
    </row>
    <row r="1337" spans="1:8" x14ac:dyDescent="0.25">
      <c r="A1337" t="s">
        <v>710</v>
      </c>
      <c r="B1337" t="s">
        <v>302</v>
      </c>
      <c r="C1337" s="5">
        <v>1027434</v>
      </c>
      <c r="D1337" s="5">
        <v>17263</v>
      </c>
      <c r="E1337">
        <v>89877</v>
      </c>
      <c r="F1337" s="4" t="s">
        <v>116</v>
      </c>
      <c r="G1337" t="s">
        <v>29</v>
      </c>
      <c r="H1337" t="s">
        <v>117</v>
      </c>
    </row>
    <row r="1338" spans="1:8" x14ac:dyDescent="0.25">
      <c r="A1338" t="s">
        <v>710</v>
      </c>
      <c r="B1338" t="s">
        <v>303</v>
      </c>
      <c r="C1338" s="5">
        <v>45020</v>
      </c>
      <c r="D1338" s="5">
        <v>77</v>
      </c>
      <c r="E1338">
        <v>5680</v>
      </c>
      <c r="F1338" s="4" t="s">
        <v>679</v>
      </c>
      <c r="G1338" t="s">
        <v>29</v>
      </c>
      <c r="H1338" t="s">
        <v>680</v>
      </c>
    </row>
    <row r="1339" spans="1:8" x14ac:dyDescent="0.25">
      <c r="A1339" t="s">
        <v>710</v>
      </c>
      <c r="B1339" t="s">
        <v>306</v>
      </c>
      <c r="C1339" s="5">
        <v>645104</v>
      </c>
      <c r="D1339" s="5">
        <v>8534</v>
      </c>
      <c r="E1339">
        <v>344437</v>
      </c>
      <c r="F1339" s="4" t="s">
        <v>307</v>
      </c>
      <c r="G1339" t="s">
        <v>29</v>
      </c>
      <c r="H1339" t="s">
        <v>308</v>
      </c>
    </row>
    <row r="1340" spans="1:8" x14ac:dyDescent="0.25">
      <c r="A1340" t="s">
        <v>710</v>
      </c>
      <c r="B1340" t="s">
        <v>309</v>
      </c>
      <c r="C1340" s="5">
        <v>12673</v>
      </c>
      <c r="D1340" s="5">
        <v>260</v>
      </c>
      <c r="E1340">
        <v>5418</v>
      </c>
      <c r="F1340" s="4" t="s">
        <v>579</v>
      </c>
      <c r="G1340" t="s">
        <v>29</v>
      </c>
      <c r="H1340" t="s">
        <v>580</v>
      </c>
    </row>
    <row r="1341" spans="1:8" x14ac:dyDescent="0.25">
      <c r="A1341" t="s">
        <v>710</v>
      </c>
      <c r="B1341" t="s">
        <v>312</v>
      </c>
      <c r="C1341" s="5">
        <v>3728</v>
      </c>
      <c r="D1341" s="5">
        <v>61</v>
      </c>
      <c r="E1341">
        <v>2417</v>
      </c>
      <c r="F1341" s="4" t="s">
        <v>196</v>
      </c>
      <c r="G1341" t="s">
        <v>29</v>
      </c>
      <c r="H1341" t="s">
        <v>197</v>
      </c>
    </row>
    <row r="1342" spans="1:8" x14ac:dyDescent="0.25">
      <c r="A1342" t="s">
        <v>710</v>
      </c>
      <c r="B1342" t="s">
        <v>315</v>
      </c>
      <c r="C1342" s="5">
        <v>544013</v>
      </c>
      <c r="D1342" s="5">
        <v>13821</v>
      </c>
      <c r="E1342">
        <v>112499</v>
      </c>
      <c r="F1342" s="4" t="s">
        <v>141</v>
      </c>
      <c r="G1342" t="s">
        <v>29</v>
      </c>
      <c r="H1342" t="s">
        <v>142</v>
      </c>
    </row>
    <row r="1343" spans="1:8" x14ac:dyDescent="0.25">
      <c r="A1343" t="s">
        <v>710</v>
      </c>
      <c r="B1343" t="s">
        <v>316</v>
      </c>
      <c r="C1343" s="5">
        <v>5815</v>
      </c>
      <c r="D1343" s="5">
        <v>287</v>
      </c>
      <c r="E1343">
        <v>4826</v>
      </c>
      <c r="F1343" s="4" t="s">
        <v>644</v>
      </c>
      <c r="G1343" t="s">
        <v>29</v>
      </c>
      <c r="H1343" t="s">
        <v>645</v>
      </c>
    </row>
    <row r="1344" spans="1:8" x14ac:dyDescent="0.25">
      <c r="A1344" t="s">
        <v>710</v>
      </c>
      <c r="B1344" t="s">
        <v>319</v>
      </c>
      <c r="C1344" s="5">
        <v>21677</v>
      </c>
      <c r="D1344" s="5">
        <v>659</v>
      </c>
      <c r="E1344">
        <v>10672</v>
      </c>
      <c r="F1344" s="4" t="s">
        <v>320</v>
      </c>
      <c r="G1344" t="s">
        <v>29</v>
      </c>
      <c r="H1344" t="s">
        <v>321</v>
      </c>
    </row>
    <row r="1345" spans="1:8" x14ac:dyDescent="0.25">
      <c r="A1345" t="s">
        <v>710</v>
      </c>
      <c r="B1345" t="s">
        <v>322</v>
      </c>
      <c r="C1345" s="5">
        <v>421360</v>
      </c>
      <c r="D1345" s="5">
        <v>6047</v>
      </c>
      <c r="E1345">
        <v>156450</v>
      </c>
      <c r="F1345" s="4" t="s">
        <v>330</v>
      </c>
      <c r="G1345" t="s">
        <v>29</v>
      </c>
      <c r="H1345" t="s">
        <v>331</v>
      </c>
    </row>
    <row r="1346" spans="1:8" x14ac:dyDescent="0.25">
      <c r="A1346" t="s">
        <v>710</v>
      </c>
      <c r="B1346" t="s">
        <v>325</v>
      </c>
      <c r="C1346" s="5">
        <v>82842</v>
      </c>
      <c r="D1346" s="5">
        <v>849</v>
      </c>
      <c r="E1346">
        <v>79319</v>
      </c>
      <c r="F1346" s="4" t="s">
        <v>326</v>
      </c>
      <c r="G1346" t="s">
        <v>29</v>
      </c>
      <c r="H1346" t="s">
        <v>327</v>
      </c>
    </row>
    <row r="1347" spans="1:8" x14ac:dyDescent="0.25">
      <c r="A1347" t="s">
        <v>710</v>
      </c>
      <c r="B1347" t="s">
        <v>328</v>
      </c>
      <c r="C1347" s="5">
        <v>228681</v>
      </c>
      <c r="D1347" s="5">
        <v>3444</v>
      </c>
      <c r="E1347">
        <v>59420</v>
      </c>
      <c r="F1347" s="4" t="s">
        <v>202</v>
      </c>
      <c r="G1347" t="s">
        <v>29</v>
      </c>
      <c r="H1347" t="s">
        <v>203</v>
      </c>
    </row>
    <row r="1348" spans="1:8" x14ac:dyDescent="0.25">
      <c r="A1348" t="s">
        <v>710</v>
      </c>
      <c r="B1348" t="s">
        <v>329</v>
      </c>
      <c r="C1348" s="5">
        <v>360266</v>
      </c>
      <c r="D1348" s="5">
        <v>5186</v>
      </c>
      <c r="E1348">
        <v>305713</v>
      </c>
      <c r="F1348" s="4" t="s">
        <v>330</v>
      </c>
      <c r="G1348" t="s">
        <v>29</v>
      </c>
      <c r="H1348" t="s">
        <v>331</v>
      </c>
    </row>
    <row r="1349" spans="1:8" x14ac:dyDescent="0.25">
      <c r="A1349" t="s">
        <v>710</v>
      </c>
      <c r="B1349" t="s">
        <v>332</v>
      </c>
      <c r="C1349" s="5">
        <v>947139</v>
      </c>
      <c r="D1349" s="5">
        <v>14701</v>
      </c>
      <c r="E1349">
        <v>373013</v>
      </c>
      <c r="F1349" s="4" t="s">
        <v>333</v>
      </c>
      <c r="G1349" t="s">
        <v>29</v>
      </c>
      <c r="H1349" t="s">
        <v>334</v>
      </c>
    </row>
    <row r="1350" spans="1:8" x14ac:dyDescent="0.25">
      <c r="A1350" t="s">
        <v>710</v>
      </c>
      <c r="B1350" t="s">
        <v>335</v>
      </c>
      <c r="C1350" s="5">
        <v>3434</v>
      </c>
      <c r="D1350" s="5">
        <v>36</v>
      </c>
      <c r="E1350">
        <v>218</v>
      </c>
      <c r="F1350" s="4" t="s">
        <v>642</v>
      </c>
      <c r="G1350" t="s">
        <v>29</v>
      </c>
      <c r="H1350" t="s">
        <v>643</v>
      </c>
    </row>
    <row r="1351" spans="1:8" x14ac:dyDescent="0.25">
      <c r="A1351" t="s">
        <v>710</v>
      </c>
      <c r="B1351" t="s">
        <v>338</v>
      </c>
      <c r="C1351" s="5">
        <v>344563</v>
      </c>
      <c r="D1351" s="5">
        <v>8007</v>
      </c>
      <c r="E1351">
        <v>323097</v>
      </c>
      <c r="F1351" s="4" t="s">
        <v>725</v>
      </c>
      <c r="G1351" t="s">
        <v>29</v>
      </c>
      <c r="H1351" t="s">
        <v>726</v>
      </c>
    </row>
    <row r="1352" spans="1:8" x14ac:dyDescent="0.25">
      <c r="A1352" t="s">
        <v>710</v>
      </c>
      <c r="B1352" t="s">
        <v>341</v>
      </c>
      <c r="C1352" s="5">
        <v>147401</v>
      </c>
      <c r="D1352" s="5">
        <v>2140</v>
      </c>
      <c r="E1352">
        <v>55686</v>
      </c>
      <c r="F1352" s="4" t="s">
        <v>342</v>
      </c>
      <c r="G1352" t="s">
        <v>29</v>
      </c>
      <c r="H1352" t="s">
        <v>343</v>
      </c>
    </row>
    <row r="1353" spans="1:8" x14ac:dyDescent="0.25">
      <c r="A1353" t="s">
        <v>710</v>
      </c>
      <c r="B1353" t="s">
        <v>344</v>
      </c>
      <c r="C1353" s="5">
        <v>3941</v>
      </c>
      <c r="D1353" s="5">
        <v>56</v>
      </c>
      <c r="E1353">
        <v>1886</v>
      </c>
      <c r="F1353" s="4" t="s">
        <v>640</v>
      </c>
      <c r="G1353" t="s">
        <v>29</v>
      </c>
      <c r="H1353" t="s">
        <v>641</v>
      </c>
    </row>
    <row r="1354" spans="1:8" x14ac:dyDescent="0.25">
      <c r="A1354" t="s">
        <v>710</v>
      </c>
      <c r="B1354" t="s">
        <v>347</v>
      </c>
      <c r="C1354" s="5">
        <v>43632</v>
      </c>
      <c r="D1354" s="5">
        <v>964</v>
      </c>
      <c r="E1354">
        <v>29893</v>
      </c>
      <c r="F1354" s="4" t="s">
        <v>132</v>
      </c>
      <c r="G1354" t="s">
        <v>29</v>
      </c>
      <c r="H1354" t="s">
        <v>133</v>
      </c>
    </row>
    <row r="1355" spans="1:8" x14ac:dyDescent="0.25">
      <c r="A1355" t="s">
        <v>710</v>
      </c>
      <c r="B1355" t="s">
        <v>348</v>
      </c>
      <c r="C1355" s="5">
        <v>4</v>
      </c>
      <c r="D1355" s="5">
        <v>0</v>
      </c>
      <c r="E1355">
        <v>0</v>
      </c>
      <c r="F1355" s="4" t="s">
        <v>29</v>
      </c>
      <c r="G1355" t="s">
        <v>29</v>
      </c>
      <c r="H1355" t="s">
        <v>291</v>
      </c>
    </row>
    <row r="1356" spans="1:8" x14ac:dyDescent="0.25">
      <c r="A1356" t="s">
        <v>710</v>
      </c>
      <c r="B1356" t="s">
        <v>349</v>
      </c>
      <c r="C1356" s="5">
        <v>205022</v>
      </c>
      <c r="D1356" s="5">
        <v>7204</v>
      </c>
      <c r="E1356">
        <v>24701</v>
      </c>
      <c r="F1356" s="4" t="s">
        <v>350</v>
      </c>
      <c r="G1356" t="s">
        <v>29</v>
      </c>
      <c r="H1356" t="s">
        <v>351</v>
      </c>
    </row>
    <row r="1357" spans="1:8" x14ac:dyDescent="0.25">
      <c r="A1357" t="s">
        <v>710</v>
      </c>
      <c r="B1357" t="s">
        <v>352</v>
      </c>
      <c r="C1357" s="5">
        <v>16294</v>
      </c>
      <c r="D1357" s="5">
        <v>571</v>
      </c>
      <c r="E1357">
        <v>13365</v>
      </c>
      <c r="F1357" s="4" t="s">
        <v>677</v>
      </c>
      <c r="G1357" t="s">
        <v>29</v>
      </c>
      <c r="H1357" t="s">
        <v>678</v>
      </c>
    </row>
    <row r="1358" spans="1:8" x14ac:dyDescent="0.25">
      <c r="A1358" t="s">
        <v>710</v>
      </c>
      <c r="B1358" t="s">
        <v>355</v>
      </c>
      <c r="C1358" s="5">
        <v>505038</v>
      </c>
      <c r="D1358" s="5">
        <v>18783</v>
      </c>
      <c r="E1358">
        <v>51470</v>
      </c>
      <c r="F1358" s="4" t="s">
        <v>372</v>
      </c>
      <c r="G1358" t="s">
        <v>29</v>
      </c>
      <c r="H1358" t="s">
        <v>373</v>
      </c>
    </row>
    <row r="1359" spans="1:8" x14ac:dyDescent="0.25">
      <c r="A1359" t="s">
        <v>710</v>
      </c>
      <c r="B1359" t="s">
        <v>358</v>
      </c>
      <c r="C1359" s="5">
        <v>365233</v>
      </c>
      <c r="D1359" s="5">
        <v>1788</v>
      </c>
      <c r="E1359">
        <v>278828</v>
      </c>
      <c r="F1359" s="4" t="s">
        <v>638</v>
      </c>
      <c r="G1359" t="s">
        <v>29</v>
      </c>
      <c r="H1359" t="s">
        <v>639</v>
      </c>
    </row>
    <row r="1360" spans="1:8" x14ac:dyDescent="0.25">
      <c r="A1360" t="s">
        <v>710</v>
      </c>
      <c r="B1360" t="s">
        <v>359</v>
      </c>
      <c r="C1360" s="5">
        <v>77</v>
      </c>
      <c r="D1360" s="5">
        <v>0</v>
      </c>
      <c r="E1360">
        <v>36</v>
      </c>
      <c r="F1360" s="4" t="s">
        <v>29</v>
      </c>
      <c r="G1360" t="s">
        <v>29</v>
      </c>
      <c r="H1360" t="s">
        <v>291</v>
      </c>
    </row>
    <row r="1361" spans="1:8" x14ac:dyDescent="0.25">
      <c r="A1361" t="s">
        <v>710</v>
      </c>
      <c r="B1361" t="s">
        <v>360</v>
      </c>
      <c r="C1361" s="5">
        <v>43347</v>
      </c>
      <c r="D1361" s="5">
        <v>683</v>
      </c>
      <c r="E1361">
        <v>33255</v>
      </c>
      <c r="F1361" s="4" t="s">
        <v>577</v>
      </c>
      <c r="G1361" t="s">
        <v>29</v>
      </c>
      <c r="H1361" t="s">
        <v>578</v>
      </c>
    </row>
    <row r="1362" spans="1:8" x14ac:dyDescent="0.25">
      <c r="A1362" t="s">
        <v>710</v>
      </c>
      <c r="B1362" t="s">
        <v>363</v>
      </c>
      <c r="C1362" s="5">
        <v>37608</v>
      </c>
      <c r="D1362" s="5">
        <v>801</v>
      </c>
      <c r="E1362">
        <v>8623</v>
      </c>
      <c r="F1362" s="4" t="s">
        <v>650</v>
      </c>
      <c r="G1362" t="s">
        <v>29</v>
      </c>
      <c r="H1362" t="s">
        <v>651</v>
      </c>
    </row>
    <row r="1363" spans="1:8" x14ac:dyDescent="0.25">
      <c r="A1363" t="s">
        <v>710</v>
      </c>
      <c r="B1363" t="s">
        <v>364</v>
      </c>
      <c r="C1363" s="5">
        <v>37813</v>
      </c>
      <c r="D1363" s="5">
        <v>462</v>
      </c>
      <c r="E1363">
        <v>14422</v>
      </c>
      <c r="F1363" s="4" t="s">
        <v>365</v>
      </c>
      <c r="G1363" t="s">
        <v>29</v>
      </c>
      <c r="H1363" t="s">
        <v>366</v>
      </c>
    </row>
    <row r="1364" spans="1:8" x14ac:dyDescent="0.25">
      <c r="A1364" t="s">
        <v>710</v>
      </c>
      <c r="B1364" t="s">
        <v>367</v>
      </c>
      <c r="C1364" s="5">
        <v>18314</v>
      </c>
      <c r="D1364" s="5">
        <v>199</v>
      </c>
      <c r="E1364">
        <v>7373</v>
      </c>
      <c r="F1364" s="4" t="s">
        <v>683</v>
      </c>
      <c r="G1364" t="s">
        <v>29</v>
      </c>
      <c r="H1364" t="s">
        <v>684</v>
      </c>
    </row>
    <row r="1365" spans="1:8" x14ac:dyDescent="0.25">
      <c r="A1365" t="s">
        <v>710</v>
      </c>
      <c r="B1365" t="s">
        <v>368</v>
      </c>
      <c r="C1365" s="5">
        <v>88516</v>
      </c>
      <c r="D1365" s="5">
        <v>245</v>
      </c>
      <c r="E1365">
        <v>26101</v>
      </c>
      <c r="F1365" s="4" t="s">
        <v>369</v>
      </c>
      <c r="G1365" t="s">
        <v>29</v>
      </c>
      <c r="H1365" t="s">
        <v>370</v>
      </c>
    </row>
    <row r="1366" spans="1:8" x14ac:dyDescent="0.25">
      <c r="A1366" t="s">
        <v>710</v>
      </c>
      <c r="B1366" t="s">
        <v>371</v>
      </c>
      <c r="C1366" s="5">
        <v>61803</v>
      </c>
      <c r="D1366" s="5">
        <v>2302</v>
      </c>
      <c r="E1366">
        <v>42371</v>
      </c>
      <c r="F1366" s="4" t="s">
        <v>372</v>
      </c>
      <c r="G1366" t="s">
        <v>29</v>
      </c>
      <c r="H1366" t="s">
        <v>373</v>
      </c>
    </row>
    <row r="1367" spans="1:8" x14ac:dyDescent="0.25">
      <c r="A1367" t="s">
        <v>710</v>
      </c>
      <c r="B1367" t="s">
        <v>374</v>
      </c>
      <c r="C1367" s="5">
        <v>3818216</v>
      </c>
      <c r="D1367" s="5">
        <v>289131</v>
      </c>
      <c r="E1367">
        <v>25522</v>
      </c>
      <c r="F1367" s="4" t="s">
        <v>375</v>
      </c>
      <c r="G1367" t="s">
        <v>29</v>
      </c>
      <c r="H1367" t="s">
        <v>376</v>
      </c>
    </row>
    <row r="1368" spans="1:8" x14ac:dyDescent="0.25">
      <c r="A1368" t="s">
        <v>710</v>
      </c>
      <c r="B1368" t="s">
        <v>377</v>
      </c>
      <c r="C1368" s="5">
        <v>2497265</v>
      </c>
      <c r="D1368" s="5">
        <v>29202</v>
      </c>
      <c r="E1368">
        <v>659415</v>
      </c>
      <c r="F1368" s="4" t="s">
        <v>378</v>
      </c>
      <c r="G1368" t="s">
        <v>29</v>
      </c>
      <c r="H1368" t="s">
        <v>379</v>
      </c>
    </row>
    <row r="1369" spans="1:8" x14ac:dyDescent="0.25">
      <c r="A1369" t="s">
        <v>710</v>
      </c>
      <c r="B1369" t="s">
        <v>380</v>
      </c>
      <c r="C1369" s="5">
        <v>151352</v>
      </c>
      <c r="D1369" s="5">
        <v>1933</v>
      </c>
      <c r="E1369">
        <v>72983</v>
      </c>
      <c r="F1369" s="4" t="s">
        <v>381</v>
      </c>
      <c r="G1369" t="s">
        <v>29</v>
      </c>
      <c r="H1369" t="s">
        <v>382</v>
      </c>
    </row>
    <row r="1370" spans="1:8" x14ac:dyDescent="0.25">
      <c r="A1370" t="s">
        <v>710</v>
      </c>
      <c r="B1370" t="s">
        <v>383</v>
      </c>
      <c r="C1370" s="5">
        <v>128985</v>
      </c>
      <c r="D1370" s="5">
        <v>3560</v>
      </c>
      <c r="E1370">
        <v>2020</v>
      </c>
      <c r="F1370" s="4" t="s">
        <v>384</v>
      </c>
      <c r="G1370" t="s">
        <v>29</v>
      </c>
      <c r="H1370" t="s">
        <v>385</v>
      </c>
    </row>
    <row r="1371" spans="1:8" x14ac:dyDescent="0.25">
      <c r="A1371" t="s">
        <v>710</v>
      </c>
      <c r="B1371" t="s">
        <v>386</v>
      </c>
      <c r="C1371" s="5">
        <v>11235</v>
      </c>
      <c r="D1371" s="5">
        <v>267</v>
      </c>
      <c r="E1371">
        <v>8954</v>
      </c>
      <c r="F1371" s="4" t="s">
        <v>552</v>
      </c>
      <c r="G1371" t="s">
        <v>29</v>
      </c>
      <c r="H1371" t="s">
        <v>553</v>
      </c>
    </row>
    <row r="1372" spans="1:8" x14ac:dyDescent="0.25">
      <c r="A1372" t="s">
        <v>710</v>
      </c>
      <c r="B1372" t="s">
        <v>387</v>
      </c>
      <c r="C1372" s="5">
        <v>6434</v>
      </c>
      <c r="D1372" s="5">
        <v>220</v>
      </c>
      <c r="E1372">
        <v>4884</v>
      </c>
      <c r="F1372" s="4" t="s">
        <v>220</v>
      </c>
      <c r="G1372" t="s">
        <v>29</v>
      </c>
      <c r="H1372" t="s">
        <v>221</v>
      </c>
    </row>
    <row r="1373" spans="1:8" x14ac:dyDescent="0.25">
      <c r="A1373" t="s">
        <v>710</v>
      </c>
      <c r="B1373" t="s">
        <v>390</v>
      </c>
      <c r="C1373" s="5">
        <v>212511</v>
      </c>
      <c r="D1373" s="5">
        <v>2902</v>
      </c>
      <c r="E1373">
        <v>38957</v>
      </c>
      <c r="F1373" s="4" t="s">
        <v>391</v>
      </c>
      <c r="G1373" t="s">
        <v>29</v>
      </c>
      <c r="H1373" t="s">
        <v>392</v>
      </c>
    </row>
    <row r="1374" spans="1:8" x14ac:dyDescent="0.25">
      <c r="A1374" t="s">
        <v>710</v>
      </c>
      <c r="B1374" t="s">
        <v>393</v>
      </c>
      <c r="C1374" s="5">
        <v>16699</v>
      </c>
      <c r="D1374" s="5">
        <v>209</v>
      </c>
      <c r="E1374">
        <v>2803</v>
      </c>
      <c r="F1374" s="4" t="s">
        <v>107</v>
      </c>
      <c r="G1374" t="s">
        <v>29</v>
      </c>
      <c r="H1374" t="s">
        <v>108</v>
      </c>
    </row>
    <row r="1375" spans="1:8" x14ac:dyDescent="0.25">
      <c r="A1375" t="s">
        <v>710</v>
      </c>
      <c r="B1375" t="s">
        <v>396</v>
      </c>
      <c r="C1375" s="5">
        <v>2217816</v>
      </c>
      <c r="D1375" s="5">
        <v>18958</v>
      </c>
      <c r="E1375">
        <v>203195</v>
      </c>
      <c r="F1375" s="4" t="s">
        <v>685</v>
      </c>
      <c r="G1375" t="s">
        <v>29</v>
      </c>
      <c r="H1375" t="s">
        <v>686</v>
      </c>
    </row>
    <row r="1376" spans="1:8" x14ac:dyDescent="0.25">
      <c r="A1376" t="s">
        <v>710</v>
      </c>
      <c r="B1376" t="s">
        <v>399</v>
      </c>
      <c r="C1376" s="5">
        <v>214795</v>
      </c>
      <c r="D1376" s="5">
        <v>922</v>
      </c>
      <c r="E1376">
        <v>155497</v>
      </c>
      <c r="F1376" s="4" t="s">
        <v>400</v>
      </c>
      <c r="G1376" t="s">
        <v>29</v>
      </c>
      <c r="H1376" t="s">
        <v>401</v>
      </c>
    </row>
    <row r="1377" spans="1:8" x14ac:dyDescent="0.25">
      <c r="A1377" t="s">
        <v>710</v>
      </c>
      <c r="B1377" t="s">
        <v>402</v>
      </c>
      <c r="C1377" s="5">
        <v>814289</v>
      </c>
      <c r="D1377" s="5">
        <v>11438</v>
      </c>
      <c r="E1377">
        <v>716468</v>
      </c>
      <c r="F1377" s="4" t="s">
        <v>403</v>
      </c>
      <c r="G1377" t="s">
        <v>29</v>
      </c>
      <c r="H1377" t="s">
        <v>404</v>
      </c>
    </row>
    <row r="1378" spans="1:8" x14ac:dyDescent="0.25">
      <c r="A1378" t="s">
        <v>710</v>
      </c>
      <c r="B1378" t="s">
        <v>405</v>
      </c>
      <c r="C1378" s="5">
        <v>7343</v>
      </c>
      <c r="D1378" s="5">
        <v>31</v>
      </c>
      <c r="E1378">
        <v>4382</v>
      </c>
      <c r="F1378" s="4" t="s">
        <v>597</v>
      </c>
      <c r="G1378" t="s">
        <v>29</v>
      </c>
      <c r="H1378" t="s">
        <v>598</v>
      </c>
    </row>
    <row r="1379" spans="1:8" x14ac:dyDescent="0.25">
      <c r="A1379" t="s">
        <v>710</v>
      </c>
      <c r="B1379" t="s">
        <v>408</v>
      </c>
      <c r="C1379" s="5">
        <v>304329</v>
      </c>
      <c r="D1379" s="5">
        <v>4112</v>
      </c>
      <c r="E1379">
        <v>184762</v>
      </c>
      <c r="F1379" s="4" t="s">
        <v>409</v>
      </c>
      <c r="G1379" t="s">
        <v>29</v>
      </c>
      <c r="H1379" t="s">
        <v>410</v>
      </c>
    </row>
    <row r="1380" spans="1:8" x14ac:dyDescent="0.25">
      <c r="A1380" t="s">
        <v>710</v>
      </c>
      <c r="B1380" t="s">
        <v>411</v>
      </c>
      <c r="C1380" s="5">
        <v>473183</v>
      </c>
      <c r="D1380" s="5">
        <v>7322</v>
      </c>
      <c r="E1380">
        <v>326003</v>
      </c>
      <c r="F1380" s="4" t="s">
        <v>333</v>
      </c>
      <c r="G1380" t="s">
        <v>29</v>
      </c>
      <c r="H1380" t="s">
        <v>334</v>
      </c>
    </row>
    <row r="1381" spans="1:8" x14ac:dyDescent="0.25">
      <c r="A1381" t="s">
        <v>710</v>
      </c>
      <c r="B1381" t="s">
        <v>412</v>
      </c>
      <c r="C1381" s="5">
        <v>2205486</v>
      </c>
      <c r="D1381" s="5">
        <v>200373</v>
      </c>
      <c r="E1381">
        <v>1717031</v>
      </c>
      <c r="F1381" s="4" t="s">
        <v>727</v>
      </c>
      <c r="G1381" t="s">
        <v>29</v>
      </c>
      <c r="H1381" t="s">
        <v>728</v>
      </c>
    </row>
    <row r="1382" spans="1:8" x14ac:dyDescent="0.25">
      <c r="A1382" t="s">
        <v>710</v>
      </c>
      <c r="B1382" t="s">
        <v>415</v>
      </c>
      <c r="C1382" s="5">
        <v>45573</v>
      </c>
      <c r="D1382" s="5">
        <v>636</v>
      </c>
      <c r="E1382">
        <v>16678</v>
      </c>
      <c r="F1382" s="4" t="s">
        <v>403</v>
      </c>
      <c r="G1382" t="s">
        <v>29</v>
      </c>
      <c r="H1382" t="s">
        <v>404</v>
      </c>
    </row>
    <row r="1383" spans="1:8" x14ac:dyDescent="0.25">
      <c r="A1383" t="s">
        <v>710</v>
      </c>
      <c r="B1383" t="s">
        <v>416</v>
      </c>
      <c r="C1383" s="5">
        <v>31287</v>
      </c>
      <c r="D1383" s="5">
        <v>406</v>
      </c>
      <c r="E1383">
        <v>25417</v>
      </c>
      <c r="F1383" s="4" t="s">
        <v>190</v>
      </c>
      <c r="G1383" t="s">
        <v>29</v>
      </c>
      <c r="H1383" t="s">
        <v>191</v>
      </c>
    </row>
    <row r="1384" spans="1:8" x14ac:dyDescent="0.25">
      <c r="A1384" t="s">
        <v>710</v>
      </c>
      <c r="B1384" t="s">
        <v>419</v>
      </c>
      <c r="C1384" s="5">
        <v>2797986</v>
      </c>
      <c r="D1384" s="5">
        <v>44085</v>
      </c>
      <c r="E1384">
        <v>259509</v>
      </c>
      <c r="F1384" s="4" t="s">
        <v>577</v>
      </c>
      <c r="G1384" t="s">
        <v>29</v>
      </c>
      <c r="H1384" t="s">
        <v>578</v>
      </c>
    </row>
    <row r="1385" spans="1:8" x14ac:dyDescent="0.25">
      <c r="A1385" t="s">
        <v>710</v>
      </c>
      <c r="B1385" t="s">
        <v>420</v>
      </c>
      <c r="C1385" s="5">
        <v>1276240</v>
      </c>
      <c r="D1385" s="5">
        <v>28518</v>
      </c>
      <c r="E1385">
        <v>617226</v>
      </c>
      <c r="F1385" s="4" t="s">
        <v>421</v>
      </c>
      <c r="G1385" t="s">
        <v>29</v>
      </c>
      <c r="H1385" t="s">
        <v>422</v>
      </c>
    </row>
    <row r="1386" spans="1:8" x14ac:dyDescent="0.25">
      <c r="A1386" t="s">
        <v>710</v>
      </c>
      <c r="B1386" t="s">
        <v>423</v>
      </c>
      <c r="C1386" s="5">
        <v>3076518</v>
      </c>
      <c r="D1386" s="5">
        <v>77547</v>
      </c>
      <c r="E1386">
        <v>1826316</v>
      </c>
      <c r="F1386" s="4" t="s">
        <v>729</v>
      </c>
      <c r="G1386" t="s">
        <v>29</v>
      </c>
      <c r="H1386" t="s">
        <v>730</v>
      </c>
    </row>
    <row r="1387" spans="1:8" x14ac:dyDescent="0.25">
      <c r="A1387" t="s">
        <v>710</v>
      </c>
      <c r="B1387" t="s">
        <v>426</v>
      </c>
      <c r="C1387" s="5">
        <v>455099</v>
      </c>
      <c r="D1387" s="5">
        <v>4705</v>
      </c>
      <c r="E1387">
        <v>250874</v>
      </c>
      <c r="F1387" s="4" t="s">
        <v>687</v>
      </c>
      <c r="G1387" t="s">
        <v>29</v>
      </c>
      <c r="H1387" t="s">
        <v>688</v>
      </c>
    </row>
    <row r="1388" spans="1:8" x14ac:dyDescent="0.25">
      <c r="A1388" t="s">
        <v>710</v>
      </c>
      <c r="B1388" t="s">
        <v>427</v>
      </c>
      <c r="C1388" s="5">
        <v>1095337</v>
      </c>
      <c r="D1388" s="5">
        <v>18193</v>
      </c>
      <c r="E1388">
        <v>1067173</v>
      </c>
      <c r="F1388" s="4" t="s">
        <v>135</v>
      </c>
      <c r="G1388" t="s">
        <v>29</v>
      </c>
      <c r="H1388" t="s">
        <v>136</v>
      </c>
    </row>
    <row r="1389" spans="1:8" x14ac:dyDescent="0.25">
      <c r="A1389" t="s">
        <v>710</v>
      </c>
      <c r="B1389" t="s">
        <v>428</v>
      </c>
      <c r="C1389" s="5">
        <v>8</v>
      </c>
      <c r="D1389" s="5">
        <v>0</v>
      </c>
      <c r="E1389">
        <v>4</v>
      </c>
      <c r="F1389" s="4" t="s">
        <v>29</v>
      </c>
      <c r="G1389" t="s">
        <v>29</v>
      </c>
      <c r="H1389" t="s">
        <v>291</v>
      </c>
    </row>
    <row r="1390" spans="1:8" x14ac:dyDescent="0.25">
      <c r="A1390" t="s">
        <v>710</v>
      </c>
      <c r="B1390" t="s">
        <v>429</v>
      </c>
      <c r="C1390" s="5">
        <v>461275</v>
      </c>
      <c r="D1390" s="5">
        <v>16258</v>
      </c>
      <c r="E1390">
        <v>4931</v>
      </c>
      <c r="F1390" s="4" t="s">
        <v>353</v>
      </c>
      <c r="G1390" t="s">
        <v>29</v>
      </c>
      <c r="H1390" t="s">
        <v>354</v>
      </c>
    </row>
    <row r="1391" spans="1:8" x14ac:dyDescent="0.25">
      <c r="A1391" t="s">
        <v>710</v>
      </c>
      <c r="B1391" t="s">
        <v>432</v>
      </c>
      <c r="C1391" s="5">
        <v>239871</v>
      </c>
      <c r="D1391" s="5">
        <v>611</v>
      </c>
      <c r="E1391">
        <v>120745</v>
      </c>
      <c r="F1391" s="4" t="s">
        <v>433</v>
      </c>
      <c r="G1391" t="s">
        <v>29</v>
      </c>
      <c r="H1391" t="s">
        <v>434</v>
      </c>
    </row>
    <row r="1392" spans="1:8" x14ac:dyDescent="0.25">
      <c r="A1392" t="s">
        <v>710</v>
      </c>
      <c r="B1392" t="s">
        <v>435</v>
      </c>
      <c r="C1392" s="5">
        <v>55125</v>
      </c>
      <c r="D1392" s="5">
        <v>376</v>
      </c>
      <c r="E1392">
        <v>40494</v>
      </c>
      <c r="F1392" s="4" t="s">
        <v>605</v>
      </c>
      <c r="G1392" t="s">
        <v>29</v>
      </c>
      <c r="H1392" t="s">
        <v>606</v>
      </c>
    </row>
    <row r="1393" spans="1:8" x14ac:dyDescent="0.25">
      <c r="A1393" t="s">
        <v>710</v>
      </c>
      <c r="B1393" t="s">
        <v>436</v>
      </c>
      <c r="C1393" s="5">
        <v>1693532</v>
      </c>
      <c r="D1393" s="5">
        <v>50087</v>
      </c>
      <c r="E1393">
        <v>490663</v>
      </c>
      <c r="F1393" s="4" t="s">
        <v>731</v>
      </c>
      <c r="G1393" t="s">
        <v>29</v>
      </c>
      <c r="H1393" t="s">
        <v>732</v>
      </c>
    </row>
    <row r="1394" spans="1:8" x14ac:dyDescent="0.25">
      <c r="A1394" t="s">
        <v>710</v>
      </c>
      <c r="B1394" t="s">
        <v>439</v>
      </c>
      <c r="C1394" s="5">
        <v>1174333</v>
      </c>
      <c r="D1394" s="5">
        <v>10271</v>
      </c>
      <c r="E1394">
        <v>731704</v>
      </c>
      <c r="F1394" s="4" t="s">
        <v>498</v>
      </c>
      <c r="G1394" t="s">
        <v>29</v>
      </c>
      <c r="H1394" t="s">
        <v>499</v>
      </c>
    </row>
    <row r="1395" spans="1:8" x14ac:dyDescent="0.25">
      <c r="A1395" t="s">
        <v>710</v>
      </c>
      <c r="B1395" t="s">
        <v>440</v>
      </c>
      <c r="C1395" s="5">
        <v>8573323</v>
      </c>
      <c r="D1395" s="5">
        <v>239943</v>
      </c>
      <c r="E1395">
        <v>7270927</v>
      </c>
      <c r="F1395" s="4" t="s">
        <v>441</v>
      </c>
      <c r="G1395" t="s">
        <v>29</v>
      </c>
      <c r="H1395" t="s">
        <v>442</v>
      </c>
    </row>
    <row r="1396" spans="1:8" x14ac:dyDescent="0.25">
      <c r="A1396" t="s">
        <v>710</v>
      </c>
      <c r="B1396" t="s">
        <v>443</v>
      </c>
      <c r="C1396" s="5">
        <v>99898</v>
      </c>
      <c r="D1396" s="5">
        <v>1332</v>
      </c>
      <c r="E1396">
        <v>4245</v>
      </c>
      <c r="F1396" s="4" t="s">
        <v>59</v>
      </c>
      <c r="G1396" t="s">
        <v>29</v>
      </c>
      <c r="H1396" t="s">
        <v>60</v>
      </c>
    </row>
    <row r="1397" spans="1:8" x14ac:dyDescent="0.25">
      <c r="A1397" t="s">
        <v>710</v>
      </c>
      <c r="B1397" t="s">
        <v>444</v>
      </c>
      <c r="C1397" s="5">
        <v>548848</v>
      </c>
      <c r="D1397" s="5">
        <v>8802</v>
      </c>
      <c r="E1397">
        <v>133138</v>
      </c>
      <c r="F1397" s="4" t="s">
        <v>313</v>
      </c>
      <c r="G1397" t="s">
        <v>29</v>
      </c>
      <c r="H1397" t="s">
        <v>314</v>
      </c>
    </row>
    <row r="1398" spans="1:8" x14ac:dyDescent="0.25">
      <c r="A1398" t="s">
        <v>710</v>
      </c>
      <c r="B1398" t="s">
        <v>445</v>
      </c>
      <c r="C1398" s="5">
        <v>20</v>
      </c>
      <c r="D1398" s="5">
        <v>0</v>
      </c>
      <c r="E1398">
        <v>1</v>
      </c>
      <c r="F1398" s="4" t="s">
        <v>29</v>
      </c>
      <c r="G1398" t="s">
        <v>29</v>
      </c>
      <c r="H1398" t="s">
        <v>291</v>
      </c>
    </row>
    <row r="1399" spans="1:8" x14ac:dyDescent="0.25">
      <c r="A1399" t="s">
        <v>710</v>
      </c>
      <c r="B1399" t="s">
        <v>446</v>
      </c>
      <c r="C1399" s="5">
        <v>22381</v>
      </c>
      <c r="D1399" s="5">
        <v>119</v>
      </c>
      <c r="E1399">
        <v>9820</v>
      </c>
      <c r="F1399" s="4" t="s">
        <v>447</v>
      </c>
      <c r="G1399" t="s">
        <v>29</v>
      </c>
      <c r="H1399" t="s">
        <v>448</v>
      </c>
    </row>
    <row r="1400" spans="1:8" x14ac:dyDescent="0.25">
      <c r="A1400" t="s">
        <v>710</v>
      </c>
      <c r="B1400" t="s">
        <v>449</v>
      </c>
      <c r="C1400" s="5">
        <v>40433</v>
      </c>
      <c r="D1400" s="5">
        <v>3099</v>
      </c>
      <c r="E1400">
        <v>36346</v>
      </c>
      <c r="F1400" s="4" t="s">
        <v>632</v>
      </c>
      <c r="G1400" t="s">
        <v>29</v>
      </c>
      <c r="H1400" t="s">
        <v>633</v>
      </c>
    </row>
    <row r="1401" spans="1:8" x14ac:dyDescent="0.25">
      <c r="A1401" t="s">
        <v>710</v>
      </c>
      <c r="B1401" t="s">
        <v>452</v>
      </c>
      <c r="C1401" s="5">
        <v>1177094</v>
      </c>
      <c r="D1401" s="5">
        <v>15057</v>
      </c>
      <c r="E1401">
        <v>1104829</v>
      </c>
      <c r="F1401" s="4" t="s">
        <v>381</v>
      </c>
      <c r="G1401" t="s">
        <v>29</v>
      </c>
      <c r="H1401" t="s">
        <v>382</v>
      </c>
    </row>
    <row r="1402" spans="1:8" x14ac:dyDescent="0.25">
      <c r="A1402" t="s">
        <v>710</v>
      </c>
      <c r="B1402" t="s">
        <v>453</v>
      </c>
      <c r="C1402" s="5">
        <v>212745</v>
      </c>
      <c r="D1402" s="5">
        <v>468</v>
      </c>
      <c r="E1402">
        <v>170035</v>
      </c>
      <c r="F1402" s="4" t="s">
        <v>193</v>
      </c>
      <c r="G1402" t="s">
        <v>29</v>
      </c>
      <c r="H1402" t="s">
        <v>194</v>
      </c>
    </row>
    <row r="1403" spans="1:8" x14ac:dyDescent="0.25">
      <c r="A1403" t="s">
        <v>710</v>
      </c>
      <c r="B1403" t="s">
        <v>456</v>
      </c>
      <c r="C1403" s="5">
        <v>349996</v>
      </c>
      <c r="D1403" s="5">
        <v>4806</v>
      </c>
      <c r="E1403">
        <v>339932</v>
      </c>
      <c r="F1403" s="4" t="s">
        <v>391</v>
      </c>
      <c r="G1403" t="s">
        <v>29</v>
      </c>
      <c r="H1403" t="s">
        <v>392</v>
      </c>
    </row>
    <row r="1404" spans="1:8" x14ac:dyDescent="0.25">
      <c r="A1404" t="s">
        <v>710</v>
      </c>
      <c r="B1404" t="s">
        <v>457</v>
      </c>
      <c r="C1404" s="5">
        <v>506795</v>
      </c>
      <c r="D1404" s="5">
        <v>13166</v>
      </c>
      <c r="E1404">
        <v>468989</v>
      </c>
      <c r="F1404" s="4" t="s">
        <v>733</v>
      </c>
      <c r="G1404" t="s">
        <v>29</v>
      </c>
      <c r="H1404" t="s">
        <v>734</v>
      </c>
    </row>
    <row r="1405" spans="1:8" x14ac:dyDescent="0.25">
      <c r="A1405" t="s">
        <v>710</v>
      </c>
      <c r="B1405" t="s">
        <v>460</v>
      </c>
      <c r="C1405" s="5">
        <v>6398</v>
      </c>
      <c r="D1405" s="5">
        <v>121</v>
      </c>
      <c r="E1405">
        <v>3174</v>
      </c>
      <c r="F1405" s="4" t="s">
        <v>461</v>
      </c>
      <c r="G1405" t="s">
        <v>29</v>
      </c>
      <c r="H1405" t="s">
        <v>462</v>
      </c>
    </row>
    <row r="1406" spans="1:8" x14ac:dyDescent="0.25">
      <c r="A1406" t="s">
        <v>710</v>
      </c>
      <c r="B1406" t="s">
        <v>463</v>
      </c>
      <c r="C1406" s="5">
        <v>5588</v>
      </c>
      <c r="D1406" s="5">
        <v>92</v>
      </c>
      <c r="E1406">
        <v>1654</v>
      </c>
      <c r="F1406" s="4" t="s">
        <v>691</v>
      </c>
      <c r="G1406" t="s">
        <v>29</v>
      </c>
      <c r="H1406" t="s">
        <v>692</v>
      </c>
    </row>
    <row r="1407" spans="1:8" x14ac:dyDescent="0.25">
      <c r="A1407" t="s">
        <v>710</v>
      </c>
      <c r="B1407" t="s">
        <v>464</v>
      </c>
      <c r="C1407" s="5">
        <v>73933</v>
      </c>
      <c r="D1407" s="5">
        <v>1880</v>
      </c>
      <c r="E1407">
        <v>67739</v>
      </c>
      <c r="F1407" s="4" t="s">
        <v>141</v>
      </c>
      <c r="G1407" t="s">
        <v>29</v>
      </c>
      <c r="H1407" t="s">
        <v>142</v>
      </c>
    </row>
    <row r="1408" spans="1:8" x14ac:dyDescent="0.25">
      <c r="A1408" t="s">
        <v>710</v>
      </c>
      <c r="B1408" t="s">
        <v>465</v>
      </c>
      <c r="C1408" s="5">
        <v>22693</v>
      </c>
      <c r="D1408" s="5">
        <v>1294</v>
      </c>
      <c r="E1408">
        <v>3750</v>
      </c>
      <c r="F1408" s="4" t="s">
        <v>466</v>
      </c>
      <c r="G1408" t="s">
        <v>29</v>
      </c>
      <c r="H1408" t="s">
        <v>467</v>
      </c>
    </row>
    <row r="1409" spans="1:8" x14ac:dyDescent="0.25">
      <c r="A1409" t="s">
        <v>710</v>
      </c>
      <c r="B1409" t="s">
        <v>468</v>
      </c>
      <c r="C1409" s="5">
        <v>49400</v>
      </c>
      <c r="D1409" s="5">
        <v>1107</v>
      </c>
      <c r="E1409">
        <v>9861</v>
      </c>
      <c r="F1409" s="4" t="s">
        <v>603</v>
      </c>
      <c r="G1409" t="s">
        <v>29</v>
      </c>
      <c r="H1409" t="s">
        <v>604</v>
      </c>
    </row>
    <row r="1410" spans="1:8" x14ac:dyDescent="0.25">
      <c r="A1410" t="s">
        <v>710</v>
      </c>
      <c r="B1410" t="s">
        <v>471</v>
      </c>
      <c r="C1410" s="5">
        <v>12453</v>
      </c>
      <c r="D1410" s="5">
        <v>133</v>
      </c>
      <c r="E1410">
        <v>10758</v>
      </c>
      <c r="F1410" s="4" t="s">
        <v>654</v>
      </c>
      <c r="G1410" t="s">
        <v>29</v>
      </c>
      <c r="H1410" t="s">
        <v>655</v>
      </c>
    </row>
    <row r="1411" spans="1:8" x14ac:dyDescent="0.25">
      <c r="A1411" t="s">
        <v>710</v>
      </c>
      <c r="B1411" t="s">
        <v>472</v>
      </c>
      <c r="C1411" s="5">
        <v>3720</v>
      </c>
      <c r="D1411" s="5">
        <v>56</v>
      </c>
      <c r="E1411">
        <v>1176</v>
      </c>
      <c r="F1411" s="4" t="s">
        <v>202</v>
      </c>
      <c r="G1411" t="s">
        <v>29</v>
      </c>
      <c r="H1411" t="s">
        <v>203</v>
      </c>
    </row>
    <row r="1412" spans="1:8" x14ac:dyDescent="0.25">
      <c r="A1412" t="s">
        <v>710</v>
      </c>
      <c r="B1412" t="s">
        <v>473</v>
      </c>
      <c r="C1412" s="5">
        <v>113422</v>
      </c>
      <c r="D1412" s="5">
        <v>3670</v>
      </c>
      <c r="E1412">
        <v>33653</v>
      </c>
      <c r="F1412" s="4" t="s">
        <v>735</v>
      </c>
      <c r="G1412" t="s">
        <v>29</v>
      </c>
      <c r="H1412" t="s">
        <v>736</v>
      </c>
    </row>
    <row r="1413" spans="1:8" x14ac:dyDescent="0.25">
      <c r="A1413" t="s">
        <v>710</v>
      </c>
      <c r="B1413" t="s">
        <v>476</v>
      </c>
      <c r="C1413" s="5">
        <v>44191</v>
      </c>
      <c r="D1413" s="5">
        <v>2593</v>
      </c>
      <c r="E1413">
        <v>37150</v>
      </c>
      <c r="F1413" s="4" t="s">
        <v>693</v>
      </c>
      <c r="G1413" t="s">
        <v>29</v>
      </c>
      <c r="H1413" t="s">
        <v>694</v>
      </c>
    </row>
    <row r="1414" spans="1:8" x14ac:dyDescent="0.25">
      <c r="A1414" t="s">
        <v>710</v>
      </c>
      <c r="B1414" t="s">
        <v>479</v>
      </c>
      <c r="C1414" s="5">
        <v>46455</v>
      </c>
      <c r="D1414" s="5">
        <v>1243</v>
      </c>
      <c r="E1414">
        <v>16247</v>
      </c>
      <c r="F1414" s="4" t="s">
        <v>480</v>
      </c>
      <c r="G1414" t="s">
        <v>29</v>
      </c>
      <c r="H1414" t="s">
        <v>481</v>
      </c>
    </row>
    <row r="1415" spans="1:8" x14ac:dyDescent="0.25">
      <c r="A1415" t="s">
        <v>710</v>
      </c>
      <c r="B1415" t="s">
        <v>482</v>
      </c>
      <c r="C1415" s="5">
        <v>5107</v>
      </c>
      <c r="D1415" s="5">
        <v>175</v>
      </c>
      <c r="E1415">
        <v>4285</v>
      </c>
      <c r="F1415" s="4" t="s">
        <v>252</v>
      </c>
      <c r="G1415" t="s">
        <v>29</v>
      </c>
      <c r="H1415" t="s">
        <v>253</v>
      </c>
    </row>
    <row r="1416" spans="1:8" x14ac:dyDescent="0.25">
      <c r="A1416" t="s">
        <v>710</v>
      </c>
      <c r="B1416" t="s">
        <v>483</v>
      </c>
      <c r="C1416" s="5">
        <v>26107</v>
      </c>
      <c r="D1416" s="5">
        <v>243</v>
      </c>
      <c r="E1416">
        <v>22143</v>
      </c>
      <c r="F1416" s="4" t="s">
        <v>484</v>
      </c>
      <c r="G1416" t="s">
        <v>29</v>
      </c>
      <c r="H1416" t="s">
        <v>485</v>
      </c>
    </row>
    <row r="1417" spans="1:8" x14ac:dyDescent="0.25">
      <c r="A1417" t="s">
        <v>710</v>
      </c>
      <c r="B1417" t="s">
        <v>486</v>
      </c>
      <c r="C1417" s="5">
        <v>1960039</v>
      </c>
      <c r="D1417" s="5">
        <v>19611</v>
      </c>
      <c r="E1417">
        <v>322403</v>
      </c>
      <c r="F1417" s="4" t="s">
        <v>56</v>
      </c>
      <c r="G1417" t="s">
        <v>29</v>
      </c>
      <c r="H1417" t="s">
        <v>57</v>
      </c>
    </row>
    <row r="1418" spans="1:8" x14ac:dyDescent="0.25">
      <c r="A1418" t="s">
        <v>710</v>
      </c>
      <c r="B1418" t="s">
        <v>487</v>
      </c>
      <c r="C1418" s="5">
        <v>17486</v>
      </c>
      <c r="D1418" s="5">
        <v>125</v>
      </c>
      <c r="E1418">
        <v>3638</v>
      </c>
      <c r="F1418" s="4" t="s">
        <v>488</v>
      </c>
      <c r="G1418" t="s">
        <v>29</v>
      </c>
      <c r="H1418" t="s">
        <v>489</v>
      </c>
    </row>
    <row r="1419" spans="1:8" x14ac:dyDescent="0.25">
      <c r="A1419" t="s">
        <v>710</v>
      </c>
      <c r="B1419" t="s">
        <v>490</v>
      </c>
      <c r="C1419" s="5">
        <v>19795</v>
      </c>
      <c r="D1419" s="5">
        <v>122</v>
      </c>
      <c r="E1419">
        <v>16513</v>
      </c>
      <c r="F1419" s="4" t="s">
        <v>491</v>
      </c>
      <c r="G1419" t="s">
        <v>29</v>
      </c>
      <c r="H1419" t="s">
        <v>492</v>
      </c>
    </row>
    <row r="1420" spans="1:8" x14ac:dyDescent="0.25">
      <c r="A1420" t="s">
        <v>710</v>
      </c>
      <c r="B1420" t="s">
        <v>493</v>
      </c>
      <c r="C1420" s="5">
        <v>713071</v>
      </c>
      <c r="D1420" s="5">
        <v>25261</v>
      </c>
      <c r="E1420">
        <v>426354</v>
      </c>
      <c r="F1420" s="4" t="s">
        <v>494</v>
      </c>
      <c r="G1420" t="s">
        <v>29</v>
      </c>
      <c r="H1420" t="s">
        <v>495</v>
      </c>
    </row>
    <row r="1421" spans="1:8" x14ac:dyDescent="0.25">
      <c r="A1421" t="s">
        <v>710</v>
      </c>
      <c r="B1421" t="s">
        <v>496</v>
      </c>
      <c r="C1421" s="5">
        <v>1</v>
      </c>
      <c r="D1421" s="5">
        <v>0</v>
      </c>
      <c r="E1421">
        <v>1</v>
      </c>
      <c r="F1421" s="4" t="s">
        <v>29</v>
      </c>
      <c r="G1421" t="s">
        <v>29</v>
      </c>
      <c r="H1421" t="s">
        <v>291</v>
      </c>
    </row>
    <row r="1422" spans="1:8" x14ac:dyDescent="0.25">
      <c r="A1422" t="s">
        <v>710</v>
      </c>
      <c r="B1422" t="s">
        <v>497</v>
      </c>
      <c r="C1422" s="5">
        <v>8178871</v>
      </c>
      <c r="D1422" s="5">
        <v>71724</v>
      </c>
      <c r="E1422">
        <v>6463146</v>
      </c>
      <c r="F1422" s="4" t="s">
        <v>609</v>
      </c>
      <c r="G1422" t="s">
        <v>29</v>
      </c>
      <c r="H1422" t="s">
        <v>610</v>
      </c>
    </row>
    <row r="1423" spans="1:8" x14ac:dyDescent="0.25">
      <c r="A1423" t="s">
        <v>710</v>
      </c>
      <c r="B1423" t="s">
        <v>500</v>
      </c>
      <c r="C1423" s="5">
        <v>58581</v>
      </c>
      <c r="D1423" s="5">
        <v>1753</v>
      </c>
      <c r="E1423">
        <v>5188</v>
      </c>
      <c r="F1423" s="4" t="s">
        <v>501</v>
      </c>
      <c r="G1423" t="s">
        <v>29</v>
      </c>
      <c r="H1423" t="s">
        <v>502</v>
      </c>
    </row>
    <row r="1424" spans="1:8" x14ac:dyDescent="0.25">
      <c r="A1424" t="s">
        <v>710</v>
      </c>
      <c r="B1424" t="s">
        <v>503</v>
      </c>
      <c r="C1424" s="5">
        <v>16437</v>
      </c>
      <c r="D1424" s="5">
        <v>847</v>
      </c>
      <c r="E1424">
        <v>3635</v>
      </c>
      <c r="F1424" s="4" t="s">
        <v>504</v>
      </c>
      <c r="G1424" t="s">
        <v>29</v>
      </c>
      <c r="H1424" t="s">
        <v>505</v>
      </c>
    </row>
    <row r="1425" spans="1:8" x14ac:dyDescent="0.25">
      <c r="A1425" t="s">
        <v>710</v>
      </c>
      <c r="B1425" t="s">
        <v>506</v>
      </c>
      <c r="C1425" s="5">
        <v>26196</v>
      </c>
      <c r="D1425" s="5">
        <v>725</v>
      </c>
      <c r="E1425">
        <v>9761</v>
      </c>
      <c r="F1425" s="4" t="s">
        <v>507</v>
      </c>
      <c r="G1425" t="s">
        <v>29</v>
      </c>
      <c r="H1425" t="s">
        <v>508</v>
      </c>
    </row>
    <row r="1426" spans="1:8" x14ac:dyDescent="0.25">
      <c r="A1426" t="s">
        <v>710</v>
      </c>
      <c r="B1426" t="s">
        <v>509</v>
      </c>
      <c r="C1426" s="5">
        <v>3174223</v>
      </c>
      <c r="D1426" s="5">
        <v>75346</v>
      </c>
      <c r="E1426">
        <v>1721727</v>
      </c>
      <c r="F1426" s="4" t="s">
        <v>636</v>
      </c>
      <c r="G1426" t="s">
        <v>29</v>
      </c>
      <c r="H1426" t="s">
        <v>637</v>
      </c>
    </row>
    <row r="1427" spans="1:8" x14ac:dyDescent="0.25">
      <c r="A1427" t="s">
        <v>710</v>
      </c>
      <c r="B1427" t="s">
        <v>512</v>
      </c>
      <c r="C1427" s="5">
        <v>126407</v>
      </c>
      <c r="D1427" s="5">
        <v>3224</v>
      </c>
      <c r="E1427">
        <v>115798</v>
      </c>
      <c r="F1427" s="4" t="s">
        <v>513</v>
      </c>
      <c r="G1427" t="s">
        <v>29</v>
      </c>
      <c r="H1427" t="s">
        <v>514</v>
      </c>
    </row>
    <row r="1428" spans="1:8" x14ac:dyDescent="0.25">
      <c r="A1428" t="s">
        <v>710</v>
      </c>
      <c r="B1428" t="s">
        <v>515</v>
      </c>
      <c r="C1428" s="5">
        <v>46435397</v>
      </c>
      <c r="D1428" s="5">
        <v>753922</v>
      </c>
      <c r="E1428">
        <v>40262325</v>
      </c>
      <c r="F1428" s="4" t="s">
        <v>516</v>
      </c>
      <c r="G1428" t="s">
        <v>29</v>
      </c>
      <c r="H1428" t="s">
        <v>517</v>
      </c>
    </row>
    <row r="1429" spans="1:8" x14ac:dyDescent="0.25">
      <c r="A1429" t="s">
        <v>710</v>
      </c>
      <c r="B1429" t="s">
        <v>518</v>
      </c>
      <c r="C1429" s="5">
        <v>394914</v>
      </c>
      <c r="D1429" s="5">
        <v>6084</v>
      </c>
      <c r="E1429">
        <v>364800</v>
      </c>
      <c r="F1429" s="4" t="s">
        <v>519</v>
      </c>
      <c r="G1429" t="s">
        <v>29</v>
      </c>
      <c r="H1429" t="s">
        <v>520</v>
      </c>
    </row>
    <row r="1430" spans="1:8" x14ac:dyDescent="0.25">
      <c r="A1430" t="s">
        <v>710</v>
      </c>
      <c r="B1430" t="s">
        <v>521</v>
      </c>
      <c r="C1430" s="5">
        <v>187381</v>
      </c>
      <c r="D1430" s="5">
        <v>1334</v>
      </c>
      <c r="E1430">
        <v>49923</v>
      </c>
      <c r="F1430" s="4" t="s">
        <v>488</v>
      </c>
      <c r="G1430" t="s">
        <v>29</v>
      </c>
      <c r="H1430" t="s">
        <v>489</v>
      </c>
    </row>
    <row r="1431" spans="1:8" x14ac:dyDescent="0.25">
      <c r="A1431" t="s">
        <v>710</v>
      </c>
      <c r="B1431" t="s">
        <v>522</v>
      </c>
      <c r="C1431" s="5">
        <v>27</v>
      </c>
      <c r="D1431" s="5">
        <v>0</v>
      </c>
      <c r="E1431">
        <v>17</v>
      </c>
      <c r="F1431" s="4" t="s">
        <v>29</v>
      </c>
      <c r="G1431" t="s">
        <v>29</v>
      </c>
      <c r="H1431" t="s">
        <v>291</v>
      </c>
    </row>
    <row r="1432" spans="1:8" x14ac:dyDescent="0.25">
      <c r="A1432" t="s">
        <v>710</v>
      </c>
      <c r="B1432" t="s">
        <v>523</v>
      </c>
      <c r="C1432" s="5">
        <v>5092</v>
      </c>
      <c r="D1432" s="5">
        <v>69</v>
      </c>
      <c r="E1432">
        <v>2682</v>
      </c>
      <c r="F1432" s="4" t="s">
        <v>630</v>
      </c>
      <c r="G1432" t="s">
        <v>29</v>
      </c>
      <c r="H1432" t="s">
        <v>631</v>
      </c>
    </row>
    <row r="1433" spans="1:8" x14ac:dyDescent="0.25">
      <c r="A1433" t="s">
        <v>710</v>
      </c>
      <c r="B1433" t="s">
        <v>524</v>
      </c>
      <c r="C1433" s="5">
        <v>411574</v>
      </c>
      <c r="D1433" s="5">
        <v>4946</v>
      </c>
      <c r="E1433">
        <v>57285</v>
      </c>
      <c r="F1433" s="4" t="s">
        <v>525</v>
      </c>
      <c r="G1433" t="s">
        <v>29</v>
      </c>
      <c r="H1433" t="s">
        <v>526</v>
      </c>
    </row>
    <row r="1434" spans="1:8" x14ac:dyDescent="0.25">
      <c r="A1434" t="s">
        <v>710</v>
      </c>
      <c r="B1434" t="s">
        <v>527</v>
      </c>
      <c r="C1434" s="5">
        <v>953547</v>
      </c>
      <c r="D1434" s="5">
        <v>22412</v>
      </c>
      <c r="E1434">
        <v>841895</v>
      </c>
      <c r="F1434" s="4" t="s">
        <v>591</v>
      </c>
      <c r="G1434" t="s">
        <v>29</v>
      </c>
      <c r="H1434" t="s">
        <v>592</v>
      </c>
    </row>
    <row r="1435" spans="1:8" x14ac:dyDescent="0.25">
      <c r="A1435" t="s">
        <v>710</v>
      </c>
      <c r="B1435" t="s">
        <v>530</v>
      </c>
      <c r="C1435" s="5">
        <v>6</v>
      </c>
      <c r="D1435" s="5">
        <v>1</v>
      </c>
      <c r="E1435">
        <v>4</v>
      </c>
      <c r="F1435" s="4" t="s">
        <v>531</v>
      </c>
      <c r="G1435" t="s">
        <v>29</v>
      </c>
      <c r="H1435" t="s">
        <v>532</v>
      </c>
    </row>
    <row r="1436" spans="1:8" x14ac:dyDescent="0.25">
      <c r="A1436" t="s">
        <v>710</v>
      </c>
      <c r="B1436" t="s">
        <v>533</v>
      </c>
      <c r="C1436" s="5">
        <v>3</v>
      </c>
      <c r="D1436" s="5">
        <v>0</v>
      </c>
      <c r="E1436">
        <v>1</v>
      </c>
      <c r="F1436" s="4" t="s">
        <v>29</v>
      </c>
      <c r="G1436" t="s">
        <v>29</v>
      </c>
      <c r="H1436" t="s">
        <v>291</v>
      </c>
    </row>
    <row r="1437" spans="1:8" x14ac:dyDescent="0.25">
      <c r="A1437" t="s">
        <v>710</v>
      </c>
      <c r="B1437" t="s">
        <v>534</v>
      </c>
      <c r="C1437" s="5">
        <v>160837</v>
      </c>
      <c r="D1437" s="5">
        <v>2978</v>
      </c>
      <c r="E1437">
        <v>134718</v>
      </c>
      <c r="F1437" s="4" t="s">
        <v>535</v>
      </c>
      <c r="G1437" t="s">
        <v>29</v>
      </c>
      <c r="H1437" t="s">
        <v>536</v>
      </c>
    </row>
    <row r="1438" spans="1:8" x14ac:dyDescent="0.25">
      <c r="A1438" t="s">
        <v>710</v>
      </c>
      <c r="B1438" t="s">
        <v>537</v>
      </c>
      <c r="C1438" s="5">
        <v>9843</v>
      </c>
      <c r="D1438" s="5">
        <v>1905</v>
      </c>
      <c r="E1438">
        <v>2592</v>
      </c>
      <c r="F1438" s="4" t="s">
        <v>737</v>
      </c>
      <c r="G1438" t="s">
        <v>29</v>
      </c>
      <c r="H1438" t="s">
        <v>738</v>
      </c>
    </row>
    <row r="1439" spans="1:8" x14ac:dyDescent="0.25">
      <c r="A1439" t="s">
        <v>710</v>
      </c>
      <c r="B1439" t="s">
        <v>540</v>
      </c>
      <c r="C1439" s="5">
        <v>20651</v>
      </c>
      <c r="D1439" s="5">
        <v>185</v>
      </c>
      <c r="E1439">
        <v>14553</v>
      </c>
      <c r="F1439" s="4" t="s">
        <v>667</v>
      </c>
      <c r="G1439" t="s">
        <v>29</v>
      </c>
      <c r="H1439" t="s">
        <v>668</v>
      </c>
    </row>
    <row r="1440" spans="1:8" x14ac:dyDescent="0.25">
      <c r="A1440" t="s">
        <v>710</v>
      </c>
      <c r="B1440" t="s">
        <v>541</v>
      </c>
      <c r="C1440" s="5">
        <v>2923393</v>
      </c>
      <c r="D1440" s="5">
        <v>89295</v>
      </c>
      <c r="E1440">
        <v>1070382</v>
      </c>
      <c r="F1440" s="4" t="s">
        <v>698</v>
      </c>
      <c r="G1440" t="s">
        <v>29</v>
      </c>
      <c r="H1440" t="s">
        <v>699</v>
      </c>
    </row>
    <row r="1441" spans="1:8" x14ac:dyDescent="0.25">
      <c r="A1441" t="s">
        <v>710</v>
      </c>
      <c r="B1441" t="s">
        <v>544</v>
      </c>
      <c r="C1441" s="5">
        <v>209852</v>
      </c>
      <c r="D1441" s="5">
        <v>3662</v>
      </c>
      <c r="E1441">
        <v>114908</v>
      </c>
      <c r="F1441" s="4" t="s">
        <v>545</v>
      </c>
      <c r="G1441" t="s">
        <v>29</v>
      </c>
      <c r="H1441" t="s">
        <v>546</v>
      </c>
    </row>
    <row r="1442" spans="1:8" x14ac:dyDescent="0.25">
      <c r="A1442" t="s">
        <v>710</v>
      </c>
      <c r="B1442" t="s">
        <v>547</v>
      </c>
      <c r="C1442" s="5">
        <v>133112</v>
      </c>
      <c r="D1442" s="5">
        <v>4685</v>
      </c>
      <c r="E1442">
        <v>58314</v>
      </c>
      <c r="F1442" s="4" t="s">
        <v>353</v>
      </c>
      <c r="G1442" t="s">
        <v>29</v>
      </c>
      <c r="H1442" t="s">
        <v>354</v>
      </c>
    </row>
    <row r="1443" spans="1:8" x14ac:dyDescent="0.25">
      <c r="A1443" t="s">
        <v>710</v>
      </c>
      <c r="B1443" t="s">
        <v>548</v>
      </c>
      <c r="C1443" s="5">
        <v>721</v>
      </c>
      <c r="D1443" s="5">
        <v>15</v>
      </c>
      <c r="E1443">
        <v>1</v>
      </c>
      <c r="F1443" s="4" t="s">
        <v>549</v>
      </c>
      <c r="G1443" t="s">
        <v>29</v>
      </c>
      <c r="H1443" t="s">
        <v>550</v>
      </c>
    </row>
    <row r="1444" spans="1:8" x14ac:dyDescent="0.25">
      <c r="A1444" t="s">
        <v>739</v>
      </c>
      <c r="B1444" t="s">
        <v>548</v>
      </c>
      <c r="C1444" s="5">
        <v>721</v>
      </c>
      <c r="D1444" s="5">
        <v>15</v>
      </c>
      <c r="E1444">
        <v>341</v>
      </c>
      <c r="F1444" s="4" t="s">
        <v>549</v>
      </c>
      <c r="G1444" t="s">
        <v>29</v>
      </c>
      <c r="H1444" t="s">
        <v>550</v>
      </c>
    </row>
    <row r="1445" spans="1:8" x14ac:dyDescent="0.25">
      <c r="A1445" t="s">
        <v>739</v>
      </c>
      <c r="B1445" t="s">
        <v>547</v>
      </c>
      <c r="C1445" s="5">
        <v>133112</v>
      </c>
      <c r="D1445" s="5">
        <v>4685</v>
      </c>
      <c r="E1445">
        <v>75268</v>
      </c>
      <c r="F1445" s="4" t="s">
        <v>353</v>
      </c>
      <c r="G1445" t="s">
        <v>29</v>
      </c>
      <c r="H1445" t="s">
        <v>354</v>
      </c>
    </row>
    <row r="1446" spans="1:8" x14ac:dyDescent="0.25">
      <c r="A1446" t="s">
        <v>739</v>
      </c>
      <c r="B1446" t="s">
        <v>544</v>
      </c>
      <c r="C1446" s="5">
        <v>209815</v>
      </c>
      <c r="D1446" s="5">
        <v>3662</v>
      </c>
      <c r="E1446">
        <v>201774</v>
      </c>
      <c r="F1446" s="4" t="s">
        <v>545</v>
      </c>
      <c r="G1446" t="s">
        <v>29</v>
      </c>
      <c r="H1446" t="s">
        <v>546</v>
      </c>
    </row>
    <row r="1447" spans="1:8" x14ac:dyDescent="0.25">
      <c r="A1447" t="s">
        <v>739</v>
      </c>
      <c r="B1447" t="s">
        <v>541</v>
      </c>
      <c r="C1447" s="5">
        <v>2923054</v>
      </c>
      <c r="D1447" s="5">
        <v>89251</v>
      </c>
      <c r="E1447">
        <v>2115081</v>
      </c>
      <c r="F1447" s="4" t="s">
        <v>698</v>
      </c>
      <c r="G1447" t="s">
        <v>29</v>
      </c>
      <c r="H1447" t="s">
        <v>699</v>
      </c>
    </row>
    <row r="1448" spans="1:8" x14ac:dyDescent="0.25">
      <c r="A1448" t="s">
        <v>739</v>
      </c>
      <c r="B1448" t="s">
        <v>540</v>
      </c>
      <c r="C1448" s="5">
        <v>20612</v>
      </c>
      <c r="D1448" s="5">
        <v>185</v>
      </c>
      <c r="E1448">
        <v>10336</v>
      </c>
      <c r="F1448" s="4" t="s">
        <v>667</v>
      </c>
      <c r="G1448" t="s">
        <v>29</v>
      </c>
      <c r="H1448" t="s">
        <v>668</v>
      </c>
    </row>
    <row r="1449" spans="1:8" x14ac:dyDescent="0.25">
      <c r="A1449" t="s">
        <v>739</v>
      </c>
      <c r="B1449" t="s">
        <v>537</v>
      </c>
      <c r="C1449" s="5">
        <v>9831</v>
      </c>
      <c r="D1449" s="5">
        <v>1901</v>
      </c>
      <c r="E1449">
        <v>7814</v>
      </c>
      <c r="F1449" s="4" t="s">
        <v>695</v>
      </c>
      <c r="G1449" t="s">
        <v>29</v>
      </c>
      <c r="H1449" t="s">
        <v>696</v>
      </c>
    </row>
    <row r="1450" spans="1:8" x14ac:dyDescent="0.25">
      <c r="A1450" t="s">
        <v>739</v>
      </c>
      <c r="B1450" t="s">
        <v>534</v>
      </c>
      <c r="C1450" s="5">
        <v>160823</v>
      </c>
      <c r="D1450" s="5">
        <v>2978</v>
      </c>
      <c r="E1450">
        <v>116826</v>
      </c>
      <c r="F1450" s="4" t="s">
        <v>535</v>
      </c>
      <c r="G1450" t="s">
        <v>29</v>
      </c>
      <c r="H1450" t="s">
        <v>536</v>
      </c>
    </row>
    <row r="1451" spans="1:8" x14ac:dyDescent="0.25">
      <c r="A1451" t="s">
        <v>739</v>
      </c>
      <c r="B1451" t="s">
        <v>533</v>
      </c>
      <c r="C1451" s="5">
        <v>3</v>
      </c>
      <c r="D1451" s="5">
        <v>0</v>
      </c>
      <c r="E1451">
        <v>0</v>
      </c>
      <c r="F1451" s="4" t="s">
        <v>29</v>
      </c>
      <c r="G1451" t="s">
        <v>29</v>
      </c>
      <c r="H1451" t="s">
        <v>291</v>
      </c>
    </row>
    <row r="1452" spans="1:8" x14ac:dyDescent="0.25">
      <c r="A1452" t="s">
        <v>739</v>
      </c>
      <c r="B1452" t="s">
        <v>530</v>
      </c>
      <c r="C1452" s="5">
        <v>6</v>
      </c>
      <c r="D1452" s="5">
        <v>1</v>
      </c>
      <c r="E1452">
        <v>3</v>
      </c>
      <c r="F1452" s="4" t="s">
        <v>531</v>
      </c>
      <c r="G1452" t="s">
        <v>29</v>
      </c>
      <c r="H1452" t="s">
        <v>532</v>
      </c>
    </row>
    <row r="1453" spans="1:8" x14ac:dyDescent="0.25">
      <c r="A1453" t="s">
        <v>739</v>
      </c>
      <c r="B1453" t="s">
        <v>527</v>
      </c>
      <c r="C1453" s="5">
        <v>946043</v>
      </c>
      <c r="D1453" s="5">
        <v>22342</v>
      </c>
      <c r="E1453">
        <v>359824</v>
      </c>
      <c r="F1453" s="4" t="s">
        <v>339</v>
      </c>
      <c r="G1453" t="s">
        <v>29</v>
      </c>
      <c r="H1453" t="s">
        <v>340</v>
      </c>
    </row>
    <row r="1454" spans="1:8" x14ac:dyDescent="0.25">
      <c r="A1454" t="s">
        <v>739</v>
      </c>
      <c r="B1454" t="s">
        <v>524</v>
      </c>
      <c r="C1454" s="5">
        <v>410648</v>
      </c>
      <c r="D1454" s="5">
        <v>4936</v>
      </c>
      <c r="E1454">
        <v>188012</v>
      </c>
      <c r="F1454" s="4" t="s">
        <v>525</v>
      </c>
      <c r="G1454" t="s">
        <v>29</v>
      </c>
      <c r="H1454" t="s">
        <v>526</v>
      </c>
    </row>
    <row r="1455" spans="1:8" x14ac:dyDescent="0.25">
      <c r="A1455" t="s">
        <v>739</v>
      </c>
      <c r="B1455" t="s">
        <v>523</v>
      </c>
      <c r="C1455" s="5">
        <v>5073</v>
      </c>
      <c r="D1455" s="5">
        <v>69</v>
      </c>
      <c r="E1455">
        <v>1429</v>
      </c>
      <c r="F1455" s="4" t="s">
        <v>630</v>
      </c>
      <c r="G1455" t="s">
        <v>29</v>
      </c>
      <c r="H1455" t="s">
        <v>631</v>
      </c>
    </row>
    <row r="1456" spans="1:8" x14ac:dyDescent="0.25">
      <c r="A1456" t="s">
        <v>739</v>
      </c>
      <c r="B1456" t="s">
        <v>522</v>
      </c>
      <c r="C1456" s="5">
        <v>27</v>
      </c>
      <c r="D1456" s="5">
        <v>0</v>
      </c>
      <c r="E1456">
        <v>25</v>
      </c>
      <c r="F1456" s="4" t="s">
        <v>29</v>
      </c>
      <c r="G1456" t="s">
        <v>29</v>
      </c>
      <c r="H1456" t="s">
        <v>291</v>
      </c>
    </row>
    <row r="1457" spans="1:8" x14ac:dyDescent="0.25">
      <c r="A1457" t="s">
        <v>739</v>
      </c>
      <c r="B1457" t="s">
        <v>521</v>
      </c>
      <c r="C1457" s="5">
        <v>187085</v>
      </c>
      <c r="D1457" s="5">
        <v>1332</v>
      </c>
      <c r="E1457">
        <v>60487</v>
      </c>
      <c r="F1457" s="4" t="s">
        <v>488</v>
      </c>
      <c r="G1457" t="s">
        <v>29</v>
      </c>
      <c r="H1457" t="s">
        <v>489</v>
      </c>
    </row>
    <row r="1458" spans="1:8" x14ac:dyDescent="0.25">
      <c r="A1458" t="s">
        <v>739</v>
      </c>
      <c r="B1458" t="s">
        <v>518</v>
      </c>
      <c r="C1458" s="5">
        <v>394679</v>
      </c>
      <c r="D1458" s="5">
        <v>6082</v>
      </c>
      <c r="E1458">
        <v>174229</v>
      </c>
      <c r="F1458" s="4" t="s">
        <v>519</v>
      </c>
      <c r="G1458" t="s">
        <v>29</v>
      </c>
      <c r="H1458" t="s">
        <v>520</v>
      </c>
    </row>
    <row r="1459" spans="1:8" x14ac:dyDescent="0.25">
      <c r="A1459" t="s">
        <v>739</v>
      </c>
      <c r="B1459" t="s">
        <v>515</v>
      </c>
      <c r="C1459" s="5">
        <v>46338732</v>
      </c>
      <c r="D1459" s="5">
        <v>751855</v>
      </c>
      <c r="E1459">
        <v>24883389</v>
      </c>
      <c r="F1459" s="4" t="s">
        <v>516</v>
      </c>
      <c r="G1459" t="s">
        <v>29</v>
      </c>
      <c r="H1459" t="s">
        <v>517</v>
      </c>
    </row>
    <row r="1460" spans="1:8" x14ac:dyDescent="0.25">
      <c r="A1460" t="s">
        <v>739</v>
      </c>
      <c r="B1460" t="s">
        <v>512</v>
      </c>
      <c r="C1460" s="5">
        <v>126348</v>
      </c>
      <c r="D1460" s="5">
        <v>3222</v>
      </c>
      <c r="E1460">
        <v>72021</v>
      </c>
      <c r="F1460" s="4" t="s">
        <v>513</v>
      </c>
      <c r="G1460" t="s">
        <v>29</v>
      </c>
      <c r="H1460" t="s">
        <v>514</v>
      </c>
    </row>
    <row r="1461" spans="1:8" x14ac:dyDescent="0.25">
      <c r="A1461" t="s">
        <v>739</v>
      </c>
      <c r="B1461" t="s">
        <v>509</v>
      </c>
      <c r="C1461" s="5">
        <v>3146617</v>
      </c>
      <c r="D1461" s="5">
        <v>74617</v>
      </c>
      <c r="E1461">
        <v>1543691</v>
      </c>
      <c r="F1461" s="4" t="s">
        <v>636</v>
      </c>
      <c r="G1461" t="s">
        <v>29</v>
      </c>
      <c r="H1461" t="s">
        <v>637</v>
      </c>
    </row>
    <row r="1462" spans="1:8" x14ac:dyDescent="0.25">
      <c r="A1462" t="s">
        <v>739</v>
      </c>
      <c r="B1462" t="s">
        <v>506</v>
      </c>
      <c r="C1462" s="5">
        <v>26196</v>
      </c>
      <c r="D1462" s="5">
        <v>725</v>
      </c>
      <c r="E1462">
        <v>20794</v>
      </c>
      <c r="F1462" s="4" t="s">
        <v>507</v>
      </c>
      <c r="G1462" t="s">
        <v>29</v>
      </c>
      <c r="H1462" t="s">
        <v>508</v>
      </c>
    </row>
    <row r="1463" spans="1:8" x14ac:dyDescent="0.25">
      <c r="A1463" t="s">
        <v>739</v>
      </c>
      <c r="B1463" t="s">
        <v>503</v>
      </c>
      <c r="C1463" s="5">
        <v>16430</v>
      </c>
      <c r="D1463" s="5">
        <v>847</v>
      </c>
      <c r="E1463">
        <v>8786</v>
      </c>
      <c r="F1463" s="4" t="s">
        <v>740</v>
      </c>
      <c r="G1463" t="s">
        <v>29</v>
      </c>
      <c r="H1463" t="s">
        <v>741</v>
      </c>
    </row>
    <row r="1464" spans="1:8" x14ac:dyDescent="0.25">
      <c r="A1464" t="s">
        <v>739</v>
      </c>
      <c r="B1464" t="s">
        <v>500</v>
      </c>
      <c r="C1464" s="5">
        <v>58441</v>
      </c>
      <c r="D1464" s="5">
        <v>1739</v>
      </c>
      <c r="E1464">
        <v>52512</v>
      </c>
      <c r="F1464" s="4" t="s">
        <v>634</v>
      </c>
      <c r="G1464" t="s">
        <v>29</v>
      </c>
      <c r="H1464" t="s">
        <v>635</v>
      </c>
    </row>
    <row r="1465" spans="1:8" x14ac:dyDescent="0.25">
      <c r="A1465" t="s">
        <v>739</v>
      </c>
      <c r="B1465" t="s">
        <v>497</v>
      </c>
      <c r="C1465" s="5">
        <v>8150678</v>
      </c>
      <c r="D1465" s="5">
        <v>71526</v>
      </c>
      <c r="E1465">
        <v>4263750</v>
      </c>
      <c r="F1465" s="4" t="s">
        <v>609</v>
      </c>
      <c r="G1465" t="s">
        <v>29</v>
      </c>
      <c r="H1465" t="s">
        <v>610</v>
      </c>
    </row>
    <row r="1466" spans="1:8" x14ac:dyDescent="0.25">
      <c r="A1466" t="s">
        <v>739</v>
      </c>
      <c r="B1466" t="s">
        <v>496</v>
      </c>
      <c r="C1466" s="5">
        <v>1</v>
      </c>
      <c r="D1466" s="5">
        <v>0</v>
      </c>
      <c r="E1466">
        <v>0</v>
      </c>
      <c r="F1466" s="4" t="s">
        <v>29</v>
      </c>
      <c r="G1466" t="s">
        <v>29</v>
      </c>
      <c r="H1466" t="s">
        <v>291</v>
      </c>
    </row>
    <row r="1467" spans="1:8" x14ac:dyDescent="0.25">
      <c r="A1467" t="s">
        <v>739</v>
      </c>
      <c r="B1467" t="s">
        <v>493</v>
      </c>
      <c r="C1467" s="5">
        <v>713071</v>
      </c>
      <c r="D1467" s="5">
        <v>25261</v>
      </c>
      <c r="E1467">
        <v>161251</v>
      </c>
      <c r="F1467" s="4" t="s">
        <v>494</v>
      </c>
      <c r="G1467" t="s">
        <v>29</v>
      </c>
      <c r="H1467" t="s">
        <v>495</v>
      </c>
    </row>
    <row r="1468" spans="1:8" x14ac:dyDescent="0.25">
      <c r="A1468" t="s">
        <v>739</v>
      </c>
      <c r="B1468" t="s">
        <v>490</v>
      </c>
      <c r="C1468" s="5">
        <v>19794</v>
      </c>
      <c r="D1468" s="5">
        <v>122</v>
      </c>
      <c r="E1468">
        <v>1455</v>
      </c>
      <c r="F1468" s="4" t="s">
        <v>491</v>
      </c>
      <c r="G1468" t="s">
        <v>29</v>
      </c>
      <c r="H1468" t="s">
        <v>492</v>
      </c>
    </row>
    <row r="1469" spans="1:8" x14ac:dyDescent="0.25">
      <c r="A1469" t="s">
        <v>739</v>
      </c>
      <c r="B1469" t="s">
        <v>487</v>
      </c>
      <c r="C1469" s="5">
        <v>17486</v>
      </c>
      <c r="D1469" s="5">
        <v>125</v>
      </c>
      <c r="E1469">
        <v>4549</v>
      </c>
      <c r="F1469" s="4" t="s">
        <v>488</v>
      </c>
      <c r="G1469" t="s">
        <v>29</v>
      </c>
      <c r="H1469" t="s">
        <v>489</v>
      </c>
    </row>
    <row r="1470" spans="1:8" x14ac:dyDescent="0.25">
      <c r="A1470" t="s">
        <v>739</v>
      </c>
      <c r="B1470" t="s">
        <v>486</v>
      </c>
      <c r="C1470" s="5">
        <v>1951572</v>
      </c>
      <c r="D1470" s="5">
        <v>19542</v>
      </c>
      <c r="E1470">
        <v>892794</v>
      </c>
      <c r="F1470" s="4" t="s">
        <v>56</v>
      </c>
      <c r="G1470" t="s">
        <v>29</v>
      </c>
      <c r="H1470" t="s">
        <v>57</v>
      </c>
    </row>
    <row r="1471" spans="1:8" x14ac:dyDescent="0.25">
      <c r="A1471" t="s">
        <v>739</v>
      </c>
      <c r="B1471" t="s">
        <v>483</v>
      </c>
      <c r="C1471" s="5">
        <v>26102</v>
      </c>
      <c r="D1471" s="5">
        <v>243</v>
      </c>
      <c r="E1471">
        <v>24107</v>
      </c>
      <c r="F1471" s="4" t="s">
        <v>484</v>
      </c>
      <c r="G1471" t="s">
        <v>29</v>
      </c>
      <c r="H1471" t="s">
        <v>485</v>
      </c>
    </row>
    <row r="1472" spans="1:8" x14ac:dyDescent="0.25">
      <c r="A1472" t="s">
        <v>739</v>
      </c>
      <c r="B1472" t="s">
        <v>482</v>
      </c>
      <c r="C1472" s="5">
        <v>5107</v>
      </c>
      <c r="D1472" s="5">
        <v>175</v>
      </c>
      <c r="E1472">
        <v>4924</v>
      </c>
      <c r="F1472" s="4" t="s">
        <v>252</v>
      </c>
      <c r="G1472" t="s">
        <v>29</v>
      </c>
      <c r="H1472" t="s">
        <v>253</v>
      </c>
    </row>
    <row r="1473" spans="1:8" x14ac:dyDescent="0.25">
      <c r="A1473" t="s">
        <v>739</v>
      </c>
      <c r="B1473" t="s">
        <v>479</v>
      </c>
      <c r="C1473" s="5">
        <v>46454</v>
      </c>
      <c r="D1473" s="5">
        <v>1243</v>
      </c>
      <c r="E1473">
        <v>44077</v>
      </c>
      <c r="F1473" s="4" t="s">
        <v>480</v>
      </c>
      <c r="G1473" t="s">
        <v>29</v>
      </c>
      <c r="H1473" t="s">
        <v>481</v>
      </c>
    </row>
    <row r="1474" spans="1:8" x14ac:dyDescent="0.25">
      <c r="A1474" t="s">
        <v>739</v>
      </c>
      <c r="B1474" t="s">
        <v>476</v>
      </c>
      <c r="C1474" s="5">
        <v>44191</v>
      </c>
      <c r="D1474" s="5">
        <v>2593</v>
      </c>
      <c r="E1474">
        <v>30050</v>
      </c>
      <c r="F1474" s="4" t="s">
        <v>693</v>
      </c>
      <c r="G1474" t="s">
        <v>29</v>
      </c>
      <c r="H1474" t="s">
        <v>694</v>
      </c>
    </row>
    <row r="1475" spans="1:8" x14ac:dyDescent="0.25">
      <c r="A1475" t="s">
        <v>739</v>
      </c>
      <c r="B1475" t="s">
        <v>473</v>
      </c>
      <c r="C1475" s="5">
        <v>113422</v>
      </c>
      <c r="D1475" s="5">
        <v>3664</v>
      </c>
      <c r="E1475">
        <v>2000</v>
      </c>
      <c r="F1475" s="4" t="s">
        <v>742</v>
      </c>
      <c r="G1475" t="s">
        <v>29</v>
      </c>
      <c r="H1475" t="s">
        <v>743</v>
      </c>
    </row>
    <row r="1476" spans="1:8" x14ac:dyDescent="0.25">
      <c r="A1476" t="s">
        <v>739</v>
      </c>
      <c r="B1476" t="s">
        <v>472</v>
      </c>
      <c r="C1476" s="5">
        <v>3718</v>
      </c>
      <c r="D1476" s="5">
        <v>56</v>
      </c>
      <c r="E1476">
        <v>2131</v>
      </c>
      <c r="F1476" s="4" t="s">
        <v>202</v>
      </c>
      <c r="G1476" t="s">
        <v>29</v>
      </c>
      <c r="H1476" t="s">
        <v>203</v>
      </c>
    </row>
    <row r="1477" spans="1:8" x14ac:dyDescent="0.25">
      <c r="A1477" t="s">
        <v>739</v>
      </c>
      <c r="B1477" t="s">
        <v>471</v>
      </c>
      <c r="C1477" s="5">
        <v>12448</v>
      </c>
      <c r="D1477" s="5">
        <v>133</v>
      </c>
      <c r="E1477">
        <v>7877</v>
      </c>
      <c r="F1477" s="4" t="s">
        <v>654</v>
      </c>
      <c r="G1477" t="s">
        <v>29</v>
      </c>
      <c r="H1477" t="s">
        <v>655</v>
      </c>
    </row>
    <row r="1478" spans="1:8" x14ac:dyDescent="0.25">
      <c r="A1478" t="s">
        <v>739</v>
      </c>
      <c r="B1478" t="s">
        <v>468</v>
      </c>
      <c r="C1478" s="5">
        <v>49362</v>
      </c>
      <c r="D1478" s="5">
        <v>1101</v>
      </c>
      <c r="E1478">
        <v>15680</v>
      </c>
      <c r="F1478" s="4" t="s">
        <v>421</v>
      </c>
      <c r="G1478" t="s">
        <v>29</v>
      </c>
      <c r="H1478" t="s">
        <v>422</v>
      </c>
    </row>
    <row r="1479" spans="1:8" x14ac:dyDescent="0.25">
      <c r="A1479" t="s">
        <v>739</v>
      </c>
      <c r="B1479" t="s">
        <v>465</v>
      </c>
      <c r="C1479" s="5">
        <v>21998</v>
      </c>
      <c r="D1479" s="5">
        <v>1208</v>
      </c>
      <c r="E1479">
        <v>18368</v>
      </c>
      <c r="F1479" s="4" t="s">
        <v>744</v>
      </c>
      <c r="G1479" t="s">
        <v>29</v>
      </c>
      <c r="H1479" t="s">
        <v>745</v>
      </c>
    </row>
    <row r="1480" spans="1:8" x14ac:dyDescent="0.25">
      <c r="A1480" t="s">
        <v>739</v>
      </c>
      <c r="B1480" t="s">
        <v>464</v>
      </c>
      <c r="C1480" s="5">
        <v>73931</v>
      </c>
      <c r="D1480" s="5">
        <v>1879</v>
      </c>
      <c r="E1480">
        <v>16162</v>
      </c>
      <c r="F1480" s="4" t="s">
        <v>141</v>
      </c>
      <c r="G1480" t="s">
        <v>29</v>
      </c>
      <c r="H1480" t="s">
        <v>142</v>
      </c>
    </row>
    <row r="1481" spans="1:8" x14ac:dyDescent="0.25">
      <c r="A1481" t="s">
        <v>739</v>
      </c>
      <c r="B1481" t="s">
        <v>463</v>
      </c>
      <c r="C1481" s="5">
        <v>5582</v>
      </c>
      <c r="D1481" s="5">
        <v>92</v>
      </c>
      <c r="E1481">
        <v>5320</v>
      </c>
      <c r="F1481" s="4" t="s">
        <v>691</v>
      </c>
      <c r="G1481" t="s">
        <v>29</v>
      </c>
      <c r="H1481" t="s">
        <v>692</v>
      </c>
    </row>
    <row r="1482" spans="1:8" x14ac:dyDescent="0.25">
      <c r="A1482" t="s">
        <v>739</v>
      </c>
      <c r="B1482" t="s">
        <v>460</v>
      </c>
      <c r="C1482" s="5">
        <v>6398</v>
      </c>
      <c r="D1482" s="5">
        <v>121</v>
      </c>
      <c r="E1482">
        <v>1614</v>
      </c>
      <c r="F1482" s="4" t="s">
        <v>461</v>
      </c>
      <c r="G1482" t="s">
        <v>29</v>
      </c>
      <c r="H1482" t="s">
        <v>462</v>
      </c>
    </row>
    <row r="1483" spans="1:8" x14ac:dyDescent="0.25">
      <c r="A1483" t="s">
        <v>739</v>
      </c>
      <c r="B1483" t="s">
        <v>457</v>
      </c>
      <c r="C1483" s="5">
        <v>499990</v>
      </c>
      <c r="D1483" s="5">
        <v>13146</v>
      </c>
      <c r="E1483">
        <v>232211</v>
      </c>
      <c r="F1483" s="4" t="s">
        <v>746</v>
      </c>
      <c r="G1483" t="s">
        <v>29</v>
      </c>
      <c r="H1483" t="s">
        <v>747</v>
      </c>
    </row>
    <row r="1484" spans="1:8" x14ac:dyDescent="0.25">
      <c r="A1484" t="s">
        <v>739</v>
      </c>
      <c r="B1484" t="s">
        <v>456</v>
      </c>
      <c r="C1484" s="5">
        <v>346220</v>
      </c>
      <c r="D1484" s="5">
        <v>4793</v>
      </c>
      <c r="E1484">
        <v>18209</v>
      </c>
      <c r="F1484" s="4" t="s">
        <v>158</v>
      </c>
      <c r="G1484" t="s">
        <v>29</v>
      </c>
      <c r="H1484" t="s">
        <v>159</v>
      </c>
    </row>
    <row r="1485" spans="1:8" x14ac:dyDescent="0.25">
      <c r="A1485" t="s">
        <v>739</v>
      </c>
      <c r="B1485" t="s">
        <v>453</v>
      </c>
      <c r="C1485" s="5">
        <v>210978</v>
      </c>
      <c r="D1485" s="5">
        <v>459</v>
      </c>
      <c r="E1485">
        <v>206454</v>
      </c>
      <c r="F1485" s="4" t="s">
        <v>193</v>
      </c>
      <c r="G1485" t="s">
        <v>29</v>
      </c>
      <c r="H1485" t="s">
        <v>194</v>
      </c>
    </row>
    <row r="1486" spans="1:8" x14ac:dyDescent="0.25">
      <c r="A1486" t="s">
        <v>739</v>
      </c>
      <c r="B1486" t="s">
        <v>452</v>
      </c>
      <c r="C1486" s="5">
        <v>1176269</v>
      </c>
      <c r="D1486" s="5">
        <v>15050</v>
      </c>
      <c r="E1486">
        <v>689686</v>
      </c>
      <c r="F1486" s="4" t="s">
        <v>381</v>
      </c>
      <c r="G1486" t="s">
        <v>29</v>
      </c>
      <c r="H1486" t="s">
        <v>382</v>
      </c>
    </row>
    <row r="1487" spans="1:8" x14ac:dyDescent="0.25">
      <c r="A1487" t="s">
        <v>739</v>
      </c>
      <c r="B1487" t="s">
        <v>449</v>
      </c>
      <c r="C1487" s="5">
        <v>40433</v>
      </c>
      <c r="D1487" s="5">
        <v>3099</v>
      </c>
      <c r="E1487">
        <v>36660</v>
      </c>
      <c r="F1487" s="4" t="s">
        <v>632</v>
      </c>
      <c r="G1487" t="s">
        <v>29</v>
      </c>
      <c r="H1487" t="s">
        <v>633</v>
      </c>
    </row>
    <row r="1488" spans="1:8" x14ac:dyDescent="0.25">
      <c r="A1488" t="s">
        <v>739</v>
      </c>
      <c r="B1488" t="s">
        <v>446</v>
      </c>
      <c r="C1488" s="5">
        <v>22336</v>
      </c>
      <c r="D1488" s="5">
        <v>119</v>
      </c>
      <c r="E1488">
        <v>10154</v>
      </c>
      <c r="F1488" s="4" t="s">
        <v>447</v>
      </c>
      <c r="G1488" t="s">
        <v>29</v>
      </c>
      <c r="H1488" t="s">
        <v>448</v>
      </c>
    </row>
    <row r="1489" spans="1:8" x14ac:dyDescent="0.25">
      <c r="A1489" t="s">
        <v>739</v>
      </c>
      <c r="B1489" t="s">
        <v>445</v>
      </c>
      <c r="C1489" s="5">
        <v>20</v>
      </c>
      <c r="D1489" s="5">
        <v>0</v>
      </c>
      <c r="E1489">
        <v>17</v>
      </c>
      <c r="F1489" s="4" t="s">
        <v>29</v>
      </c>
      <c r="G1489" t="s">
        <v>29</v>
      </c>
      <c r="H1489" t="s">
        <v>291</v>
      </c>
    </row>
    <row r="1490" spans="1:8" x14ac:dyDescent="0.25">
      <c r="A1490" t="s">
        <v>739</v>
      </c>
      <c r="B1490" t="s">
        <v>444</v>
      </c>
      <c r="C1490" s="5">
        <v>548805</v>
      </c>
      <c r="D1490" s="5">
        <v>8800</v>
      </c>
      <c r="E1490">
        <v>176390</v>
      </c>
      <c r="F1490" s="4" t="s">
        <v>313</v>
      </c>
      <c r="G1490" t="s">
        <v>29</v>
      </c>
      <c r="H1490" t="s">
        <v>314</v>
      </c>
    </row>
    <row r="1491" spans="1:8" x14ac:dyDescent="0.25">
      <c r="A1491" t="s">
        <v>739</v>
      </c>
      <c r="B1491" t="s">
        <v>443</v>
      </c>
      <c r="C1491" s="5">
        <v>99854</v>
      </c>
      <c r="D1491" s="5">
        <v>1332</v>
      </c>
      <c r="E1491">
        <v>16328</v>
      </c>
      <c r="F1491" s="4" t="s">
        <v>59</v>
      </c>
      <c r="G1491" t="s">
        <v>29</v>
      </c>
      <c r="H1491" t="s">
        <v>60</v>
      </c>
    </row>
    <row r="1492" spans="1:8" x14ac:dyDescent="0.25">
      <c r="A1492" t="s">
        <v>739</v>
      </c>
      <c r="B1492" t="s">
        <v>440</v>
      </c>
      <c r="C1492" s="5">
        <v>8533706</v>
      </c>
      <c r="D1492" s="5">
        <v>238784</v>
      </c>
      <c r="E1492">
        <v>3118101</v>
      </c>
      <c r="F1492" s="4" t="s">
        <v>441</v>
      </c>
      <c r="G1492" t="s">
        <v>29</v>
      </c>
      <c r="H1492" t="s">
        <v>442</v>
      </c>
    </row>
    <row r="1493" spans="1:8" x14ac:dyDescent="0.25">
      <c r="A1493" t="s">
        <v>739</v>
      </c>
      <c r="B1493" t="s">
        <v>439</v>
      </c>
      <c r="C1493" s="5">
        <v>1168608</v>
      </c>
      <c r="D1493" s="5">
        <v>10203</v>
      </c>
      <c r="E1493">
        <v>958869</v>
      </c>
      <c r="F1493" s="4" t="s">
        <v>498</v>
      </c>
      <c r="G1493" t="s">
        <v>29</v>
      </c>
      <c r="H1493" t="s">
        <v>499</v>
      </c>
    </row>
    <row r="1494" spans="1:8" x14ac:dyDescent="0.25">
      <c r="A1494" t="s">
        <v>739</v>
      </c>
      <c r="B1494" t="s">
        <v>436</v>
      </c>
      <c r="C1494" s="5">
        <v>1685264</v>
      </c>
      <c r="D1494" s="5">
        <v>49604</v>
      </c>
      <c r="E1494">
        <v>969398</v>
      </c>
      <c r="F1494" s="4" t="s">
        <v>748</v>
      </c>
      <c r="G1494" t="s">
        <v>29</v>
      </c>
      <c r="H1494" t="s">
        <v>749</v>
      </c>
    </row>
    <row r="1495" spans="1:8" x14ac:dyDescent="0.25">
      <c r="A1495" t="s">
        <v>739</v>
      </c>
      <c r="B1495" t="s">
        <v>435</v>
      </c>
      <c r="C1495" s="5">
        <v>55125</v>
      </c>
      <c r="D1495" s="5">
        <v>376</v>
      </c>
      <c r="E1495">
        <v>47542</v>
      </c>
      <c r="F1495" s="4" t="s">
        <v>605</v>
      </c>
      <c r="G1495" t="s">
        <v>29</v>
      </c>
      <c r="H1495" t="s">
        <v>606</v>
      </c>
    </row>
    <row r="1496" spans="1:8" x14ac:dyDescent="0.25">
      <c r="A1496" t="s">
        <v>739</v>
      </c>
      <c r="B1496" t="s">
        <v>432</v>
      </c>
      <c r="C1496" s="5">
        <v>239752</v>
      </c>
      <c r="D1496" s="5">
        <v>611</v>
      </c>
      <c r="E1496">
        <v>35566</v>
      </c>
      <c r="F1496" s="4" t="s">
        <v>433</v>
      </c>
      <c r="G1496" t="s">
        <v>29</v>
      </c>
      <c r="H1496" t="s">
        <v>434</v>
      </c>
    </row>
    <row r="1497" spans="1:8" x14ac:dyDescent="0.25">
      <c r="A1497" t="s">
        <v>739</v>
      </c>
      <c r="B1497" t="s">
        <v>429</v>
      </c>
      <c r="C1497" s="5">
        <v>461225</v>
      </c>
      <c r="D1497" s="5">
        <v>16256</v>
      </c>
      <c r="E1497">
        <v>181923</v>
      </c>
      <c r="F1497" s="4" t="s">
        <v>353</v>
      </c>
      <c r="G1497" t="s">
        <v>29</v>
      </c>
      <c r="H1497" t="s">
        <v>354</v>
      </c>
    </row>
    <row r="1498" spans="1:8" x14ac:dyDescent="0.25">
      <c r="A1498" t="s">
        <v>739</v>
      </c>
      <c r="B1498" t="s">
        <v>428</v>
      </c>
      <c r="C1498" s="5">
        <v>8</v>
      </c>
      <c r="D1498" s="5">
        <v>0</v>
      </c>
      <c r="E1498">
        <v>7</v>
      </c>
      <c r="F1498" s="4" t="s">
        <v>29</v>
      </c>
      <c r="G1498" t="s">
        <v>29</v>
      </c>
      <c r="H1498" t="s">
        <v>291</v>
      </c>
    </row>
    <row r="1499" spans="1:8" x14ac:dyDescent="0.25">
      <c r="A1499" t="s">
        <v>739</v>
      </c>
      <c r="B1499" t="s">
        <v>427</v>
      </c>
      <c r="C1499" s="5">
        <v>1094048</v>
      </c>
      <c r="D1499" s="5">
        <v>18184</v>
      </c>
      <c r="E1499">
        <v>426242</v>
      </c>
      <c r="F1499" s="4" t="s">
        <v>135</v>
      </c>
      <c r="G1499" t="s">
        <v>29</v>
      </c>
      <c r="H1499" t="s">
        <v>136</v>
      </c>
    </row>
    <row r="1500" spans="1:8" x14ac:dyDescent="0.25">
      <c r="A1500" t="s">
        <v>739</v>
      </c>
      <c r="B1500" t="s">
        <v>426</v>
      </c>
      <c r="C1500" s="5">
        <v>454799</v>
      </c>
      <c r="D1500" s="5">
        <v>4697</v>
      </c>
      <c r="E1500">
        <v>10904</v>
      </c>
      <c r="F1500" s="4" t="s">
        <v>687</v>
      </c>
      <c r="G1500" t="s">
        <v>29</v>
      </c>
      <c r="H1500" t="s">
        <v>688</v>
      </c>
    </row>
    <row r="1501" spans="1:8" x14ac:dyDescent="0.25">
      <c r="A1501" t="s">
        <v>739</v>
      </c>
      <c r="B1501" t="s">
        <v>423</v>
      </c>
      <c r="C1501" s="5">
        <v>3060613</v>
      </c>
      <c r="D1501" s="5">
        <v>77395</v>
      </c>
      <c r="E1501">
        <v>2016841</v>
      </c>
      <c r="F1501" s="4" t="s">
        <v>611</v>
      </c>
      <c r="G1501" t="s">
        <v>29</v>
      </c>
      <c r="H1501" t="s">
        <v>612</v>
      </c>
    </row>
    <row r="1502" spans="1:8" x14ac:dyDescent="0.25">
      <c r="A1502" t="s">
        <v>739</v>
      </c>
      <c r="B1502" t="s">
        <v>420</v>
      </c>
      <c r="C1502" s="5">
        <v>1275673</v>
      </c>
      <c r="D1502" s="5">
        <v>28507</v>
      </c>
      <c r="E1502">
        <v>1208118</v>
      </c>
      <c r="F1502" s="4" t="s">
        <v>421</v>
      </c>
      <c r="G1502" t="s">
        <v>29</v>
      </c>
      <c r="H1502" t="s">
        <v>422</v>
      </c>
    </row>
    <row r="1503" spans="1:8" x14ac:dyDescent="0.25">
      <c r="A1503" t="s">
        <v>739</v>
      </c>
      <c r="B1503" t="s">
        <v>419</v>
      </c>
      <c r="C1503" s="5">
        <v>2795642</v>
      </c>
      <c r="D1503" s="5">
        <v>43825</v>
      </c>
      <c r="E1503">
        <v>473314</v>
      </c>
      <c r="F1503" s="4" t="s">
        <v>217</v>
      </c>
      <c r="G1503" t="s">
        <v>29</v>
      </c>
      <c r="H1503" t="s">
        <v>218</v>
      </c>
    </row>
    <row r="1504" spans="1:8" x14ac:dyDescent="0.25">
      <c r="A1504" t="s">
        <v>739</v>
      </c>
      <c r="B1504" t="s">
        <v>416</v>
      </c>
      <c r="C1504" s="5">
        <v>31010</v>
      </c>
      <c r="D1504" s="5">
        <v>392</v>
      </c>
      <c r="E1504">
        <v>23361</v>
      </c>
      <c r="F1504" s="4" t="s">
        <v>223</v>
      </c>
      <c r="G1504" t="s">
        <v>29</v>
      </c>
      <c r="H1504" t="s">
        <v>224</v>
      </c>
    </row>
    <row r="1505" spans="1:8" x14ac:dyDescent="0.25">
      <c r="A1505" t="s">
        <v>739</v>
      </c>
      <c r="B1505" t="s">
        <v>415</v>
      </c>
      <c r="C1505" s="5">
        <v>45541</v>
      </c>
      <c r="D1505" s="5">
        <v>636</v>
      </c>
      <c r="E1505">
        <v>19172</v>
      </c>
      <c r="F1505" s="4" t="s">
        <v>403</v>
      </c>
      <c r="G1505" t="s">
        <v>29</v>
      </c>
      <c r="H1505" t="s">
        <v>404</v>
      </c>
    </row>
    <row r="1506" spans="1:8" x14ac:dyDescent="0.25">
      <c r="A1506" t="s">
        <v>739</v>
      </c>
      <c r="B1506" t="s">
        <v>412</v>
      </c>
      <c r="C1506" s="5">
        <v>2204424</v>
      </c>
      <c r="D1506" s="5">
        <v>200350</v>
      </c>
      <c r="E1506">
        <v>1881899</v>
      </c>
      <c r="F1506" s="4" t="s">
        <v>727</v>
      </c>
      <c r="G1506" t="s">
        <v>29</v>
      </c>
      <c r="H1506" t="s">
        <v>728</v>
      </c>
    </row>
    <row r="1507" spans="1:8" x14ac:dyDescent="0.25">
      <c r="A1507" t="s">
        <v>739</v>
      </c>
      <c r="B1507" t="s">
        <v>411</v>
      </c>
      <c r="C1507" s="5">
        <v>473089</v>
      </c>
      <c r="D1507" s="5">
        <v>7321</v>
      </c>
      <c r="E1507">
        <v>383376</v>
      </c>
      <c r="F1507" s="4" t="s">
        <v>333</v>
      </c>
      <c r="G1507" t="s">
        <v>29</v>
      </c>
      <c r="H1507" t="s">
        <v>334</v>
      </c>
    </row>
    <row r="1508" spans="1:8" x14ac:dyDescent="0.25">
      <c r="A1508" t="s">
        <v>739</v>
      </c>
      <c r="B1508" t="s">
        <v>408</v>
      </c>
      <c r="C1508" s="5">
        <v>304329</v>
      </c>
      <c r="D1508" s="5">
        <v>4112</v>
      </c>
      <c r="E1508">
        <v>828</v>
      </c>
      <c r="F1508" s="4" t="s">
        <v>409</v>
      </c>
      <c r="G1508" t="s">
        <v>29</v>
      </c>
      <c r="H1508" t="s">
        <v>410</v>
      </c>
    </row>
    <row r="1509" spans="1:8" x14ac:dyDescent="0.25">
      <c r="A1509" t="s">
        <v>739</v>
      </c>
      <c r="B1509" t="s">
        <v>405</v>
      </c>
      <c r="C1509" s="5">
        <v>7139</v>
      </c>
      <c r="D1509" s="5">
        <v>29</v>
      </c>
      <c r="E1509">
        <v>5250</v>
      </c>
      <c r="F1509" s="4" t="s">
        <v>406</v>
      </c>
      <c r="G1509" t="s">
        <v>29</v>
      </c>
      <c r="H1509" t="s">
        <v>407</v>
      </c>
    </row>
    <row r="1510" spans="1:8" x14ac:dyDescent="0.25">
      <c r="A1510" t="s">
        <v>739</v>
      </c>
      <c r="B1510" t="s">
        <v>402</v>
      </c>
      <c r="C1510" s="5">
        <v>814115</v>
      </c>
      <c r="D1510" s="5">
        <v>11436</v>
      </c>
      <c r="E1510">
        <v>316768</v>
      </c>
      <c r="F1510" s="4" t="s">
        <v>403</v>
      </c>
      <c r="G1510" t="s">
        <v>29</v>
      </c>
      <c r="H1510" t="s">
        <v>404</v>
      </c>
    </row>
    <row r="1511" spans="1:8" x14ac:dyDescent="0.25">
      <c r="A1511" t="s">
        <v>739</v>
      </c>
      <c r="B1511" t="s">
        <v>399</v>
      </c>
      <c r="C1511" s="5">
        <v>213289</v>
      </c>
      <c r="D1511" s="5">
        <v>920</v>
      </c>
      <c r="E1511">
        <v>17911</v>
      </c>
      <c r="F1511" s="4" t="s">
        <v>400</v>
      </c>
      <c r="G1511" t="s">
        <v>29</v>
      </c>
      <c r="H1511" t="s">
        <v>401</v>
      </c>
    </row>
    <row r="1512" spans="1:8" x14ac:dyDescent="0.25">
      <c r="A1512" t="s">
        <v>739</v>
      </c>
      <c r="B1512" t="s">
        <v>396</v>
      </c>
      <c r="C1512" s="5">
        <v>2206853</v>
      </c>
      <c r="D1512" s="5">
        <v>18937</v>
      </c>
      <c r="E1512">
        <v>1576295</v>
      </c>
      <c r="F1512" s="4" t="s">
        <v>122</v>
      </c>
      <c r="G1512" t="s">
        <v>29</v>
      </c>
      <c r="H1512" t="s">
        <v>123</v>
      </c>
    </row>
    <row r="1513" spans="1:8" x14ac:dyDescent="0.25">
      <c r="A1513" t="s">
        <v>739</v>
      </c>
      <c r="B1513" t="s">
        <v>393</v>
      </c>
      <c r="C1513" s="5">
        <v>16699</v>
      </c>
      <c r="D1513" s="5">
        <v>209</v>
      </c>
      <c r="E1513">
        <v>790</v>
      </c>
      <c r="F1513" s="4" t="s">
        <v>107</v>
      </c>
      <c r="G1513" t="s">
        <v>29</v>
      </c>
      <c r="H1513" t="s">
        <v>108</v>
      </c>
    </row>
    <row r="1514" spans="1:8" x14ac:dyDescent="0.25">
      <c r="A1514" t="s">
        <v>739</v>
      </c>
      <c r="B1514" t="s">
        <v>390</v>
      </c>
      <c r="C1514" s="5">
        <v>212446</v>
      </c>
      <c r="D1514" s="5">
        <v>2902</v>
      </c>
      <c r="E1514">
        <v>163345</v>
      </c>
      <c r="F1514" s="4" t="s">
        <v>391</v>
      </c>
      <c r="G1514" t="s">
        <v>29</v>
      </c>
      <c r="H1514" t="s">
        <v>392</v>
      </c>
    </row>
    <row r="1515" spans="1:8" x14ac:dyDescent="0.25">
      <c r="A1515" t="s">
        <v>739</v>
      </c>
      <c r="B1515" t="s">
        <v>387</v>
      </c>
      <c r="C1515" s="5">
        <v>6434</v>
      </c>
      <c r="D1515" s="5">
        <v>220</v>
      </c>
      <c r="E1515">
        <v>1204</v>
      </c>
      <c r="F1515" s="4" t="s">
        <v>220</v>
      </c>
      <c r="G1515" t="s">
        <v>29</v>
      </c>
      <c r="H1515" t="s">
        <v>221</v>
      </c>
    </row>
    <row r="1516" spans="1:8" x14ac:dyDescent="0.25">
      <c r="A1516" t="s">
        <v>739</v>
      </c>
      <c r="B1516" t="s">
        <v>386</v>
      </c>
      <c r="C1516" s="5">
        <v>11182</v>
      </c>
      <c r="D1516" s="5">
        <v>267</v>
      </c>
      <c r="E1516">
        <v>5830</v>
      </c>
      <c r="F1516" s="4" t="s">
        <v>288</v>
      </c>
      <c r="G1516" t="s">
        <v>29</v>
      </c>
      <c r="H1516" t="s">
        <v>289</v>
      </c>
    </row>
    <row r="1517" spans="1:8" x14ac:dyDescent="0.25">
      <c r="A1517" t="s">
        <v>739</v>
      </c>
      <c r="B1517" t="s">
        <v>383</v>
      </c>
      <c r="C1517" s="5">
        <v>128967</v>
      </c>
      <c r="D1517" s="5">
        <v>3558</v>
      </c>
      <c r="E1517">
        <v>42248</v>
      </c>
      <c r="F1517" s="4" t="s">
        <v>384</v>
      </c>
      <c r="G1517" t="s">
        <v>29</v>
      </c>
      <c r="H1517" t="s">
        <v>385</v>
      </c>
    </row>
    <row r="1518" spans="1:8" x14ac:dyDescent="0.25">
      <c r="A1518" t="s">
        <v>739</v>
      </c>
      <c r="B1518" t="s">
        <v>380</v>
      </c>
      <c r="C1518" s="5">
        <v>151339</v>
      </c>
      <c r="D1518" s="5">
        <v>1932</v>
      </c>
      <c r="E1518">
        <v>79896</v>
      </c>
      <c r="F1518" s="4" t="s">
        <v>381</v>
      </c>
      <c r="G1518" t="s">
        <v>29</v>
      </c>
      <c r="H1518" t="s">
        <v>382</v>
      </c>
    </row>
    <row r="1519" spans="1:8" x14ac:dyDescent="0.25">
      <c r="A1519" t="s">
        <v>739</v>
      </c>
      <c r="B1519" t="s">
        <v>377</v>
      </c>
      <c r="C1519" s="5">
        <v>2492343</v>
      </c>
      <c r="D1519" s="5">
        <v>29155</v>
      </c>
      <c r="E1519">
        <v>1003953</v>
      </c>
      <c r="F1519" s="4" t="s">
        <v>378</v>
      </c>
      <c r="G1519" t="s">
        <v>29</v>
      </c>
      <c r="H1519" t="s">
        <v>379</v>
      </c>
    </row>
    <row r="1520" spans="1:8" x14ac:dyDescent="0.25">
      <c r="A1520" t="s">
        <v>739</v>
      </c>
      <c r="B1520" t="s">
        <v>374</v>
      </c>
      <c r="C1520" s="5">
        <v>3814453</v>
      </c>
      <c r="D1520" s="5">
        <v>288887</v>
      </c>
      <c r="E1520">
        <v>1366100</v>
      </c>
      <c r="F1520" s="4" t="s">
        <v>375</v>
      </c>
      <c r="G1520" t="s">
        <v>29</v>
      </c>
      <c r="H1520" t="s">
        <v>376</v>
      </c>
    </row>
    <row r="1521" spans="1:8" x14ac:dyDescent="0.25">
      <c r="A1521" t="s">
        <v>739</v>
      </c>
      <c r="B1521" t="s">
        <v>371</v>
      </c>
      <c r="C1521" s="5">
        <v>61803</v>
      </c>
      <c r="D1521" s="5">
        <v>2302</v>
      </c>
      <c r="E1521">
        <v>13395</v>
      </c>
      <c r="F1521" s="4" t="s">
        <v>372</v>
      </c>
      <c r="G1521" t="s">
        <v>29</v>
      </c>
      <c r="H1521" t="s">
        <v>373</v>
      </c>
    </row>
    <row r="1522" spans="1:8" x14ac:dyDescent="0.25">
      <c r="A1522" t="s">
        <v>739</v>
      </c>
      <c r="B1522" t="s">
        <v>368</v>
      </c>
      <c r="C1522" s="5">
        <v>88386</v>
      </c>
      <c r="D1522" s="5">
        <v>244</v>
      </c>
      <c r="E1522">
        <v>12517</v>
      </c>
      <c r="F1522" s="4" t="s">
        <v>369</v>
      </c>
      <c r="G1522" t="s">
        <v>29</v>
      </c>
      <c r="H1522" t="s">
        <v>370</v>
      </c>
    </row>
    <row r="1523" spans="1:8" x14ac:dyDescent="0.25">
      <c r="A1523" t="s">
        <v>739</v>
      </c>
      <c r="B1523" t="s">
        <v>367</v>
      </c>
      <c r="C1523" s="5">
        <v>18314</v>
      </c>
      <c r="D1523" s="5">
        <v>199</v>
      </c>
      <c r="E1523">
        <v>7610</v>
      </c>
      <c r="F1523" s="4" t="s">
        <v>683</v>
      </c>
      <c r="G1523" t="s">
        <v>29</v>
      </c>
      <c r="H1523" t="s">
        <v>684</v>
      </c>
    </row>
    <row r="1524" spans="1:8" x14ac:dyDescent="0.25">
      <c r="A1524" t="s">
        <v>739</v>
      </c>
      <c r="B1524" t="s">
        <v>364</v>
      </c>
      <c r="C1524" s="5">
        <v>37773</v>
      </c>
      <c r="D1524" s="5">
        <v>462</v>
      </c>
      <c r="E1524">
        <v>16716</v>
      </c>
      <c r="F1524" s="4" t="s">
        <v>365</v>
      </c>
      <c r="G1524" t="s">
        <v>29</v>
      </c>
      <c r="H1524" t="s">
        <v>366</v>
      </c>
    </row>
    <row r="1525" spans="1:8" x14ac:dyDescent="0.25">
      <c r="A1525" t="s">
        <v>739</v>
      </c>
      <c r="B1525" t="s">
        <v>363</v>
      </c>
      <c r="C1525" s="5">
        <v>37535</v>
      </c>
      <c r="D1525" s="5">
        <v>801</v>
      </c>
      <c r="E1525">
        <v>32678</v>
      </c>
      <c r="F1525" s="4" t="s">
        <v>650</v>
      </c>
      <c r="G1525" t="s">
        <v>29</v>
      </c>
      <c r="H1525" t="s">
        <v>651</v>
      </c>
    </row>
    <row r="1526" spans="1:8" x14ac:dyDescent="0.25">
      <c r="A1526" t="s">
        <v>739</v>
      </c>
      <c r="B1526" t="s">
        <v>360</v>
      </c>
      <c r="C1526" s="5">
        <v>43347</v>
      </c>
      <c r="D1526" s="5">
        <v>683</v>
      </c>
      <c r="E1526">
        <v>14722</v>
      </c>
      <c r="F1526" s="4" t="s">
        <v>577</v>
      </c>
      <c r="G1526" t="s">
        <v>29</v>
      </c>
      <c r="H1526" t="s">
        <v>578</v>
      </c>
    </row>
    <row r="1527" spans="1:8" x14ac:dyDescent="0.25">
      <c r="A1527" t="s">
        <v>739</v>
      </c>
      <c r="B1527" t="s">
        <v>359</v>
      </c>
      <c r="C1527" s="5">
        <v>77</v>
      </c>
      <c r="D1527" s="5">
        <v>0</v>
      </c>
      <c r="E1527">
        <v>38</v>
      </c>
      <c r="F1527" s="4" t="s">
        <v>29</v>
      </c>
      <c r="G1527" t="s">
        <v>29</v>
      </c>
      <c r="H1527" t="s">
        <v>291</v>
      </c>
    </row>
    <row r="1528" spans="1:8" x14ac:dyDescent="0.25">
      <c r="A1528" t="s">
        <v>739</v>
      </c>
      <c r="B1528" t="s">
        <v>358</v>
      </c>
      <c r="C1528" s="5">
        <v>364051</v>
      </c>
      <c r="D1528" s="5">
        <v>1777</v>
      </c>
      <c r="E1528">
        <v>38937</v>
      </c>
      <c r="F1528" s="4" t="s">
        <v>638</v>
      </c>
      <c r="G1528" t="s">
        <v>29</v>
      </c>
      <c r="H1528" t="s">
        <v>639</v>
      </c>
    </row>
    <row r="1529" spans="1:8" x14ac:dyDescent="0.25">
      <c r="A1529" t="s">
        <v>739</v>
      </c>
      <c r="B1529" t="s">
        <v>355</v>
      </c>
      <c r="C1529" s="5">
        <v>503981</v>
      </c>
      <c r="D1529" s="5">
        <v>18766</v>
      </c>
      <c r="E1529">
        <v>86435</v>
      </c>
      <c r="F1529" s="4" t="s">
        <v>372</v>
      </c>
      <c r="G1529" t="s">
        <v>29</v>
      </c>
      <c r="H1529" t="s">
        <v>373</v>
      </c>
    </row>
    <row r="1530" spans="1:8" x14ac:dyDescent="0.25">
      <c r="A1530" t="s">
        <v>739</v>
      </c>
      <c r="B1530" t="s">
        <v>352</v>
      </c>
      <c r="C1530" s="5">
        <v>16233</v>
      </c>
      <c r="D1530" s="5">
        <v>570</v>
      </c>
      <c r="E1530">
        <v>1053</v>
      </c>
      <c r="F1530" s="4" t="s">
        <v>350</v>
      </c>
      <c r="G1530" t="s">
        <v>29</v>
      </c>
      <c r="H1530" t="s">
        <v>351</v>
      </c>
    </row>
    <row r="1531" spans="1:8" x14ac:dyDescent="0.25">
      <c r="A1531" t="s">
        <v>739</v>
      </c>
      <c r="B1531" t="s">
        <v>349</v>
      </c>
      <c r="C1531" s="5">
        <v>204416</v>
      </c>
      <c r="D1531" s="5">
        <v>7194</v>
      </c>
      <c r="E1531">
        <v>69492</v>
      </c>
      <c r="F1531" s="4" t="s">
        <v>353</v>
      </c>
      <c r="G1531" t="s">
        <v>29</v>
      </c>
      <c r="H1531" t="s">
        <v>354</v>
      </c>
    </row>
    <row r="1532" spans="1:8" x14ac:dyDescent="0.25">
      <c r="A1532" t="s">
        <v>739</v>
      </c>
      <c r="B1532" t="s">
        <v>348</v>
      </c>
      <c r="C1532" s="5">
        <v>4</v>
      </c>
      <c r="D1532" s="5">
        <v>0</v>
      </c>
      <c r="E1532">
        <v>1</v>
      </c>
      <c r="F1532" s="4" t="s">
        <v>29</v>
      </c>
      <c r="G1532" t="s">
        <v>29</v>
      </c>
      <c r="H1532" t="s">
        <v>291</v>
      </c>
    </row>
    <row r="1533" spans="1:8" x14ac:dyDescent="0.25">
      <c r="A1533" t="s">
        <v>739</v>
      </c>
      <c r="B1533" t="s">
        <v>347</v>
      </c>
      <c r="C1533" s="5">
        <v>43632</v>
      </c>
      <c r="D1533" s="5">
        <v>964</v>
      </c>
      <c r="E1533">
        <v>28194</v>
      </c>
      <c r="F1533" s="4" t="s">
        <v>132</v>
      </c>
      <c r="G1533" t="s">
        <v>29</v>
      </c>
      <c r="H1533" t="s">
        <v>133</v>
      </c>
    </row>
    <row r="1534" spans="1:8" x14ac:dyDescent="0.25">
      <c r="A1534" t="s">
        <v>739</v>
      </c>
      <c r="B1534" t="s">
        <v>344</v>
      </c>
      <c r="C1534" s="5">
        <v>3941</v>
      </c>
      <c r="D1534" s="5">
        <v>56</v>
      </c>
      <c r="E1534">
        <v>273</v>
      </c>
      <c r="F1534" s="4" t="s">
        <v>640</v>
      </c>
      <c r="G1534" t="s">
        <v>29</v>
      </c>
      <c r="H1534" t="s">
        <v>641</v>
      </c>
    </row>
    <row r="1535" spans="1:8" x14ac:dyDescent="0.25">
      <c r="A1535" t="s">
        <v>739</v>
      </c>
      <c r="B1535" t="s">
        <v>341</v>
      </c>
      <c r="C1535" s="5">
        <v>146663</v>
      </c>
      <c r="D1535" s="5">
        <v>2125</v>
      </c>
      <c r="E1535">
        <v>121497</v>
      </c>
      <c r="F1535" s="4" t="s">
        <v>342</v>
      </c>
      <c r="G1535" t="s">
        <v>29</v>
      </c>
      <c r="H1535" t="s">
        <v>343</v>
      </c>
    </row>
    <row r="1536" spans="1:8" x14ac:dyDescent="0.25">
      <c r="A1536" t="s">
        <v>739</v>
      </c>
      <c r="B1536" t="s">
        <v>338</v>
      </c>
      <c r="C1536" s="5">
        <v>343261</v>
      </c>
      <c r="D1536" s="5">
        <v>7958</v>
      </c>
      <c r="E1536">
        <v>196935</v>
      </c>
      <c r="F1536" s="4" t="s">
        <v>725</v>
      </c>
      <c r="G1536" t="s">
        <v>29</v>
      </c>
      <c r="H1536" t="s">
        <v>726</v>
      </c>
    </row>
    <row r="1537" spans="1:8" x14ac:dyDescent="0.25">
      <c r="A1537" t="s">
        <v>739</v>
      </c>
      <c r="B1537" t="s">
        <v>335</v>
      </c>
      <c r="C1537" s="5">
        <v>3424</v>
      </c>
      <c r="D1537" s="5">
        <v>36</v>
      </c>
      <c r="E1537">
        <v>1883</v>
      </c>
      <c r="F1537" s="4" t="s">
        <v>642</v>
      </c>
      <c r="G1537" t="s">
        <v>29</v>
      </c>
      <c r="H1537" t="s">
        <v>643</v>
      </c>
    </row>
    <row r="1538" spans="1:8" x14ac:dyDescent="0.25">
      <c r="A1538" t="s">
        <v>739</v>
      </c>
      <c r="B1538" t="s">
        <v>332</v>
      </c>
      <c r="C1538" s="5">
        <v>946957</v>
      </c>
      <c r="D1538" s="5">
        <v>14698</v>
      </c>
      <c r="E1538">
        <v>270612</v>
      </c>
      <c r="F1538" s="4" t="s">
        <v>333</v>
      </c>
      <c r="G1538" t="s">
        <v>29</v>
      </c>
      <c r="H1538" t="s">
        <v>334</v>
      </c>
    </row>
    <row r="1539" spans="1:8" x14ac:dyDescent="0.25">
      <c r="A1539" t="s">
        <v>739</v>
      </c>
      <c r="B1539" t="s">
        <v>329</v>
      </c>
      <c r="C1539" s="5">
        <v>359667</v>
      </c>
      <c r="D1539" s="5">
        <v>5171</v>
      </c>
      <c r="E1539">
        <v>90119</v>
      </c>
      <c r="F1539" s="4" t="s">
        <v>330</v>
      </c>
      <c r="G1539" t="s">
        <v>29</v>
      </c>
      <c r="H1539" t="s">
        <v>331</v>
      </c>
    </row>
    <row r="1540" spans="1:8" x14ac:dyDescent="0.25">
      <c r="A1540" t="s">
        <v>739</v>
      </c>
      <c r="B1540" t="s">
        <v>328</v>
      </c>
      <c r="C1540" s="5">
        <v>226860</v>
      </c>
      <c r="D1540" s="5">
        <v>3401</v>
      </c>
      <c r="E1540">
        <v>47240</v>
      </c>
      <c r="F1540" s="4" t="s">
        <v>226</v>
      </c>
      <c r="G1540" t="s">
        <v>29</v>
      </c>
      <c r="H1540" t="s">
        <v>227</v>
      </c>
    </row>
    <row r="1541" spans="1:8" x14ac:dyDescent="0.25">
      <c r="A1541" t="s">
        <v>739</v>
      </c>
      <c r="B1541" t="s">
        <v>325</v>
      </c>
      <c r="C1541" s="5">
        <v>82623</v>
      </c>
      <c r="D1541" s="5">
        <v>849</v>
      </c>
      <c r="E1541">
        <v>9139</v>
      </c>
      <c r="F1541" s="4" t="s">
        <v>687</v>
      </c>
      <c r="G1541" t="s">
        <v>29</v>
      </c>
      <c r="H1541" t="s">
        <v>688</v>
      </c>
    </row>
    <row r="1542" spans="1:8" x14ac:dyDescent="0.25">
      <c r="A1542" t="s">
        <v>739</v>
      </c>
      <c r="B1542" t="s">
        <v>322</v>
      </c>
      <c r="C1542" s="5">
        <v>418078</v>
      </c>
      <c r="D1542" s="5">
        <v>6010</v>
      </c>
      <c r="E1542">
        <v>131832</v>
      </c>
      <c r="F1542" s="4" t="s">
        <v>330</v>
      </c>
      <c r="G1542" t="s">
        <v>29</v>
      </c>
      <c r="H1542" t="s">
        <v>331</v>
      </c>
    </row>
    <row r="1543" spans="1:8" x14ac:dyDescent="0.25">
      <c r="A1543" t="s">
        <v>739</v>
      </c>
      <c r="B1543" t="s">
        <v>319</v>
      </c>
      <c r="C1543" s="5">
        <v>21672</v>
      </c>
      <c r="D1543" s="5">
        <v>658</v>
      </c>
      <c r="E1543">
        <v>11986</v>
      </c>
      <c r="F1543" s="4" t="s">
        <v>320</v>
      </c>
      <c r="G1543" t="s">
        <v>29</v>
      </c>
      <c r="H1543" t="s">
        <v>321</v>
      </c>
    </row>
    <row r="1544" spans="1:8" x14ac:dyDescent="0.25">
      <c r="A1544" t="s">
        <v>739</v>
      </c>
      <c r="B1544" t="s">
        <v>316</v>
      </c>
      <c r="C1544" s="5">
        <v>5815</v>
      </c>
      <c r="D1544" s="5">
        <v>287</v>
      </c>
      <c r="E1544">
        <v>1134</v>
      </c>
      <c r="F1544" s="4" t="s">
        <v>644</v>
      </c>
      <c r="G1544" t="s">
        <v>29</v>
      </c>
      <c r="H1544" t="s">
        <v>645</v>
      </c>
    </row>
    <row r="1545" spans="1:8" x14ac:dyDescent="0.25">
      <c r="A1545" t="s">
        <v>739</v>
      </c>
      <c r="B1545" t="s">
        <v>315</v>
      </c>
      <c r="C1545" s="5">
        <v>543385</v>
      </c>
      <c r="D1545" s="5">
        <v>13806</v>
      </c>
      <c r="E1545">
        <v>208230</v>
      </c>
      <c r="F1545" s="4" t="s">
        <v>141</v>
      </c>
      <c r="G1545" t="s">
        <v>29</v>
      </c>
      <c r="H1545" t="s">
        <v>142</v>
      </c>
    </row>
    <row r="1546" spans="1:8" x14ac:dyDescent="0.25">
      <c r="A1546" t="s">
        <v>739</v>
      </c>
      <c r="B1546" t="s">
        <v>312</v>
      </c>
      <c r="C1546" s="5">
        <v>3708</v>
      </c>
      <c r="D1546" s="5">
        <v>61</v>
      </c>
      <c r="E1546">
        <v>2161</v>
      </c>
      <c r="F1546" s="4" t="s">
        <v>691</v>
      </c>
      <c r="G1546" t="s">
        <v>29</v>
      </c>
      <c r="H1546" t="s">
        <v>692</v>
      </c>
    </row>
    <row r="1547" spans="1:8" x14ac:dyDescent="0.25">
      <c r="A1547" t="s">
        <v>739</v>
      </c>
      <c r="B1547" t="s">
        <v>309</v>
      </c>
      <c r="C1547" s="5">
        <v>12645</v>
      </c>
      <c r="D1547" s="5">
        <v>260</v>
      </c>
      <c r="E1547">
        <v>7403</v>
      </c>
      <c r="F1547" s="4" t="s">
        <v>750</v>
      </c>
      <c r="G1547" t="s">
        <v>29</v>
      </c>
      <c r="H1547" t="s">
        <v>751</v>
      </c>
    </row>
    <row r="1548" spans="1:8" x14ac:dyDescent="0.25">
      <c r="A1548" t="s">
        <v>739</v>
      </c>
      <c r="B1548" t="s">
        <v>306</v>
      </c>
      <c r="C1548" s="5">
        <v>644391</v>
      </c>
      <c r="D1548" s="5">
        <v>8528</v>
      </c>
      <c r="E1548">
        <v>230124</v>
      </c>
      <c r="F1548" s="4" t="s">
        <v>307</v>
      </c>
      <c r="G1548" t="s">
        <v>29</v>
      </c>
      <c r="H1548" t="s">
        <v>308</v>
      </c>
    </row>
    <row r="1549" spans="1:8" x14ac:dyDescent="0.25">
      <c r="A1549" t="s">
        <v>739</v>
      </c>
      <c r="B1549" t="s">
        <v>303</v>
      </c>
      <c r="C1549" s="5">
        <v>44061</v>
      </c>
      <c r="D1549" s="5">
        <v>76</v>
      </c>
      <c r="E1549">
        <v>7164</v>
      </c>
      <c r="F1549" s="4" t="s">
        <v>679</v>
      </c>
      <c r="G1549" t="s">
        <v>29</v>
      </c>
      <c r="H1549" t="s">
        <v>680</v>
      </c>
    </row>
    <row r="1550" spans="1:8" x14ac:dyDescent="0.25">
      <c r="A1550" t="s">
        <v>739</v>
      </c>
      <c r="B1550" t="s">
        <v>302</v>
      </c>
      <c r="C1550" s="5">
        <v>1025990</v>
      </c>
      <c r="D1550" s="5">
        <v>17238</v>
      </c>
      <c r="E1550">
        <v>205935</v>
      </c>
      <c r="F1550" s="4" t="s">
        <v>116</v>
      </c>
      <c r="G1550" t="s">
        <v>29</v>
      </c>
      <c r="H1550" t="s">
        <v>117</v>
      </c>
    </row>
    <row r="1551" spans="1:8" x14ac:dyDescent="0.25">
      <c r="A1551" t="s">
        <v>739</v>
      </c>
      <c r="B1551" t="s">
        <v>299</v>
      </c>
      <c r="C1551" s="5">
        <v>412768</v>
      </c>
      <c r="D1551" s="5">
        <v>2462</v>
      </c>
      <c r="E1551">
        <v>9553</v>
      </c>
      <c r="F1551" s="4" t="s">
        <v>300</v>
      </c>
      <c r="G1551" t="s">
        <v>29</v>
      </c>
      <c r="H1551" t="s">
        <v>301</v>
      </c>
    </row>
    <row r="1552" spans="1:8" x14ac:dyDescent="0.25">
      <c r="A1552" t="s">
        <v>739</v>
      </c>
      <c r="B1552" t="s">
        <v>296</v>
      </c>
      <c r="C1552" s="5">
        <v>375464</v>
      </c>
      <c r="D1552" s="5">
        <v>2936</v>
      </c>
      <c r="E1552">
        <v>204840</v>
      </c>
      <c r="F1552" s="4" t="s">
        <v>297</v>
      </c>
      <c r="G1552" t="s">
        <v>29</v>
      </c>
      <c r="H1552" t="s">
        <v>298</v>
      </c>
    </row>
    <row r="1553" spans="1:8" x14ac:dyDescent="0.25">
      <c r="A1553" t="s">
        <v>739</v>
      </c>
      <c r="B1553" t="s">
        <v>293</v>
      </c>
      <c r="C1553" s="5">
        <v>2701</v>
      </c>
      <c r="D1553" s="5">
        <v>25</v>
      </c>
      <c r="E1553">
        <v>2322</v>
      </c>
      <c r="F1553" s="4" t="s">
        <v>484</v>
      </c>
      <c r="G1553" t="s">
        <v>29</v>
      </c>
      <c r="H1553" t="s">
        <v>485</v>
      </c>
    </row>
    <row r="1554" spans="1:8" x14ac:dyDescent="0.25">
      <c r="A1554" t="s">
        <v>739</v>
      </c>
      <c r="B1554" t="s">
        <v>292</v>
      </c>
      <c r="C1554" s="5">
        <v>4291</v>
      </c>
      <c r="D1554" s="5">
        <v>147</v>
      </c>
      <c r="E1554">
        <v>161</v>
      </c>
      <c r="F1554" s="4" t="s">
        <v>252</v>
      </c>
      <c r="G1554" t="s">
        <v>29</v>
      </c>
      <c r="H1554" t="s">
        <v>253</v>
      </c>
    </row>
    <row r="1555" spans="1:8" x14ac:dyDescent="0.25">
      <c r="A1555" t="s">
        <v>739</v>
      </c>
      <c r="B1555" t="s">
        <v>287</v>
      </c>
      <c r="C1555" s="5">
        <v>118870</v>
      </c>
      <c r="D1555" s="5">
        <v>2813</v>
      </c>
      <c r="E1555">
        <v>7737</v>
      </c>
      <c r="F1555" s="4" t="s">
        <v>636</v>
      </c>
      <c r="G1555" t="s">
        <v>29</v>
      </c>
      <c r="H1555" t="s">
        <v>637</v>
      </c>
    </row>
    <row r="1556" spans="1:8" x14ac:dyDescent="0.25">
      <c r="A1556" t="s">
        <v>739</v>
      </c>
      <c r="B1556" t="s">
        <v>290</v>
      </c>
      <c r="C1556" s="5">
        <v>2</v>
      </c>
      <c r="D1556" s="5">
        <v>0</v>
      </c>
      <c r="E1556">
        <v>2</v>
      </c>
      <c r="F1556" s="4" t="s">
        <v>29</v>
      </c>
      <c r="G1556" t="s">
        <v>29</v>
      </c>
      <c r="H1556" t="s">
        <v>291</v>
      </c>
    </row>
    <row r="1557" spans="1:8" x14ac:dyDescent="0.25">
      <c r="A1557" t="s">
        <v>739</v>
      </c>
      <c r="B1557" t="s">
        <v>284</v>
      </c>
      <c r="C1557" s="5">
        <v>181590</v>
      </c>
      <c r="D1557" s="5">
        <v>2679</v>
      </c>
      <c r="E1557">
        <v>67580</v>
      </c>
      <c r="F1557" s="4" t="s">
        <v>285</v>
      </c>
      <c r="G1557" t="s">
        <v>29</v>
      </c>
      <c r="H1557" t="s">
        <v>286</v>
      </c>
    </row>
    <row r="1558" spans="1:8" x14ac:dyDescent="0.25">
      <c r="A1558" t="s">
        <v>739</v>
      </c>
      <c r="B1558" t="s">
        <v>281</v>
      </c>
      <c r="C1558" s="5">
        <v>253661</v>
      </c>
      <c r="D1558" s="5">
        <v>5296</v>
      </c>
      <c r="E1558">
        <v>43122</v>
      </c>
      <c r="F1558" s="4" t="s">
        <v>282</v>
      </c>
      <c r="G1558" t="s">
        <v>29</v>
      </c>
      <c r="H1558" t="s">
        <v>283</v>
      </c>
    </row>
    <row r="1559" spans="1:8" x14ac:dyDescent="0.25">
      <c r="A1559" t="s">
        <v>739</v>
      </c>
      <c r="B1559" t="s">
        <v>280</v>
      </c>
      <c r="C1559" s="5">
        <v>1723070</v>
      </c>
      <c r="D1559" s="5">
        <v>18292</v>
      </c>
      <c r="E1559">
        <v>675691</v>
      </c>
      <c r="F1559" s="4" t="s">
        <v>165</v>
      </c>
      <c r="G1559" t="s">
        <v>29</v>
      </c>
      <c r="H1559" t="s">
        <v>166</v>
      </c>
    </row>
    <row r="1560" spans="1:8" x14ac:dyDescent="0.25">
      <c r="A1560" t="s">
        <v>739</v>
      </c>
      <c r="B1560" t="s">
        <v>279</v>
      </c>
      <c r="C1560" s="5">
        <v>870505</v>
      </c>
      <c r="D1560" s="5">
        <v>11088</v>
      </c>
      <c r="E1560">
        <v>13512</v>
      </c>
      <c r="F1560" s="4" t="s">
        <v>53</v>
      </c>
      <c r="G1560" t="s">
        <v>29</v>
      </c>
      <c r="H1560" t="s">
        <v>54</v>
      </c>
    </row>
    <row r="1561" spans="1:8" x14ac:dyDescent="0.25">
      <c r="A1561" t="s">
        <v>739</v>
      </c>
      <c r="B1561" t="s">
        <v>278</v>
      </c>
      <c r="C1561" s="5">
        <v>89349</v>
      </c>
      <c r="D1561" s="5">
        <v>2257</v>
      </c>
      <c r="E1561">
        <v>10073</v>
      </c>
      <c r="F1561" s="4" t="s">
        <v>611</v>
      </c>
      <c r="G1561" t="s">
        <v>29</v>
      </c>
      <c r="H1561" t="s">
        <v>612</v>
      </c>
    </row>
    <row r="1562" spans="1:8" x14ac:dyDescent="0.25">
      <c r="A1562" t="s">
        <v>739</v>
      </c>
      <c r="B1562" t="s">
        <v>275</v>
      </c>
      <c r="C1562" s="5">
        <v>4788704</v>
      </c>
      <c r="D1562" s="5">
        <v>132283</v>
      </c>
      <c r="E1562">
        <v>1659198</v>
      </c>
      <c r="F1562" s="4" t="s">
        <v>384</v>
      </c>
      <c r="G1562" t="s">
        <v>29</v>
      </c>
      <c r="H1562" t="s">
        <v>385</v>
      </c>
    </row>
    <row r="1563" spans="1:8" x14ac:dyDescent="0.25">
      <c r="A1563" t="s">
        <v>739</v>
      </c>
      <c r="B1563" t="s">
        <v>272</v>
      </c>
      <c r="C1563" s="5">
        <v>14087</v>
      </c>
      <c r="D1563" s="5">
        <v>34</v>
      </c>
      <c r="E1563">
        <v>10713</v>
      </c>
      <c r="F1563" s="4" t="s">
        <v>454</v>
      </c>
      <c r="G1563" t="s">
        <v>29</v>
      </c>
      <c r="H1563" t="s">
        <v>455</v>
      </c>
    </row>
    <row r="1564" spans="1:8" x14ac:dyDescent="0.25">
      <c r="A1564" t="s">
        <v>739</v>
      </c>
      <c r="B1564" t="s">
        <v>269</v>
      </c>
      <c r="C1564" s="5">
        <v>5964824</v>
      </c>
      <c r="D1564" s="5">
        <v>126921</v>
      </c>
      <c r="E1564">
        <v>1228758</v>
      </c>
      <c r="F1564" s="4" t="s">
        <v>650</v>
      </c>
      <c r="G1564" t="s">
        <v>29</v>
      </c>
      <c r="H1564" t="s">
        <v>651</v>
      </c>
    </row>
    <row r="1565" spans="1:8" x14ac:dyDescent="0.25">
      <c r="A1565" t="s">
        <v>739</v>
      </c>
      <c r="B1565" t="s">
        <v>266</v>
      </c>
      <c r="C1565" s="5">
        <v>2060066</v>
      </c>
      <c r="D1565" s="5">
        <v>23271</v>
      </c>
      <c r="E1565">
        <v>1911018</v>
      </c>
      <c r="F1565" s="4" t="s">
        <v>267</v>
      </c>
      <c r="G1565" t="s">
        <v>29</v>
      </c>
      <c r="H1565" t="s">
        <v>268</v>
      </c>
    </row>
    <row r="1566" spans="1:8" x14ac:dyDescent="0.25">
      <c r="A1566" t="s">
        <v>739</v>
      </c>
      <c r="B1566" t="s">
        <v>263</v>
      </c>
      <c r="C1566" s="5">
        <v>34333754</v>
      </c>
      <c r="D1566" s="5">
        <v>459873</v>
      </c>
      <c r="E1566">
        <v>18468185</v>
      </c>
      <c r="F1566" s="4" t="s">
        <v>264</v>
      </c>
      <c r="G1566" t="s">
        <v>29</v>
      </c>
      <c r="H1566" t="s">
        <v>265</v>
      </c>
    </row>
    <row r="1567" spans="1:8" x14ac:dyDescent="0.25">
      <c r="A1567" t="s">
        <v>739</v>
      </c>
      <c r="B1567" t="s">
        <v>260</v>
      </c>
      <c r="C1567" s="5">
        <v>1332801</v>
      </c>
      <c r="D1567" s="5">
        <v>8112</v>
      </c>
      <c r="E1567">
        <v>1153129</v>
      </c>
      <c r="F1567" s="4" t="s">
        <v>261</v>
      </c>
      <c r="G1567" t="s">
        <v>29</v>
      </c>
      <c r="H1567" t="s">
        <v>262</v>
      </c>
    </row>
    <row r="1568" spans="1:8" x14ac:dyDescent="0.25">
      <c r="A1568" t="s">
        <v>739</v>
      </c>
      <c r="B1568" t="s">
        <v>257</v>
      </c>
      <c r="C1568" s="5">
        <v>458370</v>
      </c>
      <c r="D1568" s="5">
        <v>5492</v>
      </c>
      <c r="E1568">
        <v>297083</v>
      </c>
      <c r="F1568" s="4" t="s">
        <v>525</v>
      </c>
      <c r="G1568" t="s">
        <v>29</v>
      </c>
      <c r="H1568" t="s">
        <v>526</v>
      </c>
    </row>
    <row r="1569" spans="1:8" x14ac:dyDescent="0.25">
      <c r="A1569" t="s">
        <v>739</v>
      </c>
      <c r="B1569" t="s">
        <v>254</v>
      </c>
      <c r="C1569" s="5">
        <v>4246802</v>
      </c>
      <c r="D1569" s="5">
        <v>143500</v>
      </c>
      <c r="E1569">
        <v>2300963</v>
      </c>
      <c r="F1569" s="4" t="s">
        <v>255</v>
      </c>
      <c r="G1569" t="s">
        <v>29</v>
      </c>
      <c r="H1569" t="s">
        <v>256</v>
      </c>
    </row>
    <row r="1570" spans="1:8" x14ac:dyDescent="0.25">
      <c r="A1570" t="s">
        <v>739</v>
      </c>
      <c r="B1570" t="s">
        <v>251</v>
      </c>
      <c r="C1570" s="5">
        <v>885360</v>
      </c>
      <c r="D1570" s="5">
        <v>31101</v>
      </c>
      <c r="E1570">
        <v>337948</v>
      </c>
      <c r="F1570" s="4" t="s">
        <v>350</v>
      </c>
      <c r="G1570" t="s">
        <v>29</v>
      </c>
      <c r="H1570" t="s">
        <v>351</v>
      </c>
    </row>
    <row r="1571" spans="1:8" x14ac:dyDescent="0.25">
      <c r="A1571" t="s">
        <v>739</v>
      </c>
      <c r="B1571" t="s">
        <v>248</v>
      </c>
      <c r="C1571" s="5">
        <v>24032</v>
      </c>
      <c r="D1571" s="5">
        <v>679</v>
      </c>
      <c r="E1571">
        <v>3031</v>
      </c>
      <c r="F1571" s="4" t="s">
        <v>752</v>
      </c>
      <c r="G1571" t="s">
        <v>29</v>
      </c>
      <c r="H1571" t="s">
        <v>753</v>
      </c>
    </row>
    <row r="1572" spans="1:8" x14ac:dyDescent="0.25">
      <c r="A1572" t="s">
        <v>739</v>
      </c>
      <c r="B1572" t="s">
        <v>245</v>
      </c>
      <c r="C1572" s="5">
        <v>483142</v>
      </c>
      <c r="D1572" s="5">
        <v>9364</v>
      </c>
      <c r="E1572">
        <v>187117</v>
      </c>
      <c r="F1572" s="4" t="s">
        <v>754</v>
      </c>
      <c r="G1572" t="s">
        <v>29</v>
      </c>
      <c r="H1572" t="s">
        <v>755</v>
      </c>
    </row>
    <row r="1573" spans="1:8" x14ac:dyDescent="0.25">
      <c r="A1573" t="s">
        <v>739</v>
      </c>
      <c r="B1573" t="s">
        <v>242</v>
      </c>
      <c r="C1573" s="5">
        <v>375983</v>
      </c>
      <c r="D1573" s="5">
        <v>10284</v>
      </c>
      <c r="E1573">
        <v>334791</v>
      </c>
      <c r="F1573" s="4" t="s">
        <v>243</v>
      </c>
      <c r="G1573" t="s">
        <v>29</v>
      </c>
      <c r="H1573" t="s">
        <v>244</v>
      </c>
    </row>
    <row r="1574" spans="1:8" x14ac:dyDescent="0.25">
      <c r="A1574" t="s">
        <v>739</v>
      </c>
      <c r="B1574" t="s">
        <v>239</v>
      </c>
      <c r="C1574" s="5">
        <v>12359</v>
      </c>
      <c r="D1574" s="5">
        <v>213</v>
      </c>
      <c r="E1574">
        <v>8591</v>
      </c>
      <c r="F1574" s="4" t="s">
        <v>240</v>
      </c>
      <c r="G1574" t="s">
        <v>29</v>
      </c>
      <c r="H1574" t="s">
        <v>241</v>
      </c>
    </row>
    <row r="1575" spans="1:8" x14ac:dyDescent="0.25">
      <c r="A1575" t="s">
        <v>739</v>
      </c>
      <c r="B1575" t="s">
        <v>236</v>
      </c>
      <c r="C1575" s="5">
        <v>35929</v>
      </c>
      <c r="D1575" s="5">
        <v>930</v>
      </c>
      <c r="E1575">
        <v>31379</v>
      </c>
      <c r="F1575" s="4" t="s">
        <v>719</v>
      </c>
      <c r="G1575" t="s">
        <v>29</v>
      </c>
      <c r="H1575" t="s">
        <v>720</v>
      </c>
    </row>
    <row r="1576" spans="1:8" x14ac:dyDescent="0.25">
      <c r="A1576" t="s">
        <v>739</v>
      </c>
      <c r="B1576" t="s">
        <v>233</v>
      </c>
      <c r="C1576" s="5">
        <v>6149</v>
      </c>
      <c r="D1576" s="5">
        <v>143</v>
      </c>
      <c r="E1576">
        <v>2229</v>
      </c>
      <c r="F1576" s="4" t="s">
        <v>581</v>
      </c>
      <c r="G1576" t="s">
        <v>29</v>
      </c>
      <c r="H1576" t="s">
        <v>582</v>
      </c>
    </row>
    <row r="1577" spans="1:8" x14ac:dyDescent="0.25">
      <c r="A1577" t="s">
        <v>739</v>
      </c>
      <c r="B1577" t="s">
        <v>232</v>
      </c>
      <c r="C1577" s="5">
        <v>603641</v>
      </c>
      <c r="D1577" s="5">
        <v>15281</v>
      </c>
      <c r="E1577">
        <v>111956</v>
      </c>
      <c r="F1577" s="4" t="s">
        <v>611</v>
      </c>
      <c r="G1577" t="s">
        <v>29</v>
      </c>
      <c r="H1577" t="s">
        <v>612</v>
      </c>
    </row>
    <row r="1578" spans="1:8" x14ac:dyDescent="0.25">
      <c r="A1578" t="s">
        <v>739</v>
      </c>
      <c r="B1578" t="s">
        <v>229</v>
      </c>
      <c r="C1578" s="5">
        <v>767376</v>
      </c>
      <c r="D1578" s="5">
        <v>16151</v>
      </c>
      <c r="E1578">
        <v>636498</v>
      </c>
      <c r="F1578" s="4" t="s">
        <v>557</v>
      </c>
      <c r="G1578" t="s">
        <v>29</v>
      </c>
      <c r="H1578" t="s">
        <v>558</v>
      </c>
    </row>
    <row r="1579" spans="1:8" x14ac:dyDescent="0.25">
      <c r="A1579" t="s">
        <v>739</v>
      </c>
      <c r="B1579" t="s">
        <v>228</v>
      </c>
      <c r="C1579" s="5">
        <v>13407</v>
      </c>
      <c r="D1579" s="5">
        <v>168</v>
      </c>
      <c r="E1579">
        <v>5731</v>
      </c>
      <c r="F1579" s="4" t="s">
        <v>107</v>
      </c>
      <c r="G1579" t="s">
        <v>29</v>
      </c>
      <c r="H1579" t="s">
        <v>108</v>
      </c>
    </row>
    <row r="1580" spans="1:8" x14ac:dyDescent="0.25">
      <c r="A1580" t="s">
        <v>739</v>
      </c>
      <c r="B1580" t="s">
        <v>225</v>
      </c>
      <c r="C1580" s="5">
        <v>54474</v>
      </c>
      <c r="D1580" s="5">
        <v>820</v>
      </c>
      <c r="E1580">
        <v>50993</v>
      </c>
      <c r="F1580" s="4" t="s">
        <v>202</v>
      </c>
      <c r="G1580" t="s">
        <v>29</v>
      </c>
      <c r="H1580" t="s">
        <v>203</v>
      </c>
    </row>
    <row r="1581" spans="1:8" x14ac:dyDescent="0.25">
      <c r="A1581" t="s">
        <v>739</v>
      </c>
      <c r="B1581" t="s">
        <v>222</v>
      </c>
      <c r="C1581" s="5">
        <v>30681</v>
      </c>
      <c r="D1581" s="5">
        <v>385</v>
      </c>
      <c r="E1581">
        <v>1900</v>
      </c>
      <c r="F1581" s="4" t="s">
        <v>107</v>
      </c>
      <c r="G1581" t="s">
        <v>29</v>
      </c>
      <c r="H1581" t="s">
        <v>108</v>
      </c>
    </row>
    <row r="1582" spans="1:8" x14ac:dyDescent="0.25">
      <c r="A1582" t="s">
        <v>739</v>
      </c>
      <c r="B1582" t="s">
        <v>219</v>
      </c>
      <c r="C1582" s="5">
        <v>9973</v>
      </c>
      <c r="D1582" s="5">
        <v>341</v>
      </c>
      <c r="E1582">
        <v>8948</v>
      </c>
      <c r="F1582" s="4" t="s">
        <v>220</v>
      </c>
      <c r="G1582" t="s">
        <v>29</v>
      </c>
      <c r="H1582" t="s">
        <v>221</v>
      </c>
    </row>
    <row r="1583" spans="1:8" x14ac:dyDescent="0.25">
      <c r="A1583" t="s">
        <v>739</v>
      </c>
      <c r="B1583" t="s">
        <v>216</v>
      </c>
      <c r="C1583" s="5">
        <v>6091</v>
      </c>
      <c r="D1583" s="5">
        <v>98</v>
      </c>
      <c r="E1583">
        <v>2819</v>
      </c>
      <c r="F1583" s="4" t="s">
        <v>587</v>
      </c>
      <c r="G1583" t="s">
        <v>29</v>
      </c>
      <c r="H1583" t="s">
        <v>588</v>
      </c>
    </row>
    <row r="1584" spans="1:8" x14ac:dyDescent="0.25">
      <c r="A1584" t="s">
        <v>739</v>
      </c>
      <c r="B1584" t="s">
        <v>213</v>
      </c>
      <c r="C1584" s="5">
        <v>130287</v>
      </c>
      <c r="D1584" s="5">
        <v>1182</v>
      </c>
      <c r="E1584">
        <v>31412</v>
      </c>
      <c r="F1584" s="4" t="s">
        <v>146</v>
      </c>
      <c r="G1584" t="s">
        <v>29</v>
      </c>
      <c r="H1584" t="s">
        <v>147</v>
      </c>
    </row>
    <row r="1585" spans="1:8" x14ac:dyDescent="0.25">
      <c r="A1585" t="s">
        <v>739</v>
      </c>
      <c r="B1585" t="s">
        <v>210</v>
      </c>
      <c r="C1585" s="5">
        <v>44784</v>
      </c>
      <c r="D1585" s="5">
        <v>311</v>
      </c>
      <c r="E1585">
        <v>29605</v>
      </c>
      <c r="F1585" s="4" t="s">
        <v>180</v>
      </c>
      <c r="G1585" t="s">
        <v>29</v>
      </c>
      <c r="H1585" t="s">
        <v>181</v>
      </c>
    </row>
    <row r="1586" spans="1:8" x14ac:dyDescent="0.25">
      <c r="A1586" t="s">
        <v>739</v>
      </c>
      <c r="B1586" t="s">
        <v>207</v>
      </c>
      <c r="C1586" s="5">
        <v>738171</v>
      </c>
      <c r="D1586" s="5">
        <v>10238</v>
      </c>
      <c r="E1586">
        <v>496558</v>
      </c>
      <c r="F1586" s="4" t="s">
        <v>208</v>
      </c>
      <c r="G1586" t="s">
        <v>29</v>
      </c>
      <c r="H1586" t="s">
        <v>209</v>
      </c>
    </row>
    <row r="1587" spans="1:8" x14ac:dyDescent="0.25">
      <c r="A1587" t="s">
        <v>739</v>
      </c>
      <c r="B1587" t="s">
        <v>204</v>
      </c>
      <c r="C1587" s="5">
        <v>5857</v>
      </c>
      <c r="D1587" s="5">
        <v>198</v>
      </c>
      <c r="E1587">
        <v>2754</v>
      </c>
      <c r="F1587" s="4" t="s">
        <v>255</v>
      </c>
      <c r="G1587" t="s">
        <v>29</v>
      </c>
      <c r="H1587" t="s">
        <v>256</v>
      </c>
    </row>
    <row r="1588" spans="1:8" x14ac:dyDescent="0.25">
      <c r="A1588" t="s">
        <v>739</v>
      </c>
      <c r="B1588" t="s">
        <v>201</v>
      </c>
      <c r="C1588" s="5">
        <v>9246555</v>
      </c>
      <c r="D1588" s="5">
        <v>141728</v>
      </c>
      <c r="E1588">
        <v>2067457</v>
      </c>
      <c r="F1588" s="4" t="s">
        <v>74</v>
      </c>
      <c r="G1588" t="s">
        <v>29</v>
      </c>
      <c r="H1588" t="s">
        <v>75</v>
      </c>
    </row>
    <row r="1589" spans="1:8" x14ac:dyDescent="0.25">
      <c r="A1589" t="s">
        <v>739</v>
      </c>
      <c r="B1589" t="s">
        <v>198</v>
      </c>
      <c r="C1589" s="5">
        <v>36020</v>
      </c>
      <c r="D1589" s="5">
        <v>249</v>
      </c>
      <c r="E1589">
        <v>33358</v>
      </c>
      <c r="F1589" s="4" t="s">
        <v>180</v>
      </c>
      <c r="G1589" t="s">
        <v>29</v>
      </c>
      <c r="H1589" t="s">
        <v>181</v>
      </c>
    </row>
    <row r="1590" spans="1:8" x14ac:dyDescent="0.25">
      <c r="A1590" t="s">
        <v>739</v>
      </c>
      <c r="B1590" t="s">
        <v>195</v>
      </c>
      <c r="C1590" s="5">
        <v>7011554</v>
      </c>
      <c r="D1590" s="5">
        <v>115464</v>
      </c>
      <c r="E1590">
        <v>5529091</v>
      </c>
      <c r="F1590" s="4" t="s">
        <v>691</v>
      </c>
      <c r="G1590" t="s">
        <v>29</v>
      </c>
      <c r="H1590" t="s">
        <v>692</v>
      </c>
    </row>
    <row r="1591" spans="1:8" x14ac:dyDescent="0.25">
      <c r="A1591" t="s">
        <v>739</v>
      </c>
      <c r="B1591" t="s">
        <v>192</v>
      </c>
      <c r="C1591" s="5">
        <v>2484</v>
      </c>
      <c r="D1591" s="5">
        <v>5</v>
      </c>
      <c r="E1591">
        <v>184</v>
      </c>
      <c r="F1591" s="4" t="s">
        <v>717</v>
      </c>
      <c r="G1591" t="s">
        <v>29</v>
      </c>
      <c r="H1591" t="s">
        <v>718</v>
      </c>
    </row>
    <row r="1592" spans="1:8" x14ac:dyDescent="0.25">
      <c r="A1592" t="s">
        <v>739</v>
      </c>
      <c r="B1592" t="s">
        <v>189</v>
      </c>
      <c r="C1592" s="5">
        <v>52209</v>
      </c>
      <c r="D1592" s="5">
        <v>674</v>
      </c>
      <c r="E1592">
        <v>43314</v>
      </c>
      <c r="F1592" s="4" t="s">
        <v>417</v>
      </c>
      <c r="G1592" t="s">
        <v>29</v>
      </c>
      <c r="H1592" t="s">
        <v>418</v>
      </c>
    </row>
    <row r="1593" spans="1:8" x14ac:dyDescent="0.25">
      <c r="A1593" t="s">
        <v>739</v>
      </c>
      <c r="B1593" t="s">
        <v>186</v>
      </c>
      <c r="C1593" s="5">
        <v>161688</v>
      </c>
      <c r="D1593" s="5">
        <v>1184</v>
      </c>
      <c r="E1593">
        <v>120</v>
      </c>
      <c r="F1593" s="4" t="s">
        <v>187</v>
      </c>
      <c r="G1593" t="s">
        <v>29</v>
      </c>
      <c r="H1593" t="s">
        <v>188</v>
      </c>
    </row>
    <row r="1594" spans="1:8" x14ac:dyDescent="0.25">
      <c r="A1594" t="s">
        <v>739</v>
      </c>
      <c r="B1594" t="s">
        <v>185</v>
      </c>
      <c r="C1594" s="5">
        <v>366424</v>
      </c>
      <c r="D1594" s="5">
        <v>6509</v>
      </c>
      <c r="E1594">
        <v>276984</v>
      </c>
      <c r="F1594" s="4" t="s">
        <v>68</v>
      </c>
      <c r="G1594" t="s">
        <v>29</v>
      </c>
      <c r="H1594" t="s">
        <v>69</v>
      </c>
    </row>
    <row r="1595" spans="1:8" x14ac:dyDescent="0.25">
      <c r="A1595" t="s">
        <v>739</v>
      </c>
      <c r="B1595" t="s">
        <v>182</v>
      </c>
      <c r="C1595" s="5">
        <v>5022546</v>
      </c>
      <c r="D1595" s="5">
        <v>87477</v>
      </c>
      <c r="E1595">
        <v>2977706</v>
      </c>
      <c r="F1595" s="4" t="s">
        <v>183</v>
      </c>
      <c r="G1595" t="s">
        <v>29</v>
      </c>
      <c r="H1595" t="s">
        <v>184</v>
      </c>
    </row>
    <row r="1596" spans="1:8" x14ac:dyDescent="0.25">
      <c r="A1596" t="s">
        <v>739</v>
      </c>
      <c r="B1596" t="s">
        <v>179</v>
      </c>
      <c r="C1596" s="5">
        <v>6910</v>
      </c>
      <c r="D1596" s="5">
        <v>45</v>
      </c>
      <c r="E1596">
        <v>2427</v>
      </c>
      <c r="F1596" s="4" t="s">
        <v>86</v>
      </c>
      <c r="G1596" t="s">
        <v>29</v>
      </c>
      <c r="H1596" t="s">
        <v>87</v>
      </c>
    </row>
    <row r="1597" spans="1:8" x14ac:dyDescent="0.25">
      <c r="A1597" t="s">
        <v>739</v>
      </c>
      <c r="B1597" t="s">
        <v>176</v>
      </c>
      <c r="C1597" s="5">
        <v>334751</v>
      </c>
      <c r="D1597" s="5">
        <v>18889</v>
      </c>
      <c r="E1597">
        <v>118563</v>
      </c>
      <c r="F1597" s="4" t="s">
        <v>756</v>
      </c>
      <c r="G1597" t="s">
        <v>29</v>
      </c>
      <c r="H1597" t="s">
        <v>757</v>
      </c>
    </row>
    <row r="1598" spans="1:8" x14ac:dyDescent="0.25">
      <c r="A1598" t="s">
        <v>739</v>
      </c>
      <c r="B1598" t="s">
        <v>173</v>
      </c>
      <c r="C1598" s="5">
        <v>201194</v>
      </c>
      <c r="D1598" s="5">
        <v>1574</v>
      </c>
      <c r="E1598">
        <v>89025</v>
      </c>
      <c r="F1598" s="4" t="s">
        <v>297</v>
      </c>
      <c r="G1598" t="s">
        <v>29</v>
      </c>
      <c r="H1598" t="s">
        <v>298</v>
      </c>
    </row>
    <row r="1599" spans="1:8" x14ac:dyDescent="0.25">
      <c r="A1599" t="s">
        <v>739</v>
      </c>
      <c r="B1599" t="s">
        <v>170</v>
      </c>
      <c r="C1599" s="5">
        <v>518274</v>
      </c>
      <c r="D1599" s="5">
        <v>32983</v>
      </c>
      <c r="E1599">
        <v>456941</v>
      </c>
      <c r="F1599" s="4" t="s">
        <v>715</v>
      </c>
      <c r="G1599" t="s">
        <v>29</v>
      </c>
      <c r="H1599" t="s">
        <v>716</v>
      </c>
    </row>
    <row r="1600" spans="1:8" x14ac:dyDescent="0.25">
      <c r="A1600" t="s">
        <v>739</v>
      </c>
      <c r="B1600" t="s">
        <v>167</v>
      </c>
      <c r="C1600" s="5">
        <v>206878</v>
      </c>
      <c r="D1600" s="5">
        <v>5936</v>
      </c>
      <c r="E1600">
        <v>199218</v>
      </c>
      <c r="F1600" s="4" t="s">
        <v>168</v>
      </c>
      <c r="G1600" t="s">
        <v>29</v>
      </c>
      <c r="H1600" t="s">
        <v>169</v>
      </c>
    </row>
    <row r="1601" spans="1:8" x14ac:dyDescent="0.25">
      <c r="A1601" t="s">
        <v>739</v>
      </c>
      <c r="B1601" t="s">
        <v>164</v>
      </c>
      <c r="C1601" s="5">
        <v>385181</v>
      </c>
      <c r="D1601" s="5">
        <v>4146</v>
      </c>
      <c r="E1601">
        <v>147711</v>
      </c>
      <c r="F1601" s="4" t="s">
        <v>758</v>
      </c>
      <c r="G1601" t="s">
        <v>29</v>
      </c>
      <c r="H1601" t="s">
        <v>759</v>
      </c>
    </row>
    <row r="1602" spans="1:8" x14ac:dyDescent="0.25">
      <c r="A1602" t="s">
        <v>739</v>
      </c>
      <c r="B1602" t="s">
        <v>161</v>
      </c>
      <c r="C1602" s="5">
        <v>4961</v>
      </c>
      <c r="D1602" s="5">
        <v>32</v>
      </c>
      <c r="E1602">
        <v>1839</v>
      </c>
      <c r="F1602" s="4" t="s">
        <v>86</v>
      </c>
      <c r="G1602" t="s">
        <v>29</v>
      </c>
      <c r="H1602" t="s">
        <v>87</v>
      </c>
    </row>
    <row r="1603" spans="1:8" x14ac:dyDescent="0.25">
      <c r="A1603" t="s">
        <v>739</v>
      </c>
      <c r="B1603" t="s">
        <v>160</v>
      </c>
      <c r="C1603" s="5">
        <v>396643</v>
      </c>
      <c r="D1603" s="5">
        <v>2722</v>
      </c>
      <c r="E1603">
        <v>292405</v>
      </c>
      <c r="F1603" s="4" t="s">
        <v>180</v>
      </c>
      <c r="G1603" t="s">
        <v>29</v>
      </c>
      <c r="H1603" t="s">
        <v>181</v>
      </c>
    </row>
    <row r="1604" spans="1:8" x14ac:dyDescent="0.25">
      <c r="A1604" t="s">
        <v>739</v>
      </c>
      <c r="B1604" t="s">
        <v>157</v>
      </c>
      <c r="C1604" s="5">
        <v>13489</v>
      </c>
      <c r="D1604" s="5">
        <v>183</v>
      </c>
      <c r="E1604">
        <v>7137</v>
      </c>
      <c r="F1604" s="4" t="s">
        <v>630</v>
      </c>
      <c r="G1604" t="s">
        <v>29</v>
      </c>
      <c r="H1604" t="s">
        <v>631</v>
      </c>
    </row>
    <row r="1605" spans="1:8" x14ac:dyDescent="0.25">
      <c r="A1605" t="s">
        <v>739</v>
      </c>
      <c r="B1605" t="s">
        <v>154</v>
      </c>
      <c r="C1605" s="5">
        <v>4722102</v>
      </c>
      <c r="D1605" s="5">
        <v>96351</v>
      </c>
      <c r="E1605">
        <v>1170869</v>
      </c>
      <c r="F1605" s="4" t="s">
        <v>230</v>
      </c>
      <c r="G1605" t="s">
        <v>29</v>
      </c>
      <c r="H1605" t="s">
        <v>231</v>
      </c>
    </row>
    <row r="1606" spans="1:8" x14ac:dyDescent="0.25">
      <c r="A1606" t="s">
        <v>739</v>
      </c>
      <c r="B1606" t="s">
        <v>151</v>
      </c>
      <c r="C1606" s="5">
        <v>1792707</v>
      </c>
      <c r="D1606" s="5">
        <v>30878</v>
      </c>
      <c r="E1606">
        <v>277429</v>
      </c>
      <c r="F1606" s="4" t="s">
        <v>240</v>
      </c>
      <c r="G1606" t="s">
        <v>29</v>
      </c>
      <c r="H1606" t="s">
        <v>241</v>
      </c>
    </row>
    <row r="1607" spans="1:8" x14ac:dyDescent="0.25">
      <c r="A1607" t="s">
        <v>739</v>
      </c>
      <c r="B1607" t="s">
        <v>148</v>
      </c>
      <c r="C1607" s="5">
        <v>125161</v>
      </c>
      <c r="D1607" s="5">
        <v>576</v>
      </c>
      <c r="E1607">
        <v>25622</v>
      </c>
      <c r="F1607" s="4" t="s">
        <v>149</v>
      </c>
      <c r="G1607" t="s">
        <v>29</v>
      </c>
      <c r="H1607" t="s">
        <v>150</v>
      </c>
    </row>
    <row r="1608" spans="1:8" x14ac:dyDescent="0.25">
      <c r="A1608" t="s">
        <v>739</v>
      </c>
      <c r="B1608" t="s">
        <v>145</v>
      </c>
      <c r="C1608" s="5">
        <v>38233</v>
      </c>
      <c r="D1608" s="5">
        <v>349</v>
      </c>
      <c r="E1608">
        <v>35281</v>
      </c>
      <c r="F1608" s="4" t="s">
        <v>146</v>
      </c>
      <c r="G1608" t="s">
        <v>29</v>
      </c>
      <c r="H1608" t="s">
        <v>147</v>
      </c>
    </row>
    <row r="1609" spans="1:8" x14ac:dyDescent="0.25">
      <c r="A1609" t="s">
        <v>739</v>
      </c>
      <c r="B1609" t="s">
        <v>144</v>
      </c>
      <c r="C1609" s="5">
        <v>954342</v>
      </c>
      <c r="D1609" s="5">
        <v>8252</v>
      </c>
      <c r="E1609">
        <v>5280</v>
      </c>
      <c r="F1609" s="4" t="s">
        <v>122</v>
      </c>
      <c r="G1609" t="s">
        <v>29</v>
      </c>
      <c r="H1609" t="s">
        <v>123</v>
      </c>
    </row>
    <row r="1610" spans="1:8" x14ac:dyDescent="0.25">
      <c r="A1610" t="s">
        <v>739</v>
      </c>
      <c r="B1610" t="s">
        <v>143</v>
      </c>
      <c r="C1610" s="5">
        <v>561829</v>
      </c>
      <c r="D1610" s="5">
        <v>7124</v>
      </c>
      <c r="E1610">
        <v>206410</v>
      </c>
      <c r="F1610" s="4" t="s">
        <v>53</v>
      </c>
      <c r="G1610" t="s">
        <v>29</v>
      </c>
      <c r="H1610" t="s">
        <v>54</v>
      </c>
    </row>
    <row r="1611" spans="1:8" x14ac:dyDescent="0.25">
      <c r="A1611" t="s">
        <v>739</v>
      </c>
      <c r="B1611" t="s">
        <v>140</v>
      </c>
      <c r="C1611" s="5">
        <v>5009007</v>
      </c>
      <c r="D1611" s="5">
        <v>127417</v>
      </c>
      <c r="E1611">
        <v>865963</v>
      </c>
      <c r="F1611" s="4" t="s">
        <v>141</v>
      </c>
      <c r="G1611" t="s">
        <v>29</v>
      </c>
      <c r="H1611" t="s">
        <v>142</v>
      </c>
    </row>
    <row r="1612" spans="1:8" x14ac:dyDescent="0.25">
      <c r="A1612" t="s">
        <v>739</v>
      </c>
      <c r="B1612" t="s">
        <v>137</v>
      </c>
      <c r="C1612" s="5">
        <v>97605</v>
      </c>
      <c r="D1612" s="5">
        <v>4636</v>
      </c>
      <c r="E1612">
        <v>12507</v>
      </c>
      <c r="F1612" s="4" t="s">
        <v>711</v>
      </c>
      <c r="G1612" t="s">
        <v>29</v>
      </c>
      <c r="H1612" t="s">
        <v>712</v>
      </c>
    </row>
    <row r="1613" spans="1:8" x14ac:dyDescent="0.25">
      <c r="A1613" t="s">
        <v>739</v>
      </c>
      <c r="B1613" t="s">
        <v>134</v>
      </c>
      <c r="C1613" s="5">
        <v>104348</v>
      </c>
      <c r="D1613" s="5">
        <v>1731</v>
      </c>
      <c r="E1613">
        <v>30264</v>
      </c>
      <c r="F1613" s="4" t="s">
        <v>135</v>
      </c>
      <c r="G1613" t="s">
        <v>29</v>
      </c>
      <c r="H1613" t="s">
        <v>136</v>
      </c>
    </row>
    <row r="1614" spans="1:8" x14ac:dyDescent="0.25">
      <c r="A1614" t="s">
        <v>739</v>
      </c>
      <c r="B1614" t="s">
        <v>131</v>
      </c>
      <c r="C1614" s="5">
        <v>1701316</v>
      </c>
      <c r="D1614" s="5">
        <v>37795</v>
      </c>
      <c r="E1614">
        <v>1310949</v>
      </c>
      <c r="F1614" s="4" t="s">
        <v>673</v>
      </c>
      <c r="G1614" t="s">
        <v>29</v>
      </c>
      <c r="H1614" t="s">
        <v>674</v>
      </c>
    </row>
    <row r="1615" spans="1:8" x14ac:dyDescent="0.25">
      <c r="A1615" t="s">
        <v>739</v>
      </c>
      <c r="B1615" t="s">
        <v>128</v>
      </c>
      <c r="C1615" s="5">
        <v>61370</v>
      </c>
      <c r="D1615" s="5">
        <v>696</v>
      </c>
      <c r="E1615">
        <v>482</v>
      </c>
      <c r="F1615" s="4" t="s">
        <v>267</v>
      </c>
      <c r="G1615" t="s">
        <v>29</v>
      </c>
      <c r="H1615" t="s">
        <v>268</v>
      </c>
    </row>
    <row r="1616" spans="1:8" x14ac:dyDescent="0.25">
      <c r="A1616" t="s">
        <v>739</v>
      </c>
      <c r="B1616" t="s">
        <v>127</v>
      </c>
      <c r="C1616" s="5">
        <v>884597</v>
      </c>
      <c r="D1616" s="5">
        <v>11265</v>
      </c>
      <c r="E1616">
        <v>253721</v>
      </c>
      <c r="F1616" s="4" t="s">
        <v>53</v>
      </c>
      <c r="G1616" t="s">
        <v>29</v>
      </c>
      <c r="H1616" t="s">
        <v>54</v>
      </c>
    </row>
    <row r="1617" spans="1:8" x14ac:dyDescent="0.25">
      <c r="A1617" t="s">
        <v>739</v>
      </c>
      <c r="B1617" t="s">
        <v>124</v>
      </c>
      <c r="C1617" s="5">
        <v>17944</v>
      </c>
      <c r="D1617" s="5">
        <v>297</v>
      </c>
      <c r="E1617">
        <v>2234</v>
      </c>
      <c r="F1617" s="4" t="s">
        <v>135</v>
      </c>
      <c r="G1617" t="s">
        <v>29</v>
      </c>
      <c r="H1617" t="s">
        <v>136</v>
      </c>
    </row>
    <row r="1618" spans="1:8" x14ac:dyDescent="0.25">
      <c r="A1618" t="s">
        <v>739</v>
      </c>
      <c r="B1618" t="s">
        <v>121</v>
      </c>
      <c r="C1618" s="5">
        <v>11579</v>
      </c>
      <c r="D1618" s="5">
        <v>100</v>
      </c>
      <c r="E1618">
        <v>8885</v>
      </c>
      <c r="F1618" s="4" t="s">
        <v>122</v>
      </c>
      <c r="G1618" t="s">
        <v>29</v>
      </c>
      <c r="H1618" t="s">
        <v>123</v>
      </c>
    </row>
    <row r="1619" spans="1:8" x14ac:dyDescent="0.25">
      <c r="A1619" t="s">
        <v>739</v>
      </c>
      <c r="B1619" t="s">
        <v>118</v>
      </c>
      <c r="C1619" s="5">
        <v>57587</v>
      </c>
      <c r="D1619" s="5">
        <v>1098</v>
      </c>
      <c r="E1619">
        <v>41317</v>
      </c>
      <c r="F1619" s="4" t="s">
        <v>119</v>
      </c>
      <c r="G1619" t="s">
        <v>29</v>
      </c>
      <c r="H1619" t="s">
        <v>120</v>
      </c>
    </row>
    <row r="1620" spans="1:8" x14ac:dyDescent="0.25">
      <c r="A1620" t="s">
        <v>739</v>
      </c>
      <c r="B1620" t="s">
        <v>115</v>
      </c>
      <c r="C1620" s="5">
        <v>1733440</v>
      </c>
      <c r="D1620" s="5">
        <v>29169</v>
      </c>
      <c r="E1620">
        <v>866070</v>
      </c>
      <c r="F1620" s="4" t="s">
        <v>116</v>
      </c>
      <c r="G1620" t="s">
        <v>29</v>
      </c>
      <c r="H1620" t="s">
        <v>117</v>
      </c>
    </row>
    <row r="1621" spans="1:8" x14ac:dyDescent="0.25">
      <c r="A1621" t="s">
        <v>739</v>
      </c>
      <c r="B1621" t="s">
        <v>112</v>
      </c>
      <c r="C1621" s="5">
        <v>27673</v>
      </c>
      <c r="D1621" s="5">
        <v>505</v>
      </c>
      <c r="E1621">
        <v>12967</v>
      </c>
      <c r="F1621" s="4" t="s">
        <v>563</v>
      </c>
      <c r="G1621" t="s">
        <v>29</v>
      </c>
      <c r="H1621" t="s">
        <v>564</v>
      </c>
    </row>
    <row r="1622" spans="1:8" x14ac:dyDescent="0.25">
      <c r="A1622" t="s">
        <v>739</v>
      </c>
      <c r="B1622" t="s">
        <v>109</v>
      </c>
      <c r="C1622" s="5">
        <v>608031</v>
      </c>
      <c r="D1622" s="5">
        <v>4696</v>
      </c>
      <c r="E1622">
        <v>102070</v>
      </c>
      <c r="F1622" s="4" t="s">
        <v>110</v>
      </c>
      <c r="G1622" t="s">
        <v>29</v>
      </c>
      <c r="H1622" t="s">
        <v>111</v>
      </c>
    </row>
    <row r="1623" spans="1:8" x14ac:dyDescent="0.25">
      <c r="A1623" t="s">
        <v>739</v>
      </c>
      <c r="B1623" t="s">
        <v>106</v>
      </c>
      <c r="C1623" s="5">
        <v>187281</v>
      </c>
      <c r="D1623" s="5">
        <v>2407</v>
      </c>
      <c r="E1623">
        <v>5969</v>
      </c>
      <c r="F1623" s="4" t="s">
        <v>417</v>
      </c>
      <c r="G1623" t="s">
        <v>29</v>
      </c>
      <c r="H1623" t="s">
        <v>418</v>
      </c>
    </row>
    <row r="1624" spans="1:8" x14ac:dyDescent="0.25">
      <c r="A1624" t="s">
        <v>739</v>
      </c>
      <c r="B1624" t="s">
        <v>103</v>
      </c>
      <c r="C1624" s="5">
        <v>2622</v>
      </c>
      <c r="D1624" s="5">
        <v>3</v>
      </c>
      <c r="E1624">
        <v>1562</v>
      </c>
      <c r="F1624" s="4" t="s">
        <v>104</v>
      </c>
      <c r="G1624" t="s">
        <v>29</v>
      </c>
      <c r="H1624" t="s">
        <v>105</v>
      </c>
    </row>
    <row r="1625" spans="1:8" x14ac:dyDescent="0.25">
      <c r="A1625" t="s">
        <v>739</v>
      </c>
      <c r="B1625" t="s">
        <v>100</v>
      </c>
      <c r="C1625" s="5">
        <v>22485</v>
      </c>
      <c r="D1625" s="5">
        <v>657</v>
      </c>
      <c r="E1625">
        <v>12019</v>
      </c>
      <c r="F1625" s="4" t="s">
        <v>671</v>
      </c>
      <c r="G1625" t="s">
        <v>29</v>
      </c>
      <c r="H1625" t="s">
        <v>672</v>
      </c>
    </row>
    <row r="1626" spans="1:8" x14ac:dyDescent="0.25">
      <c r="A1626" t="s">
        <v>739</v>
      </c>
      <c r="B1626" t="s">
        <v>97</v>
      </c>
      <c r="C1626" s="5">
        <v>21849137</v>
      </c>
      <c r="D1626" s="5">
        <v>608671</v>
      </c>
      <c r="E1626">
        <v>11191884</v>
      </c>
      <c r="F1626" s="4" t="s">
        <v>662</v>
      </c>
      <c r="G1626" t="s">
        <v>29</v>
      </c>
      <c r="H1626" t="s">
        <v>663</v>
      </c>
    </row>
    <row r="1627" spans="1:8" x14ac:dyDescent="0.25">
      <c r="A1627" t="s">
        <v>739</v>
      </c>
      <c r="B1627" t="s">
        <v>94</v>
      </c>
      <c r="C1627" s="5">
        <v>515373</v>
      </c>
      <c r="D1627" s="5">
        <v>18942</v>
      </c>
      <c r="E1627">
        <v>396561</v>
      </c>
      <c r="F1627" s="4" t="s">
        <v>760</v>
      </c>
      <c r="G1627" t="s">
        <v>29</v>
      </c>
      <c r="H1627" t="s">
        <v>761</v>
      </c>
    </row>
    <row r="1628" spans="1:8" x14ac:dyDescent="0.25">
      <c r="A1628" t="s">
        <v>739</v>
      </c>
      <c r="B1628" t="s">
        <v>91</v>
      </c>
      <c r="C1628" s="5">
        <v>13545</v>
      </c>
      <c r="D1628" s="5">
        <v>91</v>
      </c>
      <c r="E1628">
        <v>822</v>
      </c>
      <c r="F1628" s="4" t="s">
        <v>92</v>
      </c>
      <c r="G1628" t="s">
        <v>29</v>
      </c>
      <c r="H1628" t="s">
        <v>93</v>
      </c>
    </row>
    <row r="1629" spans="1:8" x14ac:dyDescent="0.25">
      <c r="A1629" t="s">
        <v>739</v>
      </c>
      <c r="B1629" t="s">
        <v>88</v>
      </c>
      <c r="C1629" s="5">
        <v>1660</v>
      </c>
      <c r="D1629" s="5">
        <v>6</v>
      </c>
      <c r="E1629">
        <v>472</v>
      </c>
      <c r="F1629" s="4" t="s">
        <v>89</v>
      </c>
      <c r="G1629" t="s">
        <v>29</v>
      </c>
      <c r="H1629" t="s">
        <v>90</v>
      </c>
    </row>
    <row r="1630" spans="1:8" x14ac:dyDescent="0.25">
      <c r="A1630" t="s">
        <v>739</v>
      </c>
      <c r="B1630" t="s">
        <v>85</v>
      </c>
      <c r="C1630" s="5">
        <v>24804</v>
      </c>
      <c r="D1630" s="5">
        <v>161</v>
      </c>
      <c r="E1630">
        <v>5779</v>
      </c>
      <c r="F1630" s="4" t="s">
        <v>86</v>
      </c>
      <c r="G1630" t="s">
        <v>29</v>
      </c>
      <c r="H1630" t="s">
        <v>87</v>
      </c>
    </row>
    <row r="1631" spans="1:8" x14ac:dyDescent="0.25">
      <c r="A1631" t="s">
        <v>739</v>
      </c>
      <c r="B1631" t="s">
        <v>82</v>
      </c>
      <c r="C1631" s="5">
        <v>20106</v>
      </c>
      <c r="D1631" s="5">
        <v>38</v>
      </c>
      <c r="E1631">
        <v>1042</v>
      </c>
      <c r="F1631" s="4" t="s">
        <v>83</v>
      </c>
      <c r="G1631" t="s">
        <v>29</v>
      </c>
      <c r="H1631" t="s">
        <v>84</v>
      </c>
    </row>
    <row r="1632" spans="1:8" x14ac:dyDescent="0.25">
      <c r="A1632" t="s">
        <v>739</v>
      </c>
      <c r="B1632" t="s">
        <v>79</v>
      </c>
      <c r="C1632" s="5">
        <v>276983</v>
      </c>
      <c r="D1632" s="5">
        <v>1393</v>
      </c>
      <c r="E1632">
        <v>170480</v>
      </c>
      <c r="F1632" s="4" t="s">
        <v>80</v>
      </c>
      <c r="G1632" t="s">
        <v>29</v>
      </c>
      <c r="H1632" t="s">
        <v>81</v>
      </c>
    </row>
    <row r="1633" spans="1:8" x14ac:dyDescent="0.25">
      <c r="A1633" t="s">
        <v>739</v>
      </c>
      <c r="B1633" t="s">
        <v>76</v>
      </c>
      <c r="C1633" s="5">
        <v>623946</v>
      </c>
      <c r="D1633" s="5">
        <v>24755</v>
      </c>
      <c r="E1633">
        <v>411245</v>
      </c>
      <c r="F1633" s="4" t="s">
        <v>567</v>
      </c>
      <c r="G1633" t="s">
        <v>29</v>
      </c>
      <c r="H1633" t="s">
        <v>568</v>
      </c>
    </row>
    <row r="1634" spans="1:8" x14ac:dyDescent="0.25">
      <c r="A1634" t="s">
        <v>739</v>
      </c>
      <c r="B1634" t="s">
        <v>73</v>
      </c>
      <c r="C1634" s="5">
        <v>15103</v>
      </c>
      <c r="D1634" s="5">
        <v>221</v>
      </c>
      <c r="E1634">
        <v>6850</v>
      </c>
      <c r="F1634" s="4" t="s">
        <v>565</v>
      </c>
      <c r="G1634" t="s">
        <v>29</v>
      </c>
      <c r="H1634" t="s">
        <v>566</v>
      </c>
    </row>
    <row r="1635" spans="1:8" x14ac:dyDescent="0.25">
      <c r="A1635" t="s">
        <v>739</v>
      </c>
      <c r="B1635" t="s">
        <v>70</v>
      </c>
      <c r="C1635" s="5">
        <v>1403548</v>
      </c>
      <c r="D1635" s="5">
        <v>26105</v>
      </c>
      <c r="E1635">
        <v>1235562</v>
      </c>
      <c r="F1635" s="4" t="s">
        <v>113</v>
      </c>
      <c r="G1635" t="s">
        <v>29</v>
      </c>
      <c r="H1635" t="s">
        <v>114</v>
      </c>
    </row>
    <row r="1636" spans="1:8" x14ac:dyDescent="0.25">
      <c r="A1636" t="s">
        <v>739</v>
      </c>
      <c r="B1636" t="s">
        <v>67</v>
      </c>
      <c r="C1636" s="5">
        <v>1570485</v>
      </c>
      <c r="D1636" s="5">
        <v>27887</v>
      </c>
      <c r="E1636">
        <v>743432</v>
      </c>
      <c r="F1636" s="4" t="s">
        <v>68</v>
      </c>
      <c r="G1636" t="s">
        <v>29</v>
      </c>
      <c r="H1636" t="s">
        <v>69</v>
      </c>
    </row>
    <row r="1637" spans="1:8" x14ac:dyDescent="0.25">
      <c r="A1637" t="s">
        <v>739</v>
      </c>
      <c r="B1637" t="s">
        <v>64</v>
      </c>
      <c r="C1637" s="5">
        <v>19188</v>
      </c>
      <c r="D1637" s="5">
        <v>167</v>
      </c>
      <c r="E1637">
        <v>9841</v>
      </c>
      <c r="F1637" s="4" t="s">
        <v>498</v>
      </c>
      <c r="G1637" t="s">
        <v>29</v>
      </c>
      <c r="H1637" t="s">
        <v>499</v>
      </c>
    </row>
    <row r="1638" spans="1:8" x14ac:dyDescent="0.25">
      <c r="A1638" t="s">
        <v>739</v>
      </c>
      <c r="B1638" t="s">
        <v>61</v>
      </c>
      <c r="C1638" s="5">
        <v>257401</v>
      </c>
      <c r="D1638" s="5">
        <v>11717</v>
      </c>
      <c r="E1638">
        <v>69533</v>
      </c>
      <c r="F1638" s="4" t="s">
        <v>561</v>
      </c>
      <c r="G1638" t="s">
        <v>29</v>
      </c>
      <c r="H1638" t="s">
        <v>562</v>
      </c>
    </row>
    <row r="1639" spans="1:8" x14ac:dyDescent="0.25">
      <c r="A1639" t="s">
        <v>739</v>
      </c>
      <c r="B1639" t="s">
        <v>58</v>
      </c>
      <c r="C1639" s="5">
        <v>539710</v>
      </c>
      <c r="D1639" s="5">
        <v>7182</v>
      </c>
      <c r="E1639">
        <v>328451</v>
      </c>
      <c r="F1639" s="4" t="s">
        <v>59</v>
      </c>
      <c r="G1639" t="s">
        <v>29</v>
      </c>
      <c r="H1639" t="s">
        <v>60</v>
      </c>
    </row>
    <row r="1640" spans="1:8" x14ac:dyDescent="0.25">
      <c r="A1640" t="s">
        <v>739</v>
      </c>
      <c r="B1640" t="s">
        <v>55</v>
      </c>
      <c r="C1640" s="5">
        <v>177393</v>
      </c>
      <c r="D1640" s="5">
        <v>1795</v>
      </c>
      <c r="E1640">
        <v>50396</v>
      </c>
      <c r="F1640" s="4" t="s">
        <v>559</v>
      </c>
      <c r="G1640" t="s">
        <v>29</v>
      </c>
      <c r="H1640" t="s">
        <v>560</v>
      </c>
    </row>
    <row r="1641" spans="1:8" x14ac:dyDescent="0.25">
      <c r="A1641" t="s">
        <v>739</v>
      </c>
      <c r="B1641" t="s">
        <v>52</v>
      </c>
      <c r="C1641" s="5">
        <v>856002</v>
      </c>
      <c r="D1641" s="5">
        <v>11419</v>
      </c>
      <c r="E1641">
        <v>802429</v>
      </c>
      <c r="F1641" s="4" t="s">
        <v>59</v>
      </c>
      <c r="G1641" t="s">
        <v>29</v>
      </c>
      <c r="H1641" t="s">
        <v>60</v>
      </c>
    </row>
    <row r="1642" spans="1:8" x14ac:dyDescent="0.25">
      <c r="A1642" t="s">
        <v>739</v>
      </c>
      <c r="B1642" t="s">
        <v>49</v>
      </c>
      <c r="C1642" s="5">
        <v>5293989</v>
      </c>
      <c r="D1642" s="5">
        <v>116055</v>
      </c>
      <c r="E1642">
        <v>185827</v>
      </c>
      <c r="F1642" s="4" t="s">
        <v>50</v>
      </c>
      <c r="G1642" t="s">
        <v>29</v>
      </c>
      <c r="H1642" t="s">
        <v>51</v>
      </c>
    </row>
    <row r="1643" spans="1:8" x14ac:dyDescent="0.25">
      <c r="A1643" t="s">
        <v>739</v>
      </c>
      <c r="B1643" t="s">
        <v>46</v>
      </c>
      <c r="C1643" s="5">
        <v>64583</v>
      </c>
      <c r="D1643" s="5">
        <v>1718</v>
      </c>
      <c r="E1643">
        <v>33778</v>
      </c>
      <c r="F1643" s="4" t="s">
        <v>47</v>
      </c>
      <c r="G1643" t="s">
        <v>29</v>
      </c>
      <c r="H1643" t="s">
        <v>48</v>
      </c>
    </row>
    <row r="1644" spans="1:8" x14ac:dyDescent="0.25">
      <c r="A1644" t="s">
        <v>739</v>
      </c>
      <c r="B1644" t="s">
        <v>43</v>
      </c>
      <c r="C1644" s="5">
        <v>315004</v>
      </c>
      <c r="D1644" s="5">
        <v>6532</v>
      </c>
      <c r="E1644">
        <v>121993</v>
      </c>
      <c r="F1644" s="4" t="s">
        <v>310</v>
      </c>
      <c r="G1644" t="s">
        <v>29</v>
      </c>
      <c r="H1644" t="s">
        <v>311</v>
      </c>
    </row>
    <row r="1645" spans="1:8" x14ac:dyDescent="0.25">
      <c r="A1645" t="s">
        <v>739</v>
      </c>
      <c r="B1645" t="s">
        <v>40</v>
      </c>
      <c r="C1645" s="5">
        <v>187363</v>
      </c>
      <c r="D1645" s="5">
        <v>2944</v>
      </c>
      <c r="E1645">
        <v>66439</v>
      </c>
      <c r="F1645" s="4" t="s">
        <v>217</v>
      </c>
      <c r="G1645" t="s">
        <v>29</v>
      </c>
      <c r="H1645" t="s">
        <v>218</v>
      </c>
    </row>
    <row r="1646" spans="1:8" x14ac:dyDescent="0.25">
      <c r="A1646" t="s">
        <v>739</v>
      </c>
      <c r="B1646" t="s">
        <v>37</v>
      </c>
      <c r="C1646" s="5">
        <v>4072</v>
      </c>
      <c r="D1646" s="5">
        <v>104</v>
      </c>
      <c r="E1646">
        <v>2782</v>
      </c>
      <c r="F1646" s="4" t="s">
        <v>513</v>
      </c>
      <c r="G1646" t="s">
        <v>29</v>
      </c>
      <c r="H1646" t="s">
        <v>514</v>
      </c>
    </row>
    <row r="1647" spans="1:8" x14ac:dyDescent="0.25">
      <c r="A1647" t="s">
        <v>739</v>
      </c>
      <c r="B1647" t="s">
        <v>34</v>
      </c>
      <c r="C1647" s="5">
        <v>156363</v>
      </c>
      <c r="D1647" s="5">
        <v>7284</v>
      </c>
      <c r="E1647">
        <v>37574</v>
      </c>
      <c r="F1647" s="4" t="s">
        <v>35</v>
      </c>
      <c r="G1647" t="s">
        <v>29</v>
      </c>
      <c r="H1647" t="s">
        <v>36</v>
      </c>
    </row>
    <row r="1648" spans="1:8" x14ac:dyDescent="0.25">
      <c r="A1648" t="s">
        <v>739</v>
      </c>
      <c r="B1648" t="s">
        <v>31</v>
      </c>
      <c r="C1648" s="5">
        <v>740209</v>
      </c>
      <c r="D1648" s="5">
        <v>2137</v>
      </c>
      <c r="E1648">
        <v>282070</v>
      </c>
      <c r="F1648" s="4" t="s">
        <v>32</v>
      </c>
      <c r="G1648" t="s">
        <v>29</v>
      </c>
      <c r="H1648" t="s">
        <v>33</v>
      </c>
    </row>
    <row r="1649" spans="1:8" x14ac:dyDescent="0.25">
      <c r="A1649" t="s">
        <v>739</v>
      </c>
      <c r="B1649" t="s">
        <v>27</v>
      </c>
      <c r="C1649" s="5">
        <v>15618</v>
      </c>
      <c r="D1649" s="5">
        <v>130</v>
      </c>
      <c r="E1649">
        <v>9432</v>
      </c>
      <c r="F1649" s="4" t="s">
        <v>28</v>
      </c>
      <c r="G1649" t="s">
        <v>29</v>
      </c>
      <c r="H1649" t="s">
        <v>30</v>
      </c>
    </row>
    <row r="1650" spans="1:8" x14ac:dyDescent="0.25">
      <c r="A1650" t="s">
        <v>762</v>
      </c>
      <c r="B1650" t="s">
        <v>27</v>
      </c>
      <c r="C1650" s="5">
        <v>15572</v>
      </c>
      <c r="D1650" s="5">
        <v>130</v>
      </c>
      <c r="E1650">
        <v>6265</v>
      </c>
      <c r="F1650" s="4" t="s">
        <v>28</v>
      </c>
      <c r="G1650" t="s">
        <v>29</v>
      </c>
      <c r="H1650" t="s">
        <v>30</v>
      </c>
    </row>
    <row r="1651" spans="1:8" x14ac:dyDescent="0.25">
      <c r="A1651" t="s">
        <v>762</v>
      </c>
      <c r="B1651" t="s">
        <v>31</v>
      </c>
      <c r="C1651" s="5">
        <v>740136</v>
      </c>
      <c r="D1651" s="5">
        <v>2137</v>
      </c>
      <c r="E1651">
        <v>280929</v>
      </c>
      <c r="F1651" s="4" t="s">
        <v>32</v>
      </c>
      <c r="G1651" t="s">
        <v>29</v>
      </c>
      <c r="H1651" t="s">
        <v>33</v>
      </c>
    </row>
    <row r="1652" spans="1:8" x14ac:dyDescent="0.25">
      <c r="A1652" t="s">
        <v>762</v>
      </c>
      <c r="B1652" t="s">
        <v>34</v>
      </c>
      <c r="C1652" s="5">
        <v>156323</v>
      </c>
      <c r="D1652" s="5">
        <v>7284</v>
      </c>
      <c r="E1652">
        <v>24758</v>
      </c>
      <c r="F1652" s="4" t="s">
        <v>35</v>
      </c>
      <c r="G1652" t="s">
        <v>29</v>
      </c>
      <c r="H1652" t="s">
        <v>36</v>
      </c>
    </row>
    <row r="1653" spans="1:8" x14ac:dyDescent="0.25">
      <c r="A1653" t="s">
        <v>762</v>
      </c>
      <c r="B1653" t="s">
        <v>37</v>
      </c>
      <c r="C1653" s="5">
        <v>4069</v>
      </c>
      <c r="D1653" s="5">
        <v>102</v>
      </c>
      <c r="E1653">
        <v>3225</v>
      </c>
      <c r="F1653" s="4" t="s">
        <v>700</v>
      </c>
      <c r="G1653" t="s">
        <v>29</v>
      </c>
      <c r="H1653" t="s">
        <v>701</v>
      </c>
    </row>
    <row r="1654" spans="1:8" x14ac:dyDescent="0.25">
      <c r="A1654" t="s">
        <v>762</v>
      </c>
      <c r="B1654" t="s">
        <v>40</v>
      </c>
      <c r="C1654" s="5">
        <v>186793</v>
      </c>
      <c r="D1654" s="5">
        <v>2940</v>
      </c>
      <c r="E1654">
        <v>47331</v>
      </c>
      <c r="F1654" s="4" t="s">
        <v>217</v>
      </c>
      <c r="G1654" t="s">
        <v>29</v>
      </c>
      <c r="H1654" t="s">
        <v>218</v>
      </c>
    </row>
    <row r="1655" spans="1:8" x14ac:dyDescent="0.25">
      <c r="A1655" t="s">
        <v>762</v>
      </c>
      <c r="B1655" t="s">
        <v>43</v>
      </c>
      <c r="C1655" s="5">
        <v>312674</v>
      </c>
      <c r="D1655" s="5">
        <v>6491</v>
      </c>
      <c r="E1655">
        <v>223947</v>
      </c>
      <c r="F1655" s="4" t="s">
        <v>549</v>
      </c>
      <c r="G1655" t="s">
        <v>29</v>
      </c>
      <c r="H1655" t="s">
        <v>550</v>
      </c>
    </row>
    <row r="1656" spans="1:8" x14ac:dyDescent="0.25">
      <c r="A1656" t="s">
        <v>762</v>
      </c>
      <c r="B1656" t="s">
        <v>46</v>
      </c>
      <c r="C1656" s="5">
        <v>64533</v>
      </c>
      <c r="D1656" s="5">
        <v>1716</v>
      </c>
      <c r="E1656">
        <v>40136</v>
      </c>
      <c r="F1656" s="4" t="s">
        <v>47</v>
      </c>
      <c r="G1656" t="s">
        <v>29</v>
      </c>
      <c r="H1656" t="s">
        <v>48</v>
      </c>
    </row>
    <row r="1657" spans="1:8" x14ac:dyDescent="0.25">
      <c r="A1657" t="s">
        <v>762</v>
      </c>
      <c r="B1657" t="s">
        <v>49</v>
      </c>
      <c r="C1657" s="5">
        <v>5292549</v>
      </c>
      <c r="D1657" s="5">
        <v>116029</v>
      </c>
      <c r="E1657">
        <v>4370395</v>
      </c>
      <c r="F1657" s="4" t="s">
        <v>50</v>
      </c>
      <c r="G1657" t="s">
        <v>29</v>
      </c>
      <c r="H1657" t="s">
        <v>51</v>
      </c>
    </row>
    <row r="1658" spans="1:8" x14ac:dyDescent="0.25">
      <c r="A1658" t="s">
        <v>762</v>
      </c>
      <c r="B1658" t="s">
        <v>52</v>
      </c>
      <c r="C1658" s="5">
        <v>847408</v>
      </c>
      <c r="D1658" s="5">
        <v>11400</v>
      </c>
      <c r="E1658">
        <v>8758</v>
      </c>
      <c r="F1658" s="4" t="s">
        <v>409</v>
      </c>
      <c r="G1658" t="s">
        <v>29</v>
      </c>
      <c r="H1658" t="s">
        <v>410</v>
      </c>
    </row>
    <row r="1659" spans="1:8" x14ac:dyDescent="0.25">
      <c r="A1659" t="s">
        <v>762</v>
      </c>
      <c r="B1659" t="s">
        <v>55</v>
      </c>
      <c r="C1659" s="5">
        <v>175813</v>
      </c>
      <c r="D1659" s="5">
        <v>1781</v>
      </c>
      <c r="E1659">
        <v>55921</v>
      </c>
      <c r="F1659" s="4" t="s">
        <v>559</v>
      </c>
      <c r="G1659" t="s">
        <v>29</v>
      </c>
      <c r="H1659" t="s">
        <v>560</v>
      </c>
    </row>
    <row r="1660" spans="1:8" x14ac:dyDescent="0.25">
      <c r="A1660" t="s">
        <v>762</v>
      </c>
      <c r="B1660" t="s">
        <v>58</v>
      </c>
      <c r="C1660" s="5">
        <v>537004</v>
      </c>
      <c r="D1660" s="5">
        <v>7153</v>
      </c>
      <c r="E1660">
        <v>197563</v>
      </c>
      <c r="F1660" s="4" t="s">
        <v>59</v>
      </c>
      <c r="G1660" t="s">
        <v>29</v>
      </c>
      <c r="H1660" t="s">
        <v>60</v>
      </c>
    </row>
    <row r="1661" spans="1:8" x14ac:dyDescent="0.25">
      <c r="A1661" t="s">
        <v>762</v>
      </c>
      <c r="B1661" t="s">
        <v>61</v>
      </c>
      <c r="C1661" s="5">
        <v>256307</v>
      </c>
      <c r="D1661" s="5">
        <v>11685</v>
      </c>
      <c r="E1661">
        <v>237272</v>
      </c>
      <c r="F1661" s="4" t="s">
        <v>664</v>
      </c>
      <c r="G1661" t="s">
        <v>29</v>
      </c>
      <c r="H1661" t="s">
        <v>665</v>
      </c>
    </row>
    <row r="1662" spans="1:8" x14ac:dyDescent="0.25">
      <c r="A1662" t="s">
        <v>762</v>
      </c>
      <c r="B1662" t="s">
        <v>64</v>
      </c>
      <c r="C1662" s="5">
        <v>18852</v>
      </c>
      <c r="D1662" s="5">
        <v>164</v>
      </c>
      <c r="E1662">
        <v>3499</v>
      </c>
      <c r="F1662" s="4" t="s">
        <v>498</v>
      </c>
      <c r="G1662" t="s">
        <v>29</v>
      </c>
      <c r="H1662" t="s">
        <v>499</v>
      </c>
    </row>
    <row r="1663" spans="1:8" x14ac:dyDescent="0.25">
      <c r="A1663" t="s">
        <v>762</v>
      </c>
      <c r="B1663" t="s">
        <v>67</v>
      </c>
      <c r="C1663" s="5">
        <v>1570238</v>
      </c>
      <c r="D1663" s="5">
        <v>27880</v>
      </c>
      <c r="E1663">
        <v>537438</v>
      </c>
      <c r="F1663" s="4" t="s">
        <v>68</v>
      </c>
      <c r="G1663" t="s">
        <v>29</v>
      </c>
      <c r="H1663" t="s">
        <v>69</v>
      </c>
    </row>
    <row r="1664" spans="1:8" x14ac:dyDescent="0.25">
      <c r="A1664" t="s">
        <v>762</v>
      </c>
      <c r="B1664" t="s">
        <v>70</v>
      </c>
      <c r="C1664" s="5">
        <v>1393358</v>
      </c>
      <c r="D1664" s="5">
        <v>26083</v>
      </c>
      <c r="E1664">
        <v>1047561</v>
      </c>
      <c r="F1664" s="4" t="s">
        <v>763</v>
      </c>
      <c r="G1664" t="s">
        <v>29</v>
      </c>
      <c r="H1664" t="s">
        <v>764</v>
      </c>
    </row>
    <row r="1665" spans="1:8" x14ac:dyDescent="0.25">
      <c r="A1665" t="s">
        <v>762</v>
      </c>
      <c r="B1665" t="s">
        <v>73</v>
      </c>
      <c r="C1665" s="5">
        <v>15103</v>
      </c>
      <c r="D1665" s="5">
        <v>221</v>
      </c>
      <c r="E1665">
        <v>10504</v>
      </c>
      <c r="F1665" s="4" t="s">
        <v>565</v>
      </c>
      <c r="G1665" t="s">
        <v>29</v>
      </c>
      <c r="H1665" t="s">
        <v>566</v>
      </c>
    </row>
    <row r="1666" spans="1:8" x14ac:dyDescent="0.25">
      <c r="A1666" t="s">
        <v>762</v>
      </c>
      <c r="B1666" t="s">
        <v>76</v>
      </c>
      <c r="C1666" s="5">
        <v>619284</v>
      </c>
      <c r="D1666" s="5">
        <v>24589</v>
      </c>
      <c r="E1666">
        <v>47367</v>
      </c>
      <c r="F1666" s="4" t="s">
        <v>567</v>
      </c>
      <c r="G1666" t="s">
        <v>29</v>
      </c>
      <c r="H1666" t="s">
        <v>568</v>
      </c>
    </row>
    <row r="1667" spans="1:8" x14ac:dyDescent="0.25">
      <c r="A1667" t="s">
        <v>762</v>
      </c>
      <c r="B1667" t="s">
        <v>79</v>
      </c>
      <c r="C1667" s="5">
        <v>276956</v>
      </c>
      <c r="D1667" s="5">
        <v>1393</v>
      </c>
      <c r="E1667">
        <v>63703</v>
      </c>
      <c r="F1667" s="4" t="s">
        <v>80</v>
      </c>
      <c r="G1667" t="s">
        <v>29</v>
      </c>
      <c r="H1667" t="s">
        <v>81</v>
      </c>
    </row>
    <row r="1668" spans="1:8" x14ac:dyDescent="0.25">
      <c r="A1668" t="s">
        <v>762</v>
      </c>
      <c r="B1668" t="s">
        <v>82</v>
      </c>
      <c r="C1668" s="5">
        <v>20106</v>
      </c>
      <c r="D1668" s="5">
        <v>38</v>
      </c>
      <c r="E1668">
        <v>10432</v>
      </c>
      <c r="F1668" s="4" t="s">
        <v>83</v>
      </c>
      <c r="G1668" t="s">
        <v>29</v>
      </c>
      <c r="H1668" t="s">
        <v>84</v>
      </c>
    </row>
    <row r="1669" spans="1:8" x14ac:dyDescent="0.25">
      <c r="A1669" t="s">
        <v>762</v>
      </c>
      <c r="B1669" t="s">
        <v>85</v>
      </c>
      <c r="C1669" s="5">
        <v>24804</v>
      </c>
      <c r="D1669" s="5">
        <v>161</v>
      </c>
      <c r="E1669">
        <v>876</v>
      </c>
      <c r="F1669" s="4" t="s">
        <v>86</v>
      </c>
      <c r="G1669" t="s">
        <v>29</v>
      </c>
      <c r="H1669" t="s">
        <v>87</v>
      </c>
    </row>
    <row r="1670" spans="1:8" x14ac:dyDescent="0.25">
      <c r="A1670" t="s">
        <v>762</v>
      </c>
      <c r="B1670" t="s">
        <v>88</v>
      </c>
      <c r="C1670" s="5">
        <v>1659</v>
      </c>
      <c r="D1670" s="5">
        <v>6</v>
      </c>
      <c r="E1670">
        <v>870</v>
      </c>
      <c r="F1670" s="4" t="s">
        <v>89</v>
      </c>
      <c r="G1670" t="s">
        <v>29</v>
      </c>
      <c r="H1670" t="s">
        <v>90</v>
      </c>
    </row>
    <row r="1671" spans="1:8" x14ac:dyDescent="0.25">
      <c r="A1671" t="s">
        <v>762</v>
      </c>
      <c r="B1671" t="s">
        <v>91</v>
      </c>
      <c r="C1671" s="5">
        <v>13446</v>
      </c>
      <c r="D1671" s="5">
        <v>89</v>
      </c>
      <c r="E1671">
        <v>10425</v>
      </c>
      <c r="F1671" s="4" t="s">
        <v>162</v>
      </c>
      <c r="G1671" t="s">
        <v>29</v>
      </c>
      <c r="H1671" t="s">
        <v>163</v>
      </c>
    </row>
    <row r="1672" spans="1:8" x14ac:dyDescent="0.25">
      <c r="A1672" t="s">
        <v>762</v>
      </c>
      <c r="B1672" t="s">
        <v>94</v>
      </c>
      <c r="C1672" s="5">
        <v>514679</v>
      </c>
      <c r="D1672" s="5">
        <v>18936</v>
      </c>
      <c r="E1672">
        <v>3901</v>
      </c>
      <c r="F1672" s="4" t="s">
        <v>760</v>
      </c>
      <c r="G1672" t="s">
        <v>29</v>
      </c>
      <c r="H1672" t="s">
        <v>761</v>
      </c>
    </row>
    <row r="1673" spans="1:8" x14ac:dyDescent="0.25">
      <c r="A1673" t="s">
        <v>762</v>
      </c>
      <c r="B1673" t="s">
        <v>97</v>
      </c>
      <c r="C1673" s="5">
        <v>21835785</v>
      </c>
      <c r="D1673" s="5">
        <v>608235</v>
      </c>
      <c r="E1673">
        <v>17526862</v>
      </c>
      <c r="F1673" s="4" t="s">
        <v>662</v>
      </c>
      <c r="G1673" t="s">
        <v>29</v>
      </c>
      <c r="H1673" t="s">
        <v>663</v>
      </c>
    </row>
    <row r="1674" spans="1:8" x14ac:dyDescent="0.25">
      <c r="A1674" t="s">
        <v>762</v>
      </c>
      <c r="B1674" t="s">
        <v>100</v>
      </c>
      <c r="C1674" s="5">
        <v>22429</v>
      </c>
      <c r="D1674" s="5">
        <v>643</v>
      </c>
      <c r="E1674">
        <v>15971</v>
      </c>
      <c r="F1674" s="4" t="s">
        <v>168</v>
      </c>
      <c r="G1674" t="s">
        <v>29</v>
      </c>
      <c r="H1674" t="s">
        <v>169</v>
      </c>
    </row>
    <row r="1675" spans="1:8" x14ac:dyDescent="0.25">
      <c r="A1675" t="s">
        <v>762</v>
      </c>
      <c r="B1675" t="s">
        <v>103</v>
      </c>
      <c r="C1675" s="5">
        <v>2622</v>
      </c>
      <c r="D1675" s="5">
        <v>3</v>
      </c>
      <c r="E1675">
        <v>784</v>
      </c>
      <c r="F1675" s="4" t="s">
        <v>104</v>
      </c>
      <c r="G1675" t="s">
        <v>29</v>
      </c>
      <c r="H1675" t="s">
        <v>105</v>
      </c>
    </row>
    <row r="1676" spans="1:8" x14ac:dyDescent="0.25">
      <c r="A1676" t="s">
        <v>762</v>
      </c>
      <c r="B1676" t="s">
        <v>106</v>
      </c>
      <c r="C1676" s="5">
        <v>187281</v>
      </c>
      <c r="D1676" s="5">
        <v>2407</v>
      </c>
      <c r="E1676">
        <v>163527</v>
      </c>
      <c r="F1676" s="4" t="s">
        <v>417</v>
      </c>
      <c r="G1676" t="s">
        <v>29</v>
      </c>
      <c r="H1676" t="s">
        <v>418</v>
      </c>
    </row>
    <row r="1677" spans="1:8" x14ac:dyDescent="0.25">
      <c r="A1677" t="s">
        <v>762</v>
      </c>
      <c r="B1677" t="s">
        <v>109</v>
      </c>
      <c r="C1677" s="5">
        <v>606033</v>
      </c>
      <c r="D1677" s="5">
        <v>4679</v>
      </c>
      <c r="E1677">
        <v>218071</v>
      </c>
      <c r="F1677" s="4" t="s">
        <v>110</v>
      </c>
      <c r="G1677" t="s">
        <v>29</v>
      </c>
      <c r="H1677" t="s">
        <v>111</v>
      </c>
    </row>
    <row r="1678" spans="1:8" x14ac:dyDescent="0.25">
      <c r="A1678" t="s">
        <v>762</v>
      </c>
      <c r="B1678" t="s">
        <v>112</v>
      </c>
      <c r="C1678" s="5">
        <v>27523</v>
      </c>
      <c r="D1678" s="5">
        <v>499</v>
      </c>
      <c r="E1678">
        <v>15495</v>
      </c>
      <c r="F1678" s="4" t="s">
        <v>571</v>
      </c>
      <c r="G1678" t="s">
        <v>29</v>
      </c>
      <c r="H1678" t="s">
        <v>572</v>
      </c>
    </row>
    <row r="1679" spans="1:8" x14ac:dyDescent="0.25">
      <c r="A1679" t="s">
        <v>762</v>
      </c>
      <c r="B1679" t="s">
        <v>115</v>
      </c>
      <c r="C1679" s="5">
        <v>1730818</v>
      </c>
      <c r="D1679" s="5">
        <v>29149</v>
      </c>
      <c r="E1679">
        <v>27833</v>
      </c>
      <c r="F1679" s="4" t="s">
        <v>116</v>
      </c>
      <c r="G1679" t="s">
        <v>29</v>
      </c>
      <c r="H1679" t="s">
        <v>117</v>
      </c>
    </row>
    <row r="1680" spans="1:8" x14ac:dyDescent="0.25">
      <c r="A1680" t="s">
        <v>762</v>
      </c>
      <c r="B1680" t="s">
        <v>118</v>
      </c>
      <c r="C1680" s="5">
        <v>57582</v>
      </c>
      <c r="D1680" s="5">
        <v>1098</v>
      </c>
      <c r="E1680">
        <v>21932</v>
      </c>
      <c r="F1680" s="4" t="s">
        <v>119</v>
      </c>
      <c r="G1680" t="s">
        <v>29</v>
      </c>
      <c r="H1680" t="s">
        <v>120</v>
      </c>
    </row>
    <row r="1681" spans="1:8" x14ac:dyDescent="0.25">
      <c r="A1681" t="s">
        <v>762</v>
      </c>
      <c r="B1681" t="s">
        <v>121</v>
      </c>
      <c r="C1681" s="5">
        <v>11579</v>
      </c>
      <c r="D1681" s="5">
        <v>100</v>
      </c>
      <c r="E1681">
        <v>6432</v>
      </c>
      <c r="F1681" s="4" t="s">
        <v>122</v>
      </c>
      <c r="G1681" t="s">
        <v>29</v>
      </c>
      <c r="H1681" t="s">
        <v>123</v>
      </c>
    </row>
    <row r="1682" spans="1:8" x14ac:dyDescent="0.25">
      <c r="A1682" t="s">
        <v>762</v>
      </c>
      <c r="B1682" t="s">
        <v>124</v>
      </c>
      <c r="C1682" s="5">
        <v>17670</v>
      </c>
      <c r="D1682" s="5">
        <v>278</v>
      </c>
      <c r="E1682">
        <v>10545</v>
      </c>
      <c r="F1682" s="4" t="s">
        <v>217</v>
      </c>
      <c r="G1682" t="s">
        <v>29</v>
      </c>
      <c r="H1682" t="s">
        <v>218</v>
      </c>
    </row>
    <row r="1683" spans="1:8" x14ac:dyDescent="0.25">
      <c r="A1683" t="s">
        <v>762</v>
      </c>
      <c r="B1683" t="s">
        <v>127</v>
      </c>
      <c r="C1683" s="5">
        <v>881660</v>
      </c>
      <c r="D1683" s="5">
        <v>11261</v>
      </c>
      <c r="E1683">
        <v>621135</v>
      </c>
      <c r="F1683" s="4" t="s">
        <v>381</v>
      </c>
      <c r="G1683" t="s">
        <v>29</v>
      </c>
      <c r="H1683" t="s">
        <v>382</v>
      </c>
    </row>
    <row r="1684" spans="1:8" x14ac:dyDescent="0.25">
      <c r="A1684" t="s">
        <v>762</v>
      </c>
      <c r="B1684" t="s">
        <v>128</v>
      </c>
      <c r="C1684" s="5">
        <v>61330</v>
      </c>
      <c r="D1684" s="5">
        <v>696</v>
      </c>
      <c r="E1684">
        <v>57999</v>
      </c>
      <c r="F1684" s="4" t="s">
        <v>267</v>
      </c>
      <c r="G1684" t="s">
        <v>29</v>
      </c>
      <c r="H1684" t="s">
        <v>268</v>
      </c>
    </row>
    <row r="1685" spans="1:8" x14ac:dyDescent="0.25">
      <c r="A1685" t="s">
        <v>762</v>
      </c>
      <c r="B1685" t="s">
        <v>131</v>
      </c>
      <c r="C1685" s="5">
        <v>1699427</v>
      </c>
      <c r="D1685" s="5">
        <v>37790</v>
      </c>
      <c r="E1685">
        <v>1594020</v>
      </c>
      <c r="F1685" s="4" t="s">
        <v>673</v>
      </c>
      <c r="G1685" t="s">
        <v>29</v>
      </c>
      <c r="H1685" t="s">
        <v>674</v>
      </c>
    </row>
    <row r="1686" spans="1:8" x14ac:dyDescent="0.25">
      <c r="A1686" t="s">
        <v>762</v>
      </c>
      <c r="B1686" t="s">
        <v>134</v>
      </c>
      <c r="C1686" s="5">
        <v>104348</v>
      </c>
      <c r="D1686" s="5">
        <v>1731</v>
      </c>
      <c r="E1686">
        <v>57947</v>
      </c>
      <c r="F1686" s="4" t="s">
        <v>135</v>
      </c>
      <c r="G1686" t="s">
        <v>29</v>
      </c>
      <c r="H1686" t="s">
        <v>136</v>
      </c>
    </row>
    <row r="1687" spans="1:8" x14ac:dyDescent="0.25">
      <c r="A1687" t="s">
        <v>762</v>
      </c>
      <c r="B1687" t="s">
        <v>137</v>
      </c>
      <c r="C1687" s="5">
        <v>97527</v>
      </c>
      <c r="D1687" s="5">
        <v>4636</v>
      </c>
      <c r="E1687">
        <v>2965</v>
      </c>
      <c r="F1687" s="4" t="s">
        <v>711</v>
      </c>
      <c r="G1687" t="s">
        <v>29</v>
      </c>
      <c r="H1687" t="s">
        <v>712</v>
      </c>
    </row>
    <row r="1688" spans="1:8" x14ac:dyDescent="0.25">
      <c r="A1688" t="s">
        <v>762</v>
      </c>
      <c r="B1688" t="s">
        <v>140</v>
      </c>
      <c r="C1688" s="5">
        <v>5007099</v>
      </c>
      <c r="D1688" s="5">
        <v>127380</v>
      </c>
      <c r="E1688">
        <v>194388</v>
      </c>
      <c r="F1688" s="4" t="s">
        <v>141</v>
      </c>
      <c r="G1688" t="s">
        <v>29</v>
      </c>
      <c r="H1688" t="s">
        <v>142</v>
      </c>
    </row>
    <row r="1689" spans="1:8" x14ac:dyDescent="0.25">
      <c r="A1689" t="s">
        <v>762</v>
      </c>
      <c r="B1689" t="s">
        <v>143</v>
      </c>
      <c r="C1689" s="5">
        <v>561432</v>
      </c>
      <c r="D1689" s="5">
        <v>7111</v>
      </c>
      <c r="E1689">
        <v>433790</v>
      </c>
      <c r="F1689" s="4" t="s">
        <v>53</v>
      </c>
      <c r="G1689" t="s">
        <v>29</v>
      </c>
      <c r="H1689" t="s">
        <v>54</v>
      </c>
    </row>
    <row r="1690" spans="1:8" x14ac:dyDescent="0.25">
      <c r="A1690" t="s">
        <v>762</v>
      </c>
      <c r="B1690" t="s">
        <v>144</v>
      </c>
      <c r="C1690" s="5">
        <v>953750</v>
      </c>
      <c r="D1690" s="5">
        <v>8250</v>
      </c>
      <c r="E1690">
        <v>252875</v>
      </c>
      <c r="F1690" s="4" t="s">
        <v>498</v>
      </c>
      <c r="G1690" t="s">
        <v>29</v>
      </c>
      <c r="H1690" t="s">
        <v>499</v>
      </c>
    </row>
    <row r="1691" spans="1:8" x14ac:dyDescent="0.25">
      <c r="A1691" t="s">
        <v>762</v>
      </c>
      <c r="B1691" t="s">
        <v>145</v>
      </c>
      <c r="C1691" s="5">
        <v>38228</v>
      </c>
      <c r="D1691" s="5">
        <v>349</v>
      </c>
      <c r="E1691">
        <v>5973</v>
      </c>
      <c r="F1691" s="4" t="s">
        <v>146</v>
      </c>
      <c r="G1691" t="s">
        <v>29</v>
      </c>
      <c r="H1691" t="s">
        <v>147</v>
      </c>
    </row>
    <row r="1692" spans="1:8" x14ac:dyDescent="0.25">
      <c r="A1692" t="s">
        <v>762</v>
      </c>
      <c r="B1692" t="s">
        <v>148</v>
      </c>
      <c r="C1692" s="5">
        <v>124973</v>
      </c>
      <c r="D1692" s="5">
        <v>576</v>
      </c>
      <c r="E1692">
        <v>115251</v>
      </c>
      <c r="F1692" s="4" t="s">
        <v>149</v>
      </c>
      <c r="G1692" t="s">
        <v>29</v>
      </c>
      <c r="H1692" t="s">
        <v>150</v>
      </c>
    </row>
    <row r="1693" spans="1:8" x14ac:dyDescent="0.25">
      <c r="A1693" t="s">
        <v>762</v>
      </c>
      <c r="B1693" t="s">
        <v>151</v>
      </c>
      <c r="C1693" s="5">
        <v>1783227</v>
      </c>
      <c r="D1693" s="5">
        <v>30840</v>
      </c>
      <c r="E1693">
        <v>243645</v>
      </c>
      <c r="F1693" s="4" t="s">
        <v>765</v>
      </c>
      <c r="G1693" t="s">
        <v>29</v>
      </c>
      <c r="H1693" t="s">
        <v>766</v>
      </c>
    </row>
    <row r="1694" spans="1:8" x14ac:dyDescent="0.25">
      <c r="A1694" t="s">
        <v>762</v>
      </c>
      <c r="B1694" t="s">
        <v>154</v>
      </c>
      <c r="C1694" s="5">
        <v>4684462</v>
      </c>
      <c r="D1694" s="5">
        <v>96196</v>
      </c>
      <c r="E1694">
        <v>2961153</v>
      </c>
      <c r="F1694" s="4" t="s">
        <v>579</v>
      </c>
      <c r="G1694" t="s">
        <v>29</v>
      </c>
      <c r="H1694" t="s">
        <v>580</v>
      </c>
    </row>
    <row r="1695" spans="1:8" x14ac:dyDescent="0.25">
      <c r="A1695" t="s">
        <v>762</v>
      </c>
      <c r="B1695" t="s">
        <v>157</v>
      </c>
      <c r="C1695" s="5">
        <v>13487</v>
      </c>
      <c r="D1695" s="5">
        <v>183</v>
      </c>
      <c r="E1695">
        <v>5907</v>
      </c>
      <c r="F1695" s="4" t="s">
        <v>630</v>
      </c>
      <c r="G1695" t="s">
        <v>29</v>
      </c>
      <c r="H1695" t="s">
        <v>631</v>
      </c>
    </row>
    <row r="1696" spans="1:8" x14ac:dyDescent="0.25">
      <c r="A1696" t="s">
        <v>762</v>
      </c>
      <c r="B1696" t="s">
        <v>160</v>
      </c>
      <c r="C1696" s="5">
        <v>394034</v>
      </c>
      <c r="D1696" s="5">
        <v>2717</v>
      </c>
      <c r="E1696">
        <v>364520</v>
      </c>
      <c r="F1696" s="4" t="s">
        <v>180</v>
      </c>
      <c r="G1696" t="s">
        <v>29</v>
      </c>
      <c r="H1696" t="s">
        <v>181</v>
      </c>
    </row>
    <row r="1697" spans="1:8" x14ac:dyDescent="0.25">
      <c r="A1697" t="s">
        <v>762</v>
      </c>
      <c r="B1697" t="s">
        <v>161</v>
      </c>
      <c r="C1697" s="5">
        <v>4823</v>
      </c>
      <c r="D1697" s="5">
        <v>32</v>
      </c>
      <c r="E1697">
        <v>2390</v>
      </c>
      <c r="F1697" s="4" t="s">
        <v>162</v>
      </c>
      <c r="G1697" t="s">
        <v>29</v>
      </c>
      <c r="H1697" t="s">
        <v>163</v>
      </c>
    </row>
    <row r="1698" spans="1:8" x14ac:dyDescent="0.25">
      <c r="A1698" t="s">
        <v>762</v>
      </c>
      <c r="B1698" t="s">
        <v>164</v>
      </c>
      <c r="C1698" s="5">
        <v>384208</v>
      </c>
      <c r="D1698" s="5">
        <v>4144</v>
      </c>
      <c r="E1698">
        <v>32139</v>
      </c>
      <c r="F1698" s="4" t="s">
        <v>758</v>
      </c>
      <c r="G1698" t="s">
        <v>29</v>
      </c>
      <c r="H1698" t="s">
        <v>759</v>
      </c>
    </row>
    <row r="1699" spans="1:8" x14ac:dyDescent="0.25">
      <c r="A1699" t="s">
        <v>762</v>
      </c>
      <c r="B1699" t="s">
        <v>167</v>
      </c>
      <c r="C1699" s="5">
        <v>206754</v>
      </c>
      <c r="D1699" s="5">
        <v>5931</v>
      </c>
      <c r="E1699">
        <v>111400</v>
      </c>
      <c r="F1699" s="4" t="s">
        <v>168</v>
      </c>
      <c r="G1699" t="s">
        <v>29</v>
      </c>
      <c r="H1699" t="s">
        <v>169</v>
      </c>
    </row>
    <row r="1700" spans="1:8" x14ac:dyDescent="0.25">
      <c r="A1700" t="s">
        <v>762</v>
      </c>
      <c r="B1700" t="s">
        <v>170</v>
      </c>
      <c r="C1700" s="5">
        <v>515859</v>
      </c>
      <c r="D1700" s="5">
        <v>32958</v>
      </c>
      <c r="E1700">
        <v>280021</v>
      </c>
      <c r="F1700" s="4" t="s">
        <v>767</v>
      </c>
      <c r="G1700" t="s">
        <v>29</v>
      </c>
      <c r="H1700" t="s">
        <v>768</v>
      </c>
    </row>
    <row r="1701" spans="1:8" x14ac:dyDescent="0.25">
      <c r="A1701" t="s">
        <v>762</v>
      </c>
      <c r="B1701" t="s">
        <v>173</v>
      </c>
      <c r="C1701" s="5">
        <v>199251</v>
      </c>
      <c r="D1701" s="5">
        <v>1563</v>
      </c>
      <c r="E1701">
        <v>58894</v>
      </c>
      <c r="F1701" s="4" t="s">
        <v>297</v>
      </c>
      <c r="G1701" t="s">
        <v>29</v>
      </c>
      <c r="H1701" t="s">
        <v>298</v>
      </c>
    </row>
    <row r="1702" spans="1:8" x14ac:dyDescent="0.25">
      <c r="A1702" t="s">
        <v>762</v>
      </c>
      <c r="B1702" t="s">
        <v>176</v>
      </c>
      <c r="C1702" s="5">
        <v>333840</v>
      </c>
      <c r="D1702" s="5">
        <v>18832</v>
      </c>
      <c r="E1702">
        <v>39172</v>
      </c>
      <c r="F1702" s="4" t="s">
        <v>756</v>
      </c>
      <c r="G1702" t="s">
        <v>29</v>
      </c>
      <c r="H1702" t="s">
        <v>757</v>
      </c>
    </row>
    <row r="1703" spans="1:8" x14ac:dyDescent="0.25">
      <c r="A1703" t="s">
        <v>762</v>
      </c>
      <c r="B1703" t="s">
        <v>179</v>
      </c>
      <c r="C1703" s="5">
        <v>6881</v>
      </c>
      <c r="D1703" s="5">
        <v>45</v>
      </c>
      <c r="E1703">
        <v>6749</v>
      </c>
      <c r="F1703" s="4" t="s">
        <v>86</v>
      </c>
      <c r="G1703" t="s">
        <v>29</v>
      </c>
      <c r="H1703" t="s">
        <v>87</v>
      </c>
    </row>
    <row r="1704" spans="1:8" x14ac:dyDescent="0.25">
      <c r="A1704" t="s">
        <v>762</v>
      </c>
      <c r="B1704" t="s">
        <v>182</v>
      </c>
      <c r="C1704" s="5">
        <v>5019255</v>
      </c>
      <c r="D1704" s="5">
        <v>87462</v>
      </c>
      <c r="E1704">
        <v>2488213</v>
      </c>
      <c r="F1704" s="4" t="s">
        <v>183</v>
      </c>
      <c r="G1704" t="s">
        <v>29</v>
      </c>
      <c r="H1704" t="s">
        <v>184</v>
      </c>
    </row>
    <row r="1705" spans="1:8" x14ac:dyDescent="0.25">
      <c r="A1705" t="s">
        <v>762</v>
      </c>
      <c r="B1705" t="s">
        <v>185</v>
      </c>
      <c r="C1705" s="5">
        <v>366097</v>
      </c>
      <c r="D1705" s="5">
        <v>6494</v>
      </c>
      <c r="E1705">
        <v>256497</v>
      </c>
      <c r="F1705" s="4" t="s">
        <v>769</v>
      </c>
      <c r="G1705" t="s">
        <v>29</v>
      </c>
      <c r="H1705" t="s">
        <v>770</v>
      </c>
    </row>
    <row r="1706" spans="1:8" x14ac:dyDescent="0.25">
      <c r="A1706" t="s">
        <v>762</v>
      </c>
      <c r="B1706" t="s">
        <v>186</v>
      </c>
      <c r="C1706" s="5">
        <v>160948</v>
      </c>
      <c r="D1706" s="5">
        <v>1176</v>
      </c>
      <c r="E1706">
        <v>86365</v>
      </c>
      <c r="F1706" s="4" t="s">
        <v>187</v>
      </c>
      <c r="G1706" t="s">
        <v>29</v>
      </c>
      <c r="H1706" t="s">
        <v>188</v>
      </c>
    </row>
    <row r="1707" spans="1:8" x14ac:dyDescent="0.25">
      <c r="A1707" t="s">
        <v>762</v>
      </c>
      <c r="B1707" t="s">
        <v>189</v>
      </c>
      <c r="C1707" s="5">
        <v>52209</v>
      </c>
      <c r="D1707" s="5">
        <v>674</v>
      </c>
      <c r="E1707">
        <v>48593</v>
      </c>
      <c r="F1707" s="4" t="s">
        <v>417</v>
      </c>
      <c r="G1707" t="s">
        <v>29</v>
      </c>
      <c r="H1707" t="s">
        <v>418</v>
      </c>
    </row>
    <row r="1708" spans="1:8" x14ac:dyDescent="0.25">
      <c r="A1708" t="s">
        <v>762</v>
      </c>
      <c r="B1708" t="s">
        <v>192</v>
      </c>
      <c r="C1708" s="5">
        <v>2373</v>
      </c>
      <c r="D1708" s="5">
        <v>4</v>
      </c>
      <c r="E1708">
        <v>1285</v>
      </c>
      <c r="F1708" s="4" t="s">
        <v>679</v>
      </c>
      <c r="G1708" t="s">
        <v>29</v>
      </c>
      <c r="H1708" t="s">
        <v>680</v>
      </c>
    </row>
    <row r="1709" spans="1:8" x14ac:dyDescent="0.25">
      <c r="A1709" t="s">
        <v>762</v>
      </c>
      <c r="B1709" t="s">
        <v>195</v>
      </c>
      <c r="C1709" s="5">
        <v>7002875</v>
      </c>
      <c r="D1709" s="5">
        <v>115425</v>
      </c>
      <c r="E1709">
        <v>4590424</v>
      </c>
      <c r="F1709" s="4" t="s">
        <v>691</v>
      </c>
      <c r="G1709" t="s">
        <v>29</v>
      </c>
      <c r="H1709" t="s">
        <v>692</v>
      </c>
    </row>
    <row r="1710" spans="1:8" x14ac:dyDescent="0.25">
      <c r="A1710" t="s">
        <v>762</v>
      </c>
      <c r="B1710" t="s">
        <v>198</v>
      </c>
      <c r="C1710" s="5">
        <v>36020</v>
      </c>
      <c r="D1710" s="5">
        <v>249</v>
      </c>
      <c r="E1710">
        <v>14029</v>
      </c>
      <c r="F1710" s="4" t="s">
        <v>180</v>
      </c>
      <c r="G1710" t="s">
        <v>29</v>
      </c>
      <c r="H1710" t="s">
        <v>181</v>
      </c>
    </row>
    <row r="1711" spans="1:8" x14ac:dyDescent="0.25">
      <c r="A1711" t="s">
        <v>762</v>
      </c>
      <c r="B1711" t="s">
        <v>201</v>
      </c>
      <c r="C1711" s="5">
        <v>9209618</v>
      </c>
      <c r="D1711" s="5">
        <v>141509</v>
      </c>
      <c r="E1711">
        <v>2444596</v>
      </c>
      <c r="F1711" s="4" t="s">
        <v>519</v>
      </c>
      <c r="G1711" t="s">
        <v>29</v>
      </c>
      <c r="H1711" t="s">
        <v>520</v>
      </c>
    </row>
    <row r="1712" spans="1:8" x14ac:dyDescent="0.25">
      <c r="A1712" t="s">
        <v>762</v>
      </c>
      <c r="B1712" t="s">
        <v>204</v>
      </c>
      <c r="C1712" s="5">
        <v>5850</v>
      </c>
      <c r="D1712" s="5">
        <v>198</v>
      </c>
      <c r="E1712">
        <v>180</v>
      </c>
      <c r="F1712" s="4" t="s">
        <v>255</v>
      </c>
      <c r="G1712" t="s">
        <v>29</v>
      </c>
      <c r="H1712" t="s">
        <v>256</v>
      </c>
    </row>
    <row r="1713" spans="1:8" x14ac:dyDescent="0.25">
      <c r="A1713" t="s">
        <v>762</v>
      </c>
      <c r="B1713" t="s">
        <v>207</v>
      </c>
      <c r="C1713" s="5">
        <v>732965</v>
      </c>
      <c r="D1713" s="5">
        <v>10185</v>
      </c>
      <c r="E1713">
        <v>273672</v>
      </c>
      <c r="F1713" s="4" t="s">
        <v>208</v>
      </c>
      <c r="G1713" t="s">
        <v>29</v>
      </c>
      <c r="H1713" t="s">
        <v>209</v>
      </c>
    </row>
    <row r="1714" spans="1:8" x14ac:dyDescent="0.25">
      <c r="A1714" t="s">
        <v>762</v>
      </c>
      <c r="B1714" t="s">
        <v>210</v>
      </c>
      <c r="C1714" s="5">
        <v>44784</v>
      </c>
      <c r="D1714" s="5">
        <v>311</v>
      </c>
      <c r="E1714">
        <v>23127</v>
      </c>
      <c r="F1714" s="4" t="s">
        <v>180</v>
      </c>
      <c r="G1714" t="s">
        <v>29</v>
      </c>
      <c r="H1714" t="s">
        <v>181</v>
      </c>
    </row>
    <row r="1715" spans="1:8" x14ac:dyDescent="0.25">
      <c r="A1715" t="s">
        <v>762</v>
      </c>
      <c r="B1715" t="s">
        <v>213</v>
      </c>
      <c r="C1715" s="5">
        <v>130287</v>
      </c>
      <c r="D1715" s="5">
        <v>1182</v>
      </c>
      <c r="E1715">
        <v>113909</v>
      </c>
      <c r="F1715" s="4" t="s">
        <v>146</v>
      </c>
      <c r="G1715" t="s">
        <v>29</v>
      </c>
      <c r="H1715" t="s">
        <v>147</v>
      </c>
    </row>
    <row r="1716" spans="1:8" x14ac:dyDescent="0.25">
      <c r="A1716" t="s">
        <v>762</v>
      </c>
      <c r="B1716" t="s">
        <v>216</v>
      </c>
      <c r="C1716" s="5">
        <v>6065</v>
      </c>
      <c r="D1716" s="5">
        <v>98</v>
      </c>
      <c r="E1716">
        <v>2244</v>
      </c>
      <c r="F1716" s="4" t="s">
        <v>516</v>
      </c>
      <c r="G1716" t="s">
        <v>29</v>
      </c>
      <c r="H1716" t="s">
        <v>517</v>
      </c>
    </row>
    <row r="1717" spans="1:8" x14ac:dyDescent="0.25">
      <c r="A1717" t="s">
        <v>762</v>
      </c>
      <c r="B1717" t="s">
        <v>219</v>
      </c>
      <c r="C1717" s="5">
        <v>9973</v>
      </c>
      <c r="D1717" s="5">
        <v>341</v>
      </c>
      <c r="E1717">
        <v>2316</v>
      </c>
      <c r="F1717" s="4" t="s">
        <v>220</v>
      </c>
      <c r="G1717" t="s">
        <v>29</v>
      </c>
      <c r="H1717" t="s">
        <v>221</v>
      </c>
    </row>
    <row r="1718" spans="1:8" x14ac:dyDescent="0.25">
      <c r="A1718" t="s">
        <v>762</v>
      </c>
      <c r="B1718" t="s">
        <v>222</v>
      </c>
      <c r="C1718" s="5">
        <v>30681</v>
      </c>
      <c r="D1718" s="5">
        <v>385</v>
      </c>
      <c r="E1718">
        <v>10947</v>
      </c>
      <c r="F1718" s="4" t="s">
        <v>107</v>
      </c>
      <c r="G1718" t="s">
        <v>29</v>
      </c>
      <c r="H1718" t="s">
        <v>108</v>
      </c>
    </row>
    <row r="1719" spans="1:8" x14ac:dyDescent="0.25">
      <c r="A1719" t="s">
        <v>762</v>
      </c>
      <c r="B1719" t="s">
        <v>225</v>
      </c>
      <c r="C1719" s="5">
        <v>54288</v>
      </c>
      <c r="D1719" s="5">
        <v>815</v>
      </c>
      <c r="E1719">
        <v>957</v>
      </c>
      <c r="F1719" s="4" t="s">
        <v>226</v>
      </c>
      <c r="G1719" t="s">
        <v>29</v>
      </c>
      <c r="H1719" t="s">
        <v>227</v>
      </c>
    </row>
    <row r="1720" spans="1:8" x14ac:dyDescent="0.25">
      <c r="A1720" t="s">
        <v>762</v>
      </c>
      <c r="B1720" t="s">
        <v>228</v>
      </c>
      <c r="C1720" s="5">
        <v>13377</v>
      </c>
      <c r="D1720" s="5">
        <v>167</v>
      </c>
      <c r="E1720">
        <v>9441</v>
      </c>
      <c r="F1720" s="4" t="s">
        <v>107</v>
      </c>
      <c r="G1720" t="s">
        <v>29</v>
      </c>
      <c r="H1720" t="s">
        <v>108</v>
      </c>
    </row>
    <row r="1721" spans="1:8" x14ac:dyDescent="0.25">
      <c r="A1721" t="s">
        <v>762</v>
      </c>
      <c r="B1721" t="s">
        <v>229</v>
      </c>
      <c r="C1721" s="5">
        <v>760592</v>
      </c>
      <c r="D1721" s="5">
        <v>16109</v>
      </c>
      <c r="E1721">
        <v>320438</v>
      </c>
      <c r="F1721" s="4" t="s">
        <v>270</v>
      </c>
      <c r="G1721" t="s">
        <v>29</v>
      </c>
      <c r="H1721" t="s">
        <v>271</v>
      </c>
    </row>
    <row r="1722" spans="1:8" x14ac:dyDescent="0.25">
      <c r="A1722" t="s">
        <v>762</v>
      </c>
      <c r="B1722" t="s">
        <v>232</v>
      </c>
      <c r="C1722" s="5">
        <v>602575</v>
      </c>
      <c r="D1722" s="5">
        <v>15222</v>
      </c>
      <c r="E1722">
        <v>188739</v>
      </c>
      <c r="F1722" s="4" t="s">
        <v>611</v>
      </c>
      <c r="G1722" t="s">
        <v>29</v>
      </c>
      <c r="H1722" t="s">
        <v>612</v>
      </c>
    </row>
    <row r="1723" spans="1:8" x14ac:dyDescent="0.25">
      <c r="A1723" t="s">
        <v>762</v>
      </c>
      <c r="B1723" t="s">
        <v>233</v>
      </c>
      <c r="C1723" s="5">
        <v>6137</v>
      </c>
      <c r="D1723" s="5">
        <v>141</v>
      </c>
      <c r="E1723">
        <v>5045</v>
      </c>
      <c r="F1723" s="4" t="s">
        <v>619</v>
      </c>
      <c r="G1723" t="s">
        <v>29</v>
      </c>
      <c r="H1723" t="s">
        <v>620</v>
      </c>
    </row>
    <row r="1724" spans="1:8" x14ac:dyDescent="0.25">
      <c r="A1724" t="s">
        <v>762</v>
      </c>
      <c r="B1724" t="s">
        <v>236</v>
      </c>
      <c r="C1724" s="5">
        <v>35800</v>
      </c>
      <c r="D1724" s="5">
        <v>928</v>
      </c>
      <c r="E1724">
        <v>366</v>
      </c>
      <c r="F1724" s="4" t="s">
        <v>719</v>
      </c>
      <c r="G1724" t="s">
        <v>29</v>
      </c>
      <c r="H1724" t="s">
        <v>720</v>
      </c>
    </row>
    <row r="1725" spans="1:8" x14ac:dyDescent="0.25">
      <c r="A1725" t="s">
        <v>762</v>
      </c>
      <c r="B1725" t="s">
        <v>239</v>
      </c>
      <c r="C1725" s="5">
        <v>12352</v>
      </c>
      <c r="D1725" s="5">
        <v>213</v>
      </c>
      <c r="E1725">
        <v>2120</v>
      </c>
      <c r="F1725" s="4" t="s">
        <v>240</v>
      </c>
      <c r="G1725" t="s">
        <v>29</v>
      </c>
      <c r="H1725" t="s">
        <v>241</v>
      </c>
    </row>
    <row r="1726" spans="1:8" x14ac:dyDescent="0.25">
      <c r="A1726" t="s">
        <v>762</v>
      </c>
      <c r="B1726" t="s">
        <v>242</v>
      </c>
      <c r="C1726" s="5">
        <v>375983</v>
      </c>
      <c r="D1726" s="5">
        <v>10284</v>
      </c>
      <c r="E1726">
        <v>73287</v>
      </c>
      <c r="F1726" s="4" t="s">
        <v>243</v>
      </c>
      <c r="G1726" t="s">
        <v>29</v>
      </c>
      <c r="H1726" t="s">
        <v>244</v>
      </c>
    </row>
    <row r="1727" spans="1:8" x14ac:dyDescent="0.25">
      <c r="A1727" t="s">
        <v>762</v>
      </c>
      <c r="B1727" t="s">
        <v>245</v>
      </c>
      <c r="C1727" s="5">
        <v>476832</v>
      </c>
      <c r="D1727" s="5">
        <v>9332</v>
      </c>
      <c r="E1727">
        <v>15775</v>
      </c>
      <c r="F1727" s="4" t="s">
        <v>771</v>
      </c>
      <c r="G1727" t="s">
        <v>29</v>
      </c>
      <c r="H1727" t="s">
        <v>772</v>
      </c>
    </row>
    <row r="1728" spans="1:8" x14ac:dyDescent="0.25">
      <c r="A1728" t="s">
        <v>762</v>
      </c>
      <c r="B1728" t="s">
        <v>248</v>
      </c>
      <c r="C1728" s="5">
        <v>24004</v>
      </c>
      <c r="D1728" s="5">
        <v>677</v>
      </c>
      <c r="E1728">
        <v>8557</v>
      </c>
      <c r="F1728" s="4" t="s">
        <v>773</v>
      </c>
      <c r="G1728" t="s">
        <v>29</v>
      </c>
      <c r="H1728" t="s">
        <v>774</v>
      </c>
    </row>
    <row r="1729" spans="1:8" x14ac:dyDescent="0.25">
      <c r="A1729" t="s">
        <v>762</v>
      </c>
      <c r="B1729" t="s">
        <v>251</v>
      </c>
      <c r="C1729" s="5">
        <v>879092</v>
      </c>
      <c r="D1729" s="5">
        <v>30994</v>
      </c>
      <c r="E1729">
        <v>178996</v>
      </c>
      <c r="F1729" s="4" t="s">
        <v>430</v>
      </c>
      <c r="G1729" t="s">
        <v>29</v>
      </c>
      <c r="H1729" t="s">
        <v>431</v>
      </c>
    </row>
    <row r="1730" spans="1:8" x14ac:dyDescent="0.25">
      <c r="A1730" t="s">
        <v>762</v>
      </c>
      <c r="B1730" t="s">
        <v>254</v>
      </c>
      <c r="C1730" s="5">
        <v>4246174</v>
      </c>
      <c r="D1730" s="5">
        <v>143481</v>
      </c>
      <c r="E1730">
        <v>742030</v>
      </c>
      <c r="F1730" s="4" t="s">
        <v>255</v>
      </c>
      <c r="G1730" t="s">
        <v>29</v>
      </c>
      <c r="H1730" t="s">
        <v>256</v>
      </c>
    </row>
    <row r="1731" spans="1:8" x14ac:dyDescent="0.25">
      <c r="A1731" t="s">
        <v>762</v>
      </c>
      <c r="B1731" t="s">
        <v>257</v>
      </c>
      <c r="C1731" s="5">
        <v>455346</v>
      </c>
      <c r="D1731" s="5">
        <v>5492</v>
      </c>
      <c r="E1731">
        <v>424458</v>
      </c>
      <c r="F1731" s="4" t="s">
        <v>775</v>
      </c>
      <c r="G1731" t="s">
        <v>29</v>
      </c>
      <c r="H1731" t="s">
        <v>776</v>
      </c>
    </row>
    <row r="1732" spans="1:8" x14ac:dyDescent="0.25">
      <c r="A1732" t="s">
        <v>762</v>
      </c>
      <c r="B1732" t="s">
        <v>260</v>
      </c>
      <c r="C1732" s="5">
        <v>1332247</v>
      </c>
      <c r="D1732" s="5">
        <v>8109</v>
      </c>
      <c r="E1732">
        <v>437536</v>
      </c>
      <c r="F1732" s="4" t="s">
        <v>261</v>
      </c>
      <c r="G1732" t="s">
        <v>29</v>
      </c>
      <c r="H1732" t="s">
        <v>262</v>
      </c>
    </row>
    <row r="1733" spans="1:8" x14ac:dyDescent="0.25">
      <c r="A1733" t="s">
        <v>762</v>
      </c>
      <c r="B1733" t="s">
        <v>263</v>
      </c>
      <c r="C1733" s="5">
        <v>34321025</v>
      </c>
      <c r="D1733" s="5">
        <v>459652</v>
      </c>
      <c r="E1733">
        <v>29130287</v>
      </c>
      <c r="F1733" s="4" t="s">
        <v>264</v>
      </c>
      <c r="G1733" t="s">
        <v>29</v>
      </c>
      <c r="H1733" t="s">
        <v>265</v>
      </c>
    </row>
    <row r="1734" spans="1:8" x14ac:dyDescent="0.25">
      <c r="A1734" t="s">
        <v>762</v>
      </c>
      <c r="B1734" t="s">
        <v>266</v>
      </c>
      <c r="C1734" s="5">
        <v>2058914</v>
      </c>
      <c r="D1734" s="5">
        <v>23248</v>
      </c>
      <c r="E1734">
        <v>1493272</v>
      </c>
      <c r="F1734" s="4" t="s">
        <v>267</v>
      </c>
      <c r="G1734" t="s">
        <v>29</v>
      </c>
      <c r="H1734" t="s">
        <v>268</v>
      </c>
    </row>
    <row r="1735" spans="1:8" x14ac:dyDescent="0.25">
      <c r="A1735" t="s">
        <v>762</v>
      </c>
      <c r="B1735" t="s">
        <v>269</v>
      </c>
      <c r="C1735" s="5">
        <v>5954962</v>
      </c>
      <c r="D1735" s="5">
        <v>126763</v>
      </c>
      <c r="E1735">
        <v>1557493</v>
      </c>
      <c r="F1735" s="4" t="s">
        <v>650</v>
      </c>
      <c r="G1735" t="s">
        <v>29</v>
      </c>
      <c r="H1735" t="s">
        <v>651</v>
      </c>
    </row>
    <row r="1736" spans="1:8" x14ac:dyDescent="0.25">
      <c r="A1736" t="s">
        <v>762</v>
      </c>
      <c r="B1736" t="s">
        <v>272</v>
      </c>
      <c r="C1736" s="5">
        <v>13923</v>
      </c>
      <c r="D1736" s="5">
        <v>34</v>
      </c>
      <c r="E1736">
        <v>3044</v>
      </c>
      <c r="F1736" s="4" t="s">
        <v>454</v>
      </c>
      <c r="G1736" t="s">
        <v>29</v>
      </c>
      <c r="H1736" t="s">
        <v>455</v>
      </c>
    </row>
    <row r="1737" spans="1:8" x14ac:dyDescent="0.25">
      <c r="A1737" t="s">
        <v>762</v>
      </c>
      <c r="B1737" t="s">
        <v>275</v>
      </c>
      <c r="C1737" s="5">
        <v>4782802</v>
      </c>
      <c r="D1737" s="5">
        <v>132224</v>
      </c>
      <c r="E1737">
        <v>1017060</v>
      </c>
      <c r="F1737" s="4" t="s">
        <v>384</v>
      </c>
      <c r="G1737" t="s">
        <v>29</v>
      </c>
      <c r="H1737" t="s">
        <v>385</v>
      </c>
    </row>
    <row r="1738" spans="1:8" x14ac:dyDescent="0.25">
      <c r="A1738" t="s">
        <v>762</v>
      </c>
      <c r="B1738" t="s">
        <v>278</v>
      </c>
      <c r="C1738" s="5">
        <v>89216</v>
      </c>
      <c r="D1738" s="5">
        <v>2249</v>
      </c>
      <c r="E1738">
        <v>27628</v>
      </c>
      <c r="F1738" s="4" t="s">
        <v>729</v>
      </c>
      <c r="G1738" t="s">
        <v>29</v>
      </c>
      <c r="H1738" t="s">
        <v>730</v>
      </c>
    </row>
    <row r="1739" spans="1:8" x14ac:dyDescent="0.25">
      <c r="A1739" t="s">
        <v>762</v>
      </c>
      <c r="B1739" t="s">
        <v>279</v>
      </c>
      <c r="C1739" s="5">
        <v>868493</v>
      </c>
      <c r="D1739" s="5">
        <v>11077</v>
      </c>
      <c r="E1739">
        <v>684564</v>
      </c>
      <c r="F1739" s="4" t="s">
        <v>381</v>
      </c>
      <c r="G1739" t="s">
        <v>29</v>
      </c>
      <c r="H1739" t="s">
        <v>382</v>
      </c>
    </row>
    <row r="1740" spans="1:8" x14ac:dyDescent="0.25">
      <c r="A1740" t="s">
        <v>762</v>
      </c>
      <c r="B1740" t="s">
        <v>280</v>
      </c>
      <c r="C1740" s="5">
        <v>1722912</v>
      </c>
      <c r="D1740" s="5">
        <v>18286</v>
      </c>
      <c r="E1740">
        <v>1123407</v>
      </c>
      <c r="F1740" s="4" t="s">
        <v>165</v>
      </c>
      <c r="G1740" t="s">
        <v>29</v>
      </c>
      <c r="H1740" t="s">
        <v>166</v>
      </c>
    </row>
    <row r="1741" spans="1:8" x14ac:dyDescent="0.25">
      <c r="A1741" t="s">
        <v>762</v>
      </c>
      <c r="B1741" t="s">
        <v>281</v>
      </c>
      <c r="C1741" s="5">
        <v>253512</v>
      </c>
      <c r="D1741" s="5">
        <v>5282</v>
      </c>
      <c r="E1741">
        <v>125706</v>
      </c>
      <c r="F1741" s="4" t="s">
        <v>549</v>
      </c>
      <c r="G1741" t="s">
        <v>29</v>
      </c>
      <c r="H1741" t="s">
        <v>550</v>
      </c>
    </row>
    <row r="1742" spans="1:8" x14ac:dyDescent="0.25">
      <c r="A1742" t="s">
        <v>762</v>
      </c>
      <c r="B1742" t="s">
        <v>284</v>
      </c>
      <c r="C1742" s="5">
        <v>181499</v>
      </c>
      <c r="D1742" s="5">
        <v>2676</v>
      </c>
      <c r="E1742">
        <v>63381</v>
      </c>
      <c r="F1742" s="4" t="s">
        <v>777</v>
      </c>
      <c r="G1742" t="s">
        <v>29</v>
      </c>
      <c r="H1742" t="s">
        <v>778</v>
      </c>
    </row>
    <row r="1743" spans="1:8" x14ac:dyDescent="0.25">
      <c r="A1743" t="s">
        <v>762</v>
      </c>
      <c r="B1743" t="s">
        <v>290</v>
      </c>
      <c r="C1743" s="5">
        <v>2</v>
      </c>
      <c r="D1743" s="5">
        <v>0</v>
      </c>
      <c r="E1743">
        <v>0</v>
      </c>
      <c r="F1743" s="4" t="s">
        <v>29</v>
      </c>
      <c r="G1743" t="s">
        <v>29</v>
      </c>
      <c r="H1743" t="s">
        <v>291</v>
      </c>
    </row>
    <row r="1744" spans="1:8" x14ac:dyDescent="0.25">
      <c r="A1744" t="s">
        <v>762</v>
      </c>
      <c r="B1744" t="s">
        <v>287</v>
      </c>
      <c r="C1744" s="5">
        <v>118787</v>
      </c>
      <c r="D1744" s="5">
        <v>2807</v>
      </c>
      <c r="E1744">
        <v>8641</v>
      </c>
      <c r="F1744" s="4" t="s">
        <v>339</v>
      </c>
      <c r="G1744" t="s">
        <v>29</v>
      </c>
      <c r="H1744" t="s">
        <v>340</v>
      </c>
    </row>
    <row r="1745" spans="1:8" x14ac:dyDescent="0.25">
      <c r="A1745" t="s">
        <v>762</v>
      </c>
      <c r="B1745" t="s">
        <v>292</v>
      </c>
      <c r="C1745" s="5">
        <v>4281</v>
      </c>
      <c r="D1745" s="5">
        <v>147</v>
      </c>
      <c r="E1745">
        <v>3791</v>
      </c>
      <c r="F1745" s="4" t="s">
        <v>252</v>
      </c>
      <c r="G1745" t="s">
        <v>29</v>
      </c>
      <c r="H1745" t="s">
        <v>253</v>
      </c>
    </row>
    <row r="1746" spans="1:8" x14ac:dyDescent="0.25">
      <c r="A1746" t="s">
        <v>762</v>
      </c>
      <c r="B1746" t="s">
        <v>293</v>
      </c>
      <c r="C1746" s="5">
        <v>2696</v>
      </c>
      <c r="D1746" s="5">
        <v>25</v>
      </c>
      <c r="E1746">
        <v>2506</v>
      </c>
      <c r="F1746" s="4" t="s">
        <v>484</v>
      </c>
      <c r="G1746" t="s">
        <v>29</v>
      </c>
      <c r="H1746" t="s">
        <v>485</v>
      </c>
    </row>
    <row r="1747" spans="1:8" x14ac:dyDescent="0.25">
      <c r="A1747" t="s">
        <v>762</v>
      </c>
      <c r="B1747" t="s">
        <v>296</v>
      </c>
      <c r="C1747" s="5">
        <v>373120</v>
      </c>
      <c r="D1747" s="5">
        <v>2916</v>
      </c>
      <c r="E1747">
        <v>88414</v>
      </c>
      <c r="F1747" s="4" t="s">
        <v>297</v>
      </c>
      <c r="G1747" t="s">
        <v>29</v>
      </c>
      <c r="H1747" t="s">
        <v>298</v>
      </c>
    </row>
    <row r="1748" spans="1:8" x14ac:dyDescent="0.25">
      <c r="A1748" t="s">
        <v>762</v>
      </c>
      <c r="B1748" t="s">
        <v>299</v>
      </c>
      <c r="C1748" s="5">
        <v>412752</v>
      </c>
      <c r="D1748" s="5">
        <v>2462</v>
      </c>
      <c r="E1748">
        <v>215717</v>
      </c>
      <c r="F1748" s="4" t="s">
        <v>300</v>
      </c>
      <c r="G1748" t="s">
        <v>29</v>
      </c>
      <c r="H1748" t="s">
        <v>301</v>
      </c>
    </row>
    <row r="1749" spans="1:8" x14ac:dyDescent="0.25">
      <c r="A1749" t="s">
        <v>762</v>
      </c>
      <c r="B1749" t="s">
        <v>302</v>
      </c>
      <c r="C1749" s="5">
        <v>1024449</v>
      </c>
      <c r="D1749" s="5">
        <v>17201</v>
      </c>
      <c r="E1749">
        <v>880903</v>
      </c>
      <c r="F1749" s="4" t="s">
        <v>116</v>
      </c>
      <c r="G1749" t="s">
        <v>29</v>
      </c>
      <c r="H1749" t="s">
        <v>117</v>
      </c>
    </row>
    <row r="1750" spans="1:8" x14ac:dyDescent="0.25">
      <c r="A1750" t="s">
        <v>762</v>
      </c>
      <c r="B1750" t="s">
        <v>303</v>
      </c>
      <c r="C1750" s="5">
        <v>42891</v>
      </c>
      <c r="D1750" s="5">
        <v>73</v>
      </c>
      <c r="E1750">
        <v>11075</v>
      </c>
      <c r="F1750" s="4" t="s">
        <v>679</v>
      </c>
      <c r="G1750" t="s">
        <v>29</v>
      </c>
      <c r="H1750" t="s">
        <v>680</v>
      </c>
    </row>
    <row r="1751" spans="1:8" x14ac:dyDescent="0.25">
      <c r="A1751" t="s">
        <v>762</v>
      </c>
      <c r="B1751" t="s">
        <v>306</v>
      </c>
      <c r="C1751" s="5">
        <v>643749</v>
      </c>
      <c r="D1751" s="5">
        <v>8522</v>
      </c>
      <c r="E1751">
        <v>223010</v>
      </c>
      <c r="F1751" s="4" t="s">
        <v>307</v>
      </c>
      <c r="G1751" t="s">
        <v>29</v>
      </c>
      <c r="H1751" t="s">
        <v>308</v>
      </c>
    </row>
    <row r="1752" spans="1:8" x14ac:dyDescent="0.25">
      <c r="A1752" t="s">
        <v>762</v>
      </c>
      <c r="B1752" t="s">
        <v>309</v>
      </c>
      <c r="C1752" s="5">
        <v>12610</v>
      </c>
      <c r="D1752" s="5">
        <v>259</v>
      </c>
      <c r="E1752">
        <v>7363</v>
      </c>
      <c r="F1752" s="4" t="s">
        <v>579</v>
      </c>
      <c r="G1752" t="s">
        <v>29</v>
      </c>
      <c r="H1752" t="s">
        <v>580</v>
      </c>
    </row>
    <row r="1753" spans="1:8" x14ac:dyDescent="0.25">
      <c r="A1753" t="s">
        <v>762</v>
      </c>
      <c r="B1753" t="s">
        <v>312</v>
      </c>
      <c r="C1753" s="5">
        <v>3699</v>
      </c>
      <c r="D1753" s="5">
        <v>61</v>
      </c>
      <c r="E1753">
        <v>2308</v>
      </c>
      <c r="F1753" s="4" t="s">
        <v>691</v>
      </c>
      <c r="G1753" t="s">
        <v>29</v>
      </c>
      <c r="H1753" t="s">
        <v>692</v>
      </c>
    </row>
    <row r="1754" spans="1:8" x14ac:dyDescent="0.25">
      <c r="A1754" t="s">
        <v>762</v>
      </c>
      <c r="B1754" t="s">
        <v>315</v>
      </c>
      <c r="C1754" s="5">
        <v>542793</v>
      </c>
      <c r="D1754" s="5">
        <v>13791</v>
      </c>
      <c r="E1754">
        <v>349772</v>
      </c>
      <c r="F1754" s="4" t="s">
        <v>141</v>
      </c>
      <c r="G1754" t="s">
        <v>29</v>
      </c>
      <c r="H1754" t="s">
        <v>142</v>
      </c>
    </row>
    <row r="1755" spans="1:8" x14ac:dyDescent="0.25">
      <c r="A1755" t="s">
        <v>762</v>
      </c>
      <c r="B1755" t="s">
        <v>316</v>
      </c>
      <c r="C1755" s="5">
        <v>5815</v>
      </c>
      <c r="D1755" s="5">
        <v>287</v>
      </c>
      <c r="E1755">
        <v>4290</v>
      </c>
      <c r="F1755" s="4" t="s">
        <v>644</v>
      </c>
      <c r="G1755" t="s">
        <v>29</v>
      </c>
      <c r="H1755" t="s">
        <v>645</v>
      </c>
    </row>
    <row r="1756" spans="1:8" x14ac:dyDescent="0.25">
      <c r="A1756" t="s">
        <v>762</v>
      </c>
      <c r="B1756" t="s">
        <v>319</v>
      </c>
      <c r="C1756" s="5">
        <v>21643</v>
      </c>
      <c r="D1756" s="5">
        <v>658</v>
      </c>
      <c r="E1756">
        <v>7010</v>
      </c>
      <c r="F1756" s="4" t="s">
        <v>320</v>
      </c>
      <c r="G1756" t="s">
        <v>29</v>
      </c>
      <c r="H1756" t="s">
        <v>321</v>
      </c>
    </row>
    <row r="1757" spans="1:8" x14ac:dyDescent="0.25">
      <c r="A1757" t="s">
        <v>762</v>
      </c>
      <c r="B1757" t="s">
        <v>322</v>
      </c>
      <c r="C1757" s="5">
        <v>414817</v>
      </c>
      <c r="D1757" s="5">
        <v>5971</v>
      </c>
      <c r="E1757">
        <v>198179</v>
      </c>
      <c r="F1757" s="4" t="s">
        <v>330</v>
      </c>
      <c r="G1757" t="s">
        <v>29</v>
      </c>
      <c r="H1757" t="s">
        <v>331</v>
      </c>
    </row>
    <row r="1758" spans="1:8" x14ac:dyDescent="0.25">
      <c r="A1758" t="s">
        <v>762</v>
      </c>
      <c r="B1758" t="s">
        <v>325</v>
      </c>
      <c r="C1758" s="5">
        <v>82190</v>
      </c>
      <c r="D1758" s="5">
        <v>848</v>
      </c>
      <c r="E1758">
        <v>58484</v>
      </c>
      <c r="F1758" s="4" t="s">
        <v>687</v>
      </c>
      <c r="G1758" t="s">
        <v>29</v>
      </c>
      <c r="H1758" t="s">
        <v>688</v>
      </c>
    </row>
    <row r="1759" spans="1:8" x14ac:dyDescent="0.25">
      <c r="A1759" t="s">
        <v>762</v>
      </c>
      <c r="B1759" t="s">
        <v>328</v>
      </c>
      <c r="C1759" s="5">
        <v>224513</v>
      </c>
      <c r="D1759" s="5">
        <v>3357</v>
      </c>
      <c r="E1759">
        <v>62884</v>
      </c>
      <c r="F1759" s="4" t="s">
        <v>226</v>
      </c>
      <c r="G1759" t="s">
        <v>29</v>
      </c>
      <c r="H1759" t="s">
        <v>227</v>
      </c>
    </row>
    <row r="1760" spans="1:8" x14ac:dyDescent="0.25">
      <c r="A1760" t="s">
        <v>762</v>
      </c>
      <c r="B1760" t="s">
        <v>329</v>
      </c>
      <c r="C1760" s="5">
        <v>359019</v>
      </c>
      <c r="D1760" s="5">
        <v>5157</v>
      </c>
      <c r="E1760">
        <v>304413</v>
      </c>
      <c r="F1760" s="4" t="s">
        <v>330</v>
      </c>
      <c r="G1760" t="s">
        <v>29</v>
      </c>
      <c r="H1760" t="s">
        <v>331</v>
      </c>
    </row>
    <row r="1761" spans="1:8" x14ac:dyDescent="0.25">
      <c r="A1761" t="s">
        <v>762</v>
      </c>
      <c r="B1761" t="s">
        <v>332</v>
      </c>
      <c r="C1761" s="5">
        <v>946766</v>
      </c>
      <c r="D1761" s="5">
        <v>14689</v>
      </c>
      <c r="E1761">
        <v>306615</v>
      </c>
      <c r="F1761" s="4" t="s">
        <v>333</v>
      </c>
      <c r="G1761" t="s">
        <v>29</v>
      </c>
      <c r="H1761" t="s">
        <v>334</v>
      </c>
    </row>
    <row r="1762" spans="1:8" x14ac:dyDescent="0.25">
      <c r="A1762" t="s">
        <v>762</v>
      </c>
      <c r="B1762" t="s">
        <v>335</v>
      </c>
      <c r="C1762" s="5">
        <v>3424</v>
      </c>
      <c r="D1762" s="5">
        <v>36</v>
      </c>
      <c r="E1762">
        <v>842</v>
      </c>
      <c r="F1762" s="4" t="s">
        <v>642</v>
      </c>
      <c r="G1762" t="s">
        <v>29</v>
      </c>
      <c r="H1762" t="s">
        <v>643</v>
      </c>
    </row>
    <row r="1763" spans="1:8" x14ac:dyDescent="0.25">
      <c r="A1763" t="s">
        <v>762</v>
      </c>
      <c r="B1763" t="s">
        <v>338</v>
      </c>
      <c r="C1763" s="5">
        <v>341675</v>
      </c>
      <c r="D1763" s="5">
        <v>7912</v>
      </c>
      <c r="E1763">
        <v>296933</v>
      </c>
      <c r="F1763" s="4" t="s">
        <v>725</v>
      </c>
      <c r="G1763" t="s">
        <v>29</v>
      </c>
      <c r="H1763" t="s">
        <v>726</v>
      </c>
    </row>
    <row r="1764" spans="1:8" x14ac:dyDescent="0.25">
      <c r="A1764" t="s">
        <v>762</v>
      </c>
      <c r="B1764" t="s">
        <v>341</v>
      </c>
      <c r="C1764" s="5">
        <v>145936</v>
      </c>
      <c r="D1764" s="5">
        <v>2119</v>
      </c>
      <c r="E1764">
        <v>50930</v>
      </c>
      <c r="F1764" s="4" t="s">
        <v>342</v>
      </c>
      <c r="G1764" t="s">
        <v>29</v>
      </c>
      <c r="H1764" t="s">
        <v>343</v>
      </c>
    </row>
    <row r="1765" spans="1:8" x14ac:dyDescent="0.25">
      <c r="A1765" t="s">
        <v>762</v>
      </c>
      <c r="B1765" t="s">
        <v>344</v>
      </c>
      <c r="C1765" s="5">
        <v>3920</v>
      </c>
      <c r="D1765" s="5">
        <v>56</v>
      </c>
      <c r="E1765">
        <v>2501</v>
      </c>
      <c r="F1765" s="4" t="s">
        <v>323</v>
      </c>
      <c r="G1765" t="s">
        <v>29</v>
      </c>
      <c r="H1765" t="s">
        <v>324</v>
      </c>
    </row>
    <row r="1766" spans="1:8" x14ac:dyDescent="0.25">
      <c r="A1766" t="s">
        <v>762</v>
      </c>
      <c r="B1766" t="s">
        <v>347</v>
      </c>
      <c r="C1766" s="5">
        <v>43632</v>
      </c>
      <c r="D1766" s="5">
        <v>964</v>
      </c>
      <c r="E1766">
        <v>20806</v>
      </c>
      <c r="F1766" s="4" t="s">
        <v>132</v>
      </c>
      <c r="G1766" t="s">
        <v>29</v>
      </c>
      <c r="H1766" t="s">
        <v>133</v>
      </c>
    </row>
    <row r="1767" spans="1:8" x14ac:dyDescent="0.25">
      <c r="A1767" t="s">
        <v>762</v>
      </c>
      <c r="B1767" t="s">
        <v>348</v>
      </c>
      <c r="C1767" s="5">
        <v>4</v>
      </c>
      <c r="D1767" s="5">
        <v>0</v>
      </c>
      <c r="E1767">
        <v>1</v>
      </c>
      <c r="F1767" s="4" t="s">
        <v>29</v>
      </c>
      <c r="G1767" t="s">
        <v>29</v>
      </c>
      <c r="H1767" t="s">
        <v>291</v>
      </c>
    </row>
    <row r="1768" spans="1:8" x14ac:dyDescent="0.25">
      <c r="A1768" t="s">
        <v>762</v>
      </c>
      <c r="B1768" t="s">
        <v>349</v>
      </c>
      <c r="C1768" s="5">
        <v>203866</v>
      </c>
      <c r="D1768" s="5">
        <v>7178</v>
      </c>
      <c r="E1768">
        <v>34764</v>
      </c>
      <c r="F1768" s="4" t="s">
        <v>353</v>
      </c>
      <c r="G1768" t="s">
        <v>29</v>
      </c>
      <c r="H1768" t="s">
        <v>354</v>
      </c>
    </row>
    <row r="1769" spans="1:8" x14ac:dyDescent="0.25">
      <c r="A1769" t="s">
        <v>762</v>
      </c>
      <c r="B1769" t="s">
        <v>352</v>
      </c>
      <c r="C1769" s="5">
        <v>16195</v>
      </c>
      <c r="D1769" s="5">
        <v>569</v>
      </c>
      <c r="E1769">
        <v>15244</v>
      </c>
      <c r="F1769" s="4" t="s">
        <v>350</v>
      </c>
      <c r="G1769" t="s">
        <v>29</v>
      </c>
      <c r="H1769" t="s">
        <v>351</v>
      </c>
    </row>
    <row r="1770" spans="1:8" x14ac:dyDescent="0.25">
      <c r="A1770" t="s">
        <v>762</v>
      </c>
      <c r="B1770" t="s">
        <v>355</v>
      </c>
      <c r="C1770" s="5">
        <v>502979</v>
      </c>
      <c r="D1770" s="5">
        <v>18744</v>
      </c>
      <c r="E1770">
        <v>214213</v>
      </c>
      <c r="F1770" s="4" t="s">
        <v>779</v>
      </c>
      <c r="G1770" t="s">
        <v>29</v>
      </c>
      <c r="H1770" t="s">
        <v>780</v>
      </c>
    </row>
    <row r="1771" spans="1:8" x14ac:dyDescent="0.25">
      <c r="A1771" t="s">
        <v>762</v>
      </c>
      <c r="B1771" t="s">
        <v>358</v>
      </c>
      <c r="C1771" s="5">
        <v>362772</v>
      </c>
      <c r="D1771" s="5">
        <v>1767</v>
      </c>
      <c r="E1771">
        <v>123898</v>
      </c>
      <c r="F1771" s="4" t="s">
        <v>638</v>
      </c>
      <c r="G1771" t="s">
        <v>29</v>
      </c>
      <c r="H1771" t="s">
        <v>639</v>
      </c>
    </row>
    <row r="1772" spans="1:8" x14ac:dyDescent="0.25">
      <c r="A1772" t="s">
        <v>762</v>
      </c>
      <c r="B1772" t="s">
        <v>359</v>
      </c>
      <c r="C1772" s="5">
        <v>77</v>
      </c>
      <c r="D1772" s="5">
        <v>0</v>
      </c>
      <c r="E1772">
        <v>52</v>
      </c>
      <c r="F1772" s="4" t="s">
        <v>29</v>
      </c>
      <c r="G1772" t="s">
        <v>29</v>
      </c>
      <c r="H1772" t="s">
        <v>291</v>
      </c>
    </row>
    <row r="1773" spans="1:8" x14ac:dyDescent="0.25">
      <c r="A1773" t="s">
        <v>762</v>
      </c>
      <c r="B1773" t="s">
        <v>360</v>
      </c>
      <c r="C1773" s="5">
        <v>43347</v>
      </c>
      <c r="D1773" s="5">
        <v>683</v>
      </c>
      <c r="E1773">
        <v>123</v>
      </c>
      <c r="F1773" s="4" t="s">
        <v>577</v>
      </c>
      <c r="G1773" t="s">
        <v>29</v>
      </c>
      <c r="H1773" t="s">
        <v>578</v>
      </c>
    </row>
    <row r="1774" spans="1:8" x14ac:dyDescent="0.25">
      <c r="A1774" t="s">
        <v>762</v>
      </c>
      <c r="B1774" t="s">
        <v>363</v>
      </c>
      <c r="C1774" s="5">
        <v>37489</v>
      </c>
      <c r="D1774" s="5">
        <v>799</v>
      </c>
      <c r="E1774">
        <v>32164</v>
      </c>
      <c r="F1774" s="4" t="s">
        <v>650</v>
      </c>
      <c r="G1774" t="s">
        <v>29</v>
      </c>
      <c r="H1774" t="s">
        <v>651</v>
      </c>
    </row>
    <row r="1775" spans="1:8" x14ac:dyDescent="0.25">
      <c r="A1775" t="s">
        <v>762</v>
      </c>
      <c r="B1775" t="s">
        <v>364</v>
      </c>
      <c r="C1775" s="5">
        <v>37736</v>
      </c>
      <c r="D1775" s="5">
        <v>462</v>
      </c>
      <c r="E1775">
        <v>5134</v>
      </c>
      <c r="F1775" s="4" t="s">
        <v>365</v>
      </c>
      <c r="G1775" t="s">
        <v>29</v>
      </c>
      <c r="H1775" t="s">
        <v>366</v>
      </c>
    </row>
    <row r="1776" spans="1:8" x14ac:dyDescent="0.25">
      <c r="A1776" t="s">
        <v>762</v>
      </c>
      <c r="B1776" t="s">
        <v>367</v>
      </c>
      <c r="C1776" s="5">
        <v>18205</v>
      </c>
      <c r="D1776" s="5">
        <v>196</v>
      </c>
      <c r="E1776">
        <v>980</v>
      </c>
      <c r="F1776" s="4" t="s">
        <v>758</v>
      </c>
      <c r="G1776" t="s">
        <v>29</v>
      </c>
      <c r="H1776" t="s">
        <v>759</v>
      </c>
    </row>
    <row r="1777" spans="1:8" x14ac:dyDescent="0.25">
      <c r="A1777" t="s">
        <v>762</v>
      </c>
      <c r="B1777" t="s">
        <v>368</v>
      </c>
      <c r="C1777" s="5">
        <v>88277</v>
      </c>
      <c r="D1777" s="5">
        <v>243</v>
      </c>
      <c r="E1777">
        <v>1443</v>
      </c>
      <c r="F1777" s="4" t="s">
        <v>369</v>
      </c>
      <c r="G1777" t="s">
        <v>29</v>
      </c>
      <c r="H1777" t="s">
        <v>370</v>
      </c>
    </row>
    <row r="1778" spans="1:8" x14ac:dyDescent="0.25">
      <c r="A1778" t="s">
        <v>762</v>
      </c>
      <c r="B1778" t="s">
        <v>371</v>
      </c>
      <c r="C1778" s="5">
        <v>61803</v>
      </c>
      <c r="D1778" s="5">
        <v>2302</v>
      </c>
      <c r="E1778">
        <v>41984</v>
      </c>
      <c r="F1778" s="4" t="s">
        <v>372</v>
      </c>
      <c r="G1778" t="s">
        <v>29</v>
      </c>
      <c r="H1778" t="s">
        <v>373</v>
      </c>
    </row>
    <row r="1779" spans="1:8" x14ac:dyDescent="0.25">
      <c r="A1779" t="s">
        <v>762</v>
      </c>
      <c r="B1779" t="s">
        <v>374</v>
      </c>
      <c r="C1779" s="5">
        <v>3811793</v>
      </c>
      <c r="D1779" s="5">
        <v>288733</v>
      </c>
      <c r="E1779">
        <v>740823</v>
      </c>
      <c r="F1779" s="4" t="s">
        <v>375</v>
      </c>
      <c r="G1779" t="s">
        <v>29</v>
      </c>
      <c r="H1779" t="s">
        <v>376</v>
      </c>
    </row>
    <row r="1780" spans="1:8" x14ac:dyDescent="0.25">
      <c r="A1780" t="s">
        <v>762</v>
      </c>
      <c r="B1780" t="s">
        <v>377</v>
      </c>
      <c r="C1780" s="5">
        <v>2486630</v>
      </c>
      <c r="D1780" s="5">
        <v>29091</v>
      </c>
      <c r="E1780">
        <v>2337028</v>
      </c>
      <c r="F1780" s="4" t="s">
        <v>378</v>
      </c>
      <c r="G1780" t="s">
        <v>29</v>
      </c>
      <c r="H1780" t="s">
        <v>379</v>
      </c>
    </row>
    <row r="1781" spans="1:8" x14ac:dyDescent="0.25">
      <c r="A1781" t="s">
        <v>762</v>
      </c>
      <c r="B1781" t="s">
        <v>380</v>
      </c>
      <c r="C1781" s="5">
        <v>151325</v>
      </c>
      <c r="D1781" s="5">
        <v>1932</v>
      </c>
      <c r="E1781">
        <v>111448</v>
      </c>
      <c r="F1781" s="4" t="s">
        <v>381</v>
      </c>
      <c r="G1781" t="s">
        <v>29</v>
      </c>
      <c r="H1781" t="s">
        <v>382</v>
      </c>
    </row>
    <row r="1782" spans="1:8" x14ac:dyDescent="0.25">
      <c r="A1782" t="s">
        <v>762</v>
      </c>
      <c r="B1782" t="s">
        <v>383</v>
      </c>
      <c r="C1782" s="5">
        <v>128963</v>
      </c>
      <c r="D1782" s="5">
        <v>3557</v>
      </c>
      <c r="E1782">
        <v>8213</v>
      </c>
      <c r="F1782" s="4" t="s">
        <v>384</v>
      </c>
      <c r="G1782" t="s">
        <v>29</v>
      </c>
      <c r="H1782" t="s">
        <v>385</v>
      </c>
    </row>
    <row r="1783" spans="1:8" x14ac:dyDescent="0.25">
      <c r="A1783" t="s">
        <v>762</v>
      </c>
      <c r="B1783" t="s">
        <v>386</v>
      </c>
      <c r="C1783" s="5">
        <v>11129</v>
      </c>
      <c r="D1783" s="5">
        <v>267</v>
      </c>
      <c r="E1783">
        <v>363</v>
      </c>
      <c r="F1783" s="4" t="s">
        <v>617</v>
      </c>
      <c r="G1783" t="s">
        <v>29</v>
      </c>
      <c r="H1783" t="s">
        <v>618</v>
      </c>
    </row>
    <row r="1784" spans="1:8" x14ac:dyDescent="0.25">
      <c r="A1784" t="s">
        <v>762</v>
      </c>
      <c r="B1784" t="s">
        <v>387</v>
      </c>
      <c r="C1784" s="5">
        <v>6399</v>
      </c>
      <c r="D1784" s="5">
        <v>216</v>
      </c>
      <c r="E1784">
        <v>1991</v>
      </c>
      <c r="F1784" s="4" t="s">
        <v>255</v>
      </c>
      <c r="G1784" t="s">
        <v>29</v>
      </c>
      <c r="H1784" t="s">
        <v>256</v>
      </c>
    </row>
    <row r="1785" spans="1:8" x14ac:dyDescent="0.25">
      <c r="A1785" t="s">
        <v>762</v>
      </c>
      <c r="B1785" t="s">
        <v>390</v>
      </c>
      <c r="C1785" s="5">
        <v>212359</v>
      </c>
      <c r="D1785" s="5">
        <v>2900</v>
      </c>
      <c r="E1785">
        <v>55323</v>
      </c>
      <c r="F1785" s="4" t="s">
        <v>391</v>
      </c>
      <c r="G1785" t="s">
        <v>29</v>
      </c>
      <c r="H1785" t="s">
        <v>392</v>
      </c>
    </row>
    <row r="1786" spans="1:8" x14ac:dyDescent="0.25">
      <c r="A1786" t="s">
        <v>762</v>
      </c>
      <c r="B1786" t="s">
        <v>393</v>
      </c>
      <c r="C1786" s="5">
        <v>16699</v>
      </c>
      <c r="D1786" s="5">
        <v>209</v>
      </c>
      <c r="E1786">
        <v>7376</v>
      </c>
      <c r="F1786" s="4" t="s">
        <v>107</v>
      </c>
      <c r="G1786" t="s">
        <v>29</v>
      </c>
      <c r="H1786" t="s">
        <v>108</v>
      </c>
    </row>
    <row r="1787" spans="1:8" x14ac:dyDescent="0.25">
      <c r="A1787" t="s">
        <v>762</v>
      </c>
      <c r="B1787" t="s">
        <v>396</v>
      </c>
      <c r="C1787" s="5">
        <v>2196598</v>
      </c>
      <c r="D1787" s="5">
        <v>18914</v>
      </c>
      <c r="E1787">
        <v>1960683</v>
      </c>
      <c r="F1787" s="4" t="s">
        <v>122</v>
      </c>
      <c r="G1787" t="s">
        <v>29</v>
      </c>
      <c r="H1787" t="s">
        <v>123</v>
      </c>
    </row>
    <row r="1788" spans="1:8" x14ac:dyDescent="0.25">
      <c r="A1788" t="s">
        <v>762</v>
      </c>
      <c r="B1788" t="s">
        <v>399</v>
      </c>
      <c r="C1788" s="5">
        <v>211755</v>
      </c>
      <c r="D1788" s="5">
        <v>919</v>
      </c>
      <c r="E1788">
        <v>177048</v>
      </c>
      <c r="F1788" s="4" t="s">
        <v>400</v>
      </c>
      <c r="G1788" t="s">
        <v>29</v>
      </c>
      <c r="H1788" t="s">
        <v>401</v>
      </c>
    </row>
    <row r="1789" spans="1:8" x14ac:dyDescent="0.25">
      <c r="A1789" t="s">
        <v>762</v>
      </c>
      <c r="B1789" t="s">
        <v>402</v>
      </c>
      <c r="C1789" s="5">
        <v>813828</v>
      </c>
      <c r="D1789" s="5">
        <v>11434</v>
      </c>
      <c r="E1789">
        <v>7287</v>
      </c>
      <c r="F1789" s="4" t="s">
        <v>403</v>
      </c>
      <c r="G1789" t="s">
        <v>29</v>
      </c>
      <c r="H1789" t="s">
        <v>404</v>
      </c>
    </row>
    <row r="1790" spans="1:8" x14ac:dyDescent="0.25">
      <c r="A1790" t="s">
        <v>762</v>
      </c>
      <c r="B1790" t="s">
        <v>405</v>
      </c>
      <c r="C1790" s="5">
        <v>6973</v>
      </c>
      <c r="D1790" s="5">
        <v>28</v>
      </c>
      <c r="E1790">
        <v>4417</v>
      </c>
      <c r="F1790" s="4" t="s">
        <v>599</v>
      </c>
      <c r="G1790" t="s">
        <v>29</v>
      </c>
      <c r="H1790" t="s">
        <v>600</v>
      </c>
    </row>
    <row r="1791" spans="1:8" x14ac:dyDescent="0.25">
      <c r="A1791" t="s">
        <v>762</v>
      </c>
      <c r="B1791" t="s">
        <v>408</v>
      </c>
      <c r="C1791" s="5">
        <v>304318</v>
      </c>
      <c r="D1791" s="5">
        <v>4112</v>
      </c>
      <c r="E1791">
        <v>176217</v>
      </c>
      <c r="F1791" s="4" t="s">
        <v>409</v>
      </c>
      <c r="G1791" t="s">
        <v>29</v>
      </c>
      <c r="H1791" t="s">
        <v>410</v>
      </c>
    </row>
    <row r="1792" spans="1:8" x14ac:dyDescent="0.25">
      <c r="A1792" t="s">
        <v>762</v>
      </c>
      <c r="B1792" t="s">
        <v>411</v>
      </c>
      <c r="C1792" s="5">
        <v>473005</v>
      </c>
      <c r="D1792" s="5">
        <v>7320</v>
      </c>
      <c r="E1792">
        <v>237566</v>
      </c>
      <c r="F1792" s="4" t="s">
        <v>333</v>
      </c>
      <c r="G1792" t="s">
        <v>29</v>
      </c>
      <c r="H1792" t="s">
        <v>334</v>
      </c>
    </row>
    <row r="1793" spans="1:8" x14ac:dyDescent="0.25">
      <c r="A1793" t="s">
        <v>762</v>
      </c>
      <c r="B1793" t="s">
        <v>412</v>
      </c>
      <c r="C1793" s="5">
        <v>2203310</v>
      </c>
      <c r="D1793" s="5">
        <v>200326</v>
      </c>
      <c r="E1793">
        <v>1719983</v>
      </c>
      <c r="F1793" s="4" t="s">
        <v>727</v>
      </c>
      <c r="G1793" t="s">
        <v>29</v>
      </c>
      <c r="H1793" t="s">
        <v>728</v>
      </c>
    </row>
    <row r="1794" spans="1:8" x14ac:dyDescent="0.25">
      <c r="A1794" t="s">
        <v>762</v>
      </c>
      <c r="B1794" t="s">
        <v>415</v>
      </c>
      <c r="C1794" s="5">
        <v>45541</v>
      </c>
      <c r="D1794" s="5">
        <v>636</v>
      </c>
      <c r="E1794">
        <v>3993</v>
      </c>
      <c r="F1794" s="4" t="s">
        <v>403</v>
      </c>
      <c r="G1794" t="s">
        <v>29</v>
      </c>
      <c r="H1794" t="s">
        <v>404</v>
      </c>
    </row>
    <row r="1795" spans="1:8" x14ac:dyDescent="0.25">
      <c r="A1795" t="s">
        <v>762</v>
      </c>
      <c r="B1795" t="s">
        <v>416</v>
      </c>
      <c r="C1795" s="5">
        <v>31010</v>
      </c>
      <c r="D1795" s="5">
        <v>392</v>
      </c>
      <c r="E1795">
        <v>24646</v>
      </c>
      <c r="F1795" s="4" t="s">
        <v>223</v>
      </c>
      <c r="G1795" t="s">
        <v>29</v>
      </c>
      <c r="H1795" t="s">
        <v>224</v>
      </c>
    </row>
    <row r="1796" spans="1:8" x14ac:dyDescent="0.25">
      <c r="A1796" t="s">
        <v>762</v>
      </c>
      <c r="B1796" t="s">
        <v>419</v>
      </c>
      <c r="C1796" s="5">
        <v>2793898</v>
      </c>
      <c r="D1796" s="5">
        <v>43586</v>
      </c>
      <c r="E1796">
        <v>1366789</v>
      </c>
      <c r="F1796" s="4" t="s">
        <v>41</v>
      </c>
      <c r="G1796" t="s">
        <v>29</v>
      </c>
      <c r="H1796" t="s">
        <v>42</v>
      </c>
    </row>
    <row r="1797" spans="1:8" x14ac:dyDescent="0.25">
      <c r="A1797" t="s">
        <v>762</v>
      </c>
      <c r="B1797" t="s">
        <v>420</v>
      </c>
      <c r="C1797" s="5">
        <v>1275158</v>
      </c>
      <c r="D1797" s="5">
        <v>28496</v>
      </c>
      <c r="E1797">
        <v>1135703</v>
      </c>
      <c r="F1797" s="4" t="s">
        <v>421</v>
      </c>
      <c r="G1797" t="s">
        <v>29</v>
      </c>
      <c r="H1797" t="s">
        <v>422</v>
      </c>
    </row>
    <row r="1798" spans="1:8" x14ac:dyDescent="0.25">
      <c r="A1798" t="s">
        <v>762</v>
      </c>
      <c r="B1798" t="s">
        <v>423</v>
      </c>
      <c r="C1798" s="5">
        <v>3045102</v>
      </c>
      <c r="D1798" s="5">
        <v>77145</v>
      </c>
      <c r="E1798">
        <v>2825497</v>
      </c>
      <c r="F1798" s="4" t="s">
        <v>611</v>
      </c>
      <c r="G1798" t="s">
        <v>29</v>
      </c>
      <c r="H1798" t="s">
        <v>612</v>
      </c>
    </row>
    <row r="1799" spans="1:8" x14ac:dyDescent="0.25">
      <c r="A1799" t="s">
        <v>762</v>
      </c>
      <c r="B1799" t="s">
        <v>426</v>
      </c>
      <c r="C1799" s="5">
        <v>454509</v>
      </c>
      <c r="D1799" s="5">
        <v>4694</v>
      </c>
      <c r="E1799">
        <v>398528</v>
      </c>
      <c r="F1799" s="4" t="s">
        <v>687</v>
      </c>
      <c r="G1799" t="s">
        <v>29</v>
      </c>
      <c r="H1799" t="s">
        <v>688</v>
      </c>
    </row>
    <row r="1800" spans="1:8" x14ac:dyDescent="0.25">
      <c r="A1800" t="s">
        <v>762</v>
      </c>
      <c r="B1800" t="s">
        <v>427</v>
      </c>
      <c r="C1800" s="5">
        <v>1092666</v>
      </c>
      <c r="D1800" s="5">
        <v>18180</v>
      </c>
      <c r="E1800">
        <v>922590</v>
      </c>
      <c r="F1800" s="4" t="s">
        <v>135</v>
      </c>
      <c r="G1800" t="s">
        <v>29</v>
      </c>
      <c r="H1800" t="s">
        <v>136</v>
      </c>
    </row>
    <row r="1801" spans="1:8" x14ac:dyDescent="0.25">
      <c r="A1801" t="s">
        <v>762</v>
      </c>
      <c r="B1801" t="s">
        <v>428</v>
      </c>
      <c r="C1801" s="5">
        <v>8</v>
      </c>
      <c r="D1801" s="5">
        <v>0</v>
      </c>
      <c r="E1801">
        <v>7</v>
      </c>
      <c r="F1801" s="4" t="s">
        <v>29</v>
      </c>
      <c r="G1801" t="s">
        <v>29</v>
      </c>
      <c r="H1801" t="s">
        <v>291</v>
      </c>
    </row>
    <row r="1802" spans="1:8" x14ac:dyDescent="0.25">
      <c r="A1802" t="s">
        <v>762</v>
      </c>
      <c r="B1802" t="s">
        <v>429</v>
      </c>
      <c r="C1802" s="5">
        <v>461184</v>
      </c>
      <c r="D1802" s="5">
        <v>16256</v>
      </c>
      <c r="E1802">
        <v>230060</v>
      </c>
      <c r="F1802" s="4" t="s">
        <v>353</v>
      </c>
      <c r="G1802" t="s">
        <v>29</v>
      </c>
      <c r="H1802" t="s">
        <v>354</v>
      </c>
    </row>
    <row r="1803" spans="1:8" x14ac:dyDescent="0.25">
      <c r="A1803" t="s">
        <v>762</v>
      </c>
      <c r="B1803" t="s">
        <v>432</v>
      </c>
      <c r="C1803" s="5">
        <v>239646</v>
      </c>
      <c r="D1803" s="5">
        <v>611</v>
      </c>
      <c r="E1803">
        <v>7463</v>
      </c>
      <c r="F1803" s="4" t="s">
        <v>433</v>
      </c>
      <c r="G1803" t="s">
        <v>29</v>
      </c>
      <c r="H1803" t="s">
        <v>434</v>
      </c>
    </row>
    <row r="1804" spans="1:8" x14ac:dyDescent="0.25">
      <c r="A1804" t="s">
        <v>762</v>
      </c>
      <c r="B1804" t="s">
        <v>435</v>
      </c>
      <c r="C1804" s="5">
        <v>54668</v>
      </c>
      <c r="D1804" s="5">
        <v>374</v>
      </c>
      <c r="E1804">
        <v>51903</v>
      </c>
      <c r="F1804" s="4" t="s">
        <v>605</v>
      </c>
      <c r="G1804" t="s">
        <v>29</v>
      </c>
      <c r="H1804" t="s">
        <v>606</v>
      </c>
    </row>
    <row r="1805" spans="1:8" x14ac:dyDescent="0.25">
      <c r="A1805" t="s">
        <v>762</v>
      </c>
      <c r="B1805" t="s">
        <v>436</v>
      </c>
      <c r="C1805" s="5">
        <v>1676293</v>
      </c>
      <c r="D1805" s="5">
        <v>49115</v>
      </c>
      <c r="E1805">
        <v>335156</v>
      </c>
      <c r="F1805" s="4" t="s">
        <v>101</v>
      </c>
      <c r="G1805" t="s">
        <v>29</v>
      </c>
      <c r="H1805" t="s">
        <v>102</v>
      </c>
    </row>
    <row r="1806" spans="1:8" x14ac:dyDescent="0.25">
      <c r="A1806" t="s">
        <v>762</v>
      </c>
      <c r="B1806" t="s">
        <v>439</v>
      </c>
      <c r="C1806" s="5">
        <v>1162482</v>
      </c>
      <c r="D1806" s="5">
        <v>10139</v>
      </c>
      <c r="E1806">
        <v>857831</v>
      </c>
      <c r="F1806" s="4" t="s">
        <v>498</v>
      </c>
      <c r="G1806" t="s">
        <v>29</v>
      </c>
      <c r="H1806" t="s">
        <v>499</v>
      </c>
    </row>
    <row r="1807" spans="1:8" x14ac:dyDescent="0.25">
      <c r="A1807" t="s">
        <v>762</v>
      </c>
      <c r="B1807" t="s">
        <v>440</v>
      </c>
      <c r="C1807" s="5">
        <v>8494589</v>
      </c>
      <c r="D1807" s="5">
        <v>237619</v>
      </c>
      <c r="E1807">
        <v>5191712</v>
      </c>
      <c r="F1807" s="4" t="s">
        <v>441</v>
      </c>
      <c r="G1807" t="s">
        <v>29</v>
      </c>
      <c r="H1807" t="s">
        <v>442</v>
      </c>
    </row>
    <row r="1808" spans="1:8" x14ac:dyDescent="0.25">
      <c r="A1808" t="s">
        <v>762</v>
      </c>
      <c r="B1808" t="s">
        <v>443</v>
      </c>
      <c r="C1808" s="5">
        <v>99820</v>
      </c>
      <c r="D1808" s="5">
        <v>1332</v>
      </c>
      <c r="E1808">
        <v>35594</v>
      </c>
      <c r="F1808" s="4" t="s">
        <v>59</v>
      </c>
      <c r="G1808" t="s">
        <v>29</v>
      </c>
      <c r="H1808" t="s">
        <v>60</v>
      </c>
    </row>
    <row r="1809" spans="1:8" x14ac:dyDescent="0.25">
      <c r="A1809" t="s">
        <v>762</v>
      </c>
      <c r="B1809" t="s">
        <v>444</v>
      </c>
      <c r="C1809" s="5">
        <v>548760</v>
      </c>
      <c r="D1809" s="5">
        <v>8799</v>
      </c>
      <c r="E1809">
        <v>469</v>
      </c>
      <c r="F1809" s="4" t="s">
        <v>313</v>
      </c>
      <c r="G1809" t="s">
        <v>29</v>
      </c>
      <c r="H1809" t="s">
        <v>314</v>
      </c>
    </row>
    <row r="1810" spans="1:8" x14ac:dyDescent="0.25">
      <c r="A1810" t="s">
        <v>762</v>
      </c>
      <c r="B1810" t="s">
        <v>445</v>
      </c>
      <c r="C1810" s="5">
        <v>20</v>
      </c>
      <c r="D1810" s="5">
        <v>0</v>
      </c>
      <c r="E1810">
        <v>10</v>
      </c>
      <c r="F1810" s="4" t="s">
        <v>29</v>
      </c>
      <c r="G1810" t="s">
        <v>29</v>
      </c>
      <c r="H1810" t="s">
        <v>291</v>
      </c>
    </row>
    <row r="1811" spans="1:8" x14ac:dyDescent="0.25">
      <c r="A1811" t="s">
        <v>762</v>
      </c>
      <c r="B1811" t="s">
        <v>446</v>
      </c>
      <c r="C1811" s="5">
        <v>22301</v>
      </c>
      <c r="D1811" s="5">
        <v>119</v>
      </c>
      <c r="E1811">
        <v>20605</v>
      </c>
      <c r="F1811" s="4" t="s">
        <v>447</v>
      </c>
      <c r="G1811" t="s">
        <v>29</v>
      </c>
      <c r="H1811" t="s">
        <v>448</v>
      </c>
    </row>
    <row r="1812" spans="1:8" x14ac:dyDescent="0.25">
      <c r="A1812" t="s">
        <v>762</v>
      </c>
      <c r="B1812" t="s">
        <v>449</v>
      </c>
      <c r="C1812" s="5">
        <v>40433</v>
      </c>
      <c r="D1812" s="5">
        <v>3099</v>
      </c>
      <c r="E1812">
        <v>34483</v>
      </c>
      <c r="F1812" s="4" t="s">
        <v>632</v>
      </c>
      <c r="G1812" t="s">
        <v>29</v>
      </c>
      <c r="H1812" t="s">
        <v>633</v>
      </c>
    </row>
    <row r="1813" spans="1:8" x14ac:dyDescent="0.25">
      <c r="A1813" t="s">
        <v>762</v>
      </c>
      <c r="B1813" t="s">
        <v>452</v>
      </c>
      <c r="C1813" s="5">
        <v>1175425</v>
      </c>
      <c r="D1813" s="5">
        <v>15043</v>
      </c>
      <c r="E1813">
        <v>708793</v>
      </c>
      <c r="F1813" s="4" t="s">
        <v>381</v>
      </c>
      <c r="G1813" t="s">
        <v>29</v>
      </c>
      <c r="H1813" t="s">
        <v>382</v>
      </c>
    </row>
    <row r="1814" spans="1:8" x14ac:dyDescent="0.25">
      <c r="A1814" t="s">
        <v>762</v>
      </c>
      <c r="B1814" t="s">
        <v>453</v>
      </c>
      <c r="C1814" s="5">
        <v>207975</v>
      </c>
      <c r="D1814" s="5">
        <v>442</v>
      </c>
      <c r="E1814">
        <v>97400</v>
      </c>
      <c r="F1814" s="4" t="s">
        <v>781</v>
      </c>
      <c r="G1814" t="s">
        <v>29</v>
      </c>
      <c r="H1814" t="s">
        <v>782</v>
      </c>
    </row>
    <row r="1815" spans="1:8" x14ac:dyDescent="0.25">
      <c r="A1815" t="s">
        <v>762</v>
      </c>
      <c r="B1815" t="s">
        <v>456</v>
      </c>
      <c r="C1815" s="5">
        <v>341699</v>
      </c>
      <c r="D1815" s="5">
        <v>4784</v>
      </c>
      <c r="E1815">
        <v>140216</v>
      </c>
      <c r="F1815" s="4" t="s">
        <v>403</v>
      </c>
      <c r="G1815" t="s">
        <v>29</v>
      </c>
      <c r="H1815" t="s">
        <v>404</v>
      </c>
    </row>
    <row r="1816" spans="1:8" x14ac:dyDescent="0.25">
      <c r="A1816" t="s">
        <v>762</v>
      </c>
      <c r="B1816" t="s">
        <v>457</v>
      </c>
      <c r="C1816" s="5">
        <v>493277</v>
      </c>
      <c r="D1816" s="5">
        <v>13112</v>
      </c>
      <c r="E1816">
        <v>342215</v>
      </c>
      <c r="F1816" s="4" t="s">
        <v>47</v>
      </c>
      <c r="G1816" t="s">
        <v>29</v>
      </c>
      <c r="H1816" t="s">
        <v>48</v>
      </c>
    </row>
    <row r="1817" spans="1:8" x14ac:dyDescent="0.25">
      <c r="A1817" t="s">
        <v>762</v>
      </c>
      <c r="B1817" t="s">
        <v>460</v>
      </c>
      <c r="C1817" s="5">
        <v>6398</v>
      </c>
      <c r="D1817" s="5">
        <v>121</v>
      </c>
      <c r="E1817">
        <v>4845</v>
      </c>
      <c r="F1817" s="4" t="s">
        <v>461</v>
      </c>
      <c r="G1817" t="s">
        <v>29</v>
      </c>
      <c r="H1817" t="s">
        <v>462</v>
      </c>
    </row>
    <row r="1818" spans="1:8" x14ac:dyDescent="0.25">
      <c r="A1818" t="s">
        <v>762</v>
      </c>
      <c r="B1818" t="s">
        <v>463</v>
      </c>
      <c r="C1818" s="5">
        <v>5569</v>
      </c>
      <c r="D1818" s="5">
        <v>92</v>
      </c>
      <c r="E1818">
        <v>5040</v>
      </c>
      <c r="F1818" s="4" t="s">
        <v>691</v>
      </c>
      <c r="G1818" t="s">
        <v>29</v>
      </c>
      <c r="H1818" t="s">
        <v>692</v>
      </c>
    </row>
    <row r="1819" spans="1:8" x14ac:dyDescent="0.25">
      <c r="A1819" t="s">
        <v>762</v>
      </c>
      <c r="B1819" t="s">
        <v>464</v>
      </c>
      <c r="C1819" s="5">
        <v>73926</v>
      </c>
      <c r="D1819" s="5">
        <v>1879</v>
      </c>
      <c r="E1819">
        <v>60035</v>
      </c>
      <c r="F1819" s="4" t="s">
        <v>141</v>
      </c>
      <c r="G1819" t="s">
        <v>29</v>
      </c>
      <c r="H1819" t="s">
        <v>142</v>
      </c>
    </row>
    <row r="1820" spans="1:8" x14ac:dyDescent="0.25">
      <c r="A1820" t="s">
        <v>762</v>
      </c>
      <c r="B1820" t="s">
        <v>465</v>
      </c>
      <c r="C1820" s="5">
        <v>21998</v>
      </c>
      <c r="D1820" s="5">
        <v>1208</v>
      </c>
      <c r="E1820">
        <v>18704</v>
      </c>
      <c r="F1820" s="4" t="s">
        <v>744</v>
      </c>
      <c r="G1820" t="s">
        <v>29</v>
      </c>
      <c r="H1820" t="s">
        <v>745</v>
      </c>
    </row>
    <row r="1821" spans="1:8" x14ac:dyDescent="0.25">
      <c r="A1821" t="s">
        <v>762</v>
      </c>
      <c r="B1821" t="s">
        <v>468</v>
      </c>
      <c r="C1821" s="5">
        <v>49257</v>
      </c>
      <c r="D1821" s="5">
        <v>1098</v>
      </c>
      <c r="E1821">
        <v>46748</v>
      </c>
      <c r="F1821" s="4" t="s">
        <v>421</v>
      </c>
      <c r="G1821" t="s">
        <v>29</v>
      </c>
      <c r="H1821" t="s">
        <v>422</v>
      </c>
    </row>
    <row r="1822" spans="1:8" x14ac:dyDescent="0.25">
      <c r="A1822" t="s">
        <v>762</v>
      </c>
      <c r="B1822" t="s">
        <v>471</v>
      </c>
      <c r="C1822" s="5">
        <v>12436</v>
      </c>
      <c r="D1822" s="5">
        <v>133</v>
      </c>
      <c r="E1822">
        <v>4887</v>
      </c>
      <c r="F1822" s="4" t="s">
        <v>654</v>
      </c>
      <c r="G1822" t="s">
        <v>29</v>
      </c>
      <c r="H1822" t="s">
        <v>655</v>
      </c>
    </row>
    <row r="1823" spans="1:8" x14ac:dyDescent="0.25">
      <c r="A1823" t="s">
        <v>762</v>
      </c>
      <c r="B1823" t="s">
        <v>472</v>
      </c>
      <c r="C1823" s="5">
        <v>3715</v>
      </c>
      <c r="D1823" s="5">
        <v>56</v>
      </c>
      <c r="E1823">
        <v>1955</v>
      </c>
      <c r="F1823" s="4" t="s">
        <v>202</v>
      </c>
      <c r="G1823" t="s">
        <v>29</v>
      </c>
      <c r="H1823" t="s">
        <v>203</v>
      </c>
    </row>
    <row r="1824" spans="1:8" x14ac:dyDescent="0.25">
      <c r="A1824" t="s">
        <v>762</v>
      </c>
      <c r="B1824" t="s">
        <v>473</v>
      </c>
      <c r="C1824" s="5">
        <v>113422</v>
      </c>
      <c r="D1824" s="5">
        <v>3654</v>
      </c>
      <c r="E1824">
        <v>80061</v>
      </c>
      <c r="F1824" s="4" t="s">
        <v>783</v>
      </c>
      <c r="G1824" t="s">
        <v>29</v>
      </c>
      <c r="H1824" t="s">
        <v>784</v>
      </c>
    </row>
    <row r="1825" spans="1:8" x14ac:dyDescent="0.25">
      <c r="A1825" t="s">
        <v>762</v>
      </c>
      <c r="B1825" t="s">
        <v>476</v>
      </c>
      <c r="C1825" s="5">
        <v>44191</v>
      </c>
      <c r="D1825" s="5">
        <v>2590</v>
      </c>
      <c r="E1825">
        <v>2936</v>
      </c>
      <c r="F1825" s="4" t="s">
        <v>785</v>
      </c>
      <c r="G1825" t="s">
        <v>29</v>
      </c>
      <c r="H1825" t="s">
        <v>786</v>
      </c>
    </row>
    <row r="1826" spans="1:8" x14ac:dyDescent="0.25">
      <c r="A1826" t="s">
        <v>762</v>
      </c>
      <c r="B1826" t="s">
        <v>479</v>
      </c>
      <c r="C1826" s="5">
        <v>46447</v>
      </c>
      <c r="D1826" s="5">
        <v>1242</v>
      </c>
      <c r="E1826">
        <v>2295</v>
      </c>
      <c r="F1826" s="4" t="s">
        <v>787</v>
      </c>
      <c r="G1826" t="s">
        <v>29</v>
      </c>
      <c r="H1826" t="s">
        <v>788</v>
      </c>
    </row>
    <row r="1827" spans="1:8" x14ac:dyDescent="0.25">
      <c r="A1827" t="s">
        <v>762</v>
      </c>
      <c r="B1827" t="s">
        <v>482</v>
      </c>
      <c r="C1827" s="5">
        <v>5107</v>
      </c>
      <c r="D1827" s="5">
        <v>175</v>
      </c>
      <c r="E1827">
        <v>1447</v>
      </c>
      <c r="F1827" s="4" t="s">
        <v>252</v>
      </c>
      <c r="G1827" t="s">
        <v>29</v>
      </c>
      <c r="H1827" t="s">
        <v>253</v>
      </c>
    </row>
    <row r="1828" spans="1:8" x14ac:dyDescent="0.25">
      <c r="A1828" t="s">
        <v>762</v>
      </c>
      <c r="B1828" t="s">
        <v>483</v>
      </c>
      <c r="C1828" s="5">
        <v>26096</v>
      </c>
      <c r="D1828" s="5">
        <v>243</v>
      </c>
      <c r="E1828">
        <v>12297</v>
      </c>
      <c r="F1828" s="4" t="s">
        <v>484</v>
      </c>
      <c r="G1828" t="s">
        <v>29</v>
      </c>
      <c r="H1828" t="s">
        <v>485</v>
      </c>
    </row>
    <row r="1829" spans="1:8" x14ac:dyDescent="0.25">
      <c r="A1829" t="s">
        <v>762</v>
      </c>
      <c r="B1829" t="s">
        <v>486</v>
      </c>
      <c r="C1829" s="5">
        <v>1935442</v>
      </c>
      <c r="D1829" s="5">
        <v>19394</v>
      </c>
      <c r="E1829">
        <v>571781</v>
      </c>
      <c r="F1829" s="4" t="s">
        <v>56</v>
      </c>
      <c r="G1829" t="s">
        <v>29</v>
      </c>
      <c r="H1829" t="s">
        <v>57</v>
      </c>
    </row>
    <row r="1830" spans="1:8" x14ac:dyDescent="0.25">
      <c r="A1830" t="s">
        <v>762</v>
      </c>
      <c r="B1830" t="s">
        <v>487</v>
      </c>
      <c r="C1830" s="5">
        <v>17486</v>
      </c>
      <c r="D1830" s="5">
        <v>125</v>
      </c>
      <c r="E1830">
        <v>17234</v>
      </c>
      <c r="F1830" s="4" t="s">
        <v>488</v>
      </c>
      <c r="G1830" t="s">
        <v>29</v>
      </c>
      <c r="H1830" t="s">
        <v>489</v>
      </c>
    </row>
    <row r="1831" spans="1:8" x14ac:dyDescent="0.25">
      <c r="A1831" t="s">
        <v>762</v>
      </c>
      <c r="B1831" t="s">
        <v>490</v>
      </c>
      <c r="C1831" s="5">
        <v>19790</v>
      </c>
      <c r="D1831" s="5">
        <v>122</v>
      </c>
      <c r="E1831">
        <v>10856</v>
      </c>
      <c r="F1831" s="4" t="s">
        <v>491</v>
      </c>
      <c r="G1831" t="s">
        <v>29</v>
      </c>
      <c r="H1831" t="s">
        <v>492</v>
      </c>
    </row>
    <row r="1832" spans="1:8" x14ac:dyDescent="0.25">
      <c r="A1832" t="s">
        <v>762</v>
      </c>
      <c r="B1832" t="s">
        <v>493</v>
      </c>
      <c r="C1832" s="5">
        <v>712982</v>
      </c>
      <c r="D1832" s="5">
        <v>25254</v>
      </c>
      <c r="E1832">
        <v>557996</v>
      </c>
      <c r="F1832" s="4" t="s">
        <v>494</v>
      </c>
      <c r="G1832" t="s">
        <v>29</v>
      </c>
      <c r="H1832" t="s">
        <v>495</v>
      </c>
    </row>
    <row r="1833" spans="1:8" x14ac:dyDescent="0.25">
      <c r="A1833" t="s">
        <v>762</v>
      </c>
      <c r="B1833" t="s">
        <v>496</v>
      </c>
      <c r="C1833" s="5">
        <v>1</v>
      </c>
      <c r="D1833" s="5">
        <v>0</v>
      </c>
      <c r="E1833">
        <v>0</v>
      </c>
      <c r="F1833" s="4" t="s">
        <v>29</v>
      </c>
      <c r="G1833" t="s">
        <v>29</v>
      </c>
      <c r="H1833" t="s">
        <v>291</v>
      </c>
    </row>
    <row r="1834" spans="1:8" x14ac:dyDescent="0.25">
      <c r="A1834" t="s">
        <v>762</v>
      </c>
      <c r="B1834" t="s">
        <v>497</v>
      </c>
      <c r="C1834" s="5">
        <v>8121196</v>
      </c>
      <c r="D1834" s="5">
        <v>71298</v>
      </c>
      <c r="E1834">
        <v>605612</v>
      </c>
      <c r="F1834" s="4" t="s">
        <v>609</v>
      </c>
      <c r="G1834" t="s">
        <v>29</v>
      </c>
      <c r="H1834" t="s">
        <v>610</v>
      </c>
    </row>
    <row r="1835" spans="1:8" x14ac:dyDescent="0.25">
      <c r="A1835" t="s">
        <v>762</v>
      </c>
      <c r="B1835" t="s">
        <v>500</v>
      </c>
      <c r="C1835" s="5">
        <v>58106</v>
      </c>
      <c r="D1835" s="5">
        <v>1729</v>
      </c>
      <c r="E1835">
        <v>5854</v>
      </c>
      <c r="F1835" s="4" t="s">
        <v>634</v>
      </c>
      <c r="G1835" t="s">
        <v>29</v>
      </c>
      <c r="H1835" t="s">
        <v>635</v>
      </c>
    </row>
    <row r="1836" spans="1:8" x14ac:dyDescent="0.25">
      <c r="A1836" t="s">
        <v>762</v>
      </c>
      <c r="B1836" t="s">
        <v>503</v>
      </c>
      <c r="C1836" s="5">
        <v>16428</v>
      </c>
      <c r="D1836" s="5">
        <v>847</v>
      </c>
      <c r="E1836">
        <v>8685</v>
      </c>
      <c r="F1836" s="4" t="s">
        <v>740</v>
      </c>
      <c r="G1836" t="s">
        <v>29</v>
      </c>
      <c r="H1836" t="s">
        <v>741</v>
      </c>
    </row>
    <row r="1837" spans="1:8" x14ac:dyDescent="0.25">
      <c r="A1837" t="s">
        <v>762</v>
      </c>
      <c r="B1837" t="s">
        <v>506</v>
      </c>
      <c r="C1837" s="5">
        <v>26154</v>
      </c>
      <c r="D1837" s="5">
        <v>725</v>
      </c>
      <c r="E1837">
        <v>11161</v>
      </c>
      <c r="F1837" s="4" t="s">
        <v>507</v>
      </c>
      <c r="G1837" t="s">
        <v>29</v>
      </c>
      <c r="H1837" t="s">
        <v>508</v>
      </c>
    </row>
    <row r="1838" spans="1:8" x14ac:dyDescent="0.25">
      <c r="A1838" t="s">
        <v>762</v>
      </c>
      <c r="B1838" t="s">
        <v>509</v>
      </c>
      <c r="C1838" s="5">
        <v>3118140</v>
      </c>
      <c r="D1838" s="5">
        <v>73888</v>
      </c>
      <c r="E1838">
        <v>2427584</v>
      </c>
      <c r="F1838" s="4" t="s">
        <v>636</v>
      </c>
      <c r="G1838" t="s">
        <v>29</v>
      </c>
      <c r="H1838" t="s">
        <v>637</v>
      </c>
    </row>
    <row r="1839" spans="1:8" x14ac:dyDescent="0.25">
      <c r="A1839" t="s">
        <v>762</v>
      </c>
      <c r="B1839" t="s">
        <v>512</v>
      </c>
      <c r="C1839" s="5">
        <v>126321</v>
      </c>
      <c r="D1839" s="5">
        <v>3219</v>
      </c>
      <c r="E1839">
        <v>80463</v>
      </c>
      <c r="F1839" s="4" t="s">
        <v>513</v>
      </c>
      <c r="G1839" t="s">
        <v>29</v>
      </c>
      <c r="H1839" t="s">
        <v>514</v>
      </c>
    </row>
    <row r="1840" spans="1:8" x14ac:dyDescent="0.25">
      <c r="A1840" t="s">
        <v>762</v>
      </c>
      <c r="B1840" t="s">
        <v>515</v>
      </c>
      <c r="C1840" s="5">
        <v>46257736</v>
      </c>
      <c r="D1840" s="5">
        <v>750728</v>
      </c>
      <c r="E1840">
        <v>20259282</v>
      </c>
      <c r="F1840" s="4" t="s">
        <v>516</v>
      </c>
      <c r="G1840" t="s">
        <v>29</v>
      </c>
      <c r="H1840" t="s">
        <v>517</v>
      </c>
    </row>
    <row r="1841" spans="1:8" x14ac:dyDescent="0.25">
      <c r="A1841" t="s">
        <v>762</v>
      </c>
      <c r="B1841" t="s">
        <v>518</v>
      </c>
      <c r="C1841" s="5">
        <v>394443</v>
      </c>
      <c r="D1841" s="5">
        <v>6080</v>
      </c>
      <c r="E1841">
        <v>135340</v>
      </c>
      <c r="F1841" s="4" t="s">
        <v>519</v>
      </c>
      <c r="G1841" t="s">
        <v>29</v>
      </c>
      <c r="H1841" t="s">
        <v>520</v>
      </c>
    </row>
    <row r="1842" spans="1:8" x14ac:dyDescent="0.25">
      <c r="A1842" t="s">
        <v>762</v>
      </c>
      <c r="B1842" t="s">
        <v>521</v>
      </c>
      <c r="C1842" s="5">
        <v>186793</v>
      </c>
      <c r="D1842" s="5">
        <v>1329</v>
      </c>
      <c r="E1842">
        <v>914</v>
      </c>
      <c r="F1842" s="4" t="s">
        <v>488</v>
      </c>
      <c r="G1842" t="s">
        <v>29</v>
      </c>
      <c r="H1842" t="s">
        <v>489</v>
      </c>
    </row>
    <row r="1843" spans="1:8" x14ac:dyDescent="0.25">
      <c r="A1843" t="s">
        <v>762</v>
      </c>
      <c r="B1843" t="s">
        <v>522</v>
      </c>
      <c r="C1843" s="5">
        <v>27</v>
      </c>
      <c r="D1843" s="5">
        <v>0</v>
      </c>
      <c r="E1843">
        <v>14</v>
      </c>
      <c r="F1843" s="4" t="s">
        <v>29</v>
      </c>
      <c r="G1843" t="s">
        <v>29</v>
      </c>
      <c r="H1843" t="s">
        <v>291</v>
      </c>
    </row>
    <row r="1844" spans="1:8" x14ac:dyDescent="0.25">
      <c r="A1844" t="s">
        <v>762</v>
      </c>
      <c r="B1844" t="s">
        <v>523</v>
      </c>
      <c r="C1844" s="5">
        <v>5050</v>
      </c>
      <c r="D1844" s="5">
        <v>69</v>
      </c>
      <c r="E1844">
        <v>995</v>
      </c>
      <c r="F1844" s="4" t="s">
        <v>391</v>
      </c>
      <c r="G1844" t="s">
        <v>29</v>
      </c>
      <c r="H1844" t="s">
        <v>392</v>
      </c>
    </row>
    <row r="1845" spans="1:8" x14ac:dyDescent="0.25">
      <c r="A1845" t="s">
        <v>762</v>
      </c>
      <c r="B1845" t="s">
        <v>524</v>
      </c>
      <c r="C1845" s="5">
        <v>409695</v>
      </c>
      <c r="D1845" s="5">
        <v>4925</v>
      </c>
      <c r="E1845">
        <v>288448</v>
      </c>
      <c r="F1845" s="4" t="s">
        <v>525</v>
      </c>
      <c r="G1845" t="s">
        <v>29</v>
      </c>
      <c r="H1845" t="s">
        <v>526</v>
      </c>
    </row>
    <row r="1846" spans="1:8" x14ac:dyDescent="0.25">
      <c r="A1846" t="s">
        <v>762</v>
      </c>
      <c r="B1846" t="s">
        <v>527</v>
      </c>
      <c r="C1846" s="5">
        <v>939463</v>
      </c>
      <c r="D1846" s="5">
        <v>22283</v>
      </c>
      <c r="E1846">
        <v>134040</v>
      </c>
      <c r="F1846" s="4" t="s">
        <v>636</v>
      </c>
      <c r="G1846" t="s">
        <v>29</v>
      </c>
      <c r="H1846" t="s">
        <v>637</v>
      </c>
    </row>
    <row r="1847" spans="1:8" x14ac:dyDescent="0.25">
      <c r="A1847" t="s">
        <v>762</v>
      </c>
      <c r="B1847" t="s">
        <v>530</v>
      </c>
      <c r="C1847" s="5">
        <v>6</v>
      </c>
      <c r="D1847" s="5">
        <v>1</v>
      </c>
      <c r="E1847">
        <v>3</v>
      </c>
      <c r="F1847" s="4" t="s">
        <v>531</v>
      </c>
      <c r="G1847" t="s">
        <v>29</v>
      </c>
      <c r="H1847" t="s">
        <v>532</v>
      </c>
    </row>
    <row r="1848" spans="1:8" x14ac:dyDescent="0.25">
      <c r="A1848" t="s">
        <v>762</v>
      </c>
      <c r="B1848" t="s">
        <v>533</v>
      </c>
      <c r="C1848" s="5">
        <v>3</v>
      </c>
      <c r="D1848" s="5">
        <v>0</v>
      </c>
      <c r="E1848">
        <v>0</v>
      </c>
      <c r="F1848" s="4" t="s">
        <v>29</v>
      </c>
      <c r="G1848" t="s">
        <v>29</v>
      </c>
      <c r="H1848" t="s">
        <v>291</v>
      </c>
    </row>
    <row r="1849" spans="1:8" x14ac:dyDescent="0.25">
      <c r="A1849" t="s">
        <v>762</v>
      </c>
      <c r="B1849" t="s">
        <v>534</v>
      </c>
      <c r="C1849" s="5">
        <v>160809</v>
      </c>
      <c r="D1849" s="5">
        <v>2978</v>
      </c>
      <c r="E1849">
        <v>134778</v>
      </c>
      <c r="F1849" s="4" t="s">
        <v>535</v>
      </c>
      <c r="G1849" t="s">
        <v>29</v>
      </c>
      <c r="H1849" t="s">
        <v>536</v>
      </c>
    </row>
    <row r="1850" spans="1:8" x14ac:dyDescent="0.25">
      <c r="A1850" t="s">
        <v>762</v>
      </c>
      <c r="B1850" t="s">
        <v>537</v>
      </c>
      <c r="C1850" s="5">
        <v>9810</v>
      </c>
      <c r="D1850" s="5">
        <v>1897</v>
      </c>
      <c r="E1850">
        <v>6281</v>
      </c>
      <c r="F1850" s="4" t="s">
        <v>695</v>
      </c>
      <c r="G1850" t="s">
        <v>29</v>
      </c>
      <c r="H1850" t="s">
        <v>696</v>
      </c>
    </row>
    <row r="1851" spans="1:8" x14ac:dyDescent="0.25">
      <c r="A1851" t="s">
        <v>762</v>
      </c>
      <c r="B1851" t="s">
        <v>540</v>
      </c>
      <c r="C1851" s="5">
        <v>20612</v>
      </c>
      <c r="D1851" s="5">
        <v>185</v>
      </c>
      <c r="E1851">
        <v>15258</v>
      </c>
      <c r="F1851" s="4" t="s">
        <v>667</v>
      </c>
      <c r="G1851" t="s">
        <v>29</v>
      </c>
      <c r="H1851" t="s">
        <v>668</v>
      </c>
    </row>
    <row r="1852" spans="1:8" x14ac:dyDescent="0.25">
      <c r="A1852" t="s">
        <v>762</v>
      </c>
      <c r="B1852" t="s">
        <v>541</v>
      </c>
      <c r="C1852" s="5">
        <v>2922735</v>
      </c>
      <c r="D1852" s="5">
        <v>89220</v>
      </c>
      <c r="E1852">
        <v>2388628</v>
      </c>
      <c r="F1852" s="4" t="s">
        <v>698</v>
      </c>
      <c r="G1852" t="s">
        <v>29</v>
      </c>
      <c r="H1852" t="s">
        <v>699</v>
      </c>
    </row>
    <row r="1853" spans="1:8" x14ac:dyDescent="0.25">
      <c r="A1853" t="s">
        <v>762</v>
      </c>
      <c r="B1853" t="s">
        <v>544</v>
      </c>
      <c r="C1853" s="5">
        <v>209781</v>
      </c>
      <c r="D1853" s="5">
        <v>3661</v>
      </c>
      <c r="E1853">
        <v>68577</v>
      </c>
      <c r="F1853" s="4" t="s">
        <v>545</v>
      </c>
      <c r="G1853" t="s">
        <v>29</v>
      </c>
      <c r="H1853" t="s">
        <v>546</v>
      </c>
    </row>
    <row r="1854" spans="1:8" x14ac:dyDescent="0.25">
      <c r="A1854" t="s">
        <v>762</v>
      </c>
      <c r="B1854" t="s">
        <v>547</v>
      </c>
      <c r="C1854" s="5">
        <v>133091</v>
      </c>
      <c r="D1854" s="5">
        <v>4684</v>
      </c>
      <c r="E1854">
        <v>43005</v>
      </c>
      <c r="F1854" s="4" t="s">
        <v>353</v>
      </c>
      <c r="G1854" t="s">
        <v>29</v>
      </c>
      <c r="H1854" t="s">
        <v>354</v>
      </c>
    </row>
    <row r="1855" spans="1:8" x14ac:dyDescent="0.25">
      <c r="A1855" t="s">
        <v>762</v>
      </c>
      <c r="B1855" t="s">
        <v>548</v>
      </c>
      <c r="C1855" s="5">
        <v>721</v>
      </c>
      <c r="D1855" s="5">
        <v>15</v>
      </c>
      <c r="E1855">
        <v>8</v>
      </c>
      <c r="F1855" s="4" t="s">
        <v>549</v>
      </c>
      <c r="G1855" t="s">
        <v>29</v>
      </c>
      <c r="H1855" t="s">
        <v>550</v>
      </c>
    </row>
    <row r="1856" spans="1:8" x14ac:dyDescent="0.25">
      <c r="A1856" t="s">
        <v>789</v>
      </c>
      <c r="B1856" t="s">
        <v>548</v>
      </c>
      <c r="C1856" s="5">
        <v>721</v>
      </c>
      <c r="D1856" s="5">
        <v>15</v>
      </c>
      <c r="E1856">
        <v>512</v>
      </c>
      <c r="F1856" s="4" t="s">
        <v>549</v>
      </c>
      <c r="G1856" t="s">
        <v>29</v>
      </c>
      <c r="H1856" t="s">
        <v>550</v>
      </c>
    </row>
    <row r="1857" spans="1:8" x14ac:dyDescent="0.25">
      <c r="A1857" t="s">
        <v>789</v>
      </c>
      <c r="B1857" t="s">
        <v>547</v>
      </c>
      <c r="C1857" s="5">
        <v>133047</v>
      </c>
      <c r="D1857" s="5">
        <v>4683</v>
      </c>
      <c r="E1857">
        <v>125173</v>
      </c>
      <c r="F1857" s="4" t="s">
        <v>353</v>
      </c>
      <c r="G1857" t="s">
        <v>29</v>
      </c>
      <c r="H1857" t="s">
        <v>354</v>
      </c>
    </row>
    <row r="1858" spans="1:8" x14ac:dyDescent="0.25">
      <c r="A1858" t="s">
        <v>789</v>
      </c>
      <c r="B1858" t="s">
        <v>544</v>
      </c>
      <c r="C1858" s="5">
        <v>209760</v>
      </c>
      <c r="D1858" s="5">
        <v>3661</v>
      </c>
      <c r="E1858">
        <v>79943</v>
      </c>
      <c r="F1858" s="4" t="s">
        <v>545</v>
      </c>
      <c r="G1858" t="s">
        <v>29</v>
      </c>
      <c r="H1858" t="s">
        <v>546</v>
      </c>
    </row>
    <row r="1859" spans="1:8" x14ac:dyDescent="0.25">
      <c r="A1859" t="s">
        <v>789</v>
      </c>
      <c r="B1859" t="s">
        <v>541</v>
      </c>
      <c r="C1859" s="5">
        <v>2922391</v>
      </c>
      <c r="D1859" s="5">
        <v>89197</v>
      </c>
      <c r="E1859">
        <v>1408198</v>
      </c>
      <c r="F1859" s="4" t="s">
        <v>698</v>
      </c>
      <c r="G1859" t="s">
        <v>29</v>
      </c>
      <c r="H1859" t="s">
        <v>699</v>
      </c>
    </row>
    <row r="1860" spans="1:8" x14ac:dyDescent="0.25">
      <c r="A1860" t="s">
        <v>789</v>
      </c>
      <c r="B1860" t="s">
        <v>540</v>
      </c>
      <c r="C1860" s="5">
        <v>20587</v>
      </c>
      <c r="D1860" s="5">
        <v>185</v>
      </c>
      <c r="E1860">
        <v>7759</v>
      </c>
      <c r="F1860" s="4" t="s">
        <v>667</v>
      </c>
      <c r="G1860" t="s">
        <v>29</v>
      </c>
      <c r="H1860" t="s">
        <v>668</v>
      </c>
    </row>
    <row r="1861" spans="1:8" x14ac:dyDescent="0.25">
      <c r="A1861" t="s">
        <v>789</v>
      </c>
      <c r="B1861" t="s">
        <v>537</v>
      </c>
      <c r="C1861" s="5">
        <v>9806</v>
      </c>
      <c r="D1861" s="5">
        <v>1894</v>
      </c>
      <c r="E1861">
        <v>2425</v>
      </c>
      <c r="F1861" s="4" t="s">
        <v>790</v>
      </c>
      <c r="G1861" t="s">
        <v>29</v>
      </c>
      <c r="H1861" t="s">
        <v>791</v>
      </c>
    </row>
    <row r="1862" spans="1:8" x14ac:dyDescent="0.25">
      <c r="A1862" t="s">
        <v>789</v>
      </c>
      <c r="B1862" t="s">
        <v>534</v>
      </c>
      <c r="C1862" s="5">
        <v>160788</v>
      </c>
      <c r="D1862" s="5">
        <v>2977</v>
      </c>
      <c r="E1862">
        <v>52631</v>
      </c>
      <c r="F1862" s="4" t="s">
        <v>535</v>
      </c>
      <c r="G1862" t="s">
        <v>29</v>
      </c>
      <c r="H1862" t="s">
        <v>536</v>
      </c>
    </row>
    <row r="1863" spans="1:8" x14ac:dyDescent="0.25">
      <c r="A1863" t="s">
        <v>789</v>
      </c>
      <c r="B1863" t="s">
        <v>533</v>
      </c>
      <c r="C1863" s="5">
        <v>3</v>
      </c>
      <c r="D1863" s="5">
        <v>0</v>
      </c>
      <c r="E1863">
        <v>2</v>
      </c>
      <c r="F1863" s="4" t="s">
        <v>29</v>
      </c>
      <c r="G1863" t="s">
        <v>29</v>
      </c>
      <c r="H1863" t="s">
        <v>291</v>
      </c>
    </row>
    <row r="1864" spans="1:8" x14ac:dyDescent="0.25">
      <c r="A1864" t="s">
        <v>789</v>
      </c>
      <c r="B1864" t="s">
        <v>530</v>
      </c>
      <c r="C1864" s="5">
        <v>6</v>
      </c>
      <c r="D1864" s="5">
        <v>1</v>
      </c>
      <c r="E1864">
        <v>2</v>
      </c>
      <c r="F1864" s="4" t="s">
        <v>531</v>
      </c>
      <c r="G1864" t="s">
        <v>29</v>
      </c>
      <c r="H1864" t="s">
        <v>532</v>
      </c>
    </row>
    <row r="1865" spans="1:8" x14ac:dyDescent="0.25">
      <c r="A1865" t="s">
        <v>789</v>
      </c>
      <c r="B1865" t="s">
        <v>527</v>
      </c>
      <c r="C1865" s="5">
        <v>932357</v>
      </c>
      <c r="D1865" s="5">
        <v>22205</v>
      </c>
      <c r="E1865">
        <v>861566</v>
      </c>
      <c r="F1865" s="4" t="s">
        <v>552</v>
      </c>
      <c r="G1865" t="s">
        <v>29</v>
      </c>
      <c r="H1865" t="s">
        <v>553</v>
      </c>
    </row>
    <row r="1866" spans="1:8" x14ac:dyDescent="0.25">
      <c r="A1866" t="s">
        <v>789</v>
      </c>
      <c r="B1866" t="s">
        <v>524</v>
      </c>
      <c r="C1866" s="5">
        <v>408727</v>
      </c>
      <c r="D1866" s="5">
        <v>4915</v>
      </c>
      <c r="E1866">
        <v>118230</v>
      </c>
      <c r="F1866" s="4" t="s">
        <v>525</v>
      </c>
      <c r="G1866" t="s">
        <v>29</v>
      </c>
      <c r="H1866" t="s">
        <v>526</v>
      </c>
    </row>
    <row r="1867" spans="1:8" x14ac:dyDescent="0.25">
      <c r="A1867" t="s">
        <v>789</v>
      </c>
      <c r="B1867" t="s">
        <v>523</v>
      </c>
      <c r="C1867" s="5">
        <v>5012</v>
      </c>
      <c r="D1867" s="5">
        <v>69</v>
      </c>
      <c r="E1867">
        <v>1885</v>
      </c>
      <c r="F1867" s="4" t="s">
        <v>158</v>
      </c>
      <c r="G1867" t="s">
        <v>29</v>
      </c>
      <c r="H1867" t="s">
        <v>159</v>
      </c>
    </row>
    <row r="1868" spans="1:8" x14ac:dyDescent="0.25">
      <c r="A1868" t="s">
        <v>789</v>
      </c>
      <c r="B1868" t="s">
        <v>522</v>
      </c>
      <c r="C1868" s="5">
        <v>27</v>
      </c>
      <c r="D1868" s="5">
        <v>0</v>
      </c>
      <c r="E1868">
        <v>26</v>
      </c>
      <c r="F1868" s="4" t="s">
        <v>29</v>
      </c>
      <c r="G1868" t="s">
        <v>29</v>
      </c>
      <c r="H1868" t="s">
        <v>291</v>
      </c>
    </row>
    <row r="1869" spans="1:8" x14ac:dyDescent="0.25">
      <c r="A1869" t="s">
        <v>789</v>
      </c>
      <c r="B1869" t="s">
        <v>521</v>
      </c>
      <c r="C1869" s="5">
        <v>186793</v>
      </c>
      <c r="D1869" s="5">
        <v>1329</v>
      </c>
      <c r="E1869">
        <v>16675</v>
      </c>
      <c r="F1869" s="4" t="s">
        <v>488</v>
      </c>
      <c r="G1869" t="s">
        <v>29</v>
      </c>
      <c r="H1869" t="s">
        <v>489</v>
      </c>
    </row>
    <row r="1870" spans="1:8" x14ac:dyDescent="0.25">
      <c r="A1870" t="s">
        <v>789</v>
      </c>
      <c r="B1870" t="s">
        <v>518</v>
      </c>
      <c r="C1870" s="5">
        <v>394248</v>
      </c>
      <c r="D1870" s="5">
        <v>6080</v>
      </c>
      <c r="E1870">
        <v>163081</v>
      </c>
      <c r="F1870" s="4" t="s">
        <v>519</v>
      </c>
      <c r="G1870" t="s">
        <v>29</v>
      </c>
      <c r="H1870" t="s">
        <v>520</v>
      </c>
    </row>
    <row r="1871" spans="1:8" x14ac:dyDescent="0.25">
      <c r="A1871" t="s">
        <v>789</v>
      </c>
      <c r="B1871" t="s">
        <v>515</v>
      </c>
      <c r="C1871" s="5">
        <v>46173367</v>
      </c>
      <c r="D1871" s="5">
        <v>748822</v>
      </c>
      <c r="E1871">
        <v>18272856</v>
      </c>
      <c r="F1871" s="4" t="s">
        <v>516</v>
      </c>
      <c r="G1871" t="s">
        <v>29</v>
      </c>
      <c r="H1871" t="s">
        <v>517</v>
      </c>
    </row>
    <row r="1872" spans="1:8" x14ac:dyDescent="0.25">
      <c r="A1872" t="s">
        <v>789</v>
      </c>
      <c r="B1872" t="s">
        <v>512</v>
      </c>
      <c r="C1872" s="5">
        <v>126272</v>
      </c>
      <c r="D1872" s="5">
        <v>3217</v>
      </c>
      <c r="E1872">
        <v>81407</v>
      </c>
      <c r="F1872" s="4" t="s">
        <v>513</v>
      </c>
      <c r="G1872" t="s">
        <v>29</v>
      </c>
      <c r="H1872" t="s">
        <v>514</v>
      </c>
    </row>
    <row r="1873" spans="1:8" x14ac:dyDescent="0.25">
      <c r="A1873" t="s">
        <v>789</v>
      </c>
      <c r="B1873" t="s">
        <v>509</v>
      </c>
      <c r="C1873" s="5">
        <v>3093661</v>
      </c>
      <c r="D1873" s="5">
        <v>73136</v>
      </c>
      <c r="E1873">
        <v>2566494</v>
      </c>
      <c r="F1873" s="4" t="s">
        <v>339</v>
      </c>
      <c r="G1873" t="s">
        <v>29</v>
      </c>
      <c r="H1873" t="s">
        <v>340</v>
      </c>
    </row>
    <row r="1874" spans="1:8" x14ac:dyDescent="0.25">
      <c r="A1874" t="s">
        <v>789</v>
      </c>
      <c r="B1874" t="s">
        <v>506</v>
      </c>
      <c r="C1874" s="5">
        <v>26154</v>
      </c>
      <c r="D1874" s="5">
        <v>725</v>
      </c>
      <c r="E1874">
        <v>16476</v>
      </c>
      <c r="F1874" s="4" t="s">
        <v>507</v>
      </c>
      <c r="G1874" t="s">
        <v>29</v>
      </c>
      <c r="H1874" t="s">
        <v>508</v>
      </c>
    </row>
    <row r="1875" spans="1:8" x14ac:dyDescent="0.25">
      <c r="A1875" t="s">
        <v>789</v>
      </c>
      <c r="B1875" t="s">
        <v>503</v>
      </c>
      <c r="C1875" s="5">
        <v>16421</v>
      </c>
      <c r="D1875" s="5">
        <v>847</v>
      </c>
      <c r="E1875">
        <v>5521</v>
      </c>
      <c r="F1875" s="4" t="s">
        <v>740</v>
      </c>
      <c r="G1875" t="s">
        <v>29</v>
      </c>
      <c r="H1875" t="s">
        <v>741</v>
      </c>
    </row>
    <row r="1876" spans="1:8" x14ac:dyDescent="0.25">
      <c r="A1876" t="s">
        <v>789</v>
      </c>
      <c r="B1876" t="s">
        <v>500</v>
      </c>
      <c r="C1876" s="5">
        <v>57713</v>
      </c>
      <c r="D1876" s="5">
        <v>1720</v>
      </c>
      <c r="E1876">
        <v>36785</v>
      </c>
      <c r="F1876" s="4" t="s">
        <v>634</v>
      </c>
      <c r="G1876" t="s">
        <v>29</v>
      </c>
      <c r="H1876" t="s">
        <v>635</v>
      </c>
    </row>
    <row r="1877" spans="1:8" x14ac:dyDescent="0.25">
      <c r="A1877" t="s">
        <v>789</v>
      </c>
      <c r="B1877" t="s">
        <v>497</v>
      </c>
      <c r="C1877" s="5">
        <v>8091432</v>
      </c>
      <c r="D1877" s="5">
        <v>71052</v>
      </c>
      <c r="E1877">
        <v>2141585</v>
      </c>
      <c r="F1877" s="4" t="s">
        <v>609</v>
      </c>
      <c r="G1877" t="s">
        <v>29</v>
      </c>
      <c r="H1877" t="s">
        <v>610</v>
      </c>
    </row>
    <row r="1878" spans="1:8" x14ac:dyDescent="0.25">
      <c r="A1878" t="s">
        <v>789</v>
      </c>
      <c r="B1878" t="s">
        <v>496</v>
      </c>
      <c r="C1878" s="5">
        <v>1</v>
      </c>
      <c r="D1878" s="5">
        <v>0</v>
      </c>
      <c r="E1878">
        <v>1</v>
      </c>
      <c r="F1878" s="4" t="s">
        <v>29</v>
      </c>
      <c r="G1878" t="s">
        <v>29</v>
      </c>
      <c r="H1878" t="s">
        <v>291</v>
      </c>
    </row>
    <row r="1879" spans="1:8" x14ac:dyDescent="0.25">
      <c r="A1879" t="s">
        <v>789</v>
      </c>
      <c r="B1879" t="s">
        <v>493</v>
      </c>
      <c r="C1879" s="5">
        <v>712880</v>
      </c>
      <c r="D1879" s="5">
        <v>25250</v>
      </c>
      <c r="E1879">
        <v>280891</v>
      </c>
      <c r="F1879" s="4" t="s">
        <v>494</v>
      </c>
      <c r="G1879" t="s">
        <v>29</v>
      </c>
      <c r="H1879" t="s">
        <v>495</v>
      </c>
    </row>
    <row r="1880" spans="1:8" x14ac:dyDescent="0.25">
      <c r="A1880" t="s">
        <v>789</v>
      </c>
      <c r="B1880" t="s">
        <v>490</v>
      </c>
      <c r="C1880" s="5">
        <v>19790</v>
      </c>
      <c r="D1880" s="5">
        <v>122</v>
      </c>
      <c r="E1880">
        <v>6814</v>
      </c>
      <c r="F1880" s="4" t="s">
        <v>491</v>
      </c>
      <c r="G1880" t="s">
        <v>29</v>
      </c>
      <c r="H1880" t="s">
        <v>492</v>
      </c>
    </row>
    <row r="1881" spans="1:8" x14ac:dyDescent="0.25">
      <c r="A1881" t="s">
        <v>789</v>
      </c>
      <c r="B1881" t="s">
        <v>487</v>
      </c>
      <c r="C1881" s="5">
        <v>17486</v>
      </c>
      <c r="D1881" s="5">
        <v>125</v>
      </c>
      <c r="E1881">
        <v>1746</v>
      </c>
      <c r="F1881" s="4" t="s">
        <v>488</v>
      </c>
      <c r="G1881" t="s">
        <v>29</v>
      </c>
      <c r="H1881" t="s">
        <v>489</v>
      </c>
    </row>
    <row r="1882" spans="1:8" x14ac:dyDescent="0.25">
      <c r="A1882" t="s">
        <v>789</v>
      </c>
      <c r="B1882" t="s">
        <v>486</v>
      </c>
      <c r="C1882" s="5">
        <v>1935442</v>
      </c>
      <c r="D1882" s="5">
        <v>19394</v>
      </c>
      <c r="E1882">
        <v>644116</v>
      </c>
      <c r="F1882" s="4" t="s">
        <v>56</v>
      </c>
      <c r="G1882" t="s">
        <v>29</v>
      </c>
      <c r="H1882" t="s">
        <v>57</v>
      </c>
    </row>
    <row r="1883" spans="1:8" x14ac:dyDescent="0.25">
      <c r="A1883" t="s">
        <v>789</v>
      </c>
      <c r="B1883" t="s">
        <v>483</v>
      </c>
      <c r="C1883" s="5">
        <v>26086</v>
      </c>
      <c r="D1883" s="5">
        <v>242</v>
      </c>
      <c r="E1883">
        <v>24819</v>
      </c>
      <c r="F1883" s="4" t="s">
        <v>484</v>
      </c>
      <c r="G1883" t="s">
        <v>29</v>
      </c>
      <c r="H1883" t="s">
        <v>485</v>
      </c>
    </row>
    <row r="1884" spans="1:8" x14ac:dyDescent="0.25">
      <c r="A1884" t="s">
        <v>789</v>
      </c>
      <c r="B1884" t="s">
        <v>482</v>
      </c>
      <c r="C1884" s="5">
        <v>5107</v>
      </c>
      <c r="D1884" s="5">
        <v>175</v>
      </c>
      <c r="E1884">
        <v>2721</v>
      </c>
      <c r="F1884" s="4" t="s">
        <v>252</v>
      </c>
      <c r="G1884" t="s">
        <v>29</v>
      </c>
      <c r="H1884" t="s">
        <v>253</v>
      </c>
    </row>
    <row r="1885" spans="1:8" x14ac:dyDescent="0.25">
      <c r="A1885" t="s">
        <v>789</v>
      </c>
      <c r="B1885" t="s">
        <v>479</v>
      </c>
      <c r="C1885" s="5">
        <v>46438</v>
      </c>
      <c r="D1885" s="5">
        <v>1242</v>
      </c>
      <c r="E1885">
        <v>41856</v>
      </c>
      <c r="F1885" s="4" t="s">
        <v>787</v>
      </c>
      <c r="G1885" t="s">
        <v>29</v>
      </c>
      <c r="H1885" t="s">
        <v>788</v>
      </c>
    </row>
    <row r="1886" spans="1:8" x14ac:dyDescent="0.25">
      <c r="A1886" t="s">
        <v>789</v>
      </c>
      <c r="B1886" t="s">
        <v>476</v>
      </c>
      <c r="C1886" s="5">
        <v>43666</v>
      </c>
      <c r="D1886" s="5">
        <v>2576</v>
      </c>
      <c r="E1886">
        <v>23113</v>
      </c>
      <c r="F1886" s="4" t="s">
        <v>792</v>
      </c>
      <c r="G1886" t="s">
        <v>29</v>
      </c>
      <c r="H1886" t="s">
        <v>793</v>
      </c>
    </row>
    <row r="1887" spans="1:8" x14ac:dyDescent="0.25">
      <c r="A1887" t="s">
        <v>789</v>
      </c>
      <c r="B1887" t="s">
        <v>473</v>
      </c>
      <c r="C1887" s="5">
        <v>113422</v>
      </c>
      <c r="D1887" s="5">
        <v>3647</v>
      </c>
      <c r="E1887">
        <v>67461</v>
      </c>
      <c r="F1887" s="4" t="s">
        <v>783</v>
      </c>
      <c r="G1887" t="s">
        <v>29</v>
      </c>
      <c r="H1887" t="s">
        <v>784</v>
      </c>
    </row>
    <row r="1888" spans="1:8" x14ac:dyDescent="0.25">
      <c r="A1888" t="s">
        <v>789</v>
      </c>
      <c r="B1888" t="s">
        <v>472</v>
      </c>
      <c r="C1888" s="5">
        <v>3715</v>
      </c>
      <c r="D1888" s="5">
        <v>56</v>
      </c>
      <c r="E1888">
        <v>1892</v>
      </c>
      <c r="F1888" s="4" t="s">
        <v>202</v>
      </c>
      <c r="G1888" t="s">
        <v>29</v>
      </c>
      <c r="H1888" t="s">
        <v>203</v>
      </c>
    </row>
    <row r="1889" spans="1:8" x14ac:dyDescent="0.25">
      <c r="A1889" t="s">
        <v>789</v>
      </c>
      <c r="B1889" t="s">
        <v>471</v>
      </c>
      <c r="C1889" s="5">
        <v>12421</v>
      </c>
      <c r="D1889" s="5">
        <v>133</v>
      </c>
      <c r="E1889">
        <v>5838</v>
      </c>
      <c r="F1889" s="4" t="s">
        <v>654</v>
      </c>
      <c r="G1889" t="s">
        <v>29</v>
      </c>
      <c r="H1889" t="s">
        <v>655</v>
      </c>
    </row>
    <row r="1890" spans="1:8" x14ac:dyDescent="0.25">
      <c r="A1890" t="s">
        <v>789</v>
      </c>
      <c r="B1890" t="s">
        <v>468</v>
      </c>
      <c r="C1890" s="5">
        <v>49119</v>
      </c>
      <c r="D1890" s="5">
        <v>1094</v>
      </c>
      <c r="E1890">
        <v>35765</v>
      </c>
      <c r="F1890" s="4" t="s">
        <v>421</v>
      </c>
      <c r="G1890" t="s">
        <v>29</v>
      </c>
      <c r="H1890" t="s">
        <v>422</v>
      </c>
    </row>
    <row r="1891" spans="1:8" x14ac:dyDescent="0.25">
      <c r="A1891" t="s">
        <v>789</v>
      </c>
      <c r="B1891" t="s">
        <v>465</v>
      </c>
      <c r="C1891" s="5">
        <v>21998</v>
      </c>
      <c r="D1891" s="5">
        <v>1208</v>
      </c>
      <c r="E1891">
        <v>3998</v>
      </c>
      <c r="F1891" s="4" t="s">
        <v>744</v>
      </c>
      <c r="G1891" t="s">
        <v>29</v>
      </c>
      <c r="H1891" t="s">
        <v>745</v>
      </c>
    </row>
    <row r="1892" spans="1:8" x14ac:dyDescent="0.25">
      <c r="A1892" t="s">
        <v>789</v>
      </c>
      <c r="B1892" t="s">
        <v>464</v>
      </c>
      <c r="C1892" s="5">
        <v>73922</v>
      </c>
      <c r="D1892" s="5">
        <v>1878</v>
      </c>
      <c r="E1892">
        <v>45784</v>
      </c>
      <c r="F1892" s="4" t="s">
        <v>141</v>
      </c>
      <c r="G1892" t="s">
        <v>29</v>
      </c>
      <c r="H1892" t="s">
        <v>142</v>
      </c>
    </row>
    <row r="1893" spans="1:8" x14ac:dyDescent="0.25">
      <c r="A1893" t="s">
        <v>789</v>
      </c>
      <c r="B1893" t="s">
        <v>463</v>
      </c>
      <c r="C1893" s="5">
        <v>5547</v>
      </c>
      <c r="D1893" s="5">
        <v>92</v>
      </c>
      <c r="E1893">
        <v>3488</v>
      </c>
      <c r="F1893" s="4" t="s">
        <v>135</v>
      </c>
      <c r="G1893" t="s">
        <v>29</v>
      </c>
      <c r="H1893" t="s">
        <v>136</v>
      </c>
    </row>
    <row r="1894" spans="1:8" x14ac:dyDescent="0.25">
      <c r="A1894" t="s">
        <v>789</v>
      </c>
      <c r="B1894" t="s">
        <v>460</v>
      </c>
      <c r="C1894" s="5">
        <v>6398</v>
      </c>
      <c r="D1894" s="5">
        <v>121</v>
      </c>
      <c r="E1894">
        <v>3194</v>
      </c>
      <c r="F1894" s="4" t="s">
        <v>461</v>
      </c>
      <c r="G1894" t="s">
        <v>29</v>
      </c>
      <c r="H1894" t="s">
        <v>462</v>
      </c>
    </row>
    <row r="1895" spans="1:8" x14ac:dyDescent="0.25">
      <c r="A1895" t="s">
        <v>789</v>
      </c>
      <c r="B1895" t="s">
        <v>457</v>
      </c>
      <c r="C1895" s="5">
        <v>487916</v>
      </c>
      <c r="D1895" s="5">
        <v>13076</v>
      </c>
      <c r="E1895">
        <v>176744</v>
      </c>
      <c r="F1895" s="4" t="s">
        <v>480</v>
      </c>
      <c r="G1895" t="s">
        <v>29</v>
      </c>
      <c r="H1895" t="s">
        <v>481</v>
      </c>
    </row>
    <row r="1896" spans="1:8" x14ac:dyDescent="0.25">
      <c r="A1896" t="s">
        <v>789</v>
      </c>
      <c r="B1896" t="s">
        <v>456</v>
      </c>
      <c r="C1896" s="5">
        <v>338246</v>
      </c>
      <c r="D1896" s="5">
        <v>4766</v>
      </c>
      <c r="E1896">
        <v>50358</v>
      </c>
      <c r="F1896" s="4" t="s">
        <v>345</v>
      </c>
      <c r="G1896" t="s">
        <v>29</v>
      </c>
      <c r="H1896" t="s">
        <v>346</v>
      </c>
    </row>
    <row r="1897" spans="1:8" x14ac:dyDescent="0.25">
      <c r="A1897" t="s">
        <v>789</v>
      </c>
      <c r="B1897" t="s">
        <v>453</v>
      </c>
      <c r="C1897" s="5">
        <v>204340</v>
      </c>
      <c r="D1897" s="5">
        <v>430</v>
      </c>
      <c r="E1897">
        <v>164284</v>
      </c>
      <c r="F1897" s="4" t="s">
        <v>781</v>
      </c>
      <c r="G1897" t="s">
        <v>29</v>
      </c>
      <c r="H1897" t="s">
        <v>782</v>
      </c>
    </row>
    <row r="1898" spans="1:8" x14ac:dyDescent="0.25">
      <c r="A1898" t="s">
        <v>789</v>
      </c>
      <c r="B1898" t="s">
        <v>452</v>
      </c>
      <c r="C1898" s="5">
        <v>1174273</v>
      </c>
      <c r="D1898" s="5">
        <v>15040</v>
      </c>
      <c r="E1898">
        <v>801756</v>
      </c>
      <c r="F1898" s="4" t="s">
        <v>381</v>
      </c>
      <c r="G1898" t="s">
        <v>29</v>
      </c>
      <c r="H1898" t="s">
        <v>382</v>
      </c>
    </row>
    <row r="1899" spans="1:8" x14ac:dyDescent="0.25">
      <c r="A1899" t="s">
        <v>789</v>
      </c>
      <c r="B1899" t="s">
        <v>449</v>
      </c>
      <c r="C1899" s="5">
        <v>40433</v>
      </c>
      <c r="D1899" s="5">
        <v>3099</v>
      </c>
      <c r="E1899">
        <v>17643</v>
      </c>
      <c r="F1899" s="4" t="s">
        <v>632</v>
      </c>
      <c r="G1899" t="s">
        <v>29</v>
      </c>
      <c r="H1899" t="s">
        <v>633</v>
      </c>
    </row>
    <row r="1900" spans="1:8" x14ac:dyDescent="0.25">
      <c r="A1900" t="s">
        <v>789</v>
      </c>
      <c r="B1900" t="s">
        <v>446</v>
      </c>
      <c r="C1900" s="5">
        <v>22280</v>
      </c>
      <c r="D1900" s="5">
        <v>119</v>
      </c>
      <c r="E1900">
        <v>4809</v>
      </c>
      <c r="F1900" s="4" t="s">
        <v>447</v>
      </c>
      <c r="G1900" t="s">
        <v>29</v>
      </c>
      <c r="H1900" t="s">
        <v>448</v>
      </c>
    </row>
    <row r="1901" spans="1:8" x14ac:dyDescent="0.25">
      <c r="A1901" t="s">
        <v>789</v>
      </c>
      <c r="B1901" t="s">
        <v>445</v>
      </c>
      <c r="C1901" s="5">
        <v>20</v>
      </c>
      <c r="D1901" s="5">
        <v>0</v>
      </c>
      <c r="E1901">
        <v>13</v>
      </c>
      <c r="F1901" s="4" t="s">
        <v>29</v>
      </c>
      <c r="G1901" t="s">
        <v>29</v>
      </c>
      <c r="H1901" t="s">
        <v>291</v>
      </c>
    </row>
    <row r="1902" spans="1:8" x14ac:dyDescent="0.25">
      <c r="A1902" t="s">
        <v>789</v>
      </c>
      <c r="B1902" t="s">
        <v>444</v>
      </c>
      <c r="C1902" s="5">
        <v>548711</v>
      </c>
      <c r="D1902" s="5">
        <v>8798</v>
      </c>
      <c r="E1902">
        <v>18648</v>
      </c>
      <c r="F1902" s="4" t="s">
        <v>313</v>
      </c>
      <c r="G1902" t="s">
        <v>29</v>
      </c>
      <c r="H1902" t="s">
        <v>314</v>
      </c>
    </row>
    <row r="1903" spans="1:8" x14ac:dyDescent="0.25">
      <c r="A1903" t="s">
        <v>789</v>
      </c>
      <c r="B1903" t="s">
        <v>443</v>
      </c>
      <c r="C1903" s="5">
        <v>99765</v>
      </c>
      <c r="D1903" s="5">
        <v>1332</v>
      </c>
      <c r="E1903">
        <v>21910</v>
      </c>
      <c r="F1903" s="4" t="s">
        <v>264</v>
      </c>
      <c r="G1903" t="s">
        <v>29</v>
      </c>
      <c r="H1903" t="s">
        <v>265</v>
      </c>
    </row>
    <row r="1904" spans="1:8" x14ac:dyDescent="0.25">
      <c r="A1904" t="s">
        <v>789</v>
      </c>
      <c r="B1904" t="s">
        <v>440</v>
      </c>
      <c r="C1904" s="5">
        <v>8455232</v>
      </c>
      <c r="D1904" s="5">
        <v>236462</v>
      </c>
      <c r="E1904">
        <v>2341875</v>
      </c>
      <c r="F1904" s="4" t="s">
        <v>441</v>
      </c>
      <c r="G1904" t="s">
        <v>29</v>
      </c>
      <c r="H1904" t="s">
        <v>442</v>
      </c>
    </row>
    <row r="1905" spans="1:8" x14ac:dyDescent="0.25">
      <c r="A1905" t="s">
        <v>789</v>
      </c>
      <c r="B1905" t="s">
        <v>439</v>
      </c>
      <c r="C1905" s="5">
        <v>1155756</v>
      </c>
      <c r="D1905" s="5">
        <v>10078</v>
      </c>
      <c r="E1905">
        <v>775725</v>
      </c>
      <c r="F1905" s="4" t="s">
        <v>498</v>
      </c>
      <c r="G1905" t="s">
        <v>29</v>
      </c>
      <c r="H1905" t="s">
        <v>499</v>
      </c>
    </row>
    <row r="1906" spans="1:8" x14ac:dyDescent="0.25">
      <c r="A1906" t="s">
        <v>789</v>
      </c>
      <c r="B1906" t="s">
        <v>436</v>
      </c>
      <c r="C1906" s="5">
        <v>1666097</v>
      </c>
      <c r="D1906" s="5">
        <v>48664</v>
      </c>
      <c r="E1906">
        <v>1207743</v>
      </c>
      <c r="F1906" s="4" t="s">
        <v>671</v>
      </c>
      <c r="G1906" t="s">
        <v>29</v>
      </c>
      <c r="H1906" t="s">
        <v>672</v>
      </c>
    </row>
    <row r="1907" spans="1:8" x14ac:dyDescent="0.25">
      <c r="A1907" t="s">
        <v>789</v>
      </c>
      <c r="B1907" t="s">
        <v>435</v>
      </c>
      <c r="C1907" s="5">
        <v>54668</v>
      </c>
      <c r="D1907" s="5">
        <v>374</v>
      </c>
      <c r="E1907">
        <v>1065</v>
      </c>
      <c r="F1907" s="4" t="s">
        <v>605</v>
      </c>
      <c r="G1907" t="s">
        <v>29</v>
      </c>
      <c r="H1907" t="s">
        <v>606</v>
      </c>
    </row>
    <row r="1908" spans="1:8" x14ac:dyDescent="0.25">
      <c r="A1908" t="s">
        <v>789</v>
      </c>
      <c r="B1908" t="s">
        <v>432</v>
      </c>
      <c r="C1908" s="5">
        <v>239508</v>
      </c>
      <c r="D1908" s="5">
        <v>611</v>
      </c>
      <c r="E1908">
        <v>181582</v>
      </c>
      <c r="F1908" s="4" t="s">
        <v>794</v>
      </c>
      <c r="G1908" t="s">
        <v>29</v>
      </c>
      <c r="H1908" t="s">
        <v>795</v>
      </c>
    </row>
    <row r="1909" spans="1:8" x14ac:dyDescent="0.25">
      <c r="A1909" t="s">
        <v>789</v>
      </c>
      <c r="B1909" t="s">
        <v>429</v>
      </c>
      <c r="C1909" s="5">
        <v>461132</v>
      </c>
      <c r="D1909" s="5">
        <v>16250</v>
      </c>
      <c r="E1909">
        <v>143114</v>
      </c>
      <c r="F1909" s="4" t="s">
        <v>353</v>
      </c>
      <c r="G1909" t="s">
        <v>29</v>
      </c>
      <c r="H1909" t="s">
        <v>354</v>
      </c>
    </row>
    <row r="1910" spans="1:8" x14ac:dyDescent="0.25">
      <c r="A1910" t="s">
        <v>789</v>
      </c>
      <c r="B1910" t="s">
        <v>428</v>
      </c>
      <c r="C1910" s="5">
        <v>8</v>
      </c>
      <c r="D1910" s="5">
        <v>0</v>
      </c>
      <c r="E1910">
        <v>7</v>
      </c>
      <c r="F1910" s="4" t="s">
        <v>29</v>
      </c>
      <c r="G1910" t="s">
        <v>29</v>
      </c>
      <c r="H1910" t="s">
        <v>291</v>
      </c>
    </row>
    <row r="1911" spans="1:8" x14ac:dyDescent="0.25">
      <c r="A1911" t="s">
        <v>789</v>
      </c>
      <c r="B1911" t="s">
        <v>427</v>
      </c>
      <c r="C1911" s="5">
        <v>1091592</v>
      </c>
      <c r="D1911" s="5">
        <v>18171</v>
      </c>
      <c r="E1911">
        <v>178185</v>
      </c>
      <c r="F1911" s="4" t="s">
        <v>135</v>
      </c>
      <c r="G1911" t="s">
        <v>29</v>
      </c>
      <c r="H1911" t="s">
        <v>136</v>
      </c>
    </row>
    <row r="1912" spans="1:8" x14ac:dyDescent="0.25">
      <c r="A1912" t="s">
        <v>789</v>
      </c>
      <c r="B1912" t="s">
        <v>426</v>
      </c>
      <c r="C1912" s="5">
        <v>454172</v>
      </c>
      <c r="D1912" s="5">
        <v>4689</v>
      </c>
      <c r="E1912">
        <v>6669</v>
      </c>
      <c r="F1912" s="4" t="s">
        <v>687</v>
      </c>
      <c r="G1912" t="s">
        <v>29</v>
      </c>
      <c r="H1912" t="s">
        <v>688</v>
      </c>
    </row>
    <row r="1913" spans="1:8" x14ac:dyDescent="0.25">
      <c r="A1913" t="s">
        <v>789</v>
      </c>
      <c r="B1913" t="s">
        <v>423</v>
      </c>
      <c r="C1913" s="5">
        <v>3034668</v>
      </c>
      <c r="D1913" s="5">
        <v>77021</v>
      </c>
      <c r="E1913">
        <v>471516</v>
      </c>
      <c r="F1913" s="4" t="s">
        <v>141</v>
      </c>
      <c r="G1913" t="s">
        <v>29</v>
      </c>
      <c r="H1913" t="s">
        <v>142</v>
      </c>
    </row>
    <row r="1914" spans="1:8" x14ac:dyDescent="0.25">
      <c r="A1914" t="s">
        <v>789</v>
      </c>
      <c r="B1914" t="s">
        <v>420</v>
      </c>
      <c r="C1914" s="5">
        <v>1274578</v>
      </c>
      <c r="D1914" s="5">
        <v>28477</v>
      </c>
      <c r="E1914">
        <v>1096876</v>
      </c>
      <c r="F1914" s="4" t="s">
        <v>421</v>
      </c>
      <c r="G1914" t="s">
        <v>29</v>
      </c>
      <c r="H1914" t="s">
        <v>422</v>
      </c>
    </row>
    <row r="1915" spans="1:8" x14ac:dyDescent="0.25">
      <c r="A1915" t="s">
        <v>789</v>
      </c>
      <c r="B1915" t="s">
        <v>419</v>
      </c>
      <c r="C1915" s="5">
        <v>2792656</v>
      </c>
      <c r="D1915" s="5">
        <v>43404</v>
      </c>
      <c r="E1915">
        <v>2359012</v>
      </c>
      <c r="F1915" s="4" t="s">
        <v>333</v>
      </c>
      <c r="G1915" t="s">
        <v>29</v>
      </c>
      <c r="H1915" t="s">
        <v>334</v>
      </c>
    </row>
    <row r="1916" spans="1:8" x14ac:dyDescent="0.25">
      <c r="A1916" t="s">
        <v>789</v>
      </c>
      <c r="B1916" t="s">
        <v>416</v>
      </c>
      <c r="C1916" s="5">
        <v>30035</v>
      </c>
      <c r="D1916" s="5">
        <v>385</v>
      </c>
      <c r="E1916">
        <v>11481</v>
      </c>
      <c r="F1916" s="4" t="s">
        <v>381</v>
      </c>
      <c r="G1916" t="s">
        <v>29</v>
      </c>
      <c r="H1916" t="s">
        <v>382</v>
      </c>
    </row>
    <row r="1917" spans="1:8" x14ac:dyDescent="0.25">
      <c r="A1917" t="s">
        <v>789</v>
      </c>
      <c r="B1917" t="s">
        <v>415</v>
      </c>
      <c r="C1917" s="5">
        <v>45541</v>
      </c>
      <c r="D1917" s="5">
        <v>636</v>
      </c>
      <c r="E1917">
        <v>12536</v>
      </c>
      <c r="F1917" s="4" t="s">
        <v>403</v>
      </c>
      <c r="G1917" t="s">
        <v>29</v>
      </c>
      <c r="H1917" t="s">
        <v>404</v>
      </c>
    </row>
    <row r="1918" spans="1:8" x14ac:dyDescent="0.25">
      <c r="A1918" t="s">
        <v>789</v>
      </c>
      <c r="B1918" t="s">
        <v>412</v>
      </c>
      <c r="C1918" s="5">
        <v>2202189</v>
      </c>
      <c r="D1918" s="5">
        <v>200276</v>
      </c>
      <c r="E1918">
        <v>1081999</v>
      </c>
      <c r="F1918" s="4" t="s">
        <v>727</v>
      </c>
      <c r="G1918" t="s">
        <v>29</v>
      </c>
      <c r="H1918" t="s">
        <v>728</v>
      </c>
    </row>
    <row r="1919" spans="1:8" x14ac:dyDescent="0.25">
      <c r="A1919" t="s">
        <v>789</v>
      </c>
      <c r="B1919" t="s">
        <v>411</v>
      </c>
      <c r="C1919" s="5">
        <v>472877</v>
      </c>
      <c r="D1919" s="5">
        <v>7315</v>
      </c>
      <c r="E1919">
        <v>185994</v>
      </c>
      <c r="F1919" s="4" t="s">
        <v>333</v>
      </c>
      <c r="G1919" t="s">
        <v>29</v>
      </c>
      <c r="H1919" t="s">
        <v>334</v>
      </c>
    </row>
    <row r="1920" spans="1:8" x14ac:dyDescent="0.25">
      <c r="A1920" t="s">
        <v>789</v>
      </c>
      <c r="B1920" t="s">
        <v>408</v>
      </c>
      <c r="C1920" s="5">
        <v>304308</v>
      </c>
      <c r="D1920" s="5">
        <v>4111</v>
      </c>
      <c r="E1920">
        <v>2652</v>
      </c>
      <c r="F1920" s="4" t="s">
        <v>409</v>
      </c>
      <c r="G1920" t="s">
        <v>29</v>
      </c>
      <c r="H1920" t="s">
        <v>410</v>
      </c>
    </row>
    <row r="1921" spans="1:8" x14ac:dyDescent="0.25">
      <c r="A1921" t="s">
        <v>789</v>
      </c>
      <c r="B1921" t="s">
        <v>405</v>
      </c>
      <c r="C1921" s="5">
        <v>6833</v>
      </c>
      <c r="D1921" s="5">
        <v>28</v>
      </c>
      <c r="E1921">
        <v>6523</v>
      </c>
      <c r="F1921" s="4" t="s">
        <v>406</v>
      </c>
      <c r="G1921" t="s">
        <v>29</v>
      </c>
      <c r="H1921" t="s">
        <v>407</v>
      </c>
    </row>
    <row r="1922" spans="1:8" x14ac:dyDescent="0.25">
      <c r="A1922" t="s">
        <v>789</v>
      </c>
      <c r="B1922" t="s">
        <v>402</v>
      </c>
      <c r="C1922" s="5">
        <v>813433</v>
      </c>
      <c r="D1922" s="5">
        <v>11427</v>
      </c>
      <c r="E1922">
        <v>137923</v>
      </c>
      <c r="F1922" s="4" t="s">
        <v>403</v>
      </c>
      <c r="G1922" t="s">
        <v>29</v>
      </c>
      <c r="H1922" t="s">
        <v>404</v>
      </c>
    </row>
    <row r="1923" spans="1:8" x14ac:dyDescent="0.25">
      <c r="A1923" t="s">
        <v>789</v>
      </c>
      <c r="B1923" t="s">
        <v>399</v>
      </c>
      <c r="C1923" s="5">
        <v>210241</v>
      </c>
      <c r="D1923" s="5">
        <v>902</v>
      </c>
      <c r="E1923">
        <v>164665</v>
      </c>
      <c r="F1923" s="4" t="s">
        <v>400</v>
      </c>
      <c r="G1923" t="s">
        <v>29</v>
      </c>
      <c r="H1923" t="s">
        <v>401</v>
      </c>
    </row>
    <row r="1924" spans="1:8" x14ac:dyDescent="0.25">
      <c r="A1924" t="s">
        <v>789</v>
      </c>
      <c r="B1924" t="s">
        <v>396</v>
      </c>
      <c r="C1924" s="5">
        <v>2187466</v>
      </c>
      <c r="D1924" s="5">
        <v>18881</v>
      </c>
      <c r="E1924">
        <v>1445529</v>
      </c>
      <c r="F1924" s="4" t="s">
        <v>122</v>
      </c>
      <c r="G1924" t="s">
        <v>29</v>
      </c>
      <c r="H1924" t="s">
        <v>123</v>
      </c>
    </row>
    <row r="1925" spans="1:8" x14ac:dyDescent="0.25">
      <c r="A1925" t="s">
        <v>789</v>
      </c>
      <c r="B1925" t="s">
        <v>393</v>
      </c>
      <c r="C1925" s="5">
        <v>16699</v>
      </c>
      <c r="D1925" s="5">
        <v>208</v>
      </c>
      <c r="E1925">
        <v>6529</v>
      </c>
      <c r="F1925" s="4" t="s">
        <v>107</v>
      </c>
      <c r="G1925" t="s">
        <v>29</v>
      </c>
      <c r="H1925" t="s">
        <v>108</v>
      </c>
    </row>
    <row r="1926" spans="1:8" x14ac:dyDescent="0.25">
      <c r="A1926" t="s">
        <v>789</v>
      </c>
      <c r="B1926" t="s">
        <v>390</v>
      </c>
      <c r="C1926" s="5">
        <v>212150</v>
      </c>
      <c r="D1926" s="5">
        <v>2899</v>
      </c>
      <c r="E1926">
        <v>114237</v>
      </c>
      <c r="F1926" s="4" t="s">
        <v>391</v>
      </c>
      <c r="G1926" t="s">
        <v>29</v>
      </c>
      <c r="H1926" t="s">
        <v>392</v>
      </c>
    </row>
    <row r="1927" spans="1:8" x14ac:dyDescent="0.25">
      <c r="A1927" t="s">
        <v>789</v>
      </c>
      <c r="B1927" t="s">
        <v>387</v>
      </c>
      <c r="C1927" s="5">
        <v>6399</v>
      </c>
      <c r="D1927" s="5">
        <v>216</v>
      </c>
      <c r="E1927">
        <v>5940</v>
      </c>
      <c r="F1927" s="4" t="s">
        <v>255</v>
      </c>
      <c r="G1927" t="s">
        <v>29</v>
      </c>
      <c r="H1927" t="s">
        <v>256</v>
      </c>
    </row>
    <row r="1928" spans="1:8" x14ac:dyDescent="0.25">
      <c r="A1928" t="s">
        <v>789</v>
      </c>
      <c r="B1928" t="s">
        <v>386</v>
      </c>
      <c r="C1928" s="5">
        <v>11052</v>
      </c>
      <c r="D1928" s="5">
        <v>267</v>
      </c>
      <c r="E1928">
        <v>4845</v>
      </c>
      <c r="F1928" s="4" t="s">
        <v>796</v>
      </c>
      <c r="G1928" t="s">
        <v>29</v>
      </c>
      <c r="H1928" t="s">
        <v>797</v>
      </c>
    </row>
    <row r="1929" spans="1:8" x14ac:dyDescent="0.25">
      <c r="A1929" t="s">
        <v>789</v>
      </c>
      <c r="B1929" t="s">
        <v>383</v>
      </c>
      <c r="C1929" s="5">
        <v>128956</v>
      </c>
      <c r="D1929" s="5">
        <v>3556</v>
      </c>
      <c r="E1929">
        <v>116715</v>
      </c>
      <c r="F1929" s="4" t="s">
        <v>384</v>
      </c>
      <c r="G1929" t="s">
        <v>29</v>
      </c>
      <c r="H1929" t="s">
        <v>385</v>
      </c>
    </row>
    <row r="1930" spans="1:8" x14ac:dyDescent="0.25">
      <c r="A1930" t="s">
        <v>789</v>
      </c>
      <c r="B1930" t="s">
        <v>380</v>
      </c>
      <c r="C1930" s="5">
        <v>151316</v>
      </c>
      <c r="D1930" s="5">
        <v>1932</v>
      </c>
      <c r="E1930">
        <v>112381</v>
      </c>
      <c r="F1930" s="4" t="s">
        <v>381</v>
      </c>
      <c r="G1930" t="s">
        <v>29</v>
      </c>
      <c r="H1930" t="s">
        <v>382</v>
      </c>
    </row>
    <row r="1931" spans="1:8" x14ac:dyDescent="0.25">
      <c r="A1931" t="s">
        <v>789</v>
      </c>
      <c r="B1931" t="s">
        <v>377</v>
      </c>
      <c r="C1931" s="5">
        <v>2481339</v>
      </c>
      <c r="D1931" s="5">
        <v>29045</v>
      </c>
      <c r="E1931">
        <v>1627569</v>
      </c>
      <c r="F1931" s="4" t="s">
        <v>378</v>
      </c>
      <c r="G1931" t="s">
        <v>29</v>
      </c>
      <c r="H1931" t="s">
        <v>379</v>
      </c>
    </row>
    <row r="1932" spans="1:8" x14ac:dyDescent="0.25">
      <c r="A1932" t="s">
        <v>789</v>
      </c>
      <c r="B1932" t="s">
        <v>374</v>
      </c>
      <c r="C1932" s="5">
        <v>3808205</v>
      </c>
      <c r="D1932" s="5">
        <v>288464</v>
      </c>
      <c r="E1932">
        <v>697905</v>
      </c>
      <c r="F1932" s="4" t="s">
        <v>375</v>
      </c>
      <c r="G1932" t="s">
        <v>29</v>
      </c>
      <c r="H1932" t="s">
        <v>376</v>
      </c>
    </row>
    <row r="1933" spans="1:8" x14ac:dyDescent="0.25">
      <c r="A1933" t="s">
        <v>789</v>
      </c>
      <c r="B1933" t="s">
        <v>371</v>
      </c>
      <c r="C1933" s="5">
        <v>61802</v>
      </c>
      <c r="D1933" s="5">
        <v>2302</v>
      </c>
      <c r="E1933">
        <v>48132</v>
      </c>
      <c r="F1933" s="4" t="s">
        <v>372</v>
      </c>
      <c r="G1933" t="s">
        <v>29</v>
      </c>
      <c r="H1933" t="s">
        <v>373</v>
      </c>
    </row>
    <row r="1934" spans="1:8" x14ac:dyDescent="0.25">
      <c r="A1934" t="s">
        <v>789</v>
      </c>
      <c r="B1934" t="s">
        <v>368</v>
      </c>
      <c r="C1934" s="5">
        <v>88058</v>
      </c>
      <c r="D1934" s="5">
        <v>243</v>
      </c>
      <c r="E1934">
        <v>21628</v>
      </c>
      <c r="F1934" s="4" t="s">
        <v>369</v>
      </c>
      <c r="G1934" t="s">
        <v>29</v>
      </c>
      <c r="H1934" t="s">
        <v>370</v>
      </c>
    </row>
    <row r="1935" spans="1:8" x14ac:dyDescent="0.25">
      <c r="A1935" t="s">
        <v>789</v>
      </c>
      <c r="B1935" t="s">
        <v>367</v>
      </c>
      <c r="C1935" s="5">
        <v>17812</v>
      </c>
      <c r="D1935" s="5">
        <v>176</v>
      </c>
      <c r="E1935">
        <v>11237</v>
      </c>
      <c r="F1935" s="4" t="s">
        <v>294</v>
      </c>
      <c r="G1935" t="s">
        <v>29</v>
      </c>
      <c r="H1935" t="s">
        <v>295</v>
      </c>
    </row>
    <row r="1936" spans="1:8" x14ac:dyDescent="0.25">
      <c r="A1936" t="s">
        <v>789</v>
      </c>
      <c r="B1936" t="s">
        <v>364</v>
      </c>
      <c r="C1936" s="5">
        <v>37702</v>
      </c>
      <c r="D1936" s="5">
        <v>462</v>
      </c>
      <c r="E1936">
        <v>31671</v>
      </c>
      <c r="F1936" s="4" t="s">
        <v>798</v>
      </c>
      <c r="G1936" t="s">
        <v>29</v>
      </c>
      <c r="H1936" t="s">
        <v>799</v>
      </c>
    </row>
    <row r="1937" spans="1:8" x14ac:dyDescent="0.25">
      <c r="A1937" t="s">
        <v>789</v>
      </c>
      <c r="B1937" t="s">
        <v>363</v>
      </c>
      <c r="C1937" s="5">
        <v>37435</v>
      </c>
      <c r="D1937" s="5">
        <v>798</v>
      </c>
      <c r="E1937">
        <v>9087</v>
      </c>
      <c r="F1937" s="4" t="s">
        <v>650</v>
      </c>
      <c r="G1937" t="s">
        <v>29</v>
      </c>
      <c r="H1937" t="s">
        <v>651</v>
      </c>
    </row>
    <row r="1938" spans="1:8" x14ac:dyDescent="0.25">
      <c r="A1938" t="s">
        <v>789</v>
      </c>
      <c r="B1938" t="s">
        <v>360</v>
      </c>
      <c r="C1938" s="5">
        <v>43347</v>
      </c>
      <c r="D1938" s="5">
        <v>683</v>
      </c>
      <c r="E1938">
        <v>15066</v>
      </c>
      <c r="F1938" s="4" t="s">
        <v>577</v>
      </c>
      <c r="G1938" t="s">
        <v>29</v>
      </c>
      <c r="H1938" t="s">
        <v>578</v>
      </c>
    </row>
    <row r="1939" spans="1:8" x14ac:dyDescent="0.25">
      <c r="A1939" t="s">
        <v>789</v>
      </c>
      <c r="B1939" t="s">
        <v>359</v>
      </c>
      <c r="C1939" s="5">
        <v>77</v>
      </c>
      <c r="D1939" s="5">
        <v>0</v>
      </c>
      <c r="E1939">
        <v>33</v>
      </c>
      <c r="F1939" s="4" t="s">
        <v>29</v>
      </c>
      <c r="G1939" t="s">
        <v>29</v>
      </c>
      <c r="H1939" t="s">
        <v>291</v>
      </c>
    </row>
    <row r="1940" spans="1:8" x14ac:dyDescent="0.25">
      <c r="A1940" t="s">
        <v>789</v>
      </c>
      <c r="B1940" t="s">
        <v>358</v>
      </c>
      <c r="C1940" s="5">
        <v>362772</v>
      </c>
      <c r="D1940" s="5">
        <v>1767</v>
      </c>
      <c r="E1940">
        <v>67899</v>
      </c>
      <c r="F1940" s="4" t="s">
        <v>638</v>
      </c>
      <c r="G1940" t="s">
        <v>29</v>
      </c>
      <c r="H1940" t="s">
        <v>639</v>
      </c>
    </row>
    <row r="1941" spans="1:8" x14ac:dyDescent="0.25">
      <c r="A1941" t="s">
        <v>789</v>
      </c>
      <c r="B1941" t="s">
        <v>355</v>
      </c>
      <c r="C1941" s="5">
        <v>502024</v>
      </c>
      <c r="D1941" s="5">
        <v>18728</v>
      </c>
      <c r="E1941">
        <v>163496</v>
      </c>
      <c r="F1941" s="4" t="s">
        <v>779</v>
      </c>
      <c r="G1941" t="s">
        <v>29</v>
      </c>
      <c r="H1941" t="s">
        <v>780</v>
      </c>
    </row>
    <row r="1942" spans="1:8" x14ac:dyDescent="0.25">
      <c r="A1942" t="s">
        <v>789</v>
      </c>
      <c r="B1942" t="s">
        <v>352</v>
      </c>
      <c r="C1942" s="5">
        <v>16148</v>
      </c>
      <c r="D1942" s="5">
        <v>568</v>
      </c>
      <c r="E1942">
        <v>3061</v>
      </c>
      <c r="F1942" s="4" t="s">
        <v>353</v>
      </c>
      <c r="G1942" t="s">
        <v>29</v>
      </c>
      <c r="H1942" t="s">
        <v>354</v>
      </c>
    </row>
    <row r="1943" spans="1:8" x14ac:dyDescent="0.25">
      <c r="A1943" t="s">
        <v>789</v>
      </c>
      <c r="B1943" t="s">
        <v>349</v>
      </c>
      <c r="C1943" s="5">
        <v>203298</v>
      </c>
      <c r="D1943" s="5">
        <v>7159</v>
      </c>
      <c r="E1943">
        <v>21997</v>
      </c>
      <c r="F1943" s="4" t="s">
        <v>353</v>
      </c>
      <c r="G1943" t="s">
        <v>29</v>
      </c>
      <c r="H1943" t="s">
        <v>354</v>
      </c>
    </row>
    <row r="1944" spans="1:8" x14ac:dyDescent="0.25">
      <c r="A1944" t="s">
        <v>789</v>
      </c>
      <c r="B1944" t="s">
        <v>348</v>
      </c>
      <c r="C1944" s="5">
        <v>4</v>
      </c>
      <c r="D1944" s="5">
        <v>0</v>
      </c>
      <c r="E1944">
        <v>1</v>
      </c>
      <c r="F1944" s="4" t="s">
        <v>29</v>
      </c>
      <c r="G1944" t="s">
        <v>29</v>
      </c>
      <c r="H1944" t="s">
        <v>291</v>
      </c>
    </row>
    <row r="1945" spans="1:8" x14ac:dyDescent="0.25">
      <c r="A1945" t="s">
        <v>789</v>
      </c>
      <c r="B1945" t="s">
        <v>347</v>
      </c>
      <c r="C1945" s="5">
        <v>43632</v>
      </c>
      <c r="D1945" s="5">
        <v>964</v>
      </c>
      <c r="E1945">
        <v>14358</v>
      </c>
      <c r="F1945" s="4" t="s">
        <v>132</v>
      </c>
      <c r="G1945" t="s">
        <v>29</v>
      </c>
      <c r="H1945" t="s">
        <v>133</v>
      </c>
    </row>
    <row r="1946" spans="1:8" x14ac:dyDescent="0.25">
      <c r="A1946" t="s">
        <v>789</v>
      </c>
      <c r="B1946" t="s">
        <v>344</v>
      </c>
      <c r="C1946" s="5">
        <v>3920</v>
      </c>
      <c r="D1946" s="5">
        <v>56</v>
      </c>
      <c r="E1946">
        <v>2162</v>
      </c>
      <c r="F1946" s="4" t="s">
        <v>323</v>
      </c>
      <c r="G1946" t="s">
        <v>29</v>
      </c>
      <c r="H1946" t="s">
        <v>324</v>
      </c>
    </row>
    <row r="1947" spans="1:8" x14ac:dyDescent="0.25">
      <c r="A1947" t="s">
        <v>789</v>
      </c>
      <c r="B1947" t="s">
        <v>341</v>
      </c>
      <c r="C1947" s="5">
        <v>145314</v>
      </c>
      <c r="D1947" s="5">
        <v>2113</v>
      </c>
      <c r="E1947">
        <v>79731</v>
      </c>
      <c r="F1947" s="4" t="s">
        <v>342</v>
      </c>
      <c r="G1947" t="s">
        <v>29</v>
      </c>
      <c r="H1947" t="s">
        <v>343</v>
      </c>
    </row>
    <row r="1948" spans="1:8" x14ac:dyDescent="0.25">
      <c r="A1948" t="s">
        <v>789</v>
      </c>
      <c r="B1948" t="s">
        <v>338</v>
      </c>
      <c r="C1948" s="5">
        <v>340188</v>
      </c>
      <c r="D1948" s="5">
        <v>7870</v>
      </c>
      <c r="E1948">
        <v>223428</v>
      </c>
      <c r="F1948" s="4" t="s">
        <v>234</v>
      </c>
      <c r="G1948" t="s">
        <v>29</v>
      </c>
      <c r="H1948" t="s">
        <v>235</v>
      </c>
    </row>
    <row r="1949" spans="1:8" x14ac:dyDescent="0.25">
      <c r="A1949" t="s">
        <v>789</v>
      </c>
      <c r="B1949" t="s">
        <v>335</v>
      </c>
      <c r="C1949" s="5">
        <v>3414</v>
      </c>
      <c r="D1949" s="5">
        <v>36</v>
      </c>
      <c r="E1949">
        <v>2294</v>
      </c>
      <c r="F1949" s="4" t="s">
        <v>642</v>
      </c>
      <c r="G1949" t="s">
        <v>29</v>
      </c>
      <c r="H1949" t="s">
        <v>643</v>
      </c>
    </row>
    <row r="1950" spans="1:8" x14ac:dyDescent="0.25">
      <c r="A1950" t="s">
        <v>789</v>
      </c>
      <c r="B1950" t="s">
        <v>332</v>
      </c>
      <c r="C1950" s="5">
        <v>946543</v>
      </c>
      <c r="D1950" s="5">
        <v>14683</v>
      </c>
      <c r="E1950">
        <v>227055</v>
      </c>
      <c r="F1950" s="4" t="s">
        <v>333</v>
      </c>
      <c r="G1950" t="s">
        <v>29</v>
      </c>
      <c r="H1950" t="s">
        <v>334</v>
      </c>
    </row>
    <row r="1951" spans="1:8" x14ac:dyDescent="0.25">
      <c r="A1951" t="s">
        <v>789</v>
      </c>
      <c r="B1951" t="s">
        <v>329</v>
      </c>
      <c r="C1951" s="5">
        <v>358463</v>
      </c>
      <c r="D1951" s="5">
        <v>5139</v>
      </c>
      <c r="E1951">
        <v>152183</v>
      </c>
      <c r="F1951" s="4" t="s">
        <v>323</v>
      </c>
      <c r="G1951" t="s">
        <v>29</v>
      </c>
      <c r="H1951" t="s">
        <v>324</v>
      </c>
    </row>
    <row r="1952" spans="1:8" x14ac:dyDescent="0.25">
      <c r="A1952" t="s">
        <v>789</v>
      </c>
      <c r="B1952" t="s">
        <v>328</v>
      </c>
      <c r="C1952" s="5">
        <v>221795</v>
      </c>
      <c r="D1952" s="5">
        <v>3312</v>
      </c>
      <c r="E1952">
        <v>2618</v>
      </c>
      <c r="F1952" s="4" t="s">
        <v>800</v>
      </c>
      <c r="G1952" t="s">
        <v>29</v>
      </c>
      <c r="H1952" t="s">
        <v>801</v>
      </c>
    </row>
    <row r="1953" spans="1:8" x14ac:dyDescent="0.25">
      <c r="A1953" t="s">
        <v>789</v>
      </c>
      <c r="B1953" t="s">
        <v>325</v>
      </c>
      <c r="C1953" s="5">
        <v>82092</v>
      </c>
      <c r="D1953" s="5">
        <v>848</v>
      </c>
      <c r="E1953">
        <v>30185</v>
      </c>
      <c r="F1953" s="4" t="s">
        <v>687</v>
      </c>
      <c r="G1953" t="s">
        <v>29</v>
      </c>
      <c r="H1953" t="s">
        <v>688</v>
      </c>
    </row>
    <row r="1954" spans="1:8" x14ac:dyDescent="0.25">
      <c r="A1954" t="s">
        <v>789</v>
      </c>
      <c r="B1954" t="s">
        <v>322</v>
      </c>
      <c r="C1954" s="5">
        <v>412769</v>
      </c>
      <c r="D1954" s="5">
        <v>5936</v>
      </c>
      <c r="E1954">
        <v>126041</v>
      </c>
      <c r="F1954" s="4" t="s">
        <v>330</v>
      </c>
      <c r="G1954" t="s">
        <v>29</v>
      </c>
      <c r="H1954" t="s">
        <v>331</v>
      </c>
    </row>
    <row r="1955" spans="1:8" x14ac:dyDescent="0.25">
      <c r="A1955" t="s">
        <v>789</v>
      </c>
      <c r="B1955" t="s">
        <v>319</v>
      </c>
      <c r="C1955" s="5">
        <v>21640</v>
      </c>
      <c r="D1955" s="5">
        <v>658</v>
      </c>
      <c r="E1955">
        <v>8896</v>
      </c>
      <c r="F1955" s="4" t="s">
        <v>320</v>
      </c>
      <c r="G1955" t="s">
        <v>29</v>
      </c>
      <c r="H1955" t="s">
        <v>321</v>
      </c>
    </row>
    <row r="1956" spans="1:8" x14ac:dyDescent="0.25">
      <c r="A1956" t="s">
        <v>789</v>
      </c>
      <c r="B1956" t="s">
        <v>316</v>
      </c>
      <c r="C1956" s="5">
        <v>5815</v>
      </c>
      <c r="D1956" s="5">
        <v>287</v>
      </c>
      <c r="E1956">
        <v>828</v>
      </c>
      <c r="F1956" s="4" t="s">
        <v>644</v>
      </c>
      <c r="G1956" t="s">
        <v>29</v>
      </c>
      <c r="H1956" t="s">
        <v>645</v>
      </c>
    </row>
    <row r="1957" spans="1:8" x14ac:dyDescent="0.25">
      <c r="A1957" t="s">
        <v>789</v>
      </c>
      <c r="B1957" t="s">
        <v>315</v>
      </c>
      <c r="C1957" s="5">
        <v>542212</v>
      </c>
      <c r="D1957" s="5">
        <v>13770</v>
      </c>
      <c r="E1957">
        <v>81697</v>
      </c>
      <c r="F1957" s="4" t="s">
        <v>141</v>
      </c>
      <c r="G1957" t="s">
        <v>29</v>
      </c>
      <c r="H1957" t="s">
        <v>142</v>
      </c>
    </row>
    <row r="1958" spans="1:8" x14ac:dyDescent="0.25">
      <c r="A1958" t="s">
        <v>789</v>
      </c>
      <c r="B1958" t="s">
        <v>312</v>
      </c>
      <c r="C1958" s="5">
        <v>3685</v>
      </c>
      <c r="D1958" s="5">
        <v>61</v>
      </c>
      <c r="E1958">
        <v>488</v>
      </c>
      <c r="F1958" s="4" t="s">
        <v>135</v>
      </c>
      <c r="G1958" t="s">
        <v>29</v>
      </c>
      <c r="H1958" t="s">
        <v>136</v>
      </c>
    </row>
    <row r="1959" spans="1:8" x14ac:dyDescent="0.25">
      <c r="A1959" t="s">
        <v>789</v>
      </c>
      <c r="B1959" t="s">
        <v>309</v>
      </c>
      <c r="C1959" s="5">
        <v>12586</v>
      </c>
      <c r="D1959" s="5">
        <v>258</v>
      </c>
      <c r="E1959">
        <v>6199</v>
      </c>
      <c r="F1959" s="4" t="s">
        <v>579</v>
      </c>
      <c r="G1959" t="s">
        <v>29</v>
      </c>
      <c r="H1959" t="s">
        <v>580</v>
      </c>
    </row>
    <row r="1960" spans="1:8" x14ac:dyDescent="0.25">
      <c r="A1960" t="s">
        <v>789</v>
      </c>
      <c r="B1960" t="s">
        <v>306</v>
      </c>
      <c r="C1960" s="5">
        <v>643047</v>
      </c>
      <c r="D1960" s="5">
        <v>8515</v>
      </c>
      <c r="E1960">
        <v>273671</v>
      </c>
      <c r="F1960" s="4" t="s">
        <v>307</v>
      </c>
      <c r="G1960" t="s">
        <v>29</v>
      </c>
      <c r="H1960" t="s">
        <v>308</v>
      </c>
    </row>
    <row r="1961" spans="1:8" x14ac:dyDescent="0.25">
      <c r="A1961" t="s">
        <v>789</v>
      </c>
      <c r="B1961" t="s">
        <v>303</v>
      </c>
      <c r="C1961" s="5">
        <v>41829</v>
      </c>
      <c r="D1961" s="5">
        <v>70</v>
      </c>
      <c r="E1961">
        <v>17757</v>
      </c>
      <c r="F1961" s="4" t="s">
        <v>679</v>
      </c>
      <c r="G1961" t="s">
        <v>29</v>
      </c>
      <c r="H1961" t="s">
        <v>680</v>
      </c>
    </row>
    <row r="1962" spans="1:8" x14ac:dyDescent="0.25">
      <c r="A1962" t="s">
        <v>789</v>
      </c>
      <c r="B1962" t="s">
        <v>302</v>
      </c>
      <c r="C1962" s="5">
        <v>1022944</v>
      </c>
      <c r="D1962" s="5">
        <v>17175</v>
      </c>
      <c r="E1962">
        <v>934439</v>
      </c>
      <c r="F1962" s="4" t="s">
        <v>116</v>
      </c>
      <c r="G1962" t="s">
        <v>29</v>
      </c>
      <c r="H1962" t="s">
        <v>117</v>
      </c>
    </row>
    <row r="1963" spans="1:8" x14ac:dyDescent="0.25">
      <c r="A1963" t="s">
        <v>789</v>
      </c>
      <c r="B1963" t="s">
        <v>299</v>
      </c>
      <c r="C1963" s="5">
        <v>412731</v>
      </c>
      <c r="D1963" s="5">
        <v>2462</v>
      </c>
      <c r="E1963">
        <v>245979</v>
      </c>
      <c r="F1963" s="4" t="s">
        <v>300</v>
      </c>
      <c r="G1963" t="s">
        <v>29</v>
      </c>
      <c r="H1963" t="s">
        <v>301</v>
      </c>
    </row>
    <row r="1964" spans="1:8" x14ac:dyDescent="0.25">
      <c r="A1964" t="s">
        <v>789</v>
      </c>
      <c r="B1964" t="s">
        <v>296</v>
      </c>
      <c r="C1964" s="5">
        <v>370640</v>
      </c>
      <c r="D1964" s="5">
        <v>2892</v>
      </c>
      <c r="E1964">
        <v>90565</v>
      </c>
      <c r="F1964" s="4" t="s">
        <v>297</v>
      </c>
      <c r="G1964" t="s">
        <v>29</v>
      </c>
      <c r="H1964" t="s">
        <v>298</v>
      </c>
    </row>
    <row r="1965" spans="1:8" x14ac:dyDescent="0.25">
      <c r="A1965" t="s">
        <v>789</v>
      </c>
      <c r="B1965" t="s">
        <v>293</v>
      </c>
      <c r="C1965" s="5">
        <v>2686</v>
      </c>
      <c r="D1965" s="5">
        <v>25</v>
      </c>
      <c r="E1965">
        <v>841</v>
      </c>
      <c r="F1965" s="4" t="s">
        <v>484</v>
      </c>
      <c r="G1965" t="s">
        <v>29</v>
      </c>
      <c r="H1965" t="s">
        <v>485</v>
      </c>
    </row>
    <row r="1966" spans="1:8" x14ac:dyDescent="0.25">
      <c r="A1966" t="s">
        <v>789</v>
      </c>
      <c r="B1966" t="s">
        <v>292</v>
      </c>
      <c r="C1966" s="5">
        <v>4272</v>
      </c>
      <c r="D1966" s="5">
        <v>147</v>
      </c>
      <c r="E1966">
        <v>3288</v>
      </c>
      <c r="F1966" s="4" t="s">
        <v>802</v>
      </c>
      <c r="G1966" t="s">
        <v>29</v>
      </c>
      <c r="H1966" t="s">
        <v>803</v>
      </c>
    </row>
    <row r="1967" spans="1:8" x14ac:dyDescent="0.25">
      <c r="A1967" t="s">
        <v>789</v>
      </c>
      <c r="B1967" t="s">
        <v>287</v>
      </c>
      <c r="C1967" s="5">
        <v>118787</v>
      </c>
      <c r="D1967" s="5">
        <v>2807</v>
      </c>
      <c r="E1967">
        <v>98326</v>
      </c>
      <c r="F1967" s="4" t="s">
        <v>339</v>
      </c>
      <c r="G1967" t="s">
        <v>29</v>
      </c>
      <c r="H1967" t="s">
        <v>340</v>
      </c>
    </row>
    <row r="1968" spans="1:8" x14ac:dyDescent="0.25">
      <c r="A1968" t="s">
        <v>789</v>
      </c>
      <c r="B1968" t="s">
        <v>290</v>
      </c>
      <c r="C1968" s="5">
        <v>2</v>
      </c>
      <c r="D1968" s="5">
        <v>0</v>
      </c>
      <c r="E1968">
        <v>1</v>
      </c>
      <c r="F1968" s="4" t="s">
        <v>29</v>
      </c>
      <c r="G1968" t="s">
        <v>29</v>
      </c>
      <c r="H1968" t="s">
        <v>291</v>
      </c>
    </row>
    <row r="1969" spans="1:8" x14ac:dyDescent="0.25">
      <c r="A1969" t="s">
        <v>789</v>
      </c>
      <c r="B1969" t="s">
        <v>284</v>
      </c>
      <c r="C1969" s="5">
        <v>181499</v>
      </c>
      <c r="D1969" s="5">
        <v>2676</v>
      </c>
      <c r="E1969">
        <v>107019</v>
      </c>
      <c r="F1969" s="4" t="s">
        <v>777</v>
      </c>
      <c r="G1969" t="s">
        <v>29</v>
      </c>
      <c r="H1969" t="s">
        <v>778</v>
      </c>
    </row>
    <row r="1970" spans="1:8" x14ac:dyDescent="0.25">
      <c r="A1970" t="s">
        <v>789</v>
      </c>
      <c r="B1970" t="s">
        <v>281</v>
      </c>
      <c r="C1970" s="5">
        <v>253409</v>
      </c>
      <c r="D1970" s="5">
        <v>5282</v>
      </c>
      <c r="E1970">
        <v>134479</v>
      </c>
      <c r="F1970" s="4" t="s">
        <v>549</v>
      </c>
      <c r="G1970" t="s">
        <v>29</v>
      </c>
      <c r="H1970" t="s">
        <v>550</v>
      </c>
    </row>
    <row r="1971" spans="1:8" x14ac:dyDescent="0.25">
      <c r="A1971" t="s">
        <v>789</v>
      </c>
      <c r="B1971" t="s">
        <v>280</v>
      </c>
      <c r="C1971" s="5">
        <v>1722648</v>
      </c>
      <c r="D1971" s="5">
        <v>18278</v>
      </c>
      <c r="E1971">
        <v>708443</v>
      </c>
      <c r="F1971" s="4" t="s">
        <v>165</v>
      </c>
      <c r="G1971" t="s">
        <v>29</v>
      </c>
      <c r="H1971" t="s">
        <v>166</v>
      </c>
    </row>
    <row r="1972" spans="1:8" x14ac:dyDescent="0.25">
      <c r="A1972" t="s">
        <v>789</v>
      </c>
      <c r="B1972" t="s">
        <v>279</v>
      </c>
      <c r="C1972" s="5">
        <v>866451</v>
      </c>
      <c r="D1972" s="5">
        <v>11062</v>
      </c>
      <c r="E1972">
        <v>573339</v>
      </c>
      <c r="F1972" s="4" t="s">
        <v>381</v>
      </c>
      <c r="G1972" t="s">
        <v>29</v>
      </c>
      <c r="H1972" t="s">
        <v>382</v>
      </c>
    </row>
    <row r="1973" spans="1:8" x14ac:dyDescent="0.25">
      <c r="A1973" t="s">
        <v>789</v>
      </c>
      <c r="B1973" t="s">
        <v>278</v>
      </c>
      <c r="C1973" s="5">
        <v>89170</v>
      </c>
      <c r="D1973" s="5">
        <v>2246</v>
      </c>
      <c r="E1973">
        <v>32711</v>
      </c>
      <c r="F1973" s="4" t="s">
        <v>729</v>
      </c>
      <c r="G1973" t="s">
        <v>29</v>
      </c>
      <c r="H1973" t="s">
        <v>730</v>
      </c>
    </row>
    <row r="1974" spans="1:8" x14ac:dyDescent="0.25">
      <c r="A1974" t="s">
        <v>789</v>
      </c>
      <c r="B1974" t="s">
        <v>275</v>
      </c>
      <c r="C1974" s="5">
        <v>4777614</v>
      </c>
      <c r="D1974" s="5">
        <v>132161</v>
      </c>
      <c r="E1974">
        <v>3483514</v>
      </c>
      <c r="F1974" s="4" t="s">
        <v>507</v>
      </c>
      <c r="G1974" t="s">
        <v>29</v>
      </c>
      <c r="H1974" t="s">
        <v>508</v>
      </c>
    </row>
    <row r="1975" spans="1:8" x14ac:dyDescent="0.25">
      <c r="A1975" t="s">
        <v>789</v>
      </c>
      <c r="B1975" t="s">
        <v>272</v>
      </c>
      <c r="C1975" s="5">
        <v>13829</v>
      </c>
      <c r="D1975" s="5">
        <v>34</v>
      </c>
      <c r="E1975">
        <v>8972</v>
      </c>
      <c r="F1975" s="4" t="s">
        <v>433</v>
      </c>
      <c r="G1975" t="s">
        <v>29</v>
      </c>
      <c r="H1975" t="s">
        <v>434</v>
      </c>
    </row>
    <row r="1976" spans="1:8" x14ac:dyDescent="0.25">
      <c r="A1976" t="s">
        <v>789</v>
      </c>
      <c r="B1976" t="s">
        <v>269</v>
      </c>
      <c r="C1976" s="5">
        <v>5944599</v>
      </c>
      <c r="D1976" s="5">
        <v>126616</v>
      </c>
      <c r="E1976">
        <v>5260731</v>
      </c>
      <c r="F1976" s="4" t="s">
        <v>650</v>
      </c>
      <c r="G1976" t="s">
        <v>29</v>
      </c>
      <c r="H1976" t="s">
        <v>651</v>
      </c>
    </row>
    <row r="1977" spans="1:8" x14ac:dyDescent="0.25">
      <c r="A1977" t="s">
        <v>789</v>
      </c>
      <c r="B1977" t="s">
        <v>266</v>
      </c>
      <c r="C1977" s="5">
        <v>2057716</v>
      </c>
      <c r="D1977" s="5">
        <v>23223</v>
      </c>
      <c r="E1977">
        <v>696162</v>
      </c>
      <c r="F1977" s="4" t="s">
        <v>267</v>
      </c>
      <c r="G1977" t="s">
        <v>29</v>
      </c>
      <c r="H1977" t="s">
        <v>268</v>
      </c>
    </row>
    <row r="1978" spans="1:8" x14ac:dyDescent="0.25">
      <c r="A1978" t="s">
        <v>789</v>
      </c>
      <c r="B1978" t="s">
        <v>263</v>
      </c>
      <c r="C1978" s="5">
        <v>34308140</v>
      </c>
      <c r="D1978" s="5">
        <v>459191</v>
      </c>
      <c r="E1978">
        <v>18985247</v>
      </c>
      <c r="F1978" s="4" t="s">
        <v>264</v>
      </c>
      <c r="G1978" t="s">
        <v>29</v>
      </c>
      <c r="H1978" t="s">
        <v>265</v>
      </c>
    </row>
    <row r="1979" spans="1:8" x14ac:dyDescent="0.25">
      <c r="A1979" t="s">
        <v>789</v>
      </c>
      <c r="B1979" t="s">
        <v>260</v>
      </c>
      <c r="C1979" s="5">
        <v>1331597</v>
      </c>
      <c r="D1979" s="5">
        <v>8106</v>
      </c>
      <c r="E1979">
        <v>762090</v>
      </c>
      <c r="F1979" s="4" t="s">
        <v>261</v>
      </c>
      <c r="G1979" t="s">
        <v>29</v>
      </c>
      <c r="H1979" t="s">
        <v>262</v>
      </c>
    </row>
    <row r="1980" spans="1:8" x14ac:dyDescent="0.25">
      <c r="A1980" t="s">
        <v>789</v>
      </c>
      <c r="B1980" t="s">
        <v>257</v>
      </c>
      <c r="C1980" s="5">
        <v>452172</v>
      </c>
      <c r="D1980" s="5">
        <v>5436</v>
      </c>
      <c r="E1980">
        <v>319580</v>
      </c>
      <c r="F1980" s="4" t="s">
        <v>525</v>
      </c>
      <c r="G1980" t="s">
        <v>29</v>
      </c>
      <c r="H1980" t="s">
        <v>526</v>
      </c>
    </row>
    <row r="1981" spans="1:8" x14ac:dyDescent="0.25">
      <c r="A1981" t="s">
        <v>789</v>
      </c>
      <c r="B1981" t="s">
        <v>254</v>
      </c>
      <c r="C1981" s="5">
        <v>4245373</v>
      </c>
      <c r="D1981" s="5">
        <v>143457</v>
      </c>
      <c r="E1981">
        <v>1035543</v>
      </c>
      <c r="F1981" s="4" t="s">
        <v>255</v>
      </c>
      <c r="G1981" t="s">
        <v>29</v>
      </c>
      <c r="H1981" t="s">
        <v>256</v>
      </c>
    </row>
    <row r="1982" spans="1:8" x14ac:dyDescent="0.25">
      <c r="A1982" t="s">
        <v>789</v>
      </c>
      <c r="B1982" t="s">
        <v>251</v>
      </c>
      <c r="C1982" s="5">
        <v>876497</v>
      </c>
      <c r="D1982" s="5">
        <v>30920</v>
      </c>
      <c r="E1982">
        <v>76438</v>
      </c>
      <c r="F1982" s="4" t="s">
        <v>430</v>
      </c>
      <c r="G1982" t="s">
        <v>29</v>
      </c>
      <c r="H1982" t="s">
        <v>431</v>
      </c>
    </row>
    <row r="1983" spans="1:8" x14ac:dyDescent="0.25">
      <c r="A1983" t="s">
        <v>789</v>
      </c>
      <c r="B1983" t="s">
        <v>248</v>
      </c>
      <c r="C1983" s="5">
        <v>24004</v>
      </c>
      <c r="D1983" s="5">
        <v>677</v>
      </c>
      <c r="E1983">
        <v>1080</v>
      </c>
      <c r="F1983" s="4" t="s">
        <v>773</v>
      </c>
      <c r="G1983" t="s">
        <v>29</v>
      </c>
      <c r="H1983" t="s">
        <v>774</v>
      </c>
    </row>
    <row r="1984" spans="1:8" x14ac:dyDescent="0.25">
      <c r="A1984" t="s">
        <v>789</v>
      </c>
      <c r="B1984" t="s">
        <v>245</v>
      </c>
      <c r="C1984" s="5">
        <v>472259</v>
      </c>
      <c r="D1984" s="5">
        <v>9291</v>
      </c>
      <c r="E1984">
        <v>220531</v>
      </c>
      <c r="F1984" s="4" t="s">
        <v>804</v>
      </c>
      <c r="G1984" t="s">
        <v>29</v>
      </c>
      <c r="H1984" t="s">
        <v>805</v>
      </c>
    </row>
    <row r="1985" spans="1:8" x14ac:dyDescent="0.25">
      <c r="A1985" t="s">
        <v>789</v>
      </c>
      <c r="B1985" t="s">
        <v>242</v>
      </c>
      <c r="C1985" s="5">
        <v>375877</v>
      </c>
      <c r="D1985" s="5">
        <v>10273</v>
      </c>
      <c r="E1985">
        <v>12878</v>
      </c>
      <c r="F1985" s="4" t="s">
        <v>806</v>
      </c>
      <c r="G1985" t="s">
        <v>29</v>
      </c>
      <c r="H1985" t="s">
        <v>807</v>
      </c>
    </row>
    <row r="1986" spans="1:8" x14ac:dyDescent="0.25">
      <c r="A1986" t="s">
        <v>789</v>
      </c>
      <c r="B1986" t="s">
        <v>239</v>
      </c>
      <c r="C1986" s="5">
        <v>12349</v>
      </c>
      <c r="D1986" s="5">
        <v>213</v>
      </c>
      <c r="E1986">
        <v>7702</v>
      </c>
      <c r="F1986" s="4" t="s">
        <v>240</v>
      </c>
      <c r="G1986" t="s">
        <v>29</v>
      </c>
      <c r="H1986" t="s">
        <v>241</v>
      </c>
    </row>
    <row r="1987" spans="1:8" x14ac:dyDescent="0.25">
      <c r="A1987" t="s">
        <v>789</v>
      </c>
      <c r="B1987" t="s">
        <v>236</v>
      </c>
      <c r="C1987" s="5">
        <v>35719</v>
      </c>
      <c r="D1987" s="5">
        <v>926</v>
      </c>
      <c r="E1987">
        <v>46</v>
      </c>
      <c r="F1987" s="4" t="s">
        <v>719</v>
      </c>
      <c r="G1987" t="s">
        <v>29</v>
      </c>
      <c r="H1987" t="s">
        <v>720</v>
      </c>
    </row>
    <row r="1988" spans="1:8" x14ac:dyDescent="0.25">
      <c r="A1988" t="s">
        <v>789</v>
      </c>
      <c r="B1988" t="s">
        <v>233</v>
      </c>
      <c r="C1988" s="5">
        <v>6134</v>
      </c>
      <c r="D1988" s="5">
        <v>141</v>
      </c>
      <c r="E1988">
        <v>5009</v>
      </c>
      <c r="F1988" s="4" t="s">
        <v>619</v>
      </c>
      <c r="G1988" t="s">
        <v>29</v>
      </c>
      <c r="H1988" t="s">
        <v>620</v>
      </c>
    </row>
    <row r="1989" spans="1:8" x14ac:dyDescent="0.25">
      <c r="A1989" t="s">
        <v>789</v>
      </c>
      <c r="B1989" t="s">
        <v>232</v>
      </c>
      <c r="C1989" s="5">
        <v>601793</v>
      </c>
      <c r="D1989" s="5">
        <v>15179</v>
      </c>
      <c r="E1989">
        <v>568631</v>
      </c>
      <c r="F1989" s="4" t="s">
        <v>729</v>
      </c>
      <c r="G1989" t="s">
        <v>29</v>
      </c>
      <c r="H1989" t="s">
        <v>730</v>
      </c>
    </row>
    <row r="1990" spans="1:8" x14ac:dyDescent="0.25">
      <c r="A1990" t="s">
        <v>789</v>
      </c>
      <c r="B1990" t="s">
        <v>229</v>
      </c>
      <c r="C1990" s="5">
        <v>754451</v>
      </c>
      <c r="D1990" s="5">
        <v>16050</v>
      </c>
      <c r="E1990">
        <v>435314</v>
      </c>
      <c r="F1990" s="4" t="s">
        <v>650</v>
      </c>
      <c r="G1990" t="s">
        <v>29</v>
      </c>
      <c r="H1990" t="s">
        <v>651</v>
      </c>
    </row>
    <row r="1991" spans="1:8" x14ac:dyDescent="0.25">
      <c r="A1991" t="s">
        <v>789</v>
      </c>
      <c r="B1991" t="s">
        <v>228</v>
      </c>
      <c r="C1991" s="5">
        <v>13377</v>
      </c>
      <c r="D1991" s="5">
        <v>167</v>
      </c>
      <c r="E1991">
        <v>10509</v>
      </c>
      <c r="F1991" s="4" t="s">
        <v>107</v>
      </c>
      <c r="G1991" t="s">
        <v>29</v>
      </c>
      <c r="H1991" t="s">
        <v>108</v>
      </c>
    </row>
    <row r="1992" spans="1:8" x14ac:dyDescent="0.25">
      <c r="A1992" t="s">
        <v>789</v>
      </c>
      <c r="B1992" t="s">
        <v>225</v>
      </c>
      <c r="C1992" s="5">
        <v>54288</v>
      </c>
      <c r="D1992" s="5">
        <v>815</v>
      </c>
      <c r="E1992">
        <v>24586</v>
      </c>
      <c r="F1992" s="4" t="s">
        <v>226</v>
      </c>
      <c r="G1992" t="s">
        <v>29</v>
      </c>
      <c r="H1992" t="s">
        <v>227</v>
      </c>
    </row>
    <row r="1993" spans="1:8" x14ac:dyDescent="0.25">
      <c r="A1993" t="s">
        <v>789</v>
      </c>
      <c r="B1993" t="s">
        <v>222</v>
      </c>
      <c r="C1993" s="5">
        <v>30672</v>
      </c>
      <c r="D1993" s="5">
        <v>385</v>
      </c>
      <c r="E1993">
        <v>13881</v>
      </c>
      <c r="F1993" s="4" t="s">
        <v>223</v>
      </c>
      <c r="G1993" t="s">
        <v>29</v>
      </c>
      <c r="H1993" t="s">
        <v>224</v>
      </c>
    </row>
    <row r="1994" spans="1:8" x14ac:dyDescent="0.25">
      <c r="A1994" t="s">
        <v>789</v>
      </c>
      <c r="B1994" t="s">
        <v>219</v>
      </c>
      <c r="C1994" s="5">
        <v>9973</v>
      </c>
      <c r="D1994" s="5">
        <v>341</v>
      </c>
      <c r="E1994">
        <v>6831</v>
      </c>
      <c r="F1994" s="4" t="s">
        <v>220</v>
      </c>
      <c r="G1994" t="s">
        <v>29</v>
      </c>
      <c r="H1994" t="s">
        <v>221</v>
      </c>
    </row>
    <row r="1995" spans="1:8" x14ac:dyDescent="0.25">
      <c r="A1995" t="s">
        <v>789</v>
      </c>
      <c r="B1995" t="s">
        <v>216</v>
      </c>
      <c r="C1995" s="5">
        <v>6029</v>
      </c>
      <c r="D1995" s="5">
        <v>98</v>
      </c>
      <c r="E1995">
        <v>2175</v>
      </c>
      <c r="F1995" s="4" t="s">
        <v>646</v>
      </c>
      <c r="G1995" t="s">
        <v>29</v>
      </c>
      <c r="H1995" t="s">
        <v>647</v>
      </c>
    </row>
    <row r="1996" spans="1:8" x14ac:dyDescent="0.25">
      <c r="A1996" t="s">
        <v>789</v>
      </c>
      <c r="B1996" t="s">
        <v>213</v>
      </c>
      <c r="C1996" s="5">
        <v>130287</v>
      </c>
      <c r="D1996" s="5">
        <v>1182</v>
      </c>
      <c r="E1996">
        <v>3805</v>
      </c>
      <c r="F1996" s="4" t="s">
        <v>146</v>
      </c>
      <c r="G1996" t="s">
        <v>29</v>
      </c>
      <c r="H1996" t="s">
        <v>147</v>
      </c>
    </row>
    <row r="1997" spans="1:8" x14ac:dyDescent="0.25">
      <c r="A1997" t="s">
        <v>789</v>
      </c>
      <c r="B1997" t="s">
        <v>210</v>
      </c>
      <c r="C1997" s="5">
        <v>44629</v>
      </c>
      <c r="D1997" s="5">
        <v>308</v>
      </c>
      <c r="E1997">
        <v>5583</v>
      </c>
      <c r="F1997" s="4" t="s">
        <v>180</v>
      </c>
      <c r="G1997" t="s">
        <v>29</v>
      </c>
      <c r="H1997" t="s">
        <v>181</v>
      </c>
    </row>
    <row r="1998" spans="1:8" x14ac:dyDescent="0.25">
      <c r="A1998" t="s">
        <v>789</v>
      </c>
      <c r="B1998" t="s">
        <v>204</v>
      </c>
      <c r="C1998" s="5">
        <v>5850</v>
      </c>
      <c r="D1998" s="5">
        <v>198</v>
      </c>
      <c r="E1998">
        <v>2201</v>
      </c>
      <c r="F1998" s="4" t="s">
        <v>255</v>
      </c>
      <c r="G1998" t="s">
        <v>29</v>
      </c>
      <c r="H1998" t="s">
        <v>256</v>
      </c>
    </row>
    <row r="1999" spans="1:8" x14ac:dyDescent="0.25">
      <c r="A1999" t="s">
        <v>789</v>
      </c>
      <c r="B1999" t="s">
        <v>207</v>
      </c>
      <c r="C1999" s="5">
        <v>726941</v>
      </c>
      <c r="D1999" s="5">
        <v>10136</v>
      </c>
      <c r="E1999">
        <v>690210</v>
      </c>
      <c r="F1999" s="4" t="s">
        <v>208</v>
      </c>
      <c r="G1999" t="s">
        <v>29</v>
      </c>
      <c r="H1999" t="s">
        <v>209</v>
      </c>
    </row>
    <row r="2000" spans="1:8" x14ac:dyDescent="0.25">
      <c r="A2000" t="s">
        <v>789</v>
      </c>
      <c r="B2000" t="s">
        <v>201</v>
      </c>
      <c r="C2000" s="5">
        <v>9168124</v>
      </c>
      <c r="D2000" s="5">
        <v>141292</v>
      </c>
      <c r="E2000">
        <v>5242320</v>
      </c>
      <c r="F2000" s="4" t="s">
        <v>519</v>
      </c>
      <c r="G2000" t="s">
        <v>29</v>
      </c>
      <c r="H2000" t="s">
        <v>520</v>
      </c>
    </row>
    <row r="2001" spans="1:8" x14ac:dyDescent="0.25">
      <c r="A2001" t="s">
        <v>789</v>
      </c>
      <c r="B2001" t="s">
        <v>198</v>
      </c>
      <c r="C2001" s="5">
        <v>35841</v>
      </c>
      <c r="D2001" s="5">
        <v>244</v>
      </c>
      <c r="E2001">
        <v>28956</v>
      </c>
      <c r="F2001" s="4" t="s">
        <v>605</v>
      </c>
      <c r="G2001" t="s">
        <v>29</v>
      </c>
      <c r="H2001" t="s">
        <v>606</v>
      </c>
    </row>
    <row r="2002" spans="1:8" x14ac:dyDescent="0.25">
      <c r="A2002" t="s">
        <v>789</v>
      </c>
      <c r="B2002" t="s">
        <v>195</v>
      </c>
      <c r="C2002" s="5">
        <v>6992825</v>
      </c>
      <c r="D2002" s="5">
        <v>115390</v>
      </c>
      <c r="E2002">
        <v>788005</v>
      </c>
      <c r="F2002" s="4" t="s">
        <v>691</v>
      </c>
      <c r="G2002" t="s">
        <v>29</v>
      </c>
      <c r="H2002" t="s">
        <v>692</v>
      </c>
    </row>
    <row r="2003" spans="1:8" x14ac:dyDescent="0.25">
      <c r="A2003" t="s">
        <v>789</v>
      </c>
      <c r="B2003" t="s">
        <v>192</v>
      </c>
      <c r="C2003" s="5">
        <v>2288</v>
      </c>
      <c r="D2003" s="5">
        <v>3</v>
      </c>
      <c r="E2003">
        <v>485</v>
      </c>
      <c r="F2003" s="4" t="s">
        <v>808</v>
      </c>
      <c r="G2003" t="s">
        <v>29</v>
      </c>
      <c r="H2003" t="s">
        <v>809</v>
      </c>
    </row>
    <row r="2004" spans="1:8" x14ac:dyDescent="0.25">
      <c r="A2004" t="s">
        <v>789</v>
      </c>
      <c r="B2004" t="s">
        <v>189</v>
      </c>
      <c r="C2004" s="5">
        <v>52180</v>
      </c>
      <c r="D2004" s="5">
        <v>674</v>
      </c>
      <c r="E2004">
        <v>49838</v>
      </c>
      <c r="F2004" s="4" t="s">
        <v>417</v>
      </c>
      <c r="G2004" t="s">
        <v>29</v>
      </c>
      <c r="H2004" t="s">
        <v>418</v>
      </c>
    </row>
    <row r="2005" spans="1:8" x14ac:dyDescent="0.25">
      <c r="A2005" t="s">
        <v>789</v>
      </c>
      <c r="B2005" t="s">
        <v>186</v>
      </c>
      <c r="C2005" s="5">
        <v>159798</v>
      </c>
      <c r="D2005" s="5">
        <v>1173</v>
      </c>
      <c r="E2005">
        <v>90906</v>
      </c>
      <c r="F2005" s="4" t="s">
        <v>187</v>
      </c>
      <c r="G2005" t="s">
        <v>29</v>
      </c>
      <c r="H2005" t="s">
        <v>188</v>
      </c>
    </row>
    <row r="2006" spans="1:8" x14ac:dyDescent="0.25">
      <c r="A2006" t="s">
        <v>789</v>
      </c>
      <c r="B2006" t="s">
        <v>185</v>
      </c>
      <c r="C2006" s="5">
        <v>365776</v>
      </c>
      <c r="D2006" s="5">
        <v>6486</v>
      </c>
      <c r="E2006">
        <v>272775</v>
      </c>
      <c r="F2006" s="4" t="s">
        <v>769</v>
      </c>
      <c r="G2006" t="s">
        <v>29</v>
      </c>
      <c r="H2006" t="s">
        <v>770</v>
      </c>
    </row>
    <row r="2007" spans="1:8" x14ac:dyDescent="0.25">
      <c r="A2007" t="s">
        <v>789</v>
      </c>
      <c r="B2007" t="s">
        <v>182</v>
      </c>
      <c r="C2007" s="5">
        <v>5016968</v>
      </c>
      <c r="D2007" s="5">
        <v>87423</v>
      </c>
      <c r="E2007">
        <v>792573</v>
      </c>
      <c r="F2007" s="4" t="s">
        <v>183</v>
      </c>
      <c r="G2007" t="s">
        <v>29</v>
      </c>
      <c r="H2007" t="s">
        <v>184</v>
      </c>
    </row>
    <row r="2008" spans="1:8" x14ac:dyDescent="0.25">
      <c r="A2008" t="s">
        <v>789</v>
      </c>
      <c r="B2008" t="s">
        <v>179</v>
      </c>
      <c r="C2008" s="5">
        <v>6860</v>
      </c>
      <c r="D2008" s="5">
        <v>45</v>
      </c>
      <c r="E2008">
        <v>5754</v>
      </c>
      <c r="F2008" s="4" t="s">
        <v>162</v>
      </c>
      <c r="G2008" t="s">
        <v>29</v>
      </c>
      <c r="H2008" t="s">
        <v>163</v>
      </c>
    </row>
    <row r="2009" spans="1:8" x14ac:dyDescent="0.25">
      <c r="A2009" t="s">
        <v>789</v>
      </c>
      <c r="B2009" t="s">
        <v>176</v>
      </c>
      <c r="C2009" s="5">
        <v>332889</v>
      </c>
      <c r="D2009" s="5">
        <v>18769</v>
      </c>
      <c r="E2009">
        <v>313524</v>
      </c>
      <c r="F2009" s="4" t="s">
        <v>756</v>
      </c>
      <c r="G2009" t="s">
        <v>29</v>
      </c>
      <c r="H2009" t="s">
        <v>757</v>
      </c>
    </row>
    <row r="2010" spans="1:8" x14ac:dyDescent="0.25">
      <c r="A2010" t="s">
        <v>789</v>
      </c>
      <c r="B2010" t="s">
        <v>173</v>
      </c>
      <c r="C2010" s="5">
        <v>196951</v>
      </c>
      <c r="D2010" s="5">
        <v>1550</v>
      </c>
      <c r="E2010">
        <v>120201</v>
      </c>
      <c r="F2010" s="4" t="s">
        <v>174</v>
      </c>
      <c r="G2010" t="s">
        <v>29</v>
      </c>
      <c r="H2010" t="s">
        <v>175</v>
      </c>
    </row>
    <row r="2011" spans="1:8" x14ac:dyDescent="0.25">
      <c r="A2011" t="s">
        <v>789</v>
      </c>
      <c r="B2011" t="s">
        <v>170</v>
      </c>
      <c r="C2011" s="5">
        <v>515859</v>
      </c>
      <c r="D2011" s="5">
        <v>32958</v>
      </c>
      <c r="E2011">
        <v>70513</v>
      </c>
      <c r="F2011" s="4" t="s">
        <v>767</v>
      </c>
      <c r="G2011" t="s">
        <v>29</v>
      </c>
      <c r="H2011" t="s">
        <v>768</v>
      </c>
    </row>
    <row r="2012" spans="1:8" x14ac:dyDescent="0.25">
      <c r="A2012" t="s">
        <v>789</v>
      </c>
      <c r="B2012" t="s">
        <v>167</v>
      </c>
      <c r="C2012" s="5">
        <v>206649</v>
      </c>
      <c r="D2012" s="5">
        <v>5927</v>
      </c>
      <c r="E2012">
        <v>13473</v>
      </c>
      <c r="F2012" s="4" t="s">
        <v>168</v>
      </c>
      <c r="G2012" t="s">
        <v>29</v>
      </c>
      <c r="H2012" t="s">
        <v>169</v>
      </c>
    </row>
    <row r="2013" spans="1:8" x14ac:dyDescent="0.25">
      <c r="A2013" t="s">
        <v>789</v>
      </c>
      <c r="B2013" t="s">
        <v>164</v>
      </c>
      <c r="C2013" s="5">
        <v>383317</v>
      </c>
      <c r="D2013" s="5">
        <v>4138</v>
      </c>
      <c r="E2013">
        <v>83353</v>
      </c>
      <c r="F2013" s="4" t="s">
        <v>758</v>
      </c>
      <c r="G2013" t="s">
        <v>29</v>
      </c>
      <c r="H2013" t="s">
        <v>759</v>
      </c>
    </row>
    <row r="2014" spans="1:8" x14ac:dyDescent="0.25">
      <c r="A2014" t="s">
        <v>789</v>
      </c>
      <c r="B2014" t="s">
        <v>161</v>
      </c>
      <c r="C2014" s="5">
        <v>4823</v>
      </c>
      <c r="D2014" s="5">
        <v>32</v>
      </c>
      <c r="E2014">
        <v>2439</v>
      </c>
      <c r="F2014" s="4" t="s">
        <v>162</v>
      </c>
      <c r="G2014" t="s">
        <v>29</v>
      </c>
      <c r="H2014" t="s">
        <v>163</v>
      </c>
    </row>
    <row r="2015" spans="1:8" x14ac:dyDescent="0.25">
      <c r="A2015" t="s">
        <v>789</v>
      </c>
      <c r="B2015" t="s">
        <v>160</v>
      </c>
      <c r="C2015" s="5">
        <v>392044</v>
      </c>
      <c r="D2015" s="5">
        <v>2716</v>
      </c>
      <c r="E2015">
        <v>81319</v>
      </c>
      <c r="F2015" s="4" t="s">
        <v>180</v>
      </c>
      <c r="G2015" t="s">
        <v>29</v>
      </c>
      <c r="H2015" t="s">
        <v>181</v>
      </c>
    </row>
    <row r="2016" spans="1:8" x14ac:dyDescent="0.25">
      <c r="A2016" t="s">
        <v>789</v>
      </c>
      <c r="B2016" t="s">
        <v>157</v>
      </c>
      <c r="C2016" s="5">
        <v>13486</v>
      </c>
      <c r="D2016" s="5">
        <v>182</v>
      </c>
      <c r="E2016">
        <v>6087</v>
      </c>
      <c r="F2016" s="4" t="s">
        <v>409</v>
      </c>
      <c r="G2016" t="s">
        <v>29</v>
      </c>
      <c r="H2016" t="s">
        <v>410</v>
      </c>
    </row>
    <row r="2017" spans="1:8" x14ac:dyDescent="0.25">
      <c r="A2017" t="s">
        <v>789</v>
      </c>
      <c r="B2017" t="s">
        <v>154</v>
      </c>
      <c r="C2017" s="5">
        <v>4649964</v>
      </c>
      <c r="D2017" s="5">
        <v>96031</v>
      </c>
      <c r="E2017">
        <v>3827737</v>
      </c>
      <c r="F2017" s="4" t="s">
        <v>310</v>
      </c>
      <c r="G2017" t="s">
        <v>29</v>
      </c>
      <c r="H2017" t="s">
        <v>311</v>
      </c>
    </row>
    <row r="2018" spans="1:8" x14ac:dyDescent="0.25">
      <c r="A2018" t="s">
        <v>789</v>
      </c>
      <c r="B2018" t="s">
        <v>151</v>
      </c>
      <c r="C2018" s="5">
        <v>1773291</v>
      </c>
      <c r="D2018" s="5">
        <v>30807</v>
      </c>
      <c r="E2018">
        <v>52742</v>
      </c>
      <c r="F2018" s="4" t="s">
        <v>183</v>
      </c>
      <c r="G2018" t="s">
        <v>29</v>
      </c>
      <c r="H2018" t="s">
        <v>184</v>
      </c>
    </row>
    <row r="2019" spans="1:8" x14ac:dyDescent="0.25">
      <c r="A2019" t="s">
        <v>789</v>
      </c>
      <c r="B2019" t="s">
        <v>148</v>
      </c>
      <c r="C2019" s="5">
        <v>124724</v>
      </c>
      <c r="D2019" s="5">
        <v>576</v>
      </c>
      <c r="E2019">
        <v>7767</v>
      </c>
      <c r="F2019" s="4" t="s">
        <v>149</v>
      </c>
      <c r="G2019" t="s">
        <v>29</v>
      </c>
      <c r="H2019" t="s">
        <v>150</v>
      </c>
    </row>
    <row r="2020" spans="1:8" x14ac:dyDescent="0.25">
      <c r="A2020" t="s">
        <v>789</v>
      </c>
      <c r="B2020" t="s">
        <v>145</v>
      </c>
      <c r="C2020" s="5">
        <v>38219</v>
      </c>
      <c r="D2020" s="5">
        <v>349</v>
      </c>
      <c r="E2020">
        <v>13575</v>
      </c>
      <c r="F2020" s="4" t="s">
        <v>146</v>
      </c>
      <c r="G2020" t="s">
        <v>29</v>
      </c>
      <c r="H2020" t="s">
        <v>147</v>
      </c>
    </row>
    <row r="2021" spans="1:8" x14ac:dyDescent="0.25">
      <c r="A2021" t="s">
        <v>789</v>
      </c>
      <c r="B2021" t="s">
        <v>144</v>
      </c>
      <c r="C2021" s="5">
        <v>953183</v>
      </c>
      <c r="D2021" s="5">
        <v>8246</v>
      </c>
      <c r="E2021">
        <v>819198</v>
      </c>
      <c r="F2021" s="4" t="s">
        <v>498</v>
      </c>
      <c r="G2021" t="s">
        <v>29</v>
      </c>
      <c r="H2021" t="s">
        <v>499</v>
      </c>
    </row>
    <row r="2022" spans="1:8" x14ac:dyDescent="0.25">
      <c r="A2022" t="s">
        <v>789</v>
      </c>
      <c r="B2022" t="s">
        <v>143</v>
      </c>
      <c r="C2022" s="5">
        <v>561054</v>
      </c>
      <c r="D2022" s="5">
        <v>7093</v>
      </c>
      <c r="E2022">
        <v>204507</v>
      </c>
      <c r="F2022" s="4" t="s">
        <v>223</v>
      </c>
      <c r="G2022" t="s">
        <v>29</v>
      </c>
      <c r="H2022" t="s">
        <v>224</v>
      </c>
    </row>
    <row r="2023" spans="1:8" x14ac:dyDescent="0.25">
      <c r="A2023" t="s">
        <v>789</v>
      </c>
      <c r="B2023" t="s">
        <v>140</v>
      </c>
      <c r="C2023" s="5">
        <v>5005402</v>
      </c>
      <c r="D2023" s="5">
        <v>127348</v>
      </c>
      <c r="E2023">
        <v>2620729</v>
      </c>
      <c r="F2023" s="4" t="s">
        <v>141</v>
      </c>
      <c r="G2023" t="s">
        <v>29</v>
      </c>
      <c r="H2023" t="s">
        <v>142</v>
      </c>
    </row>
    <row r="2024" spans="1:8" x14ac:dyDescent="0.25">
      <c r="A2024" t="s">
        <v>789</v>
      </c>
      <c r="B2024" t="s">
        <v>137</v>
      </c>
      <c r="C2024" s="5">
        <v>97424</v>
      </c>
      <c r="D2024" s="5">
        <v>4636</v>
      </c>
      <c r="E2024">
        <v>90093</v>
      </c>
      <c r="F2024" s="4" t="s">
        <v>810</v>
      </c>
      <c r="G2024" t="s">
        <v>29</v>
      </c>
      <c r="H2024" t="s">
        <v>811</v>
      </c>
    </row>
    <row r="2025" spans="1:8" x14ac:dyDescent="0.25">
      <c r="A2025" t="s">
        <v>789</v>
      </c>
      <c r="B2025" t="s">
        <v>134</v>
      </c>
      <c r="C2025" s="5">
        <v>102499</v>
      </c>
      <c r="D2025" s="5">
        <v>1686</v>
      </c>
      <c r="E2025">
        <v>45753</v>
      </c>
      <c r="F2025" s="4" t="s">
        <v>196</v>
      </c>
      <c r="G2025" t="s">
        <v>29</v>
      </c>
      <c r="H2025" t="s">
        <v>197</v>
      </c>
    </row>
    <row r="2026" spans="1:8" x14ac:dyDescent="0.25">
      <c r="A2026" t="s">
        <v>789</v>
      </c>
      <c r="B2026" t="s">
        <v>131</v>
      </c>
      <c r="C2026" s="5">
        <v>1698127</v>
      </c>
      <c r="D2026" s="5">
        <v>37782</v>
      </c>
      <c r="E2026">
        <v>1258593</v>
      </c>
      <c r="F2026" s="4" t="s">
        <v>673</v>
      </c>
      <c r="G2026" t="s">
        <v>29</v>
      </c>
      <c r="H2026" t="s">
        <v>674</v>
      </c>
    </row>
    <row r="2027" spans="1:8" x14ac:dyDescent="0.25">
      <c r="A2027" t="s">
        <v>789</v>
      </c>
      <c r="B2027" t="s">
        <v>128</v>
      </c>
      <c r="C2027" s="5">
        <v>61319</v>
      </c>
      <c r="D2027" s="5">
        <v>696</v>
      </c>
      <c r="E2027">
        <v>36878</v>
      </c>
      <c r="F2027" s="4" t="s">
        <v>129</v>
      </c>
      <c r="G2027" t="s">
        <v>29</v>
      </c>
      <c r="H2027" t="s">
        <v>130</v>
      </c>
    </row>
    <row r="2028" spans="1:8" x14ac:dyDescent="0.25">
      <c r="A2028" t="s">
        <v>789</v>
      </c>
      <c r="B2028" t="s">
        <v>127</v>
      </c>
      <c r="C2028" s="5">
        <v>879051</v>
      </c>
      <c r="D2028" s="5">
        <v>11259</v>
      </c>
      <c r="E2028">
        <v>53217</v>
      </c>
      <c r="F2028" s="4" t="s">
        <v>381</v>
      </c>
      <c r="G2028" t="s">
        <v>29</v>
      </c>
      <c r="H2028" t="s">
        <v>382</v>
      </c>
    </row>
    <row r="2029" spans="1:8" x14ac:dyDescent="0.25">
      <c r="A2029" t="s">
        <v>789</v>
      </c>
      <c r="B2029" t="s">
        <v>124</v>
      </c>
      <c r="C2029" s="5">
        <v>17670</v>
      </c>
      <c r="D2029" s="5">
        <v>278</v>
      </c>
      <c r="E2029">
        <v>7517</v>
      </c>
      <c r="F2029" s="4" t="s">
        <v>217</v>
      </c>
      <c r="G2029" t="s">
        <v>29</v>
      </c>
      <c r="H2029" t="s">
        <v>218</v>
      </c>
    </row>
    <row r="2030" spans="1:8" x14ac:dyDescent="0.25">
      <c r="A2030" t="s">
        <v>789</v>
      </c>
      <c r="B2030" t="s">
        <v>121</v>
      </c>
      <c r="C2030" s="5">
        <v>11579</v>
      </c>
      <c r="D2030" s="5">
        <v>100</v>
      </c>
      <c r="E2030">
        <v>7212</v>
      </c>
      <c r="F2030" s="4" t="s">
        <v>122</v>
      </c>
      <c r="G2030" t="s">
        <v>29</v>
      </c>
      <c r="H2030" t="s">
        <v>123</v>
      </c>
    </row>
    <row r="2031" spans="1:8" x14ac:dyDescent="0.25">
      <c r="A2031" t="s">
        <v>789</v>
      </c>
      <c r="B2031" t="s">
        <v>118</v>
      </c>
      <c r="C2031" s="5">
        <v>57565</v>
      </c>
      <c r="D2031" s="5">
        <v>1098</v>
      </c>
      <c r="E2031">
        <v>273</v>
      </c>
      <c r="F2031" s="4" t="s">
        <v>119</v>
      </c>
      <c r="G2031" t="s">
        <v>29</v>
      </c>
      <c r="H2031" t="s">
        <v>120</v>
      </c>
    </row>
    <row r="2032" spans="1:8" x14ac:dyDescent="0.25">
      <c r="A2032" t="s">
        <v>789</v>
      </c>
      <c r="B2032" t="s">
        <v>115</v>
      </c>
      <c r="C2032" s="5">
        <v>1728543</v>
      </c>
      <c r="D2032" s="5">
        <v>29110</v>
      </c>
      <c r="E2032">
        <v>506753</v>
      </c>
      <c r="F2032" s="4" t="s">
        <v>116</v>
      </c>
      <c r="G2032" t="s">
        <v>29</v>
      </c>
      <c r="H2032" t="s">
        <v>117</v>
      </c>
    </row>
    <row r="2033" spans="1:8" x14ac:dyDescent="0.25">
      <c r="A2033" t="s">
        <v>789</v>
      </c>
      <c r="B2033" t="s">
        <v>112</v>
      </c>
      <c r="C2033" s="5">
        <v>27305</v>
      </c>
      <c r="D2033" s="5">
        <v>499</v>
      </c>
      <c r="E2033">
        <v>13137</v>
      </c>
      <c r="F2033" s="4" t="s">
        <v>812</v>
      </c>
      <c r="G2033" t="s">
        <v>29</v>
      </c>
      <c r="H2033" t="s">
        <v>813</v>
      </c>
    </row>
    <row r="2034" spans="1:8" x14ac:dyDescent="0.25">
      <c r="A2034" t="s">
        <v>789</v>
      </c>
      <c r="B2034" t="s">
        <v>109</v>
      </c>
      <c r="C2034" s="5">
        <v>604037</v>
      </c>
      <c r="D2034" s="5">
        <v>4662</v>
      </c>
      <c r="E2034">
        <v>496464</v>
      </c>
      <c r="F2034" s="4" t="s">
        <v>110</v>
      </c>
      <c r="G2034" t="s">
        <v>29</v>
      </c>
      <c r="H2034" t="s">
        <v>111</v>
      </c>
    </row>
    <row r="2035" spans="1:8" x14ac:dyDescent="0.25">
      <c r="A2035" t="s">
        <v>789</v>
      </c>
      <c r="B2035" t="s">
        <v>106</v>
      </c>
      <c r="C2035" s="5">
        <v>187281</v>
      </c>
      <c r="D2035" s="5">
        <v>2407</v>
      </c>
      <c r="E2035">
        <v>91810</v>
      </c>
      <c r="F2035" s="4" t="s">
        <v>417</v>
      </c>
      <c r="G2035" t="s">
        <v>29</v>
      </c>
      <c r="H2035" t="s">
        <v>418</v>
      </c>
    </row>
    <row r="2036" spans="1:8" x14ac:dyDescent="0.25">
      <c r="A2036" t="s">
        <v>789</v>
      </c>
      <c r="B2036" t="s">
        <v>103</v>
      </c>
      <c r="C2036" s="5">
        <v>2621</v>
      </c>
      <c r="D2036" s="5">
        <v>3</v>
      </c>
      <c r="E2036">
        <v>439</v>
      </c>
      <c r="F2036" s="4" t="s">
        <v>104</v>
      </c>
      <c r="G2036" t="s">
        <v>29</v>
      </c>
      <c r="H2036" t="s">
        <v>105</v>
      </c>
    </row>
    <row r="2037" spans="1:8" x14ac:dyDescent="0.25">
      <c r="A2037" t="s">
        <v>789</v>
      </c>
      <c r="B2037" t="s">
        <v>100</v>
      </c>
      <c r="C2037" s="5">
        <v>22429</v>
      </c>
      <c r="D2037" s="5">
        <v>643</v>
      </c>
      <c r="E2037">
        <v>19847</v>
      </c>
      <c r="F2037" s="4" t="s">
        <v>168</v>
      </c>
      <c r="G2037" t="s">
        <v>29</v>
      </c>
      <c r="H2037" t="s">
        <v>169</v>
      </c>
    </row>
    <row r="2038" spans="1:8" x14ac:dyDescent="0.25">
      <c r="A2038" t="s">
        <v>789</v>
      </c>
      <c r="B2038" t="s">
        <v>97</v>
      </c>
      <c r="C2038" s="5">
        <v>21821124</v>
      </c>
      <c r="D2038" s="5">
        <v>608071</v>
      </c>
      <c r="E2038">
        <v>2659884</v>
      </c>
      <c r="F2038" s="4" t="s">
        <v>662</v>
      </c>
      <c r="G2038" t="s">
        <v>29</v>
      </c>
      <c r="H2038" t="s">
        <v>663</v>
      </c>
    </row>
    <row r="2039" spans="1:8" x14ac:dyDescent="0.25">
      <c r="A2039" t="s">
        <v>789</v>
      </c>
      <c r="B2039" t="s">
        <v>94</v>
      </c>
      <c r="C2039" s="5">
        <v>513810</v>
      </c>
      <c r="D2039" s="5">
        <v>18928</v>
      </c>
      <c r="E2039">
        <v>483083</v>
      </c>
      <c r="F2039" s="4" t="s">
        <v>760</v>
      </c>
      <c r="G2039" t="s">
        <v>29</v>
      </c>
      <c r="H2039" t="s">
        <v>761</v>
      </c>
    </row>
    <row r="2040" spans="1:8" x14ac:dyDescent="0.25">
      <c r="A2040" t="s">
        <v>789</v>
      </c>
      <c r="B2040" t="s">
        <v>91</v>
      </c>
      <c r="C2040" s="5">
        <v>13321</v>
      </c>
      <c r="D2040" s="5">
        <v>89</v>
      </c>
      <c r="E2040">
        <v>2392</v>
      </c>
      <c r="F2040" s="4" t="s">
        <v>92</v>
      </c>
      <c r="G2040" t="s">
        <v>29</v>
      </c>
      <c r="H2040" t="s">
        <v>93</v>
      </c>
    </row>
    <row r="2041" spans="1:8" x14ac:dyDescent="0.25">
      <c r="A2041" t="s">
        <v>789</v>
      </c>
      <c r="B2041" t="s">
        <v>88</v>
      </c>
      <c r="C2041" s="5">
        <v>1659</v>
      </c>
      <c r="D2041" s="5">
        <v>6</v>
      </c>
      <c r="E2041">
        <v>853</v>
      </c>
      <c r="F2041" s="4" t="s">
        <v>89</v>
      </c>
      <c r="G2041" t="s">
        <v>29</v>
      </c>
      <c r="H2041" t="s">
        <v>90</v>
      </c>
    </row>
    <row r="2042" spans="1:8" x14ac:dyDescent="0.25">
      <c r="A2042" t="s">
        <v>789</v>
      </c>
      <c r="B2042" t="s">
        <v>85</v>
      </c>
      <c r="C2042" s="5">
        <v>24749</v>
      </c>
      <c r="D2042" s="5">
        <v>161</v>
      </c>
      <c r="E2042">
        <v>16732</v>
      </c>
      <c r="F2042" s="4" t="s">
        <v>86</v>
      </c>
      <c r="G2042" t="s">
        <v>29</v>
      </c>
      <c r="H2042" t="s">
        <v>87</v>
      </c>
    </row>
    <row r="2043" spans="1:8" x14ac:dyDescent="0.25">
      <c r="A2043" t="s">
        <v>789</v>
      </c>
      <c r="B2043" t="s">
        <v>82</v>
      </c>
      <c r="C2043" s="5">
        <v>20087</v>
      </c>
      <c r="D2043" s="5">
        <v>38</v>
      </c>
      <c r="E2043">
        <v>12211</v>
      </c>
      <c r="F2043" s="4" t="s">
        <v>83</v>
      </c>
      <c r="G2043" t="s">
        <v>29</v>
      </c>
      <c r="H2043" t="s">
        <v>84</v>
      </c>
    </row>
    <row r="2044" spans="1:8" x14ac:dyDescent="0.25">
      <c r="A2044" t="s">
        <v>789</v>
      </c>
      <c r="B2044" t="s">
        <v>79</v>
      </c>
      <c r="C2044" s="5">
        <v>276917</v>
      </c>
      <c r="D2044" s="5">
        <v>1393</v>
      </c>
      <c r="E2044">
        <v>202598</v>
      </c>
      <c r="F2044" s="4" t="s">
        <v>80</v>
      </c>
      <c r="G2044" t="s">
        <v>29</v>
      </c>
      <c r="H2044" t="s">
        <v>81</v>
      </c>
    </row>
    <row r="2045" spans="1:8" x14ac:dyDescent="0.25">
      <c r="A2045" t="s">
        <v>789</v>
      </c>
      <c r="B2045" t="s">
        <v>76</v>
      </c>
      <c r="C2045" s="5">
        <v>614362</v>
      </c>
      <c r="D2045" s="5">
        <v>24454</v>
      </c>
      <c r="E2045">
        <v>231235</v>
      </c>
      <c r="F2045" s="4" t="s">
        <v>77</v>
      </c>
      <c r="G2045" t="s">
        <v>29</v>
      </c>
      <c r="H2045" t="s">
        <v>78</v>
      </c>
    </row>
    <row r="2046" spans="1:8" x14ac:dyDescent="0.25">
      <c r="A2046" t="s">
        <v>789</v>
      </c>
      <c r="B2046" t="s">
        <v>73</v>
      </c>
      <c r="C2046" s="5">
        <v>15103</v>
      </c>
      <c r="D2046" s="5">
        <v>221</v>
      </c>
      <c r="E2046">
        <v>5855</v>
      </c>
      <c r="F2046" s="4" t="s">
        <v>565</v>
      </c>
      <c r="G2046" t="s">
        <v>29</v>
      </c>
      <c r="H2046" t="s">
        <v>566</v>
      </c>
    </row>
    <row r="2047" spans="1:8" x14ac:dyDescent="0.25">
      <c r="A2047" t="s">
        <v>789</v>
      </c>
      <c r="B2047" t="s">
        <v>70</v>
      </c>
      <c r="C2047" s="5">
        <v>1360650</v>
      </c>
      <c r="D2047" s="5">
        <v>25994</v>
      </c>
      <c r="E2047">
        <v>947981</v>
      </c>
      <c r="F2047" s="4" t="s">
        <v>119</v>
      </c>
      <c r="G2047" t="s">
        <v>29</v>
      </c>
      <c r="H2047" t="s">
        <v>120</v>
      </c>
    </row>
    <row r="2048" spans="1:8" x14ac:dyDescent="0.25">
      <c r="A2048" t="s">
        <v>789</v>
      </c>
      <c r="B2048" t="s">
        <v>67</v>
      </c>
      <c r="C2048" s="5">
        <v>1569982</v>
      </c>
      <c r="D2048" s="5">
        <v>27873</v>
      </c>
      <c r="E2048">
        <v>1344739</v>
      </c>
      <c r="F2048" s="4" t="s">
        <v>68</v>
      </c>
      <c r="G2048" t="s">
        <v>29</v>
      </c>
      <c r="H2048" t="s">
        <v>69</v>
      </c>
    </row>
    <row r="2049" spans="1:8" x14ac:dyDescent="0.25">
      <c r="A2049" t="s">
        <v>789</v>
      </c>
      <c r="B2049" t="s">
        <v>64</v>
      </c>
      <c r="C2049" s="5">
        <v>18459</v>
      </c>
      <c r="D2049" s="5">
        <v>158</v>
      </c>
      <c r="E2049">
        <v>17239</v>
      </c>
      <c r="F2049" s="4" t="s">
        <v>122</v>
      </c>
      <c r="G2049" t="s">
        <v>29</v>
      </c>
      <c r="H2049" t="s">
        <v>123</v>
      </c>
    </row>
    <row r="2050" spans="1:8" x14ac:dyDescent="0.25">
      <c r="A2050" t="s">
        <v>789</v>
      </c>
      <c r="B2050" t="s">
        <v>61</v>
      </c>
      <c r="C2050" s="5">
        <v>255054</v>
      </c>
      <c r="D2050" s="5">
        <v>11654</v>
      </c>
      <c r="E2050">
        <v>229501</v>
      </c>
      <c r="F2050" s="4" t="s">
        <v>814</v>
      </c>
      <c r="G2050" t="s">
        <v>29</v>
      </c>
      <c r="H2050" t="s">
        <v>815</v>
      </c>
    </row>
    <row r="2051" spans="1:8" x14ac:dyDescent="0.25">
      <c r="A2051" t="s">
        <v>789</v>
      </c>
      <c r="B2051" t="s">
        <v>58</v>
      </c>
      <c r="C2051" s="5">
        <v>534748</v>
      </c>
      <c r="D2051" s="5">
        <v>7132</v>
      </c>
      <c r="E2051">
        <v>467959</v>
      </c>
      <c r="F2051" s="4" t="s">
        <v>59</v>
      </c>
      <c r="G2051" t="s">
        <v>29</v>
      </c>
      <c r="H2051" t="s">
        <v>60</v>
      </c>
    </row>
    <row r="2052" spans="1:8" x14ac:dyDescent="0.25">
      <c r="A2052" t="s">
        <v>789</v>
      </c>
      <c r="B2052" t="s">
        <v>55</v>
      </c>
      <c r="C2052" s="5">
        <v>174276</v>
      </c>
      <c r="D2052" s="5">
        <v>1768</v>
      </c>
      <c r="E2052">
        <v>11482</v>
      </c>
      <c r="F2052" s="4" t="s">
        <v>559</v>
      </c>
      <c r="G2052" t="s">
        <v>29</v>
      </c>
      <c r="H2052" t="s">
        <v>560</v>
      </c>
    </row>
    <row r="2053" spans="1:8" x14ac:dyDescent="0.25">
      <c r="A2053" t="s">
        <v>789</v>
      </c>
      <c r="B2053" t="s">
        <v>52</v>
      </c>
      <c r="C2053" s="5">
        <v>840902</v>
      </c>
      <c r="D2053" s="5">
        <v>11380</v>
      </c>
      <c r="E2053">
        <v>127241</v>
      </c>
      <c r="F2053" s="4" t="s">
        <v>409</v>
      </c>
      <c r="G2053" t="s">
        <v>29</v>
      </c>
      <c r="H2053" t="s">
        <v>410</v>
      </c>
    </row>
    <row r="2054" spans="1:8" x14ac:dyDescent="0.25">
      <c r="A2054" t="s">
        <v>789</v>
      </c>
      <c r="B2054" t="s">
        <v>49</v>
      </c>
      <c r="C2054" s="5">
        <v>5291285</v>
      </c>
      <c r="D2054" s="5">
        <v>116010</v>
      </c>
      <c r="E2054">
        <v>2620675</v>
      </c>
      <c r="F2054" s="4" t="s">
        <v>50</v>
      </c>
      <c r="G2054" t="s">
        <v>29</v>
      </c>
      <c r="H2054" t="s">
        <v>51</v>
      </c>
    </row>
    <row r="2055" spans="1:8" x14ac:dyDescent="0.25">
      <c r="A2055" t="s">
        <v>789</v>
      </c>
      <c r="B2055" t="s">
        <v>46</v>
      </c>
      <c r="C2055" s="5">
        <v>64487</v>
      </c>
      <c r="D2055" s="5">
        <v>1713</v>
      </c>
      <c r="E2055">
        <v>21186</v>
      </c>
      <c r="F2055" s="4" t="s">
        <v>47</v>
      </c>
      <c r="G2055" t="s">
        <v>29</v>
      </c>
      <c r="H2055" t="s">
        <v>48</v>
      </c>
    </row>
    <row r="2056" spans="1:8" x14ac:dyDescent="0.25">
      <c r="A2056" t="s">
        <v>789</v>
      </c>
      <c r="B2056" t="s">
        <v>43</v>
      </c>
      <c r="C2056" s="5">
        <v>310629</v>
      </c>
      <c r="D2056" s="5">
        <v>6441</v>
      </c>
      <c r="E2056">
        <v>211653</v>
      </c>
      <c r="F2056" s="4" t="s">
        <v>310</v>
      </c>
      <c r="G2056" t="s">
        <v>29</v>
      </c>
      <c r="H2056" t="s">
        <v>311</v>
      </c>
    </row>
    <row r="2057" spans="1:8" x14ac:dyDescent="0.25">
      <c r="A2057" t="s">
        <v>789</v>
      </c>
      <c r="B2057" t="s">
        <v>40</v>
      </c>
      <c r="C2057" s="5">
        <v>186222</v>
      </c>
      <c r="D2057" s="5">
        <v>2937</v>
      </c>
      <c r="E2057">
        <v>11324</v>
      </c>
      <c r="F2057" s="4" t="s">
        <v>577</v>
      </c>
      <c r="G2057" t="s">
        <v>29</v>
      </c>
      <c r="H2057" t="s">
        <v>578</v>
      </c>
    </row>
    <row r="2058" spans="1:8" x14ac:dyDescent="0.25">
      <c r="A2058" t="s">
        <v>789</v>
      </c>
      <c r="B2058" t="s">
        <v>37</v>
      </c>
      <c r="C2058" s="5">
        <v>4069</v>
      </c>
      <c r="D2058" s="5">
        <v>102</v>
      </c>
      <c r="E2058">
        <v>3960</v>
      </c>
      <c r="F2058" s="4" t="s">
        <v>700</v>
      </c>
      <c r="G2058" t="s">
        <v>29</v>
      </c>
      <c r="H2058" t="s">
        <v>701</v>
      </c>
    </row>
    <row r="2059" spans="1:8" x14ac:dyDescent="0.25">
      <c r="A2059" t="s">
        <v>789</v>
      </c>
      <c r="B2059" t="s">
        <v>34</v>
      </c>
      <c r="C2059" s="5">
        <v>156307</v>
      </c>
      <c r="D2059" s="5">
        <v>7281</v>
      </c>
      <c r="E2059">
        <v>7881</v>
      </c>
      <c r="F2059" s="4" t="s">
        <v>35</v>
      </c>
      <c r="G2059" t="s">
        <v>29</v>
      </c>
      <c r="H2059" t="s">
        <v>36</v>
      </c>
    </row>
    <row r="2060" spans="1:8" x14ac:dyDescent="0.25">
      <c r="A2060" t="s">
        <v>789</v>
      </c>
      <c r="B2060" t="s">
        <v>31</v>
      </c>
      <c r="C2060" s="5">
        <v>740057</v>
      </c>
      <c r="D2060" s="5">
        <v>2137</v>
      </c>
      <c r="E2060">
        <v>112023</v>
      </c>
      <c r="F2060" s="4" t="s">
        <v>32</v>
      </c>
      <c r="G2060" t="s">
        <v>29</v>
      </c>
      <c r="H2060" t="s">
        <v>33</v>
      </c>
    </row>
    <row r="2061" spans="1:8" x14ac:dyDescent="0.25">
      <c r="A2061" t="s">
        <v>789</v>
      </c>
      <c r="B2061" t="s">
        <v>27</v>
      </c>
      <c r="C2061" s="5">
        <v>15516</v>
      </c>
      <c r="D2061" s="5">
        <v>130</v>
      </c>
      <c r="E2061">
        <v>3990</v>
      </c>
      <c r="F2061" s="4" t="s">
        <v>397</v>
      </c>
      <c r="G2061" t="s">
        <v>29</v>
      </c>
      <c r="H2061" t="s">
        <v>398</v>
      </c>
    </row>
    <row r="2062" spans="1:8" x14ac:dyDescent="0.25">
      <c r="A2062" t="s">
        <v>816</v>
      </c>
      <c r="B2062" t="s">
        <v>27</v>
      </c>
      <c r="C2062" s="5">
        <v>15516</v>
      </c>
      <c r="D2062" s="5">
        <v>130</v>
      </c>
      <c r="E2062">
        <v>9793</v>
      </c>
      <c r="F2062" s="4" t="s">
        <v>397</v>
      </c>
      <c r="G2062" t="s">
        <v>29</v>
      </c>
      <c r="H2062" t="s">
        <v>398</v>
      </c>
    </row>
    <row r="2063" spans="1:8" x14ac:dyDescent="0.25">
      <c r="A2063" t="s">
        <v>816</v>
      </c>
      <c r="B2063" t="s">
        <v>31</v>
      </c>
      <c r="C2063" s="5">
        <v>739983</v>
      </c>
      <c r="D2063" s="5">
        <v>2136</v>
      </c>
      <c r="E2063">
        <v>170830</v>
      </c>
      <c r="F2063" s="4" t="s">
        <v>32</v>
      </c>
      <c r="G2063" t="s">
        <v>29</v>
      </c>
      <c r="H2063" t="s">
        <v>33</v>
      </c>
    </row>
    <row r="2064" spans="1:8" x14ac:dyDescent="0.25">
      <c r="A2064" t="s">
        <v>816</v>
      </c>
      <c r="B2064" t="s">
        <v>34</v>
      </c>
      <c r="C2064" s="5">
        <v>156284</v>
      </c>
      <c r="D2064" s="5">
        <v>7281</v>
      </c>
      <c r="E2064">
        <v>115739</v>
      </c>
      <c r="F2064" s="4" t="s">
        <v>35</v>
      </c>
      <c r="G2064" t="s">
        <v>29</v>
      </c>
      <c r="H2064" t="s">
        <v>36</v>
      </c>
    </row>
    <row r="2065" spans="1:8" x14ac:dyDescent="0.25">
      <c r="A2065" t="s">
        <v>816</v>
      </c>
      <c r="B2065" t="s">
        <v>37</v>
      </c>
      <c r="C2065" s="5">
        <v>4062</v>
      </c>
      <c r="D2065" s="5">
        <v>102</v>
      </c>
      <c r="E2065">
        <v>1442</v>
      </c>
      <c r="F2065" s="4" t="s">
        <v>700</v>
      </c>
      <c r="G2065" t="s">
        <v>29</v>
      </c>
      <c r="H2065" t="s">
        <v>701</v>
      </c>
    </row>
    <row r="2066" spans="1:8" x14ac:dyDescent="0.25">
      <c r="A2066" t="s">
        <v>816</v>
      </c>
      <c r="B2066" t="s">
        <v>40</v>
      </c>
      <c r="C2066" s="5">
        <v>185497</v>
      </c>
      <c r="D2066" s="5">
        <v>2931</v>
      </c>
      <c r="E2066">
        <v>126024</v>
      </c>
      <c r="F2066" s="4" t="s">
        <v>577</v>
      </c>
      <c r="G2066" t="s">
        <v>29</v>
      </c>
      <c r="H2066" t="s">
        <v>578</v>
      </c>
    </row>
    <row r="2067" spans="1:8" x14ac:dyDescent="0.25">
      <c r="A2067" t="s">
        <v>816</v>
      </c>
      <c r="B2067" t="s">
        <v>43</v>
      </c>
      <c r="C2067" s="5">
        <v>309397</v>
      </c>
      <c r="D2067" s="5">
        <v>6379</v>
      </c>
      <c r="E2067">
        <v>127303</v>
      </c>
      <c r="F2067" s="4" t="s">
        <v>750</v>
      </c>
      <c r="G2067" t="s">
        <v>29</v>
      </c>
      <c r="H2067" t="s">
        <v>751</v>
      </c>
    </row>
    <row r="2068" spans="1:8" x14ac:dyDescent="0.25">
      <c r="A2068" t="s">
        <v>816</v>
      </c>
      <c r="B2068" t="s">
        <v>46</v>
      </c>
      <c r="C2068" s="5">
        <v>64458</v>
      </c>
      <c r="D2068" s="5">
        <v>1713</v>
      </c>
      <c r="E2068">
        <v>2386</v>
      </c>
      <c r="F2068" s="4" t="s">
        <v>47</v>
      </c>
      <c r="G2068" t="s">
        <v>29</v>
      </c>
      <c r="H2068" t="s">
        <v>48</v>
      </c>
    </row>
    <row r="2069" spans="1:8" x14ac:dyDescent="0.25">
      <c r="A2069" t="s">
        <v>816</v>
      </c>
      <c r="B2069" t="s">
        <v>49</v>
      </c>
      <c r="C2069" s="5">
        <v>5289945</v>
      </c>
      <c r="D2069" s="5">
        <v>115989</v>
      </c>
      <c r="E2069">
        <v>1285817</v>
      </c>
      <c r="F2069" s="4" t="s">
        <v>50</v>
      </c>
      <c r="G2069" t="s">
        <v>29</v>
      </c>
      <c r="H2069" t="s">
        <v>51</v>
      </c>
    </row>
    <row r="2070" spans="1:8" x14ac:dyDescent="0.25">
      <c r="A2070" t="s">
        <v>816</v>
      </c>
      <c r="B2070" t="s">
        <v>52</v>
      </c>
      <c r="C2070" s="5">
        <v>835504</v>
      </c>
      <c r="D2070" s="5">
        <v>11369</v>
      </c>
      <c r="E2070">
        <v>498017</v>
      </c>
      <c r="F2070" s="4" t="s">
        <v>630</v>
      </c>
      <c r="G2070" t="s">
        <v>29</v>
      </c>
      <c r="H2070" t="s">
        <v>631</v>
      </c>
    </row>
    <row r="2071" spans="1:8" x14ac:dyDescent="0.25">
      <c r="A2071" t="s">
        <v>816</v>
      </c>
      <c r="B2071" t="s">
        <v>55</v>
      </c>
      <c r="C2071" s="5">
        <v>173165</v>
      </c>
      <c r="D2071" s="5">
        <v>1756</v>
      </c>
      <c r="E2071">
        <v>148552</v>
      </c>
      <c r="F2071" s="4" t="s">
        <v>559</v>
      </c>
      <c r="G2071" t="s">
        <v>29</v>
      </c>
      <c r="H2071" t="s">
        <v>560</v>
      </c>
    </row>
    <row r="2072" spans="1:8" x14ac:dyDescent="0.25">
      <c r="A2072" t="s">
        <v>816</v>
      </c>
      <c r="B2072" t="s">
        <v>58</v>
      </c>
      <c r="C2072" s="5">
        <v>532570</v>
      </c>
      <c r="D2072" s="5">
        <v>7101</v>
      </c>
      <c r="E2072">
        <v>213714</v>
      </c>
      <c r="F2072" s="4" t="s">
        <v>59</v>
      </c>
      <c r="G2072" t="s">
        <v>29</v>
      </c>
      <c r="H2072" t="s">
        <v>60</v>
      </c>
    </row>
    <row r="2073" spans="1:8" x14ac:dyDescent="0.25">
      <c r="A2073" t="s">
        <v>816</v>
      </c>
      <c r="B2073" t="s">
        <v>61</v>
      </c>
      <c r="C2073" s="5">
        <v>254348</v>
      </c>
      <c r="D2073" s="5">
        <v>11607</v>
      </c>
      <c r="E2073">
        <v>46177</v>
      </c>
      <c r="F2073" s="4" t="s">
        <v>664</v>
      </c>
      <c r="G2073" t="s">
        <v>29</v>
      </c>
      <c r="H2073" t="s">
        <v>665</v>
      </c>
    </row>
    <row r="2074" spans="1:8" x14ac:dyDescent="0.25">
      <c r="A2074" t="s">
        <v>816</v>
      </c>
      <c r="B2074" t="s">
        <v>64</v>
      </c>
      <c r="C2074" s="5">
        <v>18023</v>
      </c>
      <c r="D2074" s="5">
        <v>156</v>
      </c>
      <c r="E2074">
        <v>10623</v>
      </c>
      <c r="F2074" s="4" t="s">
        <v>498</v>
      </c>
      <c r="G2074" t="s">
        <v>29</v>
      </c>
      <c r="H2074" t="s">
        <v>499</v>
      </c>
    </row>
    <row r="2075" spans="1:8" x14ac:dyDescent="0.25">
      <c r="A2075" t="s">
        <v>816</v>
      </c>
      <c r="B2075" t="s">
        <v>67</v>
      </c>
      <c r="C2075" s="5">
        <v>1569753</v>
      </c>
      <c r="D2075" s="5">
        <v>27870</v>
      </c>
      <c r="E2075">
        <v>48686</v>
      </c>
      <c r="F2075" s="4" t="s">
        <v>68</v>
      </c>
      <c r="G2075" t="s">
        <v>29</v>
      </c>
      <c r="H2075" t="s">
        <v>69</v>
      </c>
    </row>
    <row r="2076" spans="1:8" x14ac:dyDescent="0.25">
      <c r="A2076" t="s">
        <v>816</v>
      </c>
      <c r="B2076" t="s">
        <v>70</v>
      </c>
      <c r="C2076" s="5">
        <v>1360650</v>
      </c>
      <c r="D2076" s="5">
        <v>25994</v>
      </c>
      <c r="E2076">
        <v>176513</v>
      </c>
      <c r="F2076" s="4" t="s">
        <v>119</v>
      </c>
      <c r="G2076" t="s">
        <v>29</v>
      </c>
      <c r="H2076" t="s">
        <v>120</v>
      </c>
    </row>
    <row r="2077" spans="1:8" x14ac:dyDescent="0.25">
      <c r="A2077" t="s">
        <v>816</v>
      </c>
      <c r="B2077" t="s">
        <v>73</v>
      </c>
      <c r="C2077" s="5">
        <v>14793</v>
      </c>
      <c r="D2077" s="5">
        <v>214</v>
      </c>
      <c r="E2077">
        <v>12639</v>
      </c>
      <c r="F2077" s="4" t="s">
        <v>342</v>
      </c>
      <c r="G2077" t="s">
        <v>29</v>
      </c>
      <c r="H2077" t="s">
        <v>343</v>
      </c>
    </row>
    <row r="2078" spans="1:8" x14ac:dyDescent="0.25">
      <c r="A2078" t="s">
        <v>816</v>
      </c>
      <c r="B2078" t="s">
        <v>76</v>
      </c>
      <c r="C2078" s="5">
        <v>608499</v>
      </c>
      <c r="D2078" s="5">
        <v>24309</v>
      </c>
      <c r="E2078">
        <v>355842</v>
      </c>
      <c r="F2078" s="4" t="s">
        <v>817</v>
      </c>
      <c r="G2078" t="s">
        <v>29</v>
      </c>
      <c r="H2078" t="s">
        <v>818</v>
      </c>
    </row>
    <row r="2079" spans="1:8" x14ac:dyDescent="0.25">
      <c r="A2079" t="s">
        <v>816</v>
      </c>
      <c r="B2079" t="s">
        <v>79</v>
      </c>
      <c r="C2079" s="5">
        <v>276874</v>
      </c>
      <c r="D2079" s="5">
        <v>1393</v>
      </c>
      <c r="E2079">
        <v>271268</v>
      </c>
      <c r="F2079" s="4" t="s">
        <v>80</v>
      </c>
      <c r="G2079" t="s">
        <v>29</v>
      </c>
      <c r="H2079" t="s">
        <v>81</v>
      </c>
    </row>
    <row r="2080" spans="1:8" x14ac:dyDescent="0.25">
      <c r="A2080" t="s">
        <v>816</v>
      </c>
      <c r="B2080" t="s">
        <v>82</v>
      </c>
      <c r="C2080" s="5">
        <v>20078</v>
      </c>
      <c r="D2080" s="5">
        <v>38</v>
      </c>
      <c r="E2080">
        <v>15978</v>
      </c>
      <c r="F2080" s="4" t="s">
        <v>83</v>
      </c>
      <c r="G2080" t="s">
        <v>29</v>
      </c>
      <c r="H2080" t="s">
        <v>84</v>
      </c>
    </row>
    <row r="2081" spans="1:8" x14ac:dyDescent="0.25">
      <c r="A2081" t="s">
        <v>816</v>
      </c>
      <c r="B2081" t="s">
        <v>85</v>
      </c>
      <c r="C2081" s="5">
        <v>24749</v>
      </c>
      <c r="D2081" s="5">
        <v>161</v>
      </c>
      <c r="E2081">
        <v>9224</v>
      </c>
      <c r="F2081" s="4" t="s">
        <v>86</v>
      </c>
      <c r="G2081" t="s">
        <v>29</v>
      </c>
      <c r="H2081" t="s">
        <v>87</v>
      </c>
    </row>
    <row r="2082" spans="1:8" x14ac:dyDescent="0.25">
      <c r="A2082" t="s">
        <v>816</v>
      </c>
      <c r="B2082" t="s">
        <v>88</v>
      </c>
      <c r="C2082" s="5">
        <v>1659</v>
      </c>
      <c r="D2082" s="5">
        <v>6</v>
      </c>
      <c r="E2082">
        <v>924</v>
      </c>
      <c r="F2082" s="4" t="s">
        <v>89</v>
      </c>
      <c r="G2082" t="s">
        <v>29</v>
      </c>
      <c r="H2082" t="s">
        <v>90</v>
      </c>
    </row>
    <row r="2083" spans="1:8" x14ac:dyDescent="0.25">
      <c r="A2083" t="s">
        <v>816</v>
      </c>
      <c r="B2083" t="s">
        <v>91</v>
      </c>
      <c r="C2083" s="5">
        <v>13246</v>
      </c>
      <c r="D2083" s="5">
        <v>89</v>
      </c>
      <c r="E2083">
        <v>2874</v>
      </c>
      <c r="F2083" s="4" t="s">
        <v>92</v>
      </c>
      <c r="G2083" t="s">
        <v>29</v>
      </c>
      <c r="H2083" t="s">
        <v>93</v>
      </c>
    </row>
    <row r="2084" spans="1:8" x14ac:dyDescent="0.25">
      <c r="A2084" t="s">
        <v>816</v>
      </c>
      <c r="B2084" t="s">
        <v>94</v>
      </c>
      <c r="C2084" s="5">
        <v>513810</v>
      </c>
      <c r="D2084" s="5">
        <v>18928</v>
      </c>
      <c r="E2084">
        <v>479533</v>
      </c>
      <c r="F2084" s="4" t="s">
        <v>760</v>
      </c>
      <c r="G2084" t="s">
        <v>29</v>
      </c>
      <c r="H2084" t="s">
        <v>761</v>
      </c>
    </row>
    <row r="2085" spans="1:8" x14ac:dyDescent="0.25">
      <c r="A2085" t="s">
        <v>816</v>
      </c>
      <c r="B2085" t="s">
        <v>97</v>
      </c>
      <c r="C2085" s="5">
        <v>21814693</v>
      </c>
      <c r="D2085" s="5">
        <v>607922</v>
      </c>
      <c r="E2085">
        <v>5386171</v>
      </c>
      <c r="F2085" s="4" t="s">
        <v>662</v>
      </c>
      <c r="G2085" t="s">
        <v>29</v>
      </c>
      <c r="H2085" t="s">
        <v>663</v>
      </c>
    </row>
    <row r="2086" spans="1:8" x14ac:dyDescent="0.25">
      <c r="A2086" t="s">
        <v>816</v>
      </c>
      <c r="B2086" t="s">
        <v>100</v>
      </c>
      <c r="C2086" s="5">
        <v>22407</v>
      </c>
      <c r="D2086" s="5">
        <v>643</v>
      </c>
      <c r="E2086">
        <v>18399</v>
      </c>
      <c r="F2086" s="4" t="s">
        <v>168</v>
      </c>
      <c r="G2086" t="s">
        <v>29</v>
      </c>
      <c r="H2086" t="s">
        <v>169</v>
      </c>
    </row>
    <row r="2087" spans="1:8" x14ac:dyDescent="0.25">
      <c r="A2087" t="s">
        <v>816</v>
      </c>
      <c r="B2087" t="s">
        <v>103</v>
      </c>
      <c r="C2087" s="5">
        <v>2621</v>
      </c>
      <c r="D2087" s="5">
        <v>3</v>
      </c>
      <c r="E2087">
        <v>2597</v>
      </c>
      <c r="F2087" s="4" t="s">
        <v>104</v>
      </c>
      <c r="G2087" t="s">
        <v>29</v>
      </c>
      <c r="H2087" t="s">
        <v>105</v>
      </c>
    </row>
    <row r="2088" spans="1:8" x14ac:dyDescent="0.25">
      <c r="A2088" t="s">
        <v>816</v>
      </c>
      <c r="B2088" t="s">
        <v>106</v>
      </c>
      <c r="C2088" s="5">
        <v>187281</v>
      </c>
      <c r="D2088" s="5">
        <v>2407</v>
      </c>
      <c r="E2088">
        <v>31921</v>
      </c>
      <c r="F2088" s="4" t="s">
        <v>417</v>
      </c>
      <c r="G2088" t="s">
        <v>29</v>
      </c>
      <c r="H2088" t="s">
        <v>418</v>
      </c>
    </row>
    <row r="2089" spans="1:8" x14ac:dyDescent="0.25">
      <c r="A2089" t="s">
        <v>816</v>
      </c>
      <c r="B2089" t="s">
        <v>109</v>
      </c>
      <c r="C2089" s="5">
        <v>602058</v>
      </c>
      <c r="D2089" s="5">
        <v>4646</v>
      </c>
      <c r="E2089">
        <v>452592</v>
      </c>
      <c r="F2089" s="4" t="s">
        <v>110</v>
      </c>
      <c r="G2089" t="s">
        <v>29</v>
      </c>
      <c r="H2089" t="s">
        <v>111</v>
      </c>
    </row>
    <row r="2090" spans="1:8" x14ac:dyDescent="0.25">
      <c r="A2090" t="s">
        <v>816</v>
      </c>
      <c r="B2090" t="s">
        <v>112</v>
      </c>
      <c r="C2090" s="5">
        <v>27149</v>
      </c>
      <c r="D2090" s="5">
        <v>495</v>
      </c>
      <c r="E2090">
        <v>17180</v>
      </c>
      <c r="F2090" s="4" t="s">
        <v>563</v>
      </c>
      <c r="G2090" t="s">
        <v>29</v>
      </c>
      <c r="H2090" t="s">
        <v>564</v>
      </c>
    </row>
    <row r="2091" spans="1:8" x14ac:dyDescent="0.25">
      <c r="A2091" t="s">
        <v>816</v>
      </c>
      <c r="B2091" t="s">
        <v>115</v>
      </c>
      <c r="C2091" s="5">
        <v>1726732</v>
      </c>
      <c r="D2091" s="5">
        <v>29077</v>
      </c>
      <c r="E2091">
        <v>1438659</v>
      </c>
      <c r="F2091" s="4" t="s">
        <v>116</v>
      </c>
      <c r="G2091" t="s">
        <v>29</v>
      </c>
      <c r="H2091" t="s">
        <v>117</v>
      </c>
    </row>
    <row r="2092" spans="1:8" x14ac:dyDescent="0.25">
      <c r="A2092" t="s">
        <v>816</v>
      </c>
      <c r="B2092" t="s">
        <v>118</v>
      </c>
      <c r="C2092" s="5">
        <v>57565</v>
      </c>
      <c r="D2092" s="5">
        <v>1098</v>
      </c>
      <c r="E2092">
        <v>45359</v>
      </c>
      <c r="F2092" s="4" t="s">
        <v>119</v>
      </c>
      <c r="G2092" t="s">
        <v>29</v>
      </c>
      <c r="H2092" t="s">
        <v>120</v>
      </c>
    </row>
    <row r="2093" spans="1:8" x14ac:dyDescent="0.25">
      <c r="A2093" t="s">
        <v>816</v>
      </c>
      <c r="B2093" t="s">
        <v>121</v>
      </c>
      <c r="C2093" s="5">
        <v>11579</v>
      </c>
      <c r="D2093" s="5">
        <v>100</v>
      </c>
      <c r="E2093">
        <v>9417</v>
      </c>
      <c r="F2093" s="4" t="s">
        <v>122</v>
      </c>
      <c r="G2093" t="s">
        <v>29</v>
      </c>
      <c r="H2093" t="s">
        <v>123</v>
      </c>
    </row>
    <row r="2094" spans="1:8" x14ac:dyDescent="0.25">
      <c r="A2094" t="s">
        <v>816</v>
      </c>
      <c r="B2094" t="s">
        <v>124</v>
      </c>
      <c r="C2094" s="5">
        <v>17670</v>
      </c>
      <c r="D2094" s="5">
        <v>278</v>
      </c>
      <c r="E2094">
        <v>9129</v>
      </c>
      <c r="F2094" s="4" t="s">
        <v>217</v>
      </c>
      <c r="G2094" t="s">
        <v>29</v>
      </c>
      <c r="H2094" t="s">
        <v>218</v>
      </c>
    </row>
    <row r="2095" spans="1:8" x14ac:dyDescent="0.25">
      <c r="A2095" t="s">
        <v>816</v>
      </c>
      <c r="B2095" t="s">
        <v>127</v>
      </c>
      <c r="C2095" s="5">
        <v>877098</v>
      </c>
      <c r="D2095" s="5">
        <v>11242</v>
      </c>
      <c r="E2095">
        <v>769215</v>
      </c>
      <c r="F2095" s="4" t="s">
        <v>381</v>
      </c>
      <c r="G2095" t="s">
        <v>29</v>
      </c>
      <c r="H2095" t="s">
        <v>382</v>
      </c>
    </row>
    <row r="2096" spans="1:8" x14ac:dyDescent="0.25">
      <c r="A2096" t="s">
        <v>816</v>
      </c>
      <c r="B2096" t="s">
        <v>128</v>
      </c>
      <c r="C2096" s="5">
        <v>61311</v>
      </c>
      <c r="D2096" s="5">
        <v>696</v>
      </c>
      <c r="E2096">
        <v>58780</v>
      </c>
      <c r="F2096" s="4" t="s">
        <v>129</v>
      </c>
      <c r="G2096" t="s">
        <v>29</v>
      </c>
      <c r="H2096" t="s">
        <v>130</v>
      </c>
    </row>
    <row r="2097" spans="1:8" x14ac:dyDescent="0.25">
      <c r="A2097" t="s">
        <v>816</v>
      </c>
      <c r="B2097" t="s">
        <v>131</v>
      </c>
      <c r="C2097" s="5">
        <v>1696786</v>
      </c>
      <c r="D2097" s="5">
        <v>37777</v>
      </c>
      <c r="E2097">
        <v>1146527</v>
      </c>
      <c r="F2097" s="4" t="s">
        <v>421</v>
      </c>
      <c r="G2097" t="s">
        <v>29</v>
      </c>
      <c r="H2097" t="s">
        <v>422</v>
      </c>
    </row>
    <row r="2098" spans="1:8" x14ac:dyDescent="0.25">
      <c r="A2098" t="s">
        <v>816</v>
      </c>
      <c r="B2098" t="s">
        <v>134</v>
      </c>
      <c r="C2098" s="5">
        <v>102499</v>
      </c>
      <c r="D2098" s="5">
        <v>1686</v>
      </c>
      <c r="E2098">
        <v>32761</v>
      </c>
      <c r="F2098" s="4" t="s">
        <v>196</v>
      </c>
      <c r="G2098" t="s">
        <v>29</v>
      </c>
      <c r="H2098" t="s">
        <v>197</v>
      </c>
    </row>
    <row r="2099" spans="1:8" x14ac:dyDescent="0.25">
      <c r="A2099" t="s">
        <v>816</v>
      </c>
      <c r="B2099" t="s">
        <v>137</v>
      </c>
      <c r="C2099" s="5">
        <v>97314</v>
      </c>
      <c r="D2099" s="5">
        <v>4636</v>
      </c>
      <c r="E2099">
        <v>12360</v>
      </c>
      <c r="F2099" s="4" t="s">
        <v>810</v>
      </c>
      <c r="G2099" t="s">
        <v>29</v>
      </c>
      <c r="H2099" t="s">
        <v>811</v>
      </c>
    </row>
    <row r="2100" spans="1:8" x14ac:dyDescent="0.25">
      <c r="A2100" t="s">
        <v>816</v>
      </c>
      <c r="B2100" t="s">
        <v>140</v>
      </c>
      <c r="C2100" s="5">
        <v>5003977</v>
      </c>
      <c r="D2100" s="5">
        <v>127311</v>
      </c>
      <c r="E2100">
        <v>4355962</v>
      </c>
      <c r="F2100" s="4" t="s">
        <v>141</v>
      </c>
      <c r="G2100" t="s">
        <v>29</v>
      </c>
      <c r="H2100" t="s">
        <v>142</v>
      </c>
    </row>
    <row r="2101" spans="1:8" x14ac:dyDescent="0.25">
      <c r="A2101" t="s">
        <v>816</v>
      </c>
      <c r="B2101" t="s">
        <v>143</v>
      </c>
      <c r="C2101" s="5">
        <v>560563</v>
      </c>
      <c r="D2101" s="5">
        <v>7078</v>
      </c>
      <c r="E2101">
        <v>208112</v>
      </c>
      <c r="F2101" s="4" t="s">
        <v>223</v>
      </c>
      <c r="G2101" t="s">
        <v>29</v>
      </c>
      <c r="H2101" t="s">
        <v>224</v>
      </c>
    </row>
    <row r="2102" spans="1:8" x14ac:dyDescent="0.25">
      <c r="A2102" t="s">
        <v>816</v>
      </c>
      <c r="B2102" t="s">
        <v>144</v>
      </c>
      <c r="C2102" s="5">
        <v>952634</v>
      </c>
      <c r="D2102" s="5">
        <v>8240</v>
      </c>
      <c r="E2102">
        <v>738518</v>
      </c>
      <c r="F2102" s="4" t="s">
        <v>122</v>
      </c>
      <c r="G2102" t="s">
        <v>29</v>
      </c>
      <c r="H2102" t="s">
        <v>123</v>
      </c>
    </row>
    <row r="2103" spans="1:8" x14ac:dyDescent="0.25">
      <c r="A2103" t="s">
        <v>816</v>
      </c>
      <c r="B2103" t="s">
        <v>145</v>
      </c>
      <c r="C2103" s="5">
        <v>38218</v>
      </c>
      <c r="D2103" s="5">
        <v>349</v>
      </c>
      <c r="E2103">
        <v>14514</v>
      </c>
      <c r="F2103" s="4" t="s">
        <v>146</v>
      </c>
      <c r="G2103" t="s">
        <v>29</v>
      </c>
      <c r="H2103" t="s">
        <v>147</v>
      </c>
    </row>
    <row r="2104" spans="1:8" x14ac:dyDescent="0.25">
      <c r="A2104" t="s">
        <v>816</v>
      </c>
      <c r="B2104" t="s">
        <v>148</v>
      </c>
      <c r="C2104" s="5">
        <v>124444</v>
      </c>
      <c r="D2104" s="5">
        <v>575</v>
      </c>
      <c r="E2104">
        <v>59126</v>
      </c>
      <c r="F2104" s="4" t="s">
        <v>149</v>
      </c>
      <c r="G2104" t="s">
        <v>29</v>
      </c>
      <c r="H2104" t="s">
        <v>150</v>
      </c>
    </row>
    <row r="2105" spans="1:8" x14ac:dyDescent="0.25">
      <c r="A2105" t="s">
        <v>816</v>
      </c>
      <c r="B2105" t="s">
        <v>151</v>
      </c>
      <c r="C2105" s="5">
        <v>1765654</v>
      </c>
      <c r="D2105" s="5">
        <v>30775</v>
      </c>
      <c r="E2105">
        <v>166400</v>
      </c>
      <c r="F2105" s="4" t="s">
        <v>183</v>
      </c>
      <c r="G2105" t="s">
        <v>29</v>
      </c>
      <c r="H2105" t="s">
        <v>184</v>
      </c>
    </row>
    <row r="2106" spans="1:8" x14ac:dyDescent="0.25">
      <c r="A2106" t="s">
        <v>816</v>
      </c>
      <c r="B2106" t="s">
        <v>154</v>
      </c>
      <c r="C2106" s="5">
        <v>4619273</v>
      </c>
      <c r="D2106" s="5">
        <v>95838</v>
      </c>
      <c r="E2106">
        <v>826890</v>
      </c>
      <c r="F2106" s="4" t="s">
        <v>310</v>
      </c>
      <c r="G2106" t="s">
        <v>29</v>
      </c>
      <c r="H2106" t="s">
        <v>311</v>
      </c>
    </row>
    <row r="2107" spans="1:8" x14ac:dyDescent="0.25">
      <c r="A2107" t="s">
        <v>816</v>
      </c>
      <c r="B2107" t="s">
        <v>157</v>
      </c>
      <c r="C2107" s="5">
        <v>13482</v>
      </c>
      <c r="D2107" s="5">
        <v>181</v>
      </c>
      <c r="E2107">
        <v>8087</v>
      </c>
      <c r="F2107" s="4" t="s">
        <v>264</v>
      </c>
      <c r="G2107" t="s">
        <v>29</v>
      </c>
      <c r="H2107" t="s">
        <v>265</v>
      </c>
    </row>
    <row r="2108" spans="1:8" x14ac:dyDescent="0.25">
      <c r="A2108" t="s">
        <v>816</v>
      </c>
      <c r="B2108" t="s">
        <v>160</v>
      </c>
      <c r="C2108" s="5">
        <v>390050</v>
      </c>
      <c r="D2108" s="5">
        <v>2716</v>
      </c>
      <c r="E2108">
        <v>326646</v>
      </c>
      <c r="F2108" s="4" t="s">
        <v>211</v>
      </c>
      <c r="G2108" t="s">
        <v>29</v>
      </c>
      <c r="H2108" t="s">
        <v>212</v>
      </c>
    </row>
    <row r="2109" spans="1:8" x14ac:dyDescent="0.25">
      <c r="A2109" t="s">
        <v>816</v>
      </c>
      <c r="B2109" t="s">
        <v>161</v>
      </c>
      <c r="C2109" s="5">
        <v>4823</v>
      </c>
      <c r="D2109" s="5">
        <v>32</v>
      </c>
      <c r="E2109">
        <v>886</v>
      </c>
      <c r="F2109" s="4" t="s">
        <v>162</v>
      </c>
      <c r="G2109" t="s">
        <v>29</v>
      </c>
      <c r="H2109" t="s">
        <v>163</v>
      </c>
    </row>
    <row r="2110" spans="1:8" x14ac:dyDescent="0.25">
      <c r="A2110" t="s">
        <v>816</v>
      </c>
      <c r="B2110" t="s">
        <v>164</v>
      </c>
      <c r="C2110" s="5">
        <v>382476</v>
      </c>
      <c r="D2110" s="5">
        <v>4133</v>
      </c>
      <c r="E2110">
        <v>123844</v>
      </c>
      <c r="F2110" s="4" t="s">
        <v>758</v>
      </c>
      <c r="G2110" t="s">
        <v>29</v>
      </c>
      <c r="H2110" t="s">
        <v>759</v>
      </c>
    </row>
    <row r="2111" spans="1:8" x14ac:dyDescent="0.25">
      <c r="A2111" t="s">
        <v>816</v>
      </c>
      <c r="B2111" t="s">
        <v>167</v>
      </c>
      <c r="C2111" s="5">
        <v>206566</v>
      </c>
      <c r="D2111" s="5">
        <v>5924</v>
      </c>
      <c r="E2111">
        <v>120347</v>
      </c>
      <c r="F2111" s="4" t="s">
        <v>168</v>
      </c>
      <c r="G2111" t="s">
        <v>29</v>
      </c>
      <c r="H2111" t="s">
        <v>169</v>
      </c>
    </row>
    <row r="2112" spans="1:8" x14ac:dyDescent="0.25">
      <c r="A2112" t="s">
        <v>816</v>
      </c>
      <c r="B2112" t="s">
        <v>170</v>
      </c>
      <c r="C2112" s="5">
        <v>515859</v>
      </c>
      <c r="D2112" s="5">
        <v>32958</v>
      </c>
      <c r="E2112">
        <v>151026</v>
      </c>
      <c r="F2112" s="4" t="s">
        <v>767</v>
      </c>
      <c r="G2112" t="s">
        <v>29</v>
      </c>
      <c r="H2112" t="s">
        <v>768</v>
      </c>
    </row>
    <row r="2113" spans="1:8" x14ac:dyDescent="0.25">
      <c r="A2113" t="s">
        <v>816</v>
      </c>
      <c r="B2113" t="s">
        <v>173</v>
      </c>
      <c r="C2113" s="5">
        <v>195382</v>
      </c>
      <c r="D2113" s="5">
        <v>1540</v>
      </c>
      <c r="E2113">
        <v>192355</v>
      </c>
      <c r="F2113" s="4" t="s">
        <v>174</v>
      </c>
      <c r="G2113" t="s">
        <v>29</v>
      </c>
      <c r="H2113" t="s">
        <v>175</v>
      </c>
    </row>
    <row r="2114" spans="1:8" x14ac:dyDescent="0.25">
      <c r="A2114" t="s">
        <v>816</v>
      </c>
      <c r="B2114" t="s">
        <v>176</v>
      </c>
      <c r="C2114" s="5">
        <v>331968</v>
      </c>
      <c r="D2114" s="5">
        <v>18711</v>
      </c>
      <c r="E2114">
        <v>261755</v>
      </c>
      <c r="F2114" s="4" t="s">
        <v>756</v>
      </c>
      <c r="G2114" t="s">
        <v>29</v>
      </c>
      <c r="H2114" t="s">
        <v>757</v>
      </c>
    </row>
    <row r="2115" spans="1:8" x14ac:dyDescent="0.25">
      <c r="A2115" t="s">
        <v>816</v>
      </c>
      <c r="B2115" t="s">
        <v>179</v>
      </c>
      <c r="C2115" s="5">
        <v>6839</v>
      </c>
      <c r="D2115" s="5">
        <v>45</v>
      </c>
      <c r="E2115">
        <v>2790</v>
      </c>
      <c r="F2115" s="4" t="s">
        <v>162</v>
      </c>
      <c r="G2115" t="s">
        <v>29</v>
      </c>
      <c r="H2115" t="s">
        <v>163</v>
      </c>
    </row>
    <row r="2116" spans="1:8" x14ac:dyDescent="0.25">
      <c r="A2116" t="s">
        <v>816</v>
      </c>
      <c r="B2116" t="s">
        <v>182</v>
      </c>
      <c r="C2116" s="5">
        <v>5011148</v>
      </c>
      <c r="D2116" s="5">
        <v>87368</v>
      </c>
      <c r="E2116">
        <v>865489</v>
      </c>
      <c r="F2116" s="4" t="s">
        <v>183</v>
      </c>
      <c r="G2116" t="s">
        <v>29</v>
      </c>
      <c r="H2116" t="s">
        <v>184</v>
      </c>
    </row>
    <row r="2117" spans="1:8" x14ac:dyDescent="0.25">
      <c r="A2117" t="s">
        <v>816</v>
      </c>
      <c r="B2117" t="s">
        <v>185</v>
      </c>
      <c r="C2117" s="5">
        <v>365372</v>
      </c>
      <c r="D2117" s="5">
        <v>6467</v>
      </c>
      <c r="E2117">
        <v>39440</v>
      </c>
      <c r="F2117" s="4" t="s">
        <v>769</v>
      </c>
      <c r="G2117" t="s">
        <v>29</v>
      </c>
      <c r="H2117" t="s">
        <v>770</v>
      </c>
    </row>
    <row r="2118" spans="1:8" x14ac:dyDescent="0.25">
      <c r="A2118" t="s">
        <v>816</v>
      </c>
      <c r="B2118" t="s">
        <v>186</v>
      </c>
      <c r="C2118" s="5">
        <v>158991</v>
      </c>
      <c r="D2118" s="5">
        <v>1170</v>
      </c>
      <c r="E2118">
        <v>152936</v>
      </c>
      <c r="F2118" s="4" t="s">
        <v>819</v>
      </c>
      <c r="G2118" t="s">
        <v>29</v>
      </c>
      <c r="H2118" t="s">
        <v>820</v>
      </c>
    </row>
    <row r="2119" spans="1:8" x14ac:dyDescent="0.25">
      <c r="A2119" t="s">
        <v>816</v>
      </c>
      <c r="B2119" t="s">
        <v>189</v>
      </c>
      <c r="C2119" s="5">
        <v>52180</v>
      </c>
      <c r="D2119" s="5">
        <v>674</v>
      </c>
      <c r="E2119">
        <v>15936</v>
      </c>
      <c r="F2119" s="4" t="s">
        <v>417</v>
      </c>
      <c r="G2119" t="s">
        <v>29</v>
      </c>
      <c r="H2119" t="s">
        <v>418</v>
      </c>
    </row>
    <row r="2120" spans="1:8" x14ac:dyDescent="0.25">
      <c r="A2120" t="s">
        <v>816</v>
      </c>
      <c r="B2120" t="s">
        <v>192</v>
      </c>
      <c r="C2120" s="5">
        <v>2212</v>
      </c>
      <c r="D2120" s="5">
        <v>3</v>
      </c>
      <c r="E2120">
        <v>788</v>
      </c>
      <c r="F2120" s="4" t="s">
        <v>821</v>
      </c>
      <c r="G2120" t="s">
        <v>29</v>
      </c>
      <c r="H2120" t="s">
        <v>822</v>
      </c>
    </row>
    <row r="2121" spans="1:8" x14ac:dyDescent="0.25">
      <c r="A2121" t="s">
        <v>816</v>
      </c>
      <c r="B2121" t="s">
        <v>195</v>
      </c>
      <c r="C2121" s="5">
        <v>6990818</v>
      </c>
      <c r="D2121" s="5">
        <v>115303</v>
      </c>
      <c r="E2121">
        <v>2525513</v>
      </c>
      <c r="F2121" s="4" t="s">
        <v>691</v>
      </c>
      <c r="G2121" t="s">
        <v>29</v>
      </c>
      <c r="H2121" t="s">
        <v>692</v>
      </c>
    </row>
    <row r="2122" spans="1:8" x14ac:dyDescent="0.25">
      <c r="A2122" t="s">
        <v>816</v>
      </c>
      <c r="B2122" t="s">
        <v>198</v>
      </c>
      <c r="C2122" s="5">
        <v>35525</v>
      </c>
      <c r="D2122" s="5">
        <v>239</v>
      </c>
      <c r="E2122">
        <v>22497</v>
      </c>
      <c r="F2122" s="4" t="s">
        <v>92</v>
      </c>
      <c r="G2122" t="s">
        <v>29</v>
      </c>
      <c r="H2122" t="s">
        <v>93</v>
      </c>
    </row>
    <row r="2123" spans="1:8" x14ac:dyDescent="0.25">
      <c r="A2123" t="s">
        <v>816</v>
      </c>
      <c r="B2123" t="s">
        <v>201</v>
      </c>
      <c r="C2123" s="5">
        <v>9134444</v>
      </c>
      <c r="D2123" s="5">
        <v>141000</v>
      </c>
      <c r="E2123">
        <v>6914840</v>
      </c>
      <c r="F2123" s="4" t="s">
        <v>519</v>
      </c>
      <c r="G2123" t="s">
        <v>29</v>
      </c>
      <c r="H2123" t="s">
        <v>520</v>
      </c>
    </row>
    <row r="2124" spans="1:8" x14ac:dyDescent="0.25">
      <c r="A2124" t="s">
        <v>816</v>
      </c>
      <c r="B2124" t="s">
        <v>207</v>
      </c>
      <c r="C2124" s="5">
        <v>721388</v>
      </c>
      <c r="D2124" s="5">
        <v>10089</v>
      </c>
      <c r="E2124">
        <v>332449</v>
      </c>
      <c r="F2124" s="4" t="s">
        <v>403</v>
      </c>
      <c r="G2124" t="s">
        <v>29</v>
      </c>
      <c r="H2124" t="s">
        <v>404</v>
      </c>
    </row>
    <row r="2125" spans="1:8" x14ac:dyDescent="0.25">
      <c r="A2125" t="s">
        <v>816</v>
      </c>
      <c r="B2125" t="s">
        <v>204</v>
      </c>
      <c r="C2125" s="5">
        <v>5850</v>
      </c>
      <c r="D2125" s="5">
        <v>198</v>
      </c>
      <c r="E2125">
        <v>4728</v>
      </c>
      <c r="F2125" s="4" t="s">
        <v>255</v>
      </c>
      <c r="G2125" t="s">
        <v>29</v>
      </c>
      <c r="H2125" t="s">
        <v>256</v>
      </c>
    </row>
    <row r="2126" spans="1:8" x14ac:dyDescent="0.25">
      <c r="A2126" t="s">
        <v>816</v>
      </c>
      <c r="B2126" t="s">
        <v>210</v>
      </c>
      <c r="C2126" s="5">
        <v>44629</v>
      </c>
      <c r="D2126" s="5">
        <v>308</v>
      </c>
      <c r="E2126">
        <v>42943</v>
      </c>
      <c r="F2126" s="4" t="s">
        <v>180</v>
      </c>
      <c r="G2126" t="s">
        <v>29</v>
      </c>
      <c r="H2126" t="s">
        <v>181</v>
      </c>
    </row>
    <row r="2127" spans="1:8" x14ac:dyDescent="0.25">
      <c r="A2127" t="s">
        <v>816</v>
      </c>
      <c r="B2127" t="s">
        <v>213</v>
      </c>
      <c r="C2127" s="5">
        <v>130077</v>
      </c>
      <c r="D2127" s="5">
        <v>1175</v>
      </c>
      <c r="E2127">
        <v>114442</v>
      </c>
      <c r="F2127" s="4" t="s">
        <v>667</v>
      </c>
      <c r="G2127" t="s">
        <v>29</v>
      </c>
      <c r="H2127" t="s">
        <v>668</v>
      </c>
    </row>
    <row r="2128" spans="1:8" x14ac:dyDescent="0.25">
      <c r="A2128" t="s">
        <v>816</v>
      </c>
      <c r="B2128" t="s">
        <v>216</v>
      </c>
      <c r="C2128" s="5">
        <v>5997</v>
      </c>
      <c r="D2128" s="5">
        <v>98</v>
      </c>
      <c r="E2128">
        <v>1014</v>
      </c>
      <c r="F2128" s="4" t="s">
        <v>646</v>
      </c>
      <c r="G2128" t="s">
        <v>29</v>
      </c>
      <c r="H2128" t="s">
        <v>647</v>
      </c>
    </row>
    <row r="2129" spans="1:8" x14ac:dyDescent="0.25">
      <c r="A2129" t="s">
        <v>816</v>
      </c>
      <c r="B2129" t="s">
        <v>219</v>
      </c>
      <c r="C2129" s="5">
        <v>9967</v>
      </c>
      <c r="D2129" s="5">
        <v>340</v>
      </c>
      <c r="E2129">
        <v>631</v>
      </c>
      <c r="F2129" s="4" t="s">
        <v>205</v>
      </c>
      <c r="G2129" t="s">
        <v>29</v>
      </c>
      <c r="H2129" t="s">
        <v>206</v>
      </c>
    </row>
    <row r="2130" spans="1:8" x14ac:dyDescent="0.25">
      <c r="A2130" t="s">
        <v>816</v>
      </c>
      <c r="B2130" t="s">
        <v>222</v>
      </c>
      <c r="C2130" s="5">
        <v>30667</v>
      </c>
      <c r="D2130" s="5">
        <v>385</v>
      </c>
      <c r="E2130">
        <v>29515</v>
      </c>
      <c r="F2130" s="4" t="s">
        <v>223</v>
      </c>
      <c r="G2130" t="s">
        <v>29</v>
      </c>
      <c r="H2130" t="s">
        <v>224</v>
      </c>
    </row>
    <row r="2131" spans="1:8" x14ac:dyDescent="0.25">
      <c r="A2131" t="s">
        <v>816</v>
      </c>
      <c r="B2131" t="s">
        <v>225</v>
      </c>
      <c r="C2131" s="5">
        <v>54288</v>
      </c>
      <c r="D2131" s="5">
        <v>815</v>
      </c>
      <c r="E2131">
        <v>44583</v>
      </c>
      <c r="F2131" s="4" t="s">
        <v>226</v>
      </c>
      <c r="G2131" t="s">
        <v>29</v>
      </c>
      <c r="H2131" t="s">
        <v>227</v>
      </c>
    </row>
    <row r="2132" spans="1:8" x14ac:dyDescent="0.25">
      <c r="A2132" t="s">
        <v>816</v>
      </c>
      <c r="B2132" t="s">
        <v>228</v>
      </c>
      <c r="C2132" s="5">
        <v>13368</v>
      </c>
      <c r="D2132" s="5">
        <v>167</v>
      </c>
      <c r="E2132">
        <v>6058</v>
      </c>
      <c r="F2132" s="4" t="s">
        <v>107</v>
      </c>
      <c r="G2132" t="s">
        <v>29</v>
      </c>
      <c r="H2132" t="s">
        <v>108</v>
      </c>
    </row>
    <row r="2133" spans="1:8" x14ac:dyDescent="0.25">
      <c r="A2133" t="s">
        <v>816</v>
      </c>
      <c r="B2133" t="s">
        <v>229</v>
      </c>
      <c r="C2133" s="5">
        <v>747595</v>
      </c>
      <c r="D2133" s="5">
        <v>15990</v>
      </c>
      <c r="E2133">
        <v>38167</v>
      </c>
      <c r="F2133" s="4" t="s">
        <v>823</v>
      </c>
      <c r="G2133" t="s">
        <v>29</v>
      </c>
      <c r="H2133" t="s">
        <v>824</v>
      </c>
    </row>
    <row r="2134" spans="1:8" x14ac:dyDescent="0.25">
      <c r="A2134" t="s">
        <v>816</v>
      </c>
      <c r="B2134" t="s">
        <v>232</v>
      </c>
      <c r="C2134" s="5">
        <v>601657</v>
      </c>
      <c r="D2134" s="5">
        <v>15137</v>
      </c>
      <c r="E2134">
        <v>275290</v>
      </c>
      <c r="F2134" s="4" t="s">
        <v>729</v>
      </c>
      <c r="G2134" t="s">
        <v>29</v>
      </c>
      <c r="H2134" t="s">
        <v>730</v>
      </c>
    </row>
    <row r="2135" spans="1:8" x14ac:dyDescent="0.25">
      <c r="A2135" t="s">
        <v>816</v>
      </c>
      <c r="B2135" t="s">
        <v>233</v>
      </c>
      <c r="C2135" s="5">
        <v>6134</v>
      </c>
      <c r="D2135" s="5">
        <v>141</v>
      </c>
      <c r="E2135">
        <v>1208</v>
      </c>
      <c r="F2135" s="4" t="s">
        <v>619</v>
      </c>
      <c r="G2135" t="s">
        <v>29</v>
      </c>
      <c r="H2135" t="s">
        <v>620</v>
      </c>
    </row>
    <row r="2136" spans="1:8" x14ac:dyDescent="0.25">
      <c r="A2136" t="s">
        <v>816</v>
      </c>
      <c r="B2136" t="s">
        <v>236</v>
      </c>
      <c r="C2136" s="5">
        <v>35657</v>
      </c>
      <c r="D2136" s="5">
        <v>925</v>
      </c>
      <c r="E2136">
        <v>20615</v>
      </c>
      <c r="F2136" s="4" t="s">
        <v>719</v>
      </c>
      <c r="G2136" t="s">
        <v>29</v>
      </c>
      <c r="H2136" t="s">
        <v>720</v>
      </c>
    </row>
    <row r="2137" spans="1:8" x14ac:dyDescent="0.25">
      <c r="A2137" t="s">
        <v>816</v>
      </c>
      <c r="B2137" t="s">
        <v>239</v>
      </c>
      <c r="C2137" s="5">
        <v>12347</v>
      </c>
      <c r="D2137" s="5">
        <v>213</v>
      </c>
      <c r="E2137">
        <v>7573</v>
      </c>
      <c r="F2137" s="4" t="s">
        <v>765</v>
      </c>
      <c r="G2137" t="s">
        <v>29</v>
      </c>
      <c r="H2137" t="s">
        <v>766</v>
      </c>
    </row>
    <row r="2138" spans="1:8" x14ac:dyDescent="0.25">
      <c r="A2138" t="s">
        <v>816</v>
      </c>
      <c r="B2138" t="s">
        <v>242</v>
      </c>
      <c r="C2138" s="5">
        <v>375381</v>
      </c>
      <c r="D2138" s="5">
        <v>10239</v>
      </c>
      <c r="E2138">
        <v>146821</v>
      </c>
      <c r="F2138" s="4" t="s">
        <v>806</v>
      </c>
      <c r="G2138" t="s">
        <v>29</v>
      </c>
      <c r="H2138" t="s">
        <v>807</v>
      </c>
    </row>
    <row r="2139" spans="1:8" x14ac:dyDescent="0.25">
      <c r="A2139" t="s">
        <v>816</v>
      </c>
      <c r="B2139" t="s">
        <v>245</v>
      </c>
      <c r="C2139" s="5">
        <v>471474</v>
      </c>
      <c r="D2139" s="5">
        <v>9251</v>
      </c>
      <c r="E2139">
        <v>427645</v>
      </c>
      <c r="F2139" s="4" t="s">
        <v>771</v>
      </c>
      <c r="G2139" t="s">
        <v>29</v>
      </c>
      <c r="H2139" t="s">
        <v>772</v>
      </c>
    </row>
    <row r="2140" spans="1:8" x14ac:dyDescent="0.25">
      <c r="A2140" t="s">
        <v>816</v>
      </c>
      <c r="B2140" t="s">
        <v>248</v>
      </c>
      <c r="C2140" s="5">
        <v>23960</v>
      </c>
      <c r="D2140" s="5">
        <v>671</v>
      </c>
      <c r="E2140">
        <v>15429</v>
      </c>
      <c r="F2140" s="4" t="s">
        <v>441</v>
      </c>
      <c r="G2140" t="s">
        <v>29</v>
      </c>
      <c r="H2140" t="s">
        <v>442</v>
      </c>
    </row>
    <row r="2141" spans="1:8" x14ac:dyDescent="0.25">
      <c r="A2141" t="s">
        <v>816</v>
      </c>
      <c r="B2141" t="s">
        <v>251</v>
      </c>
      <c r="C2141" s="5">
        <v>874630</v>
      </c>
      <c r="D2141" s="5">
        <v>30881</v>
      </c>
      <c r="E2141">
        <v>81780</v>
      </c>
      <c r="F2141" s="4" t="s">
        <v>430</v>
      </c>
      <c r="G2141" t="s">
        <v>29</v>
      </c>
      <c r="H2141" t="s">
        <v>431</v>
      </c>
    </row>
    <row r="2142" spans="1:8" x14ac:dyDescent="0.25">
      <c r="A2142" t="s">
        <v>816</v>
      </c>
      <c r="B2142" t="s">
        <v>254</v>
      </c>
      <c r="C2142" s="5">
        <v>4244761</v>
      </c>
      <c r="D2142" s="5">
        <v>143423</v>
      </c>
      <c r="E2142">
        <v>3718267</v>
      </c>
      <c r="F2142" s="4" t="s">
        <v>255</v>
      </c>
      <c r="G2142" t="s">
        <v>29</v>
      </c>
      <c r="H2142" t="s">
        <v>256</v>
      </c>
    </row>
    <row r="2143" spans="1:8" x14ac:dyDescent="0.25">
      <c r="A2143" t="s">
        <v>816</v>
      </c>
      <c r="B2143" t="s">
        <v>257</v>
      </c>
      <c r="C2143" s="5">
        <v>448449</v>
      </c>
      <c r="D2143" s="5">
        <v>5436</v>
      </c>
      <c r="E2143">
        <v>257027</v>
      </c>
      <c r="F2143" s="4" t="s">
        <v>775</v>
      </c>
      <c r="G2143" t="s">
        <v>29</v>
      </c>
      <c r="H2143" t="s">
        <v>776</v>
      </c>
    </row>
    <row r="2144" spans="1:8" x14ac:dyDescent="0.25">
      <c r="A2144" t="s">
        <v>816</v>
      </c>
      <c r="B2144" t="s">
        <v>260</v>
      </c>
      <c r="C2144" s="5">
        <v>1328218</v>
      </c>
      <c r="D2144" s="5">
        <v>8103</v>
      </c>
      <c r="E2144">
        <v>656126</v>
      </c>
      <c r="F2144" s="4" t="s">
        <v>261</v>
      </c>
      <c r="G2144" t="s">
        <v>29</v>
      </c>
      <c r="H2144" t="s">
        <v>262</v>
      </c>
    </row>
    <row r="2145" spans="1:8" x14ac:dyDescent="0.25">
      <c r="A2145" t="s">
        <v>816</v>
      </c>
      <c r="B2145" t="s">
        <v>263</v>
      </c>
      <c r="C2145" s="5">
        <v>34296237</v>
      </c>
      <c r="D2145" s="5">
        <v>458880</v>
      </c>
      <c r="E2145">
        <v>5758493</v>
      </c>
      <c r="F2145" s="4" t="s">
        <v>264</v>
      </c>
      <c r="G2145" t="s">
        <v>29</v>
      </c>
      <c r="H2145" t="s">
        <v>265</v>
      </c>
    </row>
    <row r="2146" spans="1:8" x14ac:dyDescent="0.25">
      <c r="A2146" t="s">
        <v>816</v>
      </c>
      <c r="B2146" t="s">
        <v>266</v>
      </c>
      <c r="C2146" s="5">
        <v>2056401</v>
      </c>
      <c r="D2146" s="5">
        <v>23196</v>
      </c>
      <c r="E2146">
        <v>834090</v>
      </c>
      <c r="F2146" s="4" t="s">
        <v>267</v>
      </c>
      <c r="G2146" t="s">
        <v>29</v>
      </c>
      <c r="H2146" t="s">
        <v>268</v>
      </c>
    </row>
    <row r="2147" spans="1:8" x14ac:dyDescent="0.25">
      <c r="A2147" t="s">
        <v>816</v>
      </c>
      <c r="B2147" t="s">
        <v>269</v>
      </c>
      <c r="C2147" s="5">
        <v>5934495</v>
      </c>
      <c r="D2147" s="5">
        <v>126456</v>
      </c>
      <c r="E2147">
        <v>3864082</v>
      </c>
      <c r="F2147" s="4" t="s">
        <v>650</v>
      </c>
      <c r="G2147" t="s">
        <v>29</v>
      </c>
      <c r="H2147" t="s">
        <v>651</v>
      </c>
    </row>
    <row r="2148" spans="1:8" x14ac:dyDescent="0.25">
      <c r="A2148" t="s">
        <v>816</v>
      </c>
      <c r="B2148" t="s">
        <v>272</v>
      </c>
      <c r="C2148" s="5">
        <v>13739</v>
      </c>
      <c r="D2148" s="5">
        <v>33</v>
      </c>
      <c r="E2148">
        <v>13197</v>
      </c>
      <c r="F2148" s="4" t="s">
        <v>454</v>
      </c>
      <c r="G2148" t="s">
        <v>29</v>
      </c>
      <c r="H2148" t="s">
        <v>455</v>
      </c>
    </row>
    <row r="2149" spans="1:8" x14ac:dyDescent="0.25">
      <c r="A2149" t="s">
        <v>816</v>
      </c>
      <c r="B2149" t="s">
        <v>275</v>
      </c>
      <c r="C2149" s="5">
        <v>4774783</v>
      </c>
      <c r="D2149" s="5">
        <v>132120</v>
      </c>
      <c r="E2149">
        <v>1830785</v>
      </c>
      <c r="F2149" s="4" t="s">
        <v>507</v>
      </c>
      <c r="G2149" t="s">
        <v>29</v>
      </c>
      <c r="H2149" t="s">
        <v>508</v>
      </c>
    </row>
    <row r="2150" spans="1:8" x14ac:dyDescent="0.25">
      <c r="A2150" t="s">
        <v>816</v>
      </c>
      <c r="B2150" t="s">
        <v>278</v>
      </c>
      <c r="C2150" s="5">
        <v>89123</v>
      </c>
      <c r="D2150" s="5">
        <v>2243</v>
      </c>
      <c r="E2150">
        <v>9591</v>
      </c>
      <c r="F2150" s="4" t="s">
        <v>729</v>
      </c>
      <c r="G2150" t="s">
        <v>29</v>
      </c>
      <c r="H2150" t="s">
        <v>730</v>
      </c>
    </row>
    <row r="2151" spans="1:8" x14ac:dyDescent="0.25">
      <c r="A2151" t="s">
        <v>816</v>
      </c>
      <c r="B2151" t="s">
        <v>279</v>
      </c>
      <c r="C2151" s="5">
        <v>864661</v>
      </c>
      <c r="D2151" s="5">
        <v>11052</v>
      </c>
      <c r="E2151">
        <v>448359</v>
      </c>
      <c r="F2151" s="4" t="s">
        <v>381</v>
      </c>
      <c r="G2151" t="s">
        <v>29</v>
      </c>
      <c r="H2151" t="s">
        <v>382</v>
      </c>
    </row>
    <row r="2152" spans="1:8" x14ac:dyDescent="0.25">
      <c r="A2152" t="s">
        <v>816</v>
      </c>
      <c r="B2152" t="s">
        <v>280</v>
      </c>
      <c r="C2152" s="5">
        <v>1722427</v>
      </c>
      <c r="D2152" s="5">
        <v>18271</v>
      </c>
      <c r="E2152">
        <v>266240</v>
      </c>
      <c r="F2152" s="4" t="s">
        <v>165</v>
      </c>
      <c r="G2152" t="s">
        <v>29</v>
      </c>
      <c r="H2152" t="s">
        <v>166</v>
      </c>
    </row>
    <row r="2153" spans="1:8" x14ac:dyDescent="0.25">
      <c r="A2153" t="s">
        <v>816</v>
      </c>
      <c r="B2153" t="s">
        <v>281</v>
      </c>
      <c r="C2153" s="5">
        <v>253339</v>
      </c>
      <c r="D2153" s="5">
        <v>5281</v>
      </c>
      <c r="E2153">
        <v>11472</v>
      </c>
      <c r="F2153" s="4" t="s">
        <v>549</v>
      </c>
      <c r="G2153" t="s">
        <v>29</v>
      </c>
      <c r="H2153" t="s">
        <v>550</v>
      </c>
    </row>
    <row r="2154" spans="1:8" x14ac:dyDescent="0.25">
      <c r="A2154" t="s">
        <v>816</v>
      </c>
      <c r="B2154" t="s">
        <v>284</v>
      </c>
      <c r="C2154" s="5">
        <v>181327</v>
      </c>
      <c r="D2154" s="5">
        <v>2672</v>
      </c>
      <c r="E2154">
        <v>8947</v>
      </c>
      <c r="F2154" s="4" t="s">
        <v>777</v>
      </c>
      <c r="G2154" t="s">
        <v>29</v>
      </c>
      <c r="H2154" t="s">
        <v>778</v>
      </c>
    </row>
    <row r="2155" spans="1:8" x14ac:dyDescent="0.25">
      <c r="A2155" t="s">
        <v>816</v>
      </c>
      <c r="B2155" t="s">
        <v>290</v>
      </c>
      <c r="C2155" s="5">
        <v>2</v>
      </c>
      <c r="D2155" s="5">
        <v>0</v>
      </c>
      <c r="E2155">
        <v>2</v>
      </c>
      <c r="F2155" s="4" t="s">
        <v>29</v>
      </c>
      <c r="G2155" t="s">
        <v>29</v>
      </c>
      <c r="H2155" t="s">
        <v>291</v>
      </c>
    </row>
    <row r="2156" spans="1:8" x14ac:dyDescent="0.25">
      <c r="A2156" t="s">
        <v>816</v>
      </c>
      <c r="B2156" t="s">
        <v>287</v>
      </c>
      <c r="C2156" s="5">
        <v>118613</v>
      </c>
      <c r="D2156" s="5">
        <v>2794</v>
      </c>
      <c r="E2156">
        <v>114731</v>
      </c>
      <c r="F2156" s="4" t="s">
        <v>339</v>
      </c>
      <c r="G2156" t="s">
        <v>29</v>
      </c>
      <c r="H2156" t="s">
        <v>340</v>
      </c>
    </row>
    <row r="2157" spans="1:8" x14ac:dyDescent="0.25">
      <c r="A2157" t="s">
        <v>816</v>
      </c>
      <c r="B2157" t="s">
        <v>292</v>
      </c>
      <c r="C2157" s="5">
        <v>4266</v>
      </c>
      <c r="D2157" s="5">
        <v>147</v>
      </c>
      <c r="E2157">
        <v>481</v>
      </c>
      <c r="F2157" s="4" t="s">
        <v>388</v>
      </c>
      <c r="G2157" t="s">
        <v>29</v>
      </c>
      <c r="H2157" t="s">
        <v>389</v>
      </c>
    </row>
    <row r="2158" spans="1:8" x14ac:dyDescent="0.25">
      <c r="A2158" t="s">
        <v>816</v>
      </c>
      <c r="B2158" t="s">
        <v>293</v>
      </c>
      <c r="C2158" s="5">
        <v>2675</v>
      </c>
      <c r="D2158" s="5">
        <v>25</v>
      </c>
      <c r="E2158">
        <v>204</v>
      </c>
      <c r="F2158" s="4" t="s">
        <v>484</v>
      </c>
      <c r="G2158" t="s">
        <v>29</v>
      </c>
      <c r="H2158" t="s">
        <v>485</v>
      </c>
    </row>
    <row r="2159" spans="1:8" x14ac:dyDescent="0.25">
      <c r="A2159" t="s">
        <v>816</v>
      </c>
      <c r="B2159" t="s">
        <v>296</v>
      </c>
      <c r="C2159" s="5">
        <v>367974</v>
      </c>
      <c r="D2159" s="5">
        <v>2874</v>
      </c>
      <c r="E2159">
        <v>263989</v>
      </c>
      <c r="F2159" s="4" t="s">
        <v>297</v>
      </c>
      <c r="G2159" t="s">
        <v>29</v>
      </c>
      <c r="H2159" t="s">
        <v>298</v>
      </c>
    </row>
    <row r="2160" spans="1:8" x14ac:dyDescent="0.25">
      <c r="A2160" t="s">
        <v>816</v>
      </c>
      <c r="B2160" t="s">
        <v>299</v>
      </c>
      <c r="C2160" s="5">
        <v>412708</v>
      </c>
      <c r="D2160" s="5">
        <v>2462</v>
      </c>
      <c r="E2160">
        <v>95305</v>
      </c>
      <c r="F2160" s="4" t="s">
        <v>300</v>
      </c>
      <c r="G2160" t="s">
        <v>29</v>
      </c>
      <c r="H2160" t="s">
        <v>301</v>
      </c>
    </row>
    <row r="2161" spans="1:8" x14ac:dyDescent="0.25">
      <c r="A2161" t="s">
        <v>816</v>
      </c>
      <c r="B2161" t="s">
        <v>302</v>
      </c>
      <c r="C2161" s="5">
        <v>1021452</v>
      </c>
      <c r="D2161" s="5">
        <v>17150</v>
      </c>
      <c r="E2161">
        <v>723251</v>
      </c>
      <c r="F2161" s="4" t="s">
        <v>116</v>
      </c>
      <c r="G2161" t="s">
        <v>29</v>
      </c>
      <c r="H2161" t="s">
        <v>117</v>
      </c>
    </row>
    <row r="2162" spans="1:8" x14ac:dyDescent="0.25">
      <c r="A2162" t="s">
        <v>816</v>
      </c>
      <c r="B2162" t="s">
        <v>303</v>
      </c>
      <c r="C2162" s="5">
        <v>40956</v>
      </c>
      <c r="D2162" s="5">
        <v>67</v>
      </c>
      <c r="E2162">
        <v>19373</v>
      </c>
      <c r="F2162" s="4" t="s">
        <v>825</v>
      </c>
      <c r="G2162" t="s">
        <v>29</v>
      </c>
      <c r="H2162" t="s">
        <v>826</v>
      </c>
    </row>
    <row r="2163" spans="1:8" x14ac:dyDescent="0.25">
      <c r="A2163" t="s">
        <v>816</v>
      </c>
      <c r="B2163" t="s">
        <v>306</v>
      </c>
      <c r="C2163" s="5">
        <v>642225</v>
      </c>
      <c r="D2163" s="5">
        <v>8509</v>
      </c>
      <c r="E2163">
        <v>375026</v>
      </c>
      <c r="F2163" s="4" t="s">
        <v>307</v>
      </c>
      <c r="G2163" t="s">
        <v>29</v>
      </c>
      <c r="H2163" t="s">
        <v>308</v>
      </c>
    </row>
    <row r="2164" spans="1:8" x14ac:dyDescent="0.25">
      <c r="A2164" t="s">
        <v>816</v>
      </c>
      <c r="B2164" t="s">
        <v>309</v>
      </c>
      <c r="C2164" s="5">
        <v>12573</v>
      </c>
      <c r="D2164" s="5">
        <v>255</v>
      </c>
      <c r="E2164">
        <v>8709</v>
      </c>
      <c r="F2164" s="4" t="s">
        <v>713</v>
      </c>
      <c r="G2164" t="s">
        <v>29</v>
      </c>
      <c r="H2164" t="s">
        <v>714</v>
      </c>
    </row>
    <row r="2165" spans="1:8" x14ac:dyDescent="0.25">
      <c r="A2165" t="s">
        <v>816</v>
      </c>
      <c r="B2165" t="s">
        <v>312</v>
      </c>
      <c r="C2165" s="5">
        <v>3662</v>
      </c>
      <c r="D2165" s="5">
        <v>61</v>
      </c>
      <c r="E2165">
        <v>594</v>
      </c>
      <c r="F2165" s="4" t="s">
        <v>827</v>
      </c>
      <c r="G2165" t="s">
        <v>29</v>
      </c>
      <c r="H2165" t="s">
        <v>828</v>
      </c>
    </row>
    <row r="2166" spans="1:8" x14ac:dyDescent="0.25">
      <c r="A2166" t="s">
        <v>816</v>
      </c>
      <c r="B2166" t="s">
        <v>315</v>
      </c>
      <c r="C2166" s="5">
        <v>541639</v>
      </c>
      <c r="D2166" s="5">
        <v>13760</v>
      </c>
      <c r="E2166">
        <v>337586</v>
      </c>
      <c r="F2166" s="4" t="s">
        <v>141</v>
      </c>
      <c r="G2166" t="s">
        <v>29</v>
      </c>
      <c r="H2166" t="s">
        <v>142</v>
      </c>
    </row>
    <row r="2167" spans="1:8" x14ac:dyDescent="0.25">
      <c r="A2167" t="s">
        <v>816</v>
      </c>
      <c r="B2167" t="s">
        <v>316</v>
      </c>
      <c r="C2167" s="5">
        <v>5815</v>
      </c>
      <c r="D2167" s="5">
        <v>287</v>
      </c>
      <c r="E2167">
        <v>2358</v>
      </c>
      <c r="F2167" s="4" t="s">
        <v>644</v>
      </c>
      <c r="G2167" t="s">
        <v>29</v>
      </c>
      <c r="H2167" t="s">
        <v>645</v>
      </c>
    </row>
    <row r="2168" spans="1:8" x14ac:dyDescent="0.25">
      <c r="A2168" t="s">
        <v>816</v>
      </c>
      <c r="B2168" t="s">
        <v>319</v>
      </c>
      <c r="C2168" s="5">
        <v>21635</v>
      </c>
      <c r="D2168" s="5">
        <v>658</v>
      </c>
      <c r="E2168">
        <v>2680</v>
      </c>
      <c r="F2168" s="4" t="s">
        <v>320</v>
      </c>
      <c r="G2168" t="s">
        <v>29</v>
      </c>
      <c r="H2168" t="s">
        <v>321</v>
      </c>
    </row>
    <row r="2169" spans="1:8" x14ac:dyDescent="0.25">
      <c r="A2169" t="s">
        <v>816</v>
      </c>
      <c r="B2169" t="s">
        <v>322</v>
      </c>
      <c r="C2169" s="5">
        <v>410580</v>
      </c>
      <c r="D2169" s="5">
        <v>5913</v>
      </c>
      <c r="E2169">
        <v>330691</v>
      </c>
      <c r="F2169" s="4" t="s">
        <v>330</v>
      </c>
      <c r="G2169" t="s">
        <v>29</v>
      </c>
      <c r="H2169" t="s">
        <v>331</v>
      </c>
    </row>
    <row r="2170" spans="1:8" x14ac:dyDescent="0.25">
      <c r="A2170" t="s">
        <v>816</v>
      </c>
      <c r="B2170" t="s">
        <v>325</v>
      </c>
      <c r="C2170" s="5">
        <v>81683</v>
      </c>
      <c r="D2170" s="5">
        <v>843</v>
      </c>
      <c r="E2170">
        <v>70785</v>
      </c>
      <c r="F2170" s="4" t="s">
        <v>687</v>
      </c>
      <c r="G2170" t="s">
        <v>29</v>
      </c>
      <c r="H2170" t="s">
        <v>688</v>
      </c>
    </row>
    <row r="2171" spans="1:8" x14ac:dyDescent="0.25">
      <c r="A2171" t="s">
        <v>816</v>
      </c>
      <c r="B2171" t="s">
        <v>328</v>
      </c>
      <c r="C2171" s="5">
        <v>219911</v>
      </c>
      <c r="D2171" s="5">
        <v>3269</v>
      </c>
      <c r="E2171">
        <v>138638</v>
      </c>
      <c r="F2171" s="4" t="s">
        <v>800</v>
      </c>
      <c r="G2171" t="s">
        <v>29</v>
      </c>
      <c r="H2171" t="s">
        <v>801</v>
      </c>
    </row>
    <row r="2172" spans="1:8" x14ac:dyDescent="0.25">
      <c r="A2172" t="s">
        <v>816</v>
      </c>
      <c r="B2172" t="s">
        <v>329</v>
      </c>
      <c r="C2172" s="5">
        <v>357964</v>
      </c>
      <c r="D2172" s="5">
        <v>5122</v>
      </c>
      <c r="E2172">
        <v>117704</v>
      </c>
      <c r="F2172" s="4" t="s">
        <v>323</v>
      </c>
      <c r="G2172" t="s">
        <v>29</v>
      </c>
      <c r="H2172" t="s">
        <v>324</v>
      </c>
    </row>
    <row r="2173" spans="1:8" x14ac:dyDescent="0.25">
      <c r="A2173" t="s">
        <v>816</v>
      </c>
      <c r="B2173" t="s">
        <v>332</v>
      </c>
      <c r="C2173" s="5">
        <v>946283</v>
      </c>
      <c r="D2173" s="5">
        <v>14678</v>
      </c>
      <c r="E2173">
        <v>424506</v>
      </c>
      <c r="F2173" s="4" t="s">
        <v>333</v>
      </c>
      <c r="G2173" t="s">
        <v>29</v>
      </c>
      <c r="H2173" t="s">
        <v>334</v>
      </c>
    </row>
    <row r="2174" spans="1:8" x14ac:dyDescent="0.25">
      <c r="A2174" t="s">
        <v>816</v>
      </c>
      <c r="B2174" t="s">
        <v>335</v>
      </c>
      <c r="C2174" s="5">
        <v>3414</v>
      </c>
      <c r="D2174" s="5">
        <v>36</v>
      </c>
      <c r="E2174">
        <v>3233</v>
      </c>
      <c r="F2174" s="4" t="s">
        <v>642</v>
      </c>
      <c r="G2174" t="s">
        <v>29</v>
      </c>
      <c r="H2174" t="s">
        <v>643</v>
      </c>
    </row>
    <row r="2175" spans="1:8" x14ac:dyDescent="0.25">
      <c r="A2175" t="s">
        <v>816</v>
      </c>
      <c r="B2175" t="s">
        <v>338</v>
      </c>
      <c r="C2175" s="5">
        <v>339114</v>
      </c>
      <c r="D2175" s="5">
        <v>7828</v>
      </c>
      <c r="E2175">
        <v>291358</v>
      </c>
      <c r="F2175" s="4" t="s">
        <v>234</v>
      </c>
      <c r="G2175" t="s">
        <v>29</v>
      </c>
      <c r="H2175" t="s">
        <v>235</v>
      </c>
    </row>
    <row r="2176" spans="1:8" x14ac:dyDescent="0.25">
      <c r="A2176" t="s">
        <v>816</v>
      </c>
      <c r="B2176" t="s">
        <v>341</v>
      </c>
      <c r="C2176" s="5">
        <v>144692</v>
      </c>
      <c r="D2176" s="5">
        <v>2107</v>
      </c>
      <c r="E2176">
        <v>3042</v>
      </c>
      <c r="F2176" s="4" t="s">
        <v>565</v>
      </c>
      <c r="G2176" t="s">
        <v>29</v>
      </c>
      <c r="H2176" t="s">
        <v>566</v>
      </c>
    </row>
    <row r="2177" spans="1:8" x14ac:dyDescent="0.25">
      <c r="A2177" t="s">
        <v>816</v>
      </c>
      <c r="B2177" t="s">
        <v>344</v>
      </c>
      <c r="C2177" s="5">
        <v>3920</v>
      </c>
      <c r="D2177" s="5">
        <v>56</v>
      </c>
      <c r="E2177">
        <v>49</v>
      </c>
      <c r="F2177" s="4" t="s">
        <v>323</v>
      </c>
      <c r="G2177" t="s">
        <v>29</v>
      </c>
      <c r="H2177" t="s">
        <v>324</v>
      </c>
    </row>
    <row r="2178" spans="1:8" x14ac:dyDescent="0.25">
      <c r="A2178" t="s">
        <v>816</v>
      </c>
      <c r="B2178" t="s">
        <v>347</v>
      </c>
      <c r="C2178" s="5">
        <v>43626</v>
      </c>
      <c r="D2178" s="5">
        <v>963</v>
      </c>
      <c r="E2178">
        <v>23173</v>
      </c>
      <c r="F2178" s="4" t="s">
        <v>132</v>
      </c>
      <c r="G2178" t="s">
        <v>29</v>
      </c>
      <c r="H2178" t="s">
        <v>133</v>
      </c>
    </row>
    <row r="2179" spans="1:8" x14ac:dyDescent="0.25">
      <c r="A2179" t="s">
        <v>816</v>
      </c>
      <c r="B2179" t="s">
        <v>348</v>
      </c>
      <c r="C2179" s="5">
        <v>4</v>
      </c>
      <c r="D2179" s="5">
        <v>0</v>
      </c>
      <c r="E2179">
        <v>0</v>
      </c>
      <c r="F2179" s="4" t="s">
        <v>29</v>
      </c>
      <c r="G2179" t="s">
        <v>29</v>
      </c>
      <c r="H2179" t="s">
        <v>291</v>
      </c>
    </row>
    <row r="2180" spans="1:8" x14ac:dyDescent="0.25">
      <c r="A2180" t="s">
        <v>816</v>
      </c>
      <c r="B2180" t="s">
        <v>349</v>
      </c>
      <c r="C2180" s="5">
        <v>202705</v>
      </c>
      <c r="D2180" s="5">
        <v>7145</v>
      </c>
      <c r="E2180">
        <v>180857</v>
      </c>
      <c r="F2180" s="4" t="s">
        <v>353</v>
      </c>
      <c r="G2180" t="s">
        <v>29</v>
      </c>
      <c r="H2180" t="s">
        <v>354</v>
      </c>
    </row>
    <row r="2181" spans="1:8" x14ac:dyDescent="0.25">
      <c r="A2181" t="s">
        <v>816</v>
      </c>
      <c r="B2181" t="s">
        <v>352</v>
      </c>
      <c r="C2181" s="5">
        <v>16098</v>
      </c>
      <c r="D2181" s="5">
        <v>565</v>
      </c>
      <c r="E2181">
        <v>11466</v>
      </c>
      <c r="F2181" s="4" t="s">
        <v>350</v>
      </c>
      <c r="G2181" t="s">
        <v>29</v>
      </c>
      <c r="H2181" t="s">
        <v>351</v>
      </c>
    </row>
    <row r="2182" spans="1:8" x14ac:dyDescent="0.25">
      <c r="A2182" t="s">
        <v>816</v>
      </c>
      <c r="B2182" t="s">
        <v>355</v>
      </c>
      <c r="C2182" s="5">
        <v>500950</v>
      </c>
      <c r="D2182" s="5">
        <v>18714</v>
      </c>
      <c r="E2182">
        <v>239523</v>
      </c>
      <c r="F2182" s="4" t="s">
        <v>829</v>
      </c>
      <c r="G2182" t="s">
        <v>29</v>
      </c>
      <c r="H2182" t="s">
        <v>830</v>
      </c>
    </row>
    <row r="2183" spans="1:8" x14ac:dyDescent="0.25">
      <c r="A2183" t="s">
        <v>816</v>
      </c>
      <c r="B2183" t="s">
        <v>358</v>
      </c>
      <c r="C2183" s="5">
        <v>361338</v>
      </c>
      <c r="D2183" s="5">
        <v>1755</v>
      </c>
      <c r="E2183">
        <v>27635</v>
      </c>
      <c r="F2183" s="4" t="s">
        <v>638</v>
      </c>
      <c r="G2183" t="s">
        <v>29</v>
      </c>
      <c r="H2183" t="s">
        <v>639</v>
      </c>
    </row>
    <row r="2184" spans="1:8" x14ac:dyDescent="0.25">
      <c r="A2184" t="s">
        <v>816</v>
      </c>
      <c r="B2184" t="s">
        <v>359</v>
      </c>
      <c r="C2184" s="5">
        <v>77</v>
      </c>
      <c r="D2184" s="5">
        <v>0</v>
      </c>
      <c r="E2184">
        <v>71</v>
      </c>
      <c r="F2184" s="4" t="s">
        <v>29</v>
      </c>
      <c r="G2184" t="s">
        <v>29</v>
      </c>
      <c r="H2184" t="s">
        <v>291</v>
      </c>
    </row>
    <row r="2185" spans="1:8" x14ac:dyDescent="0.25">
      <c r="A2185" t="s">
        <v>816</v>
      </c>
      <c r="B2185" t="s">
        <v>360</v>
      </c>
      <c r="C2185" s="5">
        <v>43347</v>
      </c>
      <c r="D2185" s="5">
        <v>683</v>
      </c>
      <c r="E2185">
        <v>6714</v>
      </c>
      <c r="F2185" s="4" t="s">
        <v>577</v>
      </c>
      <c r="G2185" t="s">
        <v>29</v>
      </c>
      <c r="H2185" t="s">
        <v>578</v>
      </c>
    </row>
    <row r="2186" spans="1:8" x14ac:dyDescent="0.25">
      <c r="A2186" t="s">
        <v>816</v>
      </c>
      <c r="B2186" t="s">
        <v>363</v>
      </c>
      <c r="C2186" s="5">
        <v>37368</v>
      </c>
      <c r="D2186" s="5">
        <v>797</v>
      </c>
      <c r="E2186">
        <v>30268</v>
      </c>
      <c r="F2186" s="4" t="s">
        <v>650</v>
      </c>
      <c r="G2186" t="s">
        <v>29</v>
      </c>
      <c r="H2186" t="s">
        <v>651</v>
      </c>
    </row>
    <row r="2187" spans="1:8" x14ac:dyDescent="0.25">
      <c r="A2187" t="s">
        <v>816</v>
      </c>
      <c r="B2187" t="s">
        <v>364</v>
      </c>
      <c r="C2187" s="5">
        <v>37673</v>
      </c>
      <c r="D2187" s="5">
        <v>461</v>
      </c>
      <c r="E2187">
        <v>36988</v>
      </c>
      <c r="F2187" s="4" t="s">
        <v>365</v>
      </c>
      <c r="G2187" t="s">
        <v>29</v>
      </c>
      <c r="H2187" t="s">
        <v>366</v>
      </c>
    </row>
    <row r="2188" spans="1:8" x14ac:dyDescent="0.25">
      <c r="A2188" t="s">
        <v>816</v>
      </c>
      <c r="B2188" t="s">
        <v>367</v>
      </c>
      <c r="C2188" s="5">
        <v>17812</v>
      </c>
      <c r="D2188" s="5">
        <v>176</v>
      </c>
      <c r="E2188">
        <v>11123</v>
      </c>
      <c r="F2188" s="4" t="s">
        <v>294</v>
      </c>
      <c r="G2188" t="s">
        <v>29</v>
      </c>
      <c r="H2188" t="s">
        <v>295</v>
      </c>
    </row>
    <row r="2189" spans="1:8" x14ac:dyDescent="0.25">
      <c r="A2189" t="s">
        <v>816</v>
      </c>
      <c r="B2189" t="s">
        <v>368</v>
      </c>
      <c r="C2189" s="5">
        <v>87915</v>
      </c>
      <c r="D2189" s="5">
        <v>243</v>
      </c>
      <c r="E2189">
        <v>439</v>
      </c>
      <c r="F2189" s="4" t="s">
        <v>369</v>
      </c>
      <c r="G2189" t="s">
        <v>29</v>
      </c>
      <c r="H2189" t="s">
        <v>370</v>
      </c>
    </row>
    <row r="2190" spans="1:8" x14ac:dyDescent="0.25">
      <c r="A2190" t="s">
        <v>816</v>
      </c>
      <c r="B2190" t="s">
        <v>371</v>
      </c>
      <c r="C2190" s="5">
        <v>61800</v>
      </c>
      <c r="D2190" s="5">
        <v>2302</v>
      </c>
      <c r="E2190">
        <v>24162</v>
      </c>
      <c r="F2190" s="4" t="s">
        <v>372</v>
      </c>
      <c r="G2190" t="s">
        <v>29</v>
      </c>
      <c r="H2190" t="s">
        <v>373</v>
      </c>
    </row>
    <row r="2191" spans="1:8" x14ac:dyDescent="0.25">
      <c r="A2191" t="s">
        <v>816</v>
      </c>
      <c r="B2191" t="s">
        <v>374</v>
      </c>
      <c r="C2191" s="5">
        <v>3807211</v>
      </c>
      <c r="D2191" s="5">
        <v>288365</v>
      </c>
      <c r="E2191">
        <v>1064224</v>
      </c>
      <c r="F2191" s="4" t="s">
        <v>375</v>
      </c>
      <c r="G2191" t="s">
        <v>29</v>
      </c>
      <c r="H2191" t="s">
        <v>376</v>
      </c>
    </row>
    <row r="2192" spans="1:8" x14ac:dyDescent="0.25">
      <c r="A2192" t="s">
        <v>816</v>
      </c>
      <c r="B2192" t="s">
        <v>377</v>
      </c>
      <c r="C2192" s="5">
        <v>2476268</v>
      </c>
      <c r="D2192" s="5">
        <v>28975</v>
      </c>
      <c r="E2192">
        <v>1841063</v>
      </c>
      <c r="F2192" s="4" t="s">
        <v>378</v>
      </c>
      <c r="G2192" t="s">
        <v>29</v>
      </c>
      <c r="H2192" t="s">
        <v>379</v>
      </c>
    </row>
    <row r="2193" spans="1:8" x14ac:dyDescent="0.25">
      <c r="A2193" t="s">
        <v>816</v>
      </c>
      <c r="B2193" t="s">
        <v>380</v>
      </c>
      <c r="C2193" s="5">
        <v>151302</v>
      </c>
      <c r="D2193" s="5">
        <v>1931</v>
      </c>
      <c r="E2193">
        <v>17573</v>
      </c>
      <c r="F2193" s="4" t="s">
        <v>381</v>
      </c>
      <c r="G2193" t="s">
        <v>29</v>
      </c>
      <c r="H2193" t="s">
        <v>382</v>
      </c>
    </row>
    <row r="2194" spans="1:8" x14ac:dyDescent="0.25">
      <c r="A2194" t="s">
        <v>816</v>
      </c>
      <c r="B2194" t="s">
        <v>383</v>
      </c>
      <c r="C2194" s="5">
        <v>128938</v>
      </c>
      <c r="D2194" s="5">
        <v>3554</v>
      </c>
      <c r="E2194">
        <v>79292</v>
      </c>
      <c r="F2194" s="4" t="s">
        <v>384</v>
      </c>
      <c r="G2194" t="s">
        <v>29</v>
      </c>
      <c r="H2194" t="s">
        <v>385</v>
      </c>
    </row>
    <row r="2195" spans="1:8" x14ac:dyDescent="0.25">
      <c r="A2195" t="s">
        <v>816</v>
      </c>
      <c r="B2195" t="s">
        <v>386</v>
      </c>
      <c r="C2195" s="5">
        <v>10985</v>
      </c>
      <c r="D2195" s="5">
        <v>266</v>
      </c>
      <c r="E2195">
        <v>7782</v>
      </c>
      <c r="F2195" s="4" t="s">
        <v>796</v>
      </c>
      <c r="G2195" t="s">
        <v>29</v>
      </c>
      <c r="H2195" t="s">
        <v>797</v>
      </c>
    </row>
    <row r="2196" spans="1:8" x14ac:dyDescent="0.25">
      <c r="A2196" t="s">
        <v>816</v>
      </c>
      <c r="B2196" t="s">
        <v>387</v>
      </c>
      <c r="C2196" s="5">
        <v>6366</v>
      </c>
      <c r="D2196" s="5">
        <v>213</v>
      </c>
      <c r="E2196">
        <v>3981</v>
      </c>
      <c r="F2196" s="4" t="s">
        <v>831</v>
      </c>
      <c r="G2196" t="s">
        <v>29</v>
      </c>
      <c r="H2196" t="s">
        <v>832</v>
      </c>
    </row>
    <row r="2197" spans="1:8" x14ac:dyDescent="0.25">
      <c r="A2197" t="s">
        <v>816</v>
      </c>
      <c r="B2197" t="s">
        <v>390</v>
      </c>
      <c r="C2197" s="5">
        <v>212051</v>
      </c>
      <c r="D2197" s="5">
        <v>2898</v>
      </c>
      <c r="E2197">
        <v>93683</v>
      </c>
      <c r="F2197" s="4" t="s">
        <v>391</v>
      </c>
      <c r="G2197" t="s">
        <v>29</v>
      </c>
      <c r="H2197" t="s">
        <v>392</v>
      </c>
    </row>
    <row r="2198" spans="1:8" x14ac:dyDescent="0.25">
      <c r="A2198" t="s">
        <v>816</v>
      </c>
      <c r="B2198" t="s">
        <v>393</v>
      </c>
      <c r="C2198" s="5">
        <v>16422</v>
      </c>
      <c r="D2198" s="5">
        <v>208</v>
      </c>
      <c r="E2198">
        <v>14774</v>
      </c>
      <c r="F2198" s="4" t="s">
        <v>53</v>
      </c>
      <c r="G2198" t="s">
        <v>29</v>
      </c>
      <c r="H2198" t="s">
        <v>54</v>
      </c>
    </row>
    <row r="2199" spans="1:8" x14ac:dyDescent="0.25">
      <c r="A2199" t="s">
        <v>816</v>
      </c>
      <c r="B2199" t="s">
        <v>396</v>
      </c>
      <c r="C2199" s="5">
        <v>2179710</v>
      </c>
      <c r="D2199" s="5">
        <v>18862</v>
      </c>
      <c r="E2199">
        <v>1157639</v>
      </c>
      <c r="F2199" s="4" t="s">
        <v>498</v>
      </c>
      <c r="G2199" t="s">
        <v>29</v>
      </c>
      <c r="H2199" t="s">
        <v>499</v>
      </c>
    </row>
    <row r="2200" spans="1:8" x14ac:dyDescent="0.25">
      <c r="A2200" t="s">
        <v>816</v>
      </c>
      <c r="B2200" t="s">
        <v>399</v>
      </c>
      <c r="C2200" s="5">
        <v>208615</v>
      </c>
      <c r="D2200" s="5">
        <v>902</v>
      </c>
      <c r="E2200">
        <v>12467</v>
      </c>
      <c r="F2200" s="4" t="s">
        <v>400</v>
      </c>
      <c r="G2200" t="s">
        <v>29</v>
      </c>
      <c r="H2200" t="s">
        <v>401</v>
      </c>
    </row>
    <row r="2201" spans="1:8" x14ac:dyDescent="0.25">
      <c r="A2201" t="s">
        <v>816</v>
      </c>
      <c r="B2201" t="s">
        <v>402</v>
      </c>
      <c r="C2201" s="5">
        <v>813011</v>
      </c>
      <c r="D2201" s="5">
        <v>11416</v>
      </c>
      <c r="E2201">
        <v>404686</v>
      </c>
      <c r="F2201" s="4" t="s">
        <v>403</v>
      </c>
      <c r="G2201" t="s">
        <v>29</v>
      </c>
      <c r="H2201" t="s">
        <v>404</v>
      </c>
    </row>
    <row r="2202" spans="1:8" x14ac:dyDescent="0.25">
      <c r="A2202" t="s">
        <v>816</v>
      </c>
      <c r="B2202" t="s">
        <v>405</v>
      </c>
      <c r="C2202" s="5">
        <v>6724</v>
      </c>
      <c r="D2202" s="5">
        <v>28</v>
      </c>
      <c r="E2202">
        <v>1183</v>
      </c>
      <c r="F2202" s="4" t="s">
        <v>597</v>
      </c>
      <c r="G2202" t="s">
        <v>29</v>
      </c>
      <c r="H2202" t="s">
        <v>598</v>
      </c>
    </row>
    <row r="2203" spans="1:8" x14ac:dyDescent="0.25">
      <c r="A2203" t="s">
        <v>816</v>
      </c>
      <c r="B2203" t="s">
        <v>408</v>
      </c>
      <c r="C2203" s="5">
        <v>304299</v>
      </c>
      <c r="D2203" s="5">
        <v>4111</v>
      </c>
      <c r="E2203">
        <v>101081</v>
      </c>
      <c r="F2203" s="4" t="s">
        <v>409</v>
      </c>
      <c r="G2203" t="s">
        <v>29</v>
      </c>
      <c r="H2203" t="s">
        <v>410</v>
      </c>
    </row>
    <row r="2204" spans="1:8" x14ac:dyDescent="0.25">
      <c r="A2204" t="s">
        <v>816</v>
      </c>
      <c r="B2204" t="s">
        <v>411</v>
      </c>
      <c r="C2204" s="5">
        <v>472664</v>
      </c>
      <c r="D2204" s="5">
        <v>7315</v>
      </c>
      <c r="E2204">
        <v>109687</v>
      </c>
      <c r="F2204" s="4" t="s">
        <v>333</v>
      </c>
      <c r="G2204" t="s">
        <v>29</v>
      </c>
      <c r="H2204" t="s">
        <v>334</v>
      </c>
    </row>
    <row r="2205" spans="1:8" x14ac:dyDescent="0.25">
      <c r="A2205" t="s">
        <v>816</v>
      </c>
      <c r="B2205" t="s">
        <v>412</v>
      </c>
      <c r="C2205" s="5">
        <v>2202189</v>
      </c>
      <c r="D2205" s="5">
        <v>200276</v>
      </c>
      <c r="E2205">
        <v>1651816</v>
      </c>
      <c r="F2205" s="4" t="s">
        <v>727</v>
      </c>
      <c r="G2205" t="s">
        <v>29</v>
      </c>
      <c r="H2205" t="s">
        <v>728</v>
      </c>
    </row>
    <row r="2206" spans="1:8" x14ac:dyDescent="0.25">
      <c r="A2206" t="s">
        <v>816</v>
      </c>
      <c r="B2206" t="s">
        <v>415</v>
      </c>
      <c r="C2206" s="5">
        <v>45541</v>
      </c>
      <c r="D2206" s="5">
        <v>636</v>
      </c>
      <c r="E2206">
        <v>14883</v>
      </c>
      <c r="F2206" s="4" t="s">
        <v>403</v>
      </c>
      <c r="G2206" t="s">
        <v>29</v>
      </c>
      <c r="H2206" t="s">
        <v>404</v>
      </c>
    </row>
    <row r="2207" spans="1:8" x14ac:dyDescent="0.25">
      <c r="A2207" t="s">
        <v>816</v>
      </c>
      <c r="B2207" t="s">
        <v>416</v>
      </c>
      <c r="C2207" s="5">
        <v>29813</v>
      </c>
      <c r="D2207" s="5">
        <v>370</v>
      </c>
      <c r="E2207">
        <v>3438</v>
      </c>
      <c r="F2207" s="4" t="s">
        <v>394</v>
      </c>
      <c r="G2207" t="s">
        <v>29</v>
      </c>
      <c r="H2207" t="s">
        <v>395</v>
      </c>
    </row>
    <row r="2208" spans="1:8" x14ac:dyDescent="0.25">
      <c r="A2208" t="s">
        <v>816</v>
      </c>
      <c r="B2208" t="s">
        <v>419</v>
      </c>
      <c r="C2208" s="5">
        <v>2790375</v>
      </c>
      <c r="D2208" s="5">
        <v>43276</v>
      </c>
      <c r="E2208">
        <v>2260636</v>
      </c>
      <c r="F2208" s="4" t="s">
        <v>333</v>
      </c>
      <c r="G2208" t="s">
        <v>29</v>
      </c>
      <c r="H2208" t="s">
        <v>334</v>
      </c>
    </row>
    <row r="2209" spans="1:8" x14ac:dyDescent="0.25">
      <c r="A2209" t="s">
        <v>816</v>
      </c>
      <c r="B2209" t="s">
        <v>420</v>
      </c>
      <c r="C2209" s="5">
        <v>1274017</v>
      </c>
      <c r="D2209" s="5">
        <v>28466</v>
      </c>
      <c r="E2209">
        <v>137635</v>
      </c>
      <c r="F2209" s="4" t="s">
        <v>421</v>
      </c>
      <c r="G2209" t="s">
        <v>29</v>
      </c>
      <c r="H2209" t="s">
        <v>422</v>
      </c>
    </row>
    <row r="2210" spans="1:8" x14ac:dyDescent="0.25">
      <c r="A2210" t="s">
        <v>816</v>
      </c>
      <c r="B2210" t="s">
        <v>423</v>
      </c>
      <c r="C2210" s="5">
        <v>3030151</v>
      </c>
      <c r="D2210" s="5">
        <v>77012</v>
      </c>
      <c r="E2210">
        <v>893441</v>
      </c>
      <c r="F2210" s="4" t="s">
        <v>141</v>
      </c>
      <c r="G2210" t="s">
        <v>29</v>
      </c>
      <c r="H2210" t="s">
        <v>142</v>
      </c>
    </row>
    <row r="2211" spans="1:8" x14ac:dyDescent="0.25">
      <c r="A2211" t="s">
        <v>816</v>
      </c>
      <c r="B2211" t="s">
        <v>426</v>
      </c>
      <c r="C2211" s="5">
        <v>453782</v>
      </c>
      <c r="D2211" s="5">
        <v>4681</v>
      </c>
      <c r="E2211">
        <v>96222</v>
      </c>
      <c r="F2211" s="4" t="s">
        <v>687</v>
      </c>
      <c r="G2211" t="s">
        <v>29</v>
      </c>
      <c r="H2211" t="s">
        <v>688</v>
      </c>
    </row>
    <row r="2212" spans="1:8" x14ac:dyDescent="0.25">
      <c r="A2212" t="s">
        <v>816</v>
      </c>
      <c r="B2212" t="s">
        <v>427</v>
      </c>
      <c r="C2212" s="5">
        <v>1091142</v>
      </c>
      <c r="D2212" s="5">
        <v>18162</v>
      </c>
      <c r="E2212">
        <v>475136</v>
      </c>
      <c r="F2212" s="4" t="s">
        <v>135</v>
      </c>
      <c r="G2212" t="s">
        <v>29</v>
      </c>
      <c r="H2212" t="s">
        <v>136</v>
      </c>
    </row>
    <row r="2213" spans="1:8" x14ac:dyDescent="0.25">
      <c r="A2213" t="s">
        <v>816</v>
      </c>
      <c r="B2213" t="s">
        <v>428</v>
      </c>
      <c r="C2213" s="5">
        <v>8</v>
      </c>
      <c r="D2213" s="5">
        <v>0</v>
      </c>
      <c r="E2213">
        <v>2</v>
      </c>
      <c r="F2213" s="4" t="s">
        <v>29</v>
      </c>
      <c r="G2213" t="s">
        <v>29</v>
      </c>
      <c r="H2213" t="s">
        <v>291</v>
      </c>
    </row>
    <row r="2214" spans="1:8" x14ac:dyDescent="0.25">
      <c r="A2214" t="s">
        <v>816</v>
      </c>
      <c r="B2214" t="s">
        <v>429</v>
      </c>
      <c r="C2214" s="5">
        <v>461086</v>
      </c>
      <c r="D2214" s="5">
        <v>16249</v>
      </c>
      <c r="E2214">
        <v>285704</v>
      </c>
      <c r="F2214" s="4" t="s">
        <v>353</v>
      </c>
      <c r="G2214" t="s">
        <v>29</v>
      </c>
      <c r="H2214" t="s">
        <v>354</v>
      </c>
    </row>
    <row r="2215" spans="1:8" x14ac:dyDescent="0.25">
      <c r="A2215" t="s">
        <v>816</v>
      </c>
      <c r="B2215" t="s">
        <v>432</v>
      </c>
      <c r="C2215" s="5">
        <v>239374</v>
      </c>
      <c r="D2215" s="5">
        <v>611</v>
      </c>
      <c r="E2215">
        <v>66500</v>
      </c>
      <c r="F2215" s="4" t="s">
        <v>794</v>
      </c>
      <c r="G2215" t="s">
        <v>29</v>
      </c>
      <c r="H2215" t="s">
        <v>795</v>
      </c>
    </row>
    <row r="2216" spans="1:8" x14ac:dyDescent="0.25">
      <c r="A2216" t="s">
        <v>816</v>
      </c>
      <c r="B2216" t="s">
        <v>435</v>
      </c>
      <c r="C2216" s="5">
        <v>54668</v>
      </c>
      <c r="D2216" s="5">
        <v>374</v>
      </c>
      <c r="E2216">
        <v>37165</v>
      </c>
      <c r="F2216" s="4" t="s">
        <v>605</v>
      </c>
      <c r="G2216" t="s">
        <v>29</v>
      </c>
      <c r="H2216" t="s">
        <v>606</v>
      </c>
    </row>
    <row r="2217" spans="1:8" x14ac:dyDescent="0.25">
      <c r="A2217" t="s">
        <v>816</v>
      </c>
      <c r="B2217" t="s">
        <v>436</v>
      </c>
      <c r="C2217" s="5">
        <v>1655024</v>
      </c>
      <c r="D2217" s="5">
        <v>48073</v>
      </c>
      <c r="E2217">
        <v>235433</v>
      </c>
      <c r="F2217" s="4" t="s">
        <v>249</v>
      </c>
      <c r="G2217" t="s">
        <v>29</v>
      </c>
      <c r="H2217" t="s">
        <v>250</v>
      </c>
    </row>
    <row r="2218" spans="1:8" x14ac:dyDescent="0.25">
      <c r="A2218" t="s">
        <v>816</v>
      </c>
      <c r="B2218" t="s">
        <v>439</v>
      </c>
      <c r="C2218" s="5">
        <v>1148645</v>
      </c>
      <c r="D2218" s="5">
        <v>10018</v>
      </c>
      <c r="E2218">
        <v>848621</v>
      </c>
      <c r="F2218" s="4" t="s">
        <v>498</v>
      </c>
      <c r="G2218" t="s">
        <v>29</v>
      </c>
      <c r="H2218" t="s">
        <v>499</v>
      </c>
    </row>
    <row r="2219" spans="1:8" x14ac:dyDescent="0.25">
      <c r="A2219" t="s">
        <v>816</v>
      </c>
      <c r="B2219" t="s">
        <v>440</v>
      </c>
      <c r="C2219" s="5">
        <v>8417305</v>
      </c>
      <c r="D2219" s="5">
        <v>235318</v>
      </c>
      <c r="E2219">
        <v>1861012</v>
      </c>
      <c r="F2219" s="4" t="s">
        <v>441</v>
      </c>
      <c r="G2219" t="s">
        <v>29</v>
      </c>
      <c r="H2219" t="s">
        <v>442</v>
      </c>
    </row>
    <row r="2220" spans="1:8" x14ac:dyDescent="0.25">
      <c r="A2220" t="s">
        <v>816</v>
      </c>
      <c r="B2220" t="s">
        <v>443</v>
      </c>
      <c r="C2220" s="5">
        <v>99727</v>
      </c>
      <c r="D2220" s="5">
        <v>1332</v>
      </c>
      <c r="E2220">
        <v>59373</v>
      </c>
      <c r="F2220" s="4" t="s">
        <v>264</v>
      </c>
      <c r="G2220" t="s">
        <v>29</v>
      </c>
      <c r="H2220" t="s">
        <v>265</v>
      </c>
    </row>
    <row r="2221" spans="1:8" x14ac:dyDescent="0.25">
      <c r="A2221" t="s">
        <v>816</v>
      </c>
      <c r="B2221" t="s">
        <v>444</v>
      </c>
      <c r="C2221" s="5">
        <v>548666</v>
      </c>
      <c r="D2221" s="5">
        <v>8796</v>
      </c>
      <c r="E2221">
        <v>539779</v>
      </c>
      <c r="F2221" s="4" t="s">
        <v>313</v>
      </c>
      <c r="G2221" t="s">
        <v>29</v>
      </c>
      <c r="H2221" t="s">
        <v>314</v>
      </c>
    </row>
    <row r="2222" spans="1:8" x14ac:dyDescent="0.25">
      <c r="A2222" t="s">
        <v>816</v>
      </c>
      <c r="B2222" t="s">
        <v>445</v>
      </c>
      <c r="C2222" s="5">
        <v>20</v>
      </c>
      <c r="D2222" s="5">
        <v>0</v>
      </c>
      <c r="E2222">
        <v>5</v>
      </c>
      <c r="F2222" s="4" t="s">
        <v>29</v>
      </c>
      <c r="G2222" t="s">
        <v>29</v>
      </c>
      <c r="H2222" t="s">
        <v>291</v>
      </c>
    </row>
    <row r="2223" spans="1:8" x14ac:dyDescent="0.25">
      <c r="A2223" t="s">
        <v>816</v>
      </c>
      <c r="B2223" t="s">
        <v>446</v>
      </c>
      <c r="C2223" s="5">
        <v>22265</v>
      </c>
      <c r="D2223" s="5">
        <v>119</v>
      </c>
      <c r="E2223">
        <v>15137</v>
      </c>
      <c r="F2223" s="4" t="s">
        <v>447</v>
      </c>
      <c r="G2223" t="s">
        <v>29</v>
      </c>
      <c r="H2223" t="s">
        <v>448</v>
      </c>
    </row>
    <row r="2224" spans="1:8" x14ac:dyDescent="0.25">
      <c r="A2224" t="s">
        <v>816</v>
      </c>
      <c r="B2224" t="s">
        <v>449</v>
      </c>
      <c r="C2224" s="5">
        <v>40433</v>
      </c>
      <c r="D2224" s="5">
        <v>3099</v>
      </c>
      <c r="E2224">
        <v>5168</v>
      </c>
      <c r="F2224" s="4" t="s">
        <v>632</v>
      </c>
      <c r="G2224" t="s">
        <v>29</v>
      </c>
      <c r="H2224" t="s">
        <v>633</v>
      </c>
    </row>
    <row r="2225" spans="1:8" x14ac:dyDescent="0.25">
      <c r="A2225" t="s">
        <v>816</v>
      </c>
      <c r="B2225" t="s">
        <v>452</v>
      </c>
      <c r="C2225" s="5">
        <v>1171512</v>
      </c>
      <c r="D2225" s="5">
        <v>15025</v>
      </c>
      <c r="E2225">
        <v>742560</v>
      </c>
      <c r="F2225" s="4" t="s">
        <v>381</v>
      </c>
      <c r="G2225" t="s">
        <v>29</v>
      </c>
      <c r="H2225" t="s">
        <v>382</v>
      </c>
    </row>
    <row r="2226" spans="1:8" x14ac:dyDescent="0.25">
      <c r="A2226" t="s">
        <v>816</v>
      </c>
      <c r="B2226" t="s">
        <v>453</v>
      </c>
      <c r="C2226" s="5">
        <v>200844</v>
      </c>
      <c r="D2226" s="5">
        <v>421</v>
      </c>
      <c r="E2226">
        <v>42577</v>
      </c>
      <c r="F2226" s="4" t="s">
        <v>781</v>
      </c>
      <c r="G2226" t="s">
        <v>29</v>
      </c>
      <c r="H2226" t="s">
        <v>782</v>
      </c>
    </row>
    <row r="2227" spans="1:8" x14ac:dyDescent="0.25">
      <c r="A2227" t="s">
        <v>816</v>
      </c>
      <c r="B2227" t="s">
        <v>456</v>
      </c>
      <c r="C2227" s="5">
        <v>337108</v>
      </c>
      <c r="D2227" s="5">
        <v>4756</v>
      </c>
      <c r="E2227">
        <v>317426</v>
      </c>
      <c r="F2227" s="4" t="s">
        <v>345</v>
      </c>
      <c r="G2227" t="s">
        <v>29</v>
      </c>
      <c r="H2227" t="s">
        <v>346</v>
      </c>
    </row>
    <row r="2228" spans="1:8" x14ac:dyDescent="0.25">
      <c r="A2228" t="s">
        <v>816</v>
      </c>
      <c r="B2228" t="s">
        <v>457</v>
      </c>
      <c r="C2228" s="5">
        <v>485629</v>
      </c>
      <c r="D2228" s="5">
        <v>13045</v>
      </c>
      <c r="E2228">
        <v>188207</v>
      </c>
      <c r="F2228" s="4" t="s">
        <v>833</v>
      </c>
      <c r="G2228" t="s">
        <v>29</v>
      </c>
      <c r="H2228" t="s">
        <v>834</v>
      </c>
    </row>
    <row r="2229" spans="1:8" x14ac:dyDescent="0.25">
      <c r="A2229" t="s">
        <v>816</v>
      </c>
      <c r="B2229" t="s">
        <v>460</v>
      </c>
      <c r="C2229" s="5">
        <v>6398</v>
      </c>
      <c r="D2229" s="5">
        <v>121</v>
      </c>
      <c r="E2229">
        <v>4183</v>
      </c>
      <c r="F2229" s="4" t="s">
        <v>461</v>
      </c>
      <c r="G2229" t="s">
        <v>29</v>
      </c>
      <c r="H2229" t="s">
        <v>462</v>
      </c>
    </row>
    <row r="2230" spans="1:8" x14ac:dyDescent="0.25">
      <c r="A2230" t="s">
        <v>816</v>
      </c>
      <c r="B2230" t="s">
        <v>463</v>
      </c>
      <c r="C2230" s="5">
        <v>5547</v>
      </c>
      <c r="D2230" s="5">
        <v>92</v>
      </c>
      <c r="E2230">
        <v>1207</v>
      </c>
      <c r="F2230" s="4" t="s">
        <v>135</v>
      </c>
      <c r="G2230" t="s">
        <v>29</v>
      </c>
      <c r="H2230" t="s">
        <v>136</v>
      </c>
    </row>
    <row r="2231" spans="1:8" x14ac:dyDescent="0.25">
      <c r="A2231" t="s">
        <v>816</v>
      </c>
      <c r="B2231" t="s">
        <v>464</v>
      </c>
      <c r="C2231" s="5">
        <v>73920</v>
      </c>
      <c r="D2231" s="5">
        <v>1878</v>
      </c>
      <c r="E2231">
        <v>43867</v>
      </c>
      <c r="F2231" s="4" t="s">
        <v>141</v>
      </c>
      <c r="G2231" t="s">
        <v>29</v>
      </c>
      <c r="H2231" t="s">
        <v>142</v>
      </c>
    </row>
    <row r="2232" spans="1:8" x14ac:dyDescent="0.25">
      <c r="A2232" t="s">
        <v>816</v>
      </c>
      <c r="B2232" t="s">
        <v>465</v>
      </c>
      <c r="C2232" s="5">
        <v>21998</v>
      </c>
      <c r="D2232" s="5">
        <v>1208</v>
      </c>
      <c r="E2232">
        <v>11560</v>
      </c>
      <c r="F2232" s="4" t="s">
        <v>744</v>
      </c>
      <c r="G2232" t="s">
        <v>29</v>
      </c>
      <c r="H2232" t="s">
        <v>745</v>
      </c>
    </row>
    <row r="2233" spans="1:8" x14ac:dyDescent="0.25">
      <c r="A2233" t="s">
        <v>816</v>
      </c>
      <c r="B2233" t="s">
        <v>468</v>
      </c>
      <c r="C2233" s="5">
        <v>49019</v>
      </c>
      <c r="D2233" s="5">
        <v>1092</v>
      </c>
      <c r="E2233">
        <v>33988</v>
      </c>
      <c r="F2233" s="4" t="s">
        <v>421</v>
      </c>
      <c r="G2233" t="s">
        <v>29</v>
      </c>
      <c r="H2233" t="s">
        <v>422</v>
      </c>
    </row>
    <row r="2234" spans="1:8" x14ac:dyDescent="0.25">
      <c r="A2234" t="s">
        <v>816</v>
      </c>
      <c r="B2234" t="s">
        <v>471</v>
      </c>
      <c r="C2234" s="5">
        <v>12410</v>
      </c>
      <c r="D2234" s="5">
        <v>133</v>
      </c>
      <c r="E2234">
        <v>2849</v>
      </c>
      <c r="F2234" s="4" t="s">
        <v>654</v>
      </c>
      <c r="G2234" t="s">
        <v>29</v>
      </c>
      <c r="H2234" t="s">
        <v>655</v>
      </c>
    </row>
    <row r="2235" spans="1:8" x14ac:dyDescent="0.25">
      <c r="A2235" t="s">
        <v>816</v>
      </c>
      <c r="B2235" t="s">
        <v>472</v>
      </c>
      <c r="C2235" s="5">
        <v>3714</v>
      </c>
      <c r="D2235" s="5">
        <v>56</v>
      </c>
      <c r="E2235">
        <v>1237</v>
      </c>
      <c r="F2235" s="4" t="s">
        <v>202</v>
      </c>
      <c r="G2235" t="s">
        <v>29</v>
      </c>
      <c r="H2235" t="s">
        <v>203</v>
      </c>
    </row>
    <row r="2236" spans="1:8" x14ac:dyDescent="0.25">
      <c r="A2236" t="s">
        <v>816</v>
      </c>
      <c r="B2236" t="s">
        <v>473</v>
      </c>
      <c r="C2236" s="5">
        <v>113422</v>
      </c>
      <c r="D2236" s="5">
        <v>3638</v>
      </c>
      <c r="E2236">
        <v>10388</v>
      </c>
      <c r="F2236" s="4" t="s">
        <v>835</v>
      </c>
      <c r="G2236" t="s">
        <v>29</v>
      </c>
      <c r="H2236" t="s">
        <v>836</v>
      </c>
    </row>
    <row r="2237" spans="1:8" x14ac:dyDescent="0.25">
      <c r="A2237" t="s">
        <v>816</v>
      </c>
      <c r="B2237" t="s">
        <v>476</v>
      </c>
      <c r="C2237" s="5">
        <v>43666</v>
      </c>
      <c r="D2237" s="5">
        <v>2574</v>
      </c>
      <c r="E2237">
        <v>36516</v>
      </c>
      <c r="F2237" s="4" t="s">
        <v>837</v>
      </c>
      <c r="G2237" t="s">
        <v>29</v>
      </c>
      <c r="H2237" t="s">
        <v>838</v>
      </c>
    </row>
    <row r="2238" spans="1:8" x14ac:dyDescent="0.25">
      <c r="A2238" t="s">
        <v>816</v>
      </c>
      <c r="B2238" t="s">
        <v>479</v>
      </c>
      <c r="C2238" s="5">
        <v>46430</v>
      </c>
      <c r="D2238" s="5">
        <v>1242</v>
      </c>
      <c r="E2238">
        <v>18022</v>
      </c>
      <c r="F2238" s="4" t="s">
        <v>787</v>
      </c>
      <c r="G2238" t="s">
        <v>29</v>
      </c>
      <c r="H2238" t="s">
        <v>788</v>
      </c>
    </row>
    <row r="2239" spans="1:8" x14ac:dyDescent="0.25">
      <c r="A2239" t="s">
        <v>816</v>
      </c>
      <c r="B2239" t="s">
        <v>482</v>
      </c>
      <c r="C2239" s="5">
        <v>5105</v>
      </c>
      <c r="D2239" s="5">
        <v>175</v>
      </c>
      <c r="E2239">
        <v>1775</v>
      </c>
      <c r="F2239" s="4" t="s">
        <v>252</v>
      </c>
      <c r="G2239" t="s">
        <v>29</v>
      </c>
      <c r="H2239" t="s">
        <v>253</v>
      </c>
    </row>
    <row r="2240" spans="1:8" x14ac:dyDescent="0.25">
      <c r="A2240" t="s">
        <v>816</v>
      </c>
      <c r="B2240" t="s">
        <v>483</v>
      </c>
      <c r="C2240" s="5">
        <v>26079</v>
      </c>
      <c r="D2240" s="5">
        <v>242</v>
      </c>
      <c r="E2240">
        <v>14589</v>
      </c>
      <c r="F2240" s="4" t="s">
        <v>484</v>
      </c>
      <c r="G2240" t="s">
        <v>29</v>
      </c>
      <c r="H2240" t="s">
        <v>485</v>
      </c>
    </row>
    <row r="2241" spans="1:8" x14ac:dyDescent="0.25">
      <c r="A2241" t="s">
        <v>816</v>
      </c>
      <c r="B2241" t="s">
        <v>486</v>
      </c>
      <c r="C2241" s="5">
        <v>1920189</v>
      </c>
      <c r="D2241" s="5">
        <v>19260</v>
      </c>
      <c r="E2241">
        <v>1464076</v>
      </c>
      <c r="F2241" s="4" t="s">
        <v>56</v>
      </c>
      <c r="G2241" t="s">
        <v>29</v>
      </c>
      <c r="H2241" t="s">
        <v>57</v>
      </c>
    </row>
    <row r="2242" spans="1:8" x14ac:dyDescent="0.25">
      <c r="A2242" t="s">
        <v>816</v>
      </c>
      <c r="B2242" t="s">
        <v>487</v>
      </c>
      <c r="C2242" s="5">
        <v>17486</v>
      </c>
      <c r="D2242" s="5">
        <v>125</v>
      </c>
      <c r="E2242">
        <v>10147</v>
      </c>
      <c r="F2242" s="4" t="s">
        <v>488</v>
      </c>
      <c r="G2242" t="s">
        <v>29</v>
      </c>
      <c r="H2242" t="s">
        <v>489</v>
      </c>
    </row>
    <row r="2243" spans="1:8" x14ac:dyDescent="0.25">
      <c r="A2243" t="s">
        <v>816</v>
      </c>
      <c r="B2243" t="s">
        <v>490</v>
      </c>
      <c r="C2243" s="5">
        <v>19790</v>
      </c>
      <c r="D2243" s="5">
        <v>122</v>
      </c>
      <c r="E2243">
        <v>5501</v>
      </c>
      <c r="F2243" s="4" t="s">
        <v>491</v>
      </c>
      <c r="G2243" t="s">
        <v>29</v>
      </c>
      <c r="H2243" t="s">
        <v>492</v>
      </c>
    </row>
    <row r="2244" spans="1:8" x14ac:dyDescent="0.25">
      <c r="A2244" t="s">
        <v>816</v>
      </c>
      <c r="B2244" t="s">
        <v>493</v>
      </c>
      <c r="C2244" s="5">
        <v>712776</v>
      </c>
      <c r="D2244" s="5">
        <v>25244</v>
      </c>
      <c r="E2244">
        <v>161250</v>
      </c>
      <c r="F2244" s="4" t="s">
        <v>494</v>
      </c>
      <c r="G2244" t="s">
        <v>29</v>
      </c>
      <c r="H2244" t="s">
        <v>495</v>
      </c>
    </row>
    <row r="2245" spans="1:8" x14ac:dyDescent="0.25">
      <c r="A2245" t="s">
        <v>816</v>
      </c>
      <c r="B2245" t="s">
        <v>496</v>
      </c>
      <c r="C2245" s="5">
        <v>1</v>
      </c>
      <c r="D2245" s="5">
        <v>0</v>
      </c>
      <c r="E2245">
        <v>1</v>
      </c>
      <c r="F2245" s="4" t="s">
        <v>29</v>
      </c>
      <c r="G2245" t="s">
        <v>29</v>
      </c>
      <c r="H2245" t="s">
        <v>291</v>
      </c>
    </row>
    <row r="2246" spans="1:8" x14ac:dyDescent="0.25">
      <c r="A2246" t="s">
        <v>816</v>
      </c>
      <c r="B2246" t="s">
        <v>497</v>
      </c>
      <c r="C2246" s="5">
        <v>8061636</v>
      </c>
      <c r="D2246" s="5">
        <v>70828</v>
      </c>
      <c r="E2246">
        <v>6859632</v>
      </c>
      <c r="F2246" s="4" t="s">
        <v>609</v>
      </c>
      <c r="G2246" t="s">
        <v>29</v>
      </c>
      <c r="H2246" t="s">
        <v>610</v>
      </c>
    </row>
    <row r="2247" spans="1:8" x14ac:dyDescent="0.25">
      <c r="A2247" t="s">
        <v>816</v>
      </c>
      <c r="B2247" t="s">
        <v>500</v>
      </c>
      <c r="C2247" s="5">
        <v>57419</v>
      </c>
      <c r="D2247" s="5">
        <v>1709</v>
      </c>
      <c r="E2247">
        <v>38449</v>
      </c>
      <c r="F2247" s="4" t="s">
        <v>634</v>
      </c>
      <c r="G2247" t="s">
        <v>29</v>
      </c>
      <c r="H2247" t="s">
        <v>635</v>
      </c>
    </row>
    <row r="2248" spans="1:8" x14ac:dyDescent="0.25">
      <c r="A2248" t="s">
        <v>816</v>
      </c>
      <c r="B2248" t="s">
        <v>503</v>
      </c>
      <c r="C2248" s="5">
        <v>16417</v>
      </c>
      <c r="D2248" s="5">
        <v>847</v>
      </c>
      <c r="E2248">
        <v>8367</v>
      </c>
      <c r="F2248" s="4" t="s">
        <v>740</v>
      </c>
      <c r="G2248" t="s">
        <v>29</v>
      </c>
      <c r="H2248" t="s">
        <v>741</v>
      </c>
    </row>
    <row r="2249" spans="1:8" x14ac:dyDescent="0.25">
      <c r="A2249" t="s">
        <v>816</v>
      </c>
      <c r="B2249" t="s">
        <v>506</v>
      </c>
      <c r="C2249" s="5">
        <v>26154</v>
      </c>
      <c r="D2249" s="5">
        <v>725</v>
      </c>
      <c r="E2249">
        <v>17806</v>
      </c>
      <c r="F2249" s="4" t="s">
        <v>507</v>
      </c>
      <c r="G2249" t="s">
        <v>29</v>
      </c>
      <c r="H2249" t="s">
        <v>508</v>
      </c>
    </row>
    <row r="2250" spans="1:8" x14ac:dyDescent="0.25">
      <c r="A2250" t="s">
        <v>816</v>
      </c>
      <c r="B2250" t="s">
        <v>509</v>
      </c>
      <c r="C2250" s="5">
        <v>3073125</v>
      </c>
      <c r="D2250" s="5">
        <v>72402</v>
      </c>
      <c r="E2250">
        <v>569887</v>
      </c>
      <c r="F2250" s="4" t="s">
        <v>339</v>
      </c>
      <c r="G2250" t="s">
        <v>29</v>
      </c>
      <c r="H2250" t="s">
        <v>340</v>
      </c>
    </row>
    <row r="2251" spans="1:8" x14ac:dyDescent="0.25">
      <c r="A2251" t="s">
        <v>816</v>
      </c>
      <c r="B2251" t="s">
        <v>512</v>
      </c>
      <c r="C2251" s="5">
        <v>126236</v>
      </c>
      <c r="D2251" s="5">
        <v>3215</v>
      </c>
      <c r="E2251">
        <v>11198</v>
      </c>
      <c r="F2251" s="4" t="s">
        <v>513</v>
      </c>
      <c r="G2251" t="s">
        <v>29</v>
      </c>
      <c r="H2251" t="s">
        <v>514</v>
      </c>
    </row>
    <row r="2252" spans="1:8" x14ac:dyDescent="0.25">
      <c r="A2252" t="s">
        <v>816</v>
      </c>
      <c r="B2252" t="s">
        <v>515</v>
      </c>
      <c r="C2252" s="5">
        <v>46100496</v>
      </c>
      <c r="D2252" s="5">
        <v>747293</v>
      </c>
      <c r="E2252">
        <v>43979674</v>
      </c>
      <c r="F2252" s="4" t="s">
        <v>516</v>
      </c>
      <c r="G2252" t="s">
        <v>29</v>
      </c>
      <c r="H2252" t="s">
        <v>517</v>
      </c>
    </row>
    <row r="2253" spans="1:8" x14ac:dyDescent="0.25">
      <c r="A2253" t="s">
        <v>816</v>
      </c>
      <c r="B2253" t="s">
        <v>518</v>
      </c>
      <c r="C2253" s="5">
        <v>394053</v>
      </c>
      <c r="D2253" s="5">
        <v>6080</v>
      </c>
      <c r="E2253">
        <v>171234</v>
      </c>
      <c r="F2253" s="4" t="s">
        <v>519</v>
      </c>
      <c r="G2253" t="s">
        <v>29</v>
      </c>
      <c r="H2253" t="s">
        <v>520</v>
      </c>
    </row>
    <row r="2254" spans="1:8" x14ac:dyDescent="0.25">
      <c r="A2254" t="s">
        <v>816</v>
      </c>
      <c r="B2254" t="s">
        <v>521</v>
      </c>
      <c r="C2254" s="5">
        <v>186244</v>
      </c>
      <c r="D2254" s="5">
        <v>1325</v>
      </c>
      <c r="E2254">
        <v>127023</v>
      </c>
      <c r="F2254" s="4" t="s">
        <v>488</v>
      </c>
      <c r="G2254" t="s">
        <v>29</v>
      </c>
      <c r="H2254" t="s">
        <v>489</v>
      </c>
    </row>
    <row r="2255" spans="1:8" x14ac:dyDescent="0.25">
      <c r="A2255" t="s">
        <v>816</v>
      </c>
      <c r="B2255" t="s">
        <v>522</v>
      </c>
      <c r="C2255" s="5">
        <v>27</v>
      </c>
      <c r="D2255" s="5">
        <v>0</v>
      </c>
      <c r="E2255">
        <v>17</v>
      </c>
      <c r="F2255" s="4" t="s">
        <v>29</v>
      </c>
      <c r="G2255" t="s">
        <v>29</v>
      </c>
      <c r="H2255" t="s">
        <v>291</v>
      </c>
    </row>
    <row r="2256" spans="1:8" x14ac:dyDescent="0.25">
      <c r="A2256" t="s">
        <v>816</v>
      </c>
      <c r="B2256" t="s">
        <v>523</v>
      </c>
      <c r="C2256" s="5">
        <v>4995</v>
      </c>
      <c r="D2256" s="5">
        <v>68</v>
      </c>
      <c r="E2256">
        <v>275</v>
      </c>
      <c r="F2256" s="4" t="s">
        <v>630</v>
      </c>
      <c r="G2256" t="s">
        <v>29</v>
      </c>
      <c r="H2256" t="s">
        <v>631</v>
      </c>
    </row>
    <row r="2257" spans="1:8" x14ac:dyDescent="0.25">
      <c r="A2257" t="s">
        <v>816</v>
      </c>
      <c r="B2257" t="s">
        <v>524</v>
      </c>
      <c r="C2257" s="5">
        <v>407866</v>
      </c>
      <c r="D2257" s="5">
        <v>4902</v>
      </c>
      <c r="E2257">
        <v>380445</v>
      </c>
      <c r="F2257" s="4" t="s">
        <v>525</v>
      </c>
      <c r="G2257" t="s">
        <v>29</v>
      </c>
      <c r="H2257" t="s">
        <v>526</v>
      </c>
    </row>
    <row r="2258" spans="1:8" x14ac:dyDescent="0.25">
      <c r="A2258" t="s">
        <v>816</v>
      </c>
      <c r="B2258" t="s">
        <v>527</v>
      </c>
      <c r="C2258" s="5">
        <v>926720</v>
      </c>
      <c r="D2258" s="5">
        <v>22131</v>
      </c>
      <c r="E2258">
        <v>304325</v>
      </c>
      <c r="F2258" s="4" t="s">
        <v>288</v>
      </c>
      <c r="G2258" t="s">
        <v>29</v>
      </c>
      <c r="H2258" t="s">
        <v>289</v>
      </c>
    </row>
    <row r="2259" spans="1:8" x14ac:dyDescent="0.25">
      <c r="A2259" t="s">
        <v>816</v>
      </c>
      <c r="B2259" t="s">
        <v>530</v>
      </c>
      <c r="C2259" s="5">
        <v>6</v>
      </c>
      <c r="D2259" s="5">
        <v>1</v>
      </c>
      <c r="E2259">
        <v>3</v>
      </c>
      <c r="F2259" s="4" t="s">
        <v>531</v>
      </c>
      <c r="G2259" t="s">
        <v>29</v>
      </c>
      <c r="H2259" t="s">
        <v>532</v>
      </c>
    </row>
    <row r="2260" spans="1:8" x14ac:dyDescent="0.25">
      <c r="A2260" t="s">
        <v>816</v>
      </c>
      <c r="B2260" t="s">
        <v>533</v>
      </c>
      <c r="C2260" s="5">
        <v>3</v>
      </c>
      <c r="D2260" s="5">
        <v>0</v>
      </c>
      <c r="E2260">
        <v>3</v>
      </c>
      <c r="F2260" s="4" t="s">
        <v>29</v>
      </c>
      <c r="G2260" t="s">
        <v>29</v>
      </c>
      <c r="H2260" t="s">
        <v>291</v>
      </c>
    </row>
    <row r="2261" spans="1:8" x14ac:dyDescent="0.25">
      <c r="A2261" t="s">
        <v>816</v>
      </c>
      <c r="B2261" t="s">
        <v>534</v>
      </c>
      <c r="C2261" s="5">
        <v>160767</v>
      </c>
      <c r="D2261" s="5">
        <v>2977</v>
      </c>
      <c r="E2261">
        <v>47997</v>
      </c>
      <c r="F2261" s="4" t="s">
        <v>535</v>
      </c>
      <c r="G2261" t="s">
        <v>29</v>
      </c>
      <c r="H2261" t="s">
        <v>536</v>
      </c>
    </row>
    <row r="2262" spans="1:8" x14ac:dyDescent="0.25">
      <c r="A2262" t="s">
        <v>816</v>
      </c>
      <c r="B2262" t="s">
        <v>537</v>
      </c>
      <c r="C2262" s="5">
        <v>9799</v>
      </c>
      <c r="D2262" s="5">
        <v>1890</v>
      </c>
      <c r="E2262">
        <v>6947</v>
      </c>
      <c r="F2262" s="4" t="s">
        <v>839</v>
      </c>
      <c r="G2262" t="s">
        <v>29</v>
      </c>
      <c r="H2262" t="s">
        <v>840</v>
      </c>
    </row>
    <row r="2263" spans="1:8" x14ac:dyDescent="0.25">
      <c r="A2263" t="s">
        <v>816</v>
      </c>
      <c r="B2263" t="s">
        <v>540</v>
      </c>
      <c r="C2263" s="5">
        <v>20555</v>
      </c>
      <c r="D2263" s="5">
        <v>185</v>
      </c>
      <c r="E2263">
        <v>17138</v>
      </c>
      <c r="F2263" s="4" t="s">
        <v>667</v>
      </c>
      <c r="G2263" t="s">
        <v>29</v>
      </c>
      <c r="H2263" t="s">
        <v>668</v>
      </c>
    </row>
    <row r="2264" spans="1:8" x14ac:dyDescent="0.25">
      <c r="A2264" t="s">
        <v>816</v>
      </c>
      <c r="B2264" t="s">
        <v>541</v>
      </c>
      <c r="C2264" s="5">
        <v>2922222</v>
      </c>
      <c r="D2264" s="5">
        <v>89179</v>
      </c>
      <c r="E2264">
        <v>1341962</v>
      </c>
      <c r="F2264" s="4" t="s">
        <v>698</v>
      </c>
      <c r="G2264" t="s">
        <v>29</v>
      </c>
      <c r="H2264" t="s">
        <v>699</v>
      </c>
    </row>
    <row r="2265" spans="1:8" x14ac:dyDescent="0.25">
      <c r="A2265" t="s">
        <v>816</v>
      </c>
      <c r="B2265" t="s">
        <v>544</v>
      </c>
      <c r="C2265" s="5">
        <v>209739</v>
      </c>
      <c r="D2265" s="5">
        <v>3661</v>
      </c>
      <c r="E2265">
        <v>107981</v>
      </c>
      <c r="F2265" s="4" t="s">
        <v>545</v>
      </c>
      <c r="G2265" t="s">
        <v>29</v>
      </c>
      <c r="H2265" t="s">
        <v>546</v>
      </c>
    </row>
    <row r="2266" spans="1:8" x14ac:dyDescent="0.25">
      <c r="A2266" t="s">
        <v>816</v>
      </c>
      <c r="B2266" t="s">
        <v>547</v>
      </c>
      <c r="C2266" s="5">
        <v>133007</v>
      </c>
      <c r="D2266" s="5">
        <v>4679</v>
      </c>
      <c r="E2266">
        <v>84407</v>
      </c>
      <c r="F2266" s="4" t="s">
        <v>353</v>
      </c>
      <c r="G2266" t="s">
        <v>29</v>
      </c>
      <c r="H2266" t="s">
        <v>354</v>
      </c>
    </row>
    <row r="2267" spans="1:8" x14ac:dyDescent="0.25">
      <c r="A2267" t="s">
        <v>816</v>
      </c>
      <c r="B2267" t="s">
        <v>548</v>
      </c>
      <c r="C2267" s="5">
        <v>721</v>
      </c>
      <c r="D2267" s="5">
        <v>15</v>
      </c>
      <c r="E2267">
        <v>631</v>
      </c>
      <c r="F2267" s="4" t="s">
        <v>549</v>
      </c>
      <c r="G2267" t="s">
        <v>29</v>
      </c>
      <c r="H2267" t="s">
        <v>550</v>
      </c>
    </row>
    <row r="2268" spans="1:8" x14ac:dyDescent="0.25">
      <c r="A2268" t="s">
        <v>841</v>
      </c>
      <c r="B2268" t="s">
        <v>548</v>
      </c>
      <c r="C2268" s="5">
        <v>721</v>
      </c>
      <c r="D2268" s="5">
        <v>15</v>
      </c>
      <c r="E2268">
        <v>624</v>
      </c>
      <c r="F2268" s="4" t="s">
        <v>549</v>
      </c>
      <c r="G2268" t="s">
        <v>29</v>
      </c>
      <c r="H2268" t="s">
        <v>550</v>
      </c>
    </row>
    <row r="2269" spans="1:8" x14ac:dyDescent="0.25">
      <c r="A2269" t="s">
        <v>841</v>
      </c>
      <c r="B2269" t="s">
        <v>547</v>
      </c>
      <c r="C2269" s="5">
        <v>132977</v>
      </c>
      <c r="D2269" s="5">
        <v>4678</v>
      </c>
      <c r="E2269">
        <v>39915</v>
      </c>
      <c r="F2269" s="4" t="s">
        <v>353</v>
      </c>
      <c r="G2269" t="s">
        <v>29</v>
      </c>
      <c r="H2269" t="s">
        <v>354</v>
      </c>
    </row>
    <row r="2270" spans="1:8" x14ac:dyDescent="0.25">
      <c r="A2270" t="s">
        <v>841</v>
      </c>
      <c r="B2270" t="s">
        <v>544</v>
      </c>
      <c r="C2270" s="5">
        <v>209734</v>
      </c>
      <c r="D2270" s="5">
        <v>3661</v>
      </c>
      <c r="E2270">
        <v>24479</v>
      </c>
      <c r="F2270" s="4" t="s">
        <v>545</v>
      </c>
      <c r="G2270" t="s">
        <v>29</v>
      </c>
      <c r="H2270" t="s">
        <v>546</v>
      </c>
    </row>
    <row r="2271" spans="1:8" x14ac:dyDescent="0.25">
      <c r="A2271" t="s">
        <v>841</v>
      </c>
      <c r="B2271" t="s">
        <v>541</v>
      </c>
      <c r="C2271" s="5">
        <v>2922116</v>
      </c>
      <c r="D2271" s="5">
        <v>89177</v>
      </c>
      <c r="E2271">
        <v>667961</v>
      </c>
      <c r="F2271" s="4" t="s">
        <v>698</v>
      </c>
      <c r="G2271" t="s">
        <v>29</v>
      </c>
      <c r="H2271" t="s">
        <v>699</v>
      </c>
    </row>
    <row r="2272" spans="1:8" x14ac:dyDescent="0.25">
      <c r="A2272" t="s">
        <v>841</v>
      </c>
      <c r="B2272" t="s">
        <v>540</v>
      </c>
      <c r="C2272" s="5">
        <v>20555</v>
      </c>
      <c r="D2272" s="5">
        <v>185</v>
      </c>
      <c r="E2272">
        <v>18859</v>
      </c>
      <c r="F2272" s="4" t="s">
        <v>667</v>
      </c>
      <c r="G2272" t="s">
        <v>29</v>
      </c>
      <c r="H2272" t="s">
        <v>668</v>
      </c>
    </row>
    <row r="2273" spans="1:8" x14ac:dyDescent="0.25">
      <c r="A2273" t="s">
        <v>841</v>
      </c>
      <c r="B2273" t="s">
        <v>537</v>
      </c>
      <c r="C2273" s="5">
        <v>9791</v>
      </c>
      <c r="D2273" s="5">
        <v>1889</v>
      </c>
      <c r="E2273">
        <v>7011</v>
      </c>
      <c r="F2273" s="4" t="s">
        <v>839</v>
      </c>
      <c r="G2273" t="s">
        <v>29</v>
      </c>
      <c r="H2273" t="s">
        <v>840</v>
      </c>
    </row>
    <row r="2274" spans="1:8" x14ac:dyDescent="0.25">
      <c r="A2274" t="s">
        <v>841</v>
      </c>
      <c r="B2274" t="s">
        <v>534</v>
      </c>
      <c r="C2274" s="5">
        <v>160762</v>
      </c>
      <c r="D2274" s="5">
        <v>2977</v>
      </c>
      <c r="E2274">
        <v>105731</v>
      </c>
      <c r="F2274" s="4" t="s">
        <v>535</v>
      </c>
      <c r="G2274" t="s">
        <v>29</v>
      </c>
      <c r="H2274" t="s">
        <v>536</v>
      </c>
    </row>
    <row r="2275" spans="1:8" x14ac:dyDescent="0.25">
      <c r="A2275" t="s">
        <v>841</v>
      </c>
      <c r="B2275" t="s">
        <v>533</v>
      </c>
      <c r="C2275" s="5">
        <v>3</v>
      </c>
      <c r="D2275" s="5">
        <v>0</v>
      </c>
      <c r="E2275">
        <v>2</v>
      </c>
      <c r="F2275" s="4" t="s">
        <v>29</v>
      </c>
      <c r="G2275" t="s">
        <v>29</v>
      </c>
      <c r="H2275" t="s">
        <v>291</v>
      </c>
    </row>
    <row r="2276" spans="1:8" x14ac:dyDescent="0.25">
      <c r="A2276" t="s">
        <v>841</v>
      </c>
      <c r="B2276" t="s">
        <v>530</v>
      </c>
      <c r="C2276" s="5">
        <v>6</v>
      </c>
      <c r="D2276" s="5">
        <v>1</v>
      </c>
      <c r="E2276">
        <v>1</v>
      </c>
      <c r="F2276" s="4" t="s">
        <v>531</v>
      </c>
      <c r="G2276" t="s">
        <v>29</v>
      </c>
      <c r="H2276" t="s">
        <v>532</v>
      </c>
    </row>
    <row r="2277" spans="1:8" x14ac:dyDescent="0.25">
      <c r="A2277" t="s">
        <v>841</v>
      </c>
      <c r="B2277" t="s">
        <v>527</v>
      </c>
      <c r="C2277" s="5">
        <v>921122</v>
      </c>
      <c r="D2277" s="5">
        <v>22083</v>
      </c>
      <c r="E2277">
        <v>528986</v>
      </c>
      <c r="F2277" s="4" t="s">
        <v>617</v>
      </c>
      <c r="G2277" t="s">
        <v>29</v>
      </c>
      <c r="H2277" t="s">
        <v>618</v>
      </c>
    </row>
    <row r="2278" spans="1:8" x14ac:dyDescent="0.25">
      <c r="A2278" t="s">
        <v>841</v>
      </c>
      <c r="B2278" t="s">
        <v>524</v>
      </c>
      <c r="C2278" s="5">
        <v>407151</v>
      </c>
      <c r="D2278" s="5">
        <v>4891</v>
      </c>
      <c r="E2278">
        <v>21465</v>
      </c>
      <c r="F2278" s="4" t="s">
        <v>525</v>
      </c>
      <c r="G2278" t="s">
        <v>29</v>
      </c>
      <c r="H2278" t="s">
        <v>526</v>
      </c>
    </row>
    <row r="2279" spans="1:8" x14ac:dyDescent="0.25">
      <c r="A2279" t="s">
        <v>841</v>
      </c>
      <c r="B2279" t="s">
        <v>523</v>
      </c>
      <c r="C2279" s="5">
        <v>4995</v>
      </c>
      <c r="D2279" s="5">
        <v>68</v>
      </c>
      <c r="E2279">
        <v>3852</v>
      </c>
      <c r="F2279" s="4" t="s">
        <v>630</v>
      </c>
      <c r="G2279" t="s">
        <v>29</v>
      </c>
      <c r="H2279" t="s">
        <v>631</v>
      </c>
    </row>
    <row r="2280" spans="1:8" x14ac:dyDescent="0.25">
      <c r="A2280" t="s">
        <v>841</v>
      </c>
      <c r="B2280" t="s">
        <v>522</v>
      </c>
      <c r="C2280" s="5">
        <v>27</v>
      </c>
      <c r="D2280" s="5">
        <v>0</v>
      </c>
      <c r="E2280">
        <v>10</v>
      </c>
      <c r="F2280" s="4" t="s">
        <v>29</v>
      </c>
      <c r="G2280" t="s">
        <v>29</v>
      </c>
      <c r="H2280" t="s">
        <v>291</v>
      </c>
    </row>
    <row r="2281" spans="1:8" x14ac:dyDescent="0.25">
      <c r="A2281" t="s">
        <v>841</v>
      </c>
      <c r="B2281" t="s">
        <v>521</v>
      </c>
      <c r="C2281" s="5">
        <v>185963</v>
      </c>
      <c r="D2281" s="5">
        <v>1323</v>
      </c>
      <c r="E2281">
        <v>150722</v>
      </c>
      <c r="F2281" s="4" t="s">
        <v>488</v>
      </c>
      <c r="G2281" t="s">
        <v>29</v>
      </c>
      <c r="H2281" t="s">
        <v>489</v>
      </c>
    </row>
    <row r="2282" spans="1:8" x14ac:dyDescent="0.25">
      <c r="A2282" t="s">
        <v>841</v>
      </c>
      <c r="B2282" t="s">
        <v>518</v>
      </c>
      <c r="C2282" s="5">
        <v>393899</v>
      </c>
      <c r="D2282" s="5">
        <v>6078</v>
      </c>
      <c r="E2282">
        <v>200927</v>
      </c>
      <c r="F2282" s="4" t="s">
        <v>519</v>
      </c>
      <c r="G2282" t="s">
        <v>29</v>
      </c>
      <c r="H2282" t="s">
        <v>520</v>
      </c>
    </row>
    <row r="2283" spans="1:8" x14ac:dyDescent="0.25">
      <c r="A2283" t="s">
        <v>841</v>
      </c>
      <c r="B2283" t="s">
        <v>515</v>
      </c>
      <c r="C2283" s="5">
        <v>45984022</v>
      </c>
      <c r="D2283" s="5">
        <v>746068</v>
      </c>
      <c r="E2283">
        <v>28386326</v>
      </c>
      <c r="F2283" s="4" t="s">
        <v>516</v>
      </c>
      <c r="G2283" t="s">
        <v>29</v>
      </c>
      <c r="H2283" t="s">
        <v>517</v>
      </c>
    </row>
    <row r="2284" spans="1:8" x14ac:dyDescent="0.25">
      <c r="A2284" t="s">
        <v>841</v>
      </c>
      <c r="B2284" t="s">
        <v>512</v>
      </c>
      <c r="C2284" s="5">
        <v>126171</v>
      </c>
      <c r="D2284" s="5">
        <v>3215</v>
      </c>
      <c r="E2284">
        <v>3531</v>
      </c>
      <c r="F2284" s="4" t="s">
        <v>513</v>
      </c>
      <c r="G2284" t="s">
        <v>29</v>
      </c>
      <c r="H2284" t="s">
        <v>514</v>
      </c>
    </row>
    <row r="2285" spans="1:8" x14ac:dyDescent="0.25">
      <c r="A2285" t="s">
        <v>841</v>
      </c>
      <c r="B2285" t="s">
        <v>509</v>
      </c>
      <c r="C2285" s="5">
        <v>3058108</v>
      </c>
      <c r="D2285" s="5">
        <v>72073</v>
      </c>
      <c r="E2285">
        <v>900611</v>
      </c>
      <c r="F2285" s="4" t="s">
        <v>339</v>
      </c>
      <c r="G2285" t="s">
        <v>29</v>
      </c>
      <c r="H2285" t="s">
        <v>340</v>
      </c>
    </row>
    <row r="2286" spans="1:8" x14ac:dyDescent="0.25">
      <c r="A2286" t="s">
        <v>841</v>
      </c>
      <c r="B2286" t="s">
        <v>506</v>
      </c>
      <c r="C2286" s="5">
        <v>26154</v>
      </c>
      <c r="D2286" s="5">
        <v>725</v>
      </c>
      <c r="E2286">
        <v>18156</v>
      </c>
      <c r="F2286" s="4" t="s">
        <v>507</v>
      </c>
      <c r="G2286" t="s">
        <v>29</v>
      </c>
      <c r="H2286" t="s">
        <v>508</v>
      </c>
    </row>
    <row r="2287" spans="1:8" x14ac:dyDescent="0.25">
      <c r="A2287" t="s">
        <v>841</v>
      </c>
      <c r="B2287" t="s">
        <v>503</v>
      </c>
      <c r="C2287" s="5">
        <v>16412</v>
      </c>
      <c r="D2287" s="5">
        <v>847</v>
      </c>
      <c r="E2287">
        <v>11689</v>
      </c>
      <c r="F2287" s="4" t="s">
        <v>740</v>
      </c>
      <c r="G2287" t="s">
        <v>29</v>
      </c>
      <c r="H2287" t="s">
        <v>741</v>
      </c>
    </row>
    <row r="2288" spans="1:8" x14ac:dyDescent="0.25">
      <c r="A2288" t="s">
        <v>841</v>
      </c>
      <c r="B2288" t="s">
        <v>500</v>
      </c>
      <c r="C2288" s="5">
        <v>57329</v>
      </c>
      <c r="D2288" s="5">
        <v>1696</v>
      </c>
      <c r="E2288">
        <v>31556</v>
      </c>
      <c r="F2288" s="4" t="s">
        <v>731</v>
      </c>
      <c r="G2288" t="s">
        <v>29</v>
      </c>
      <c r="H2288" t="s">
        <v>732</v>
      </c>
    </row>
    <row r="2289" spans="1:8" x14ac:dyDescent="0.25">
      <c r="A2289" t="s">
        <v>841</v>
      </c>
      <c r="B2289" t="s">
        <v>497</v>
      </c>
      <c r="C2289" s="5">
        <v>8032958</v>
      </c>
      <c r="D2289" s="5">
        <v>70611</v>
      </c>
      <c r="E2289">
        <v>3614593</v>
      </c>
      <c r="F2289" s="4" t="s">
        <v>609</v>
      </c>
      <c r="G2289" t="s">
        <v>29</v>
      </c>
      <c r="H2289" t="s">
        <v>610</v>
      </c>
    </row>
    <row r="2290" spans="1:8" x14ac:dyDescent="0.25">
      <c r="A2290" t="s">
        <v>841</v>
      </c>
      <c r="B2290" t="s">
        <v>496</v>
      </c>
      <c r="C2290" s="5">
        <v>1</v>
      </c>
      <c r="D2290" s="5">
        <v>0</v>
      </c>
      <c r="E2290">
        <v>1</v>
      </c>
      <c r="F2290" s="4" t="s">
        <v>29</v>
      </c>
      <c r="G2290" t="s">
        <v>29</v>
      </c>
      <c r="H2290" t="s">
        <v>291</v>
      </c>
    </row>
    <row r="2291" spans="1:8" x14ac:dyDescent="0.25">
      <c r="A2291" t="s">
        <v>841</v>
      </c>
      <c r="B2291" t="s">
        <v>493</v>
      </c>
      <c r="C2291" s="5">
        <v>712747</v>
      </c>
      <c r="D2291" s="5">
        <v>25241</v>
      </c>
      <c r="E2291">
        <v>297368</v>
      </c>
      <c r="F2291" s="4" t="s">
        <v>494</v>
      </c>
      <c r="G2291" t="s">
        <v>29</v>
      </c>
      <c r="H2291" t="s">
        <v>495</v>
      </c>
    </row>
    <row r="2292" spans="1:8" x14ac:dyDescent="0.25">
      <c r="A2292" t="s">
        <v>841</v>
      </c>
      <c r="B2292" t="s">
        <v>490</v>
      </c>
      <c r="C2292" s="5">
        <v>19790</v>
      </c>
      <c r="D2292" s="5">
        <v>122</v>
      </c>
      <c r="E2292">
        <v>1071</v>
      </c>
      <c r="F2292" s="4" t="s">
        <v>491</v>
      </c>
      <c r="G2292" t="s">
        <v>29</v>
      </c>
      <c r="H2292" t="s">
        <v>492</v>
      </c>
    </row>
    <row r="2293" spans="1:8" x14ac:dyDescent="0.25">
      <c r="A2293" t="s">
        <v>841</v>
      </c>
      <c r="B2293" t="s">
        <v>487</v>
      </c>
      <c r="C2293" s="5">
        <v>17486</v>
      </c>
      <c r="D2293" s="5">
        <v>125</v>
      </c>
      <c r="E2293">
        <v>11197</v>
      </c>
      <c r="F2293" s="4" t="s">
        <v>488</v>
      </c>
      <c r="G2293" t="s">
        <v>29</v>
      </c>
      <c r="H2293" t="s">
        <v>489</v>
      </c>
    </row>
    <row r="2294" spans="1:8" x14ac:dyDescent="0.25">
      <c r="A2294" t="s">
        <v>841</v>
      </c>
      <c r="B2294" t="s">
        <v>486</v>
      </c>
      <c r="C2294" s="5">
        <v>1912024</v>
      </c>
      <c r="D2294" s="5">
        <v>19205</v>
      </c>
      <c r="E2294">
        <v>28416</v>
      </c>
      <c r="F2294" s="4" t="s">
        <v>56</v>
      </c>
      <c r="G2294" t="s">
        <v>29</v>
      </c>
      <c r="H2294" t="s">
        <v>57</v>
      </c>
    </row>
    <row r="2295" spans="1:8" x14ac:dyDescent="0.25">
      <c r="A2295" t="s">
        <v>841</v>
      </c>
      <c r="B2295" t="s">
        <v>483</v>
      </c>
      <c r="C2295" s="5">
        <v>26079</v>
      </c>
      <c r="D2295" s="5">
        <v>242</v>
      </c>
      <c r="E2295">
        <v>2143</v>
      </c>
      <c r="F2295" s="4" t="s">
        <v>484</v>
      </c>
      <c r="G2295" t="s">
        <v>29</v>
      </c>
      <c r="H2295" t="s">
        <v>485</v>
      </c>
    </row>
    <row r="2296" spans="1:8" x14ac:dyDescent="0.25">
      <c r="A2296" t="s">
        <v>841</v>
      </c>
      <c r="B2296" t="s">
        <v>482</v>
      </c>
      <c r="C2296" s="5">
        <v>5069</v>
      </c>
      <c r="D2296" s="5">
        <v>174</v>
      </c>
      <c r="E2296">
        <v>938</v>
      </c>
      <c r="F2296" s="4" t="s">
        <v>252</v>
      </c>
      <c r="G2296" t="s">
        <v>29</v>
      </c>
      <c r="H2296" t="s">
        <v>253</v>
      </c>
    </row>
    <row r="2297" spans="1:8" x14ac:dyDescent="0.25">
      <c r="A2297" t="s">
        <v>841</v>
      </c>
      <c r="B2297" t="s">
        <v>479</v>
      </c>
      <c r="C2297" s="5">
        <v>46421</v>
      </c>
      <c r="D2297" s="5">
        <v>1242</v>
      </c>
      <c r="E2297">
        <v>45061</v>
      </c>
      <c r="F2297" s="4" t="s">
        <v>480</v>
      </c>
      <c r="G2297" t="s">
        <v>29</v>
      </c>
      <c r="H2297" t="s">
        <v>481</v>
      </c>
    </row>
    <row r="2298" spans="1:8" x14ac:dyDescent="0.25">
      <c r="A2298" t="s">
        <v>841</v>
      </c>
      <c r="B2298" t="s">
        <v>476</v>
      </c>
      <c r="C2298" s="5">
        <v>43146</v>
      </c>
      <c r="D2298" s="5">
        <v>2558</v>
      </c>
      <c r="E2298">
        <v>39503</v>
      </c>
      <c r="F2298" s="4" t="s">
        <v>842</v>
      </c>
      <c r="G2298" t="s">
        <v>29</v>
      </c>
      <c r="H2298" t="s">
        <v>843</v>
      </c>
    </row>
    <row r="2299" spans="1:8" x14ac:dyDescent="0.25">
      <c r="A2299" t="s">
        <v>841</v>
      </c>
      <c r="B2299" t="s">
        <v>473</v>
      </c>
      <c r="C2299" s="5">
        <v>113422</v>
      </c>
      <c r="D2299" s="5">
        <v>3629</v>
      </c>
      <c r="E2299">
        <v>46715</v>
      </c>
      <c r="F2299" s="4" t="s">
        <v>844</v>
      </c>
      <c r="G2299" t="s">
        <v>29</v>
      </c>
      <c r="H2299" t="s">
        <v>845</v>
      </c>
    </row>
    <row r="2300" spans="1:8" x14ac:dyDescent="0.25">
      <c r="A2300" t="s">
        <v>841</v>
      </c>
      <c r="B2300" t="s">
        <v>472</v>
      </c>
      <c r="C2300" s="5">
        <v>3714</v>
      </c>
      <c r="D2300" s="5">
        <v>56</v>
      </c>
      <c r="E2300">
        <v>1251</v>
      </c>
      <c r="F2300" s="4" t="s">
        <v>202</v>
      </c>
      <c r="G2300" t="s">
        <v>29</v>
      </c>
      <c r="H2300" t="s">
        <v>203</v>
      </c>
    </row>
    <row r="2301" spans="1:8" x14ac:dyDescent="0.25">
      <c r="A2301" t="s">
        <v>841</v>
      </c>
      <c r="B2301" t="s">
        <v>471</v>
      </c>
      <c r="C2301" s="5">
        <v>12361</v>
      </c>
      <c r="D2301" s="5">
        <v>133</v>
      </c>
      <c r="E2301">
        <v>11292</v>
      </c>
      <c r="F2301" s="4" t="s">
        <v>758</v>
      </c>
      <c r="G2301" t="s">
        <v>29</v>
      </c>
      <c r="H2301" t="s">
        <v>759</v>
      </c>
    </row>
    <row r="2302" spans="1:8" x14ac:dyDescent="0.25">
      <c r="A2302" t="s">
        <v>841</v>
      </c>
      <c r="B2302" t="s">
        <v>468</v>
      </c>
      <c r="C2302" s="5">
        <v>49019</v>
      </c>
      <c r="D2302" s="5">
        <v>1092</v>
      </c>
      <c r="E2302">
        <v>5227</v>
      </c>
      <c r="F2302" s="4" t="s">
        <v>421</v>
      </c>
      <c r="G2302" t="s">
        <v>29</v>
      </c>
      <c r="H2302" t="s">
        <v>422</v>
      </c>
    </row>
    <row r="2303" spans="1:8" x14ac:dyDescent="0.25">
      <c r="A2303" t="s">
        <v>841</v>
      </c>
      <c r="B2303" t="s">
        <v>465</v>
      </c>
      <c r="C2303" s="5">
        <v>21998</v>
      </c>
      <c r="D2303" s="5">
        <v>1208</v>
      </c>
      <c r="E2303">
        <v>18766</v>
      </c>
      <c r="F2303" s="4" t="s">
        <v>744</v>
      </c>
      <c r="G2303" t="s">
        <v>29</v>
      </c>
      <c r="H2303" t="s">
        <v>745</v>
      </c>
    </row>
    <row r="2304" spans="1:8" x14ac:dyDescent="0.25">
      <c r="A2304" t="s">
        <v>841</v>
      </c>
      <c r="B2304" t="s">
        <v>464</v>
      </c>
      <c r="C2304" s="5">
        <v>73917</v>
      </c>
      <c r="D2304" s="5">
        <v>1878</v>
      </c>
      <c r="E2304">
        <v>58200</v>
      </c>
      <c r="F2304" s="4" t="s">
        <v>141</v>
      </c>
      <c r="G2304" t="s">
        <v>29</v>
      </c>
      <c r="H2304" t="s">
        <v>142</v>
      </c>
    </row>
    <row r="2305" spans="1:8" x14ac:dyDescent="0.25">
      <c r="A2305" t="s">
        <v>841</v>
      </c>
      <c r="B2305" t="s">
        <v>463</v>
      </c>
      <c r="C2305" s="5">
        <v>5547</v>
      </c>
      <c r="D2305" s="5">
        <v>92</v>
      </c>
      <c r="E2305">
        <v>3</v>
      </c>
      <c r="F2305" s="4" t="s">
        <v>135</v>
      </c>
      <c r="G2305" t="s">
        <v>29</v>
      </c>
      <c r="H2305" t="s">
        <v>136</v>
      </c>
    </row>
    <row r="2306" spans="1:8" x14ac:dyDescent="0.25">
      <c r="A2306" t="s">
        <v>841</v>
      </c>
      <c r="B2306" t="s">
        <v>460</v>
      </c>
      <c r="C2306" s="5">
        <v>6397</v>
      </c>
      <c r="D2306" s="5">
        <v>121</v>
      </c>
      <c r="E2306">
        <v>3114</v>
      </c>
      <c r="F2306" s="4" t="s">
        <v>461</v>
      </c>
      <c r="G2306" t="s">
        <v>29</v>
      </c>
      <c r="H2306" t="s">
        <v>462</v>
      </c>
    </row>
    <row r="2307" spans="1:8" x14ac:dyDescent="0.25">
      <c r="A2307" t="s">
        <v>841</v>
      </c>
      <c r="B2307" t="s">
        <v>457</v>
      </c>
      <c r="C2307" s="5">
        <v>483773</v>
      </c>
      <c r="D2307" s="5">
        <v>13034</v>
      </c>
      <c r="E2307">
        <v>167238</v>
      </c>
      <c r="F2307" s="4" t="s">
        <v>833</v>
      </c>
      <c r="G2307" t="s">
        <v>29</v>
      </c>
      <c r="H2307" t="s">
        <v>834</v>
      </c>
    </row>
    <row r="2308" spans="1:8" x14ac:dyDescent="0.25">
      <c r="A2308" t="s">
        <v>841</v>
      </c>
      <c r="B2308" t="s">
        <v>456</v>
      </c>
      <c r="C2308" s="5">
        <v>335850</v>
      </c>
      <c r="D2308" s="5">
        <v>4745</v>
      </c>
      <c r="E2308">
        <v>165719</v>
      </c>
      <c r="F2308" s="4" t="s">
        <v>345</v>
      </c>
      <c r="G2308" t="s">
        <v>29</v>
      </c>
      <c r="H2308" t="s">
        <v>346</v>
      </c>
    </row>
    <row r="2309" spans="1:8" x14ac:dyDescent="0.25">
      <c r="A2309" t="s">
        <v>841</v>
      </c>
      <c r="B2309" t="s">
        <v>453</v>
      </c>
      <c r="C2309" s="5">
        <v>198374</v>
      </c>
      <c r="D2309" s="5">
        <v>407</v>
      </c>
      <c r="E2309">
        <v>47290</v>
      </c>
      <c r="F2309" s="4" t="s">
        <v>781</v>
      </c>
      <c r="G2309" t="s">
        <v>29</v>
      </c>
      <c r="H2309" t="s">
        <v>782</v>
      </c>
    </row>
    <row r="2310" spans="1:8" x14ac:dyDescent="0.25">
      <c r="A2310" t="s">
        <v>841</v>
      </c>
      <c r="B2310" t="s">
        <v>452</v>
      </c>
      <c r="C2310" s="5">
        <v>1171512</v>
      </c>
      <c r="D2310" s="5">
        <v>15025</v>
      </c>
      <c r="E2310">
        <v>932898</v>
      </c>
      <c r="F2310" s="4" t="s">
        <v>381</v>
      </c>
      <c r="G2310" t="s">
        <v>29</v>
      </c>
      <c r="H2310" t="s">
        <v>382</v>
      </c>
    </row>
    <row r="2311" spans="1:8" x14ac:dyDescent="0.25">
      <c r="A2311" t="s">
        <v>841</v>
      </c>
      <c r="B2311" t="s">
        <v>449</v>
      </c>
      <c r="C2311" s="5">
        <v>40433</v>
      </c>
      <c r="D2311" s="5">
        <v>3099</v>
      </c>
      <c r="E2311">
        <v>16899</v>
      </c>
      <c r="F2311" s="4" t="s">
        <v>632</v>
      </c>
      <c r="G2311" t="s">
        <v>29</v>
      </c>
      <c r="H2311" t="s">
        <v>633</v>
      </c>
    </row>
    <row r="2312" spans="1:8" x14ac:dyDescent="0.25">
      <c r="A2312" t="s">
        <v>841</v>
      </c>
      <c r="B2312" t="s">
        <v>446</v>
      </c>
      <c r="C2312" s="5">
        <v>22243</v>
      </c>
      <c r="D2312" s="5">
        <v>119</v>
      </c>
      <c r="E2312">
        <v>14195</v>
      </c>
      <c r="F2312" s="4" t="s">
        <v>447</v>
      </c>
      <c r="G2312" t="s">
        <v>29</v>
      </c>
      <c r="H2312" t="s">
        <v>448</v>
      </c>
    </row>
    <row r="2313" spans="1:8" x14ac:dyDescent="0.25">
      <c r="A2313" t="s">
        <v>841</v>
      </c>
      <c r="B2313" t="s">
        <v>445</v>
      </c>
      <c r="C2313" s="5">
        <v>20</v>
      </c>
      <c r="D2313" s="5">
        <v>0</v>
      </c>
      <c r="E2313">
        <v>9</v>
      </c>
      <c r="F2313" s="4" t="s">
        <v>29</v>
      </c>
      <c r="G2313" t="s">
        <v>29</v>
      </c>
      <c r="H2313" t="s">
        <v>291</v>
      </c>
    </row>
    <row r="2314" spans="1:8" x14ac:dyDescent="0.25">
      <c r="A2314" t="s">
        <v>841</v>
      </c>
      <c r="B2314" t="s">
        <v>444</v>
      </c>
      <c r="C2314" s="5">
        <v>548617</v>
      </c>
      <c r="D2314" s="5">
        <v>8794</v>
      </c>
      <c r="E2314">
        <v>483197</v>
      </c>
      <c r="F2314" s="4" t="s">
        <v>313</v>
      </c>
      <c r="G2314" t="s">
        <v>29</v>
      </c>
      <c r="H2314" t="s">
        <v>314</v>
      </c>
    </row>
    <row r="2315" spans="1:8" x14ac:dyDescent="0.25">
      <c r="A2315" t="s">
        <v>841</v>
      </c>
      <c r="B2315" t="s">
        <v>443</v>
      </c>
      <c r="C2315" s="5">
        <v>99698</v>
      </c>
      <c r="D2315" s="5">
        <v>1331</v>
      </c>
      <c r="E2315">
        <v>40492</v>
      </c>
      <c r="F2315" s="4" t="s">
        <v>264</v>
      </c>
      <c r="G2315" t="s">
        <v>29</v>
      </c>
      <c r="H2315" t="s">
        <v>265</v>
      </c>
    </row>
    <row r="2316" spans="1:8" x14ac:dyDescent="0.25">
      <c r="A2316" t="s">
        <v>841</v>
      </c>
      <c r="B2316" t="s">
        <v>440</v>
      </c>
      <c r="C2316" s="5">
        <v>8377984</v>
      </c>
      <c r="D2316" s="5">
        <v>234194</v>
      </c>
      <c r="E2316">
        <v>3146781</v>
      </c>
      <c r="F2316" s="4" t="s">
        <v>441</v>
      </c>
      <c r="G2316" t="s">
        <v>29</v>
      </c>
      <c r="H2316" t="s">
        <v>442</v>
      </c>
    </row>
    <row r="2317" spans="1:8" x14ac:dyDescent="0.25">
      <c r="A2317" t="s">
        <v>841</v>
      </c>
      <c r="B2317" t="s">
        <v>439</v>
      </c>
      <c r="C2317" s="5">
        <v>1142749</v>
      </c>
      <c r="D2317" s="5">
        <v>9955</v>
      </c>
      <c r="E2317">
        <v>996203</v>
      </c>
      <c r="F2317" s="4" t="s">
        <v>498</v>
      </c>
      <c r="G2317" t="s">
        <v>29</v>
      </c>
      <c r="H2317" t="s">
        <v>499</v>
      </c>
    </row>
    <row r="2318" spans="1:8" x14ac:dyDescent="0.25">
      <c r="A2318" t="s">
        <v>841</v>
      </c>
      <c r="B2318" t="s">
        <v>436</v>
      </c>
      <c r="C2318" s="5">
        <v>1648031</v>
      </c>
      <c r="D2318" s="5">
        <v>47751</v>
      </c>
      <c r="E2318">
        <v>1027950</v>
      </c>
      <c r="F2318" s="4" t="s">
        <v>249</v>
      </c>
      <c r="G2318" t="s">
        <v>29</v>
      </c>
      <c r="H2318" t="s">
        <v>250</v>
      </c>
    </row>
    <row r="2319" spans="1:8" x14ac:dyDescent="0.25">
      <c r="A2319" t="s">
        <v>841</v>
      </c>
      <c r="B2319" t="s">
        <v>435</v>
      </c>
      <c r="C2319" s="5">
        <v>54668</v>
      </c>
      <c r="D2319" s="5">
        <v>374</v>
      </c>
      <c r="E2319">
        <v>33485</v>
      </c>
      <c r="F2319" s="4" t="s">
        <v>605</v>
      </c>
      <c r="G2319" t="s">
        <v>29</v>
      </c>
      <c r="H2319" t="s">
        <v>606</v>
      </c>
    </row>
    <row r="2320" spans="1:8" x14ac:dyDescent="0.25">
      <c r="A2320" t="s">
        <v>841</v>
      </c>
      <c r="B2320" t="s">
        <v>432</v>
      </c>
      <c r="C2320" s="5">
        <v>239247</v>
      </c>
      <c r="D2320" s="5">
        <v>610</v>
      </c>
      <c r="E2320">
        <v>233913</v>
      </c>
      <c r="F2320" s="4" t="s">
        <v>433</v>
      </c>
      <c r="G2320" t="s">
        <v>29</v>
      </c>
      <c r="H2320" t="s">
        <v>434</v>
      </c>
    </row>
    <row r="2321" spans="1:8" x14ac:dyDescent="0.25">
      <c r="A2321" t="s">
        <v>841</v>
      </c>
      <c r="B2321" t="s">
        <v>429</v>
      </c>
      <c r="C2321" s="5">
        <v>461006</v>
      </c>
      <c r="D2321" s="5">
        <v>16246</v>
      </c>
      <c r="E2321">
        <v>46666</v>
      </c>
      <c r="F2321" s="4" t="s">
        <v>353</v>
      </c>
      <c r="G2321" t="s">
        <v>29</v>
      </c>
      <c r="H2321" t="s">
        <v>354</v>
      </c>
    </row>
    <row r="2322" spans="1:8" x14ac:dyDescent="0.25">
      <c r="A2322" t="s">
        <v>841</v>
      </c>
      <c r="B2322" t="s">
        <v>428</v>
      </c>
      <c r="C2322" s="5">
        <v>8</v>
      </c>
      <c r="D2322" s="5">
        <v>0</v>
      </c>
      <c r="E2322">
        <v>5</v>
      </c>
      <c r="F2322" s="4" t="s">
        <v>29</v>
      </c>
      <c r="G2322" t="s">
        <v>29</v>
      </c>
      <c r="H2322" t="s">
        <v>291</v>
      </c>
    </row>
    <row r="2323" spans="1:8" x14ac:dyDescent="0.25">
      <c r="A2323" t="s">
        <v>841</v>
      </c>
      <c r="B2323" t="s">
        <v>427</v>
      </c>
      <c r="C2323" s="5">
        <v>1090651</v>
      </c>
      <c r="D2323" s="5">
        <v>18157</v>
      </c>
      <c r="E2323">
        <v>684708</v>
      </c>
      <c r="F2323" s="4" t="s">
        <v>135</v>
      </c>
      <c r="G2323" t="s">
        <v>29</v>
      </c>
      <c r="H2323" t="s">
        <v>136</v>
      </c>
    </row>
    <row r="2324" spans="1:8" x14ac:dyDescent="0.25">
      <c r="A2324" t="s">
        <v>841</v>
      </c>
      <c r="B2324" t="s">
        <v>426</v>
      </c>
      <c r="C2324" s="5">
        <v>452997</v>
      </c>
      <c r="D2324" s="5">
        <v>4663</v>
      </c>
      <c r="E2324">
        <v>315558</v>
      </c>
      <c r="F2324" s="4" t="s">
        <v>687</v>
      </c>
      <c r="G2324" t="s">
        <v>29</v>
      </c>
      <c r="H2324" t="s">
        <v>688</v>
      </c>
    </row>
    <row r="2325" spans="1:8" x14ac:dyDescent="0.25">
      <c r="A2325" t="s">
        <v>841</v>
      </c>
      <c r="B2325" t="s">
        <v>423</v>
      </c>
      <c r="C2325" s="5">
        <v>3025247</v>
      </c>
      <c r="D2325" s="5">
        <v>76999</v>
      </c>
      <c r="E2325">
        <v>1916712</v>
      </c>
      <c r="F2325" s="4" t="s">
        <v>513</v>
      </c>
      <c r="G2325" t="s">
        <v>29</v>
      </c>
      <c r="H2325" t="s">
        <v>514</v>
      </c>
    </row>
    <row r="2326" spans="1:8" x14ac:dyDescent="0.25">
      <c r="A2326" t="s">
        <v>841</v>
      </c>
      <c r="B2326" t="s">
        <v>420</v>
      </c>
      <c r="C2326" s="5">
        <v>1273560</v>
      </c>
      <c r="D2326" s="5">
        <v>28456</v>
      </c>
      <c r="E2326">
        <v>165289</v>
      </c>
      <c r="F2326" s="4" t="s">
        <v>421</v>
      </c>
      <c r="G2326" t="s">
        <v>29</v>
      </c>
      <c r="H2326" t="s">
        <v>422</v>
      </c>
    </row>
    <row r="2327" spans="1:8" x14ac:dyDescent="0.25">
      <c r="A2327" t="s">
        <v>841</v>
      </c>
      <c r="B2327" t="s">
        <v>419</v>
      </c>
      <c r="C2327" s="5">
        <v>2787276</v>
      </c>
      <c r="D2327" s="5">
        <v>43172</v>
      </c>
      <c r="E2327">
        <v>1280152</v>
      </c>
      <c r="F2327" s="4" t="s">
        <v>333</v>
      </c>
      <c r="G2327" t="s">
        <v>29</v>
      </c>
      <c r="H2327" t="s">
        <v>334</v>
      </c>
    </row>
    <row r="2328" spans="1:8" x14ac:dyDescent="0.25">
      <c r="A2328" t="s">
        <v>841</v>
      </c>
      <c r="B2328" t="s">
        <v>416</v>
      </c>
      <c r="C2328" s="5">
        <v>29715</v>
      </c>
      <c r="D2328" s="5">
        <v>370</v>
      </c>
      <c r="E2328">
        <v>27217</v>
      </c>
      <c r="F2328" s="4" t="s">
        <v>107</v>
      </c>
      <c r="G2328" t="s">
        <v>29</v>
      </c>
      <c r="H2328" t="s">
        <v>108</v>
      </c>
    </row>
    <row r="2329" spans="1:8" x14ac:dyDescent="0.25">
      <c r="A2329" t="s">
        <v>841</v>
      </c>
      <c r="B2329" t="s">
        <v>415</v>
      </c>
      <c r="C2329" s="5">
        <v>45541</v>
      </c>
      <c r="D2329" s="5">
        <v>636</v>
      </c>
      <c r="E2329">
        <v>9854</v>
      </c>
      <c r="F2329" s="4" t="s">
        <v>403</v>
      </c>
      <c r="G2329" t="s">
        <v>29</v>
      </c>
      <c r="H2329" t="s">
        <v>404</v>
      </c>
    </row>
    <row r="2330" spans="1:8" x14ac:dyDescent="0.25">
      <c r="A2330" t="s">
        <v>841</v>
      </c>
      <c r="B2330" t="s">
        <v>412</v>
      </c>
      <c r="C2330" s="5">
        <v>2201796</v>
      </c>
      <c r="D2330" s="5">
        <v>200246</v>
      </c>
      <c r="E2330">
        <v>66259</v>
      </c>
      <c r="F2330" s="4" t="s">
        <v>727</v>
      </c>
      <c r="G2330" t="s">
        <v>29</v>
      </c>
      <c r="H2330" t="s">
        <v>728</v>
      </c>
    </row>
    <row r="2331" spans="1:8" x14ac:dyDescent="0.25">
      <c r="A2331" t="s">
        <v>841</v>
      </c>
      <c r="B2331" t="s">
        <v>411</v>
      </c>
      <c r="C2331" s="5">
        <v>472664</v>
      </c>
      <c r="D2331" s="5">
        <v>7315</v>
      </c>
      <c r="E2331">
        <v>408368</v>
      </c>
      <c r="F2331" s="4" t="s">
        <v>333</v>
      </c>
      <c r="G2331" t="s">
        <v>29</v>
      </c>
      <c r="H2331" t="s">
        <v>334</v>
      </c>
    </row>
    <row r="2332" spans="1:8" x14ac:dyDescent="0.25">
      <c r="A2332" t="s">
        <v>841</v>
      </c>
      <c r="B2332" t="s">
        <v>408</v>
      </c>
      <c r="C2332" s="5">
        <v>304291</v>
      </c>
      <c r="D2332" s="5">
        <v>4111</v>
      </c>
      <c r="E2332">
        <v>16674</v>
      </c>
      <c r="F2332" s="4" t="s">
        <v>409</v>
      </c>
      <c r="G2332" t="s">
        <v>29</v>
      </c>
      <c r="H2332" t="s">
        <v>410</v>
      </c>
    </row>
    <row r="2333" spans="1:8" x14ac:dyDescent="0.25">
      <c r="A2333" t="s">
        <v>841</v>
      </c>
      <c r="B2333" t="s">
        <v>405</v>
      </c>
      <c r="C2333" s="5">
        <v>6595</v>
      </c>
      <c r="D2333" s="5">
        <v>28</v>
      </c>
      <c r="E2333">
        <v>1674</v>
      </c>
      <c r="F2333" s="4" t="s">
        <v>597</v>
      </c>
      <c r="G2333" t="s">
        <v>29</v>
      </c>
      <c r="H2333" t="s">
        <v>598</v>
      </c>
    </row>
    <row r="2334" spans="1:8" x14ac:dyDescent="0.25">
      <c r="A2334" t="s">
        <v>841</v>
      </c>
      <c r="B2334" t="s">
        <v>402</v>
      </c>
      <c r="C2334" s="5">
        <v>812570</v>
      </c>
      <c r="D2334" s="5">
        <v>11407</v>
      </c>
      <c r="E2334">
        <v>352940</v>
      </c>
      <c r="F2334" s="4" t="s">
        <v>403</v>
      </c>
      <c r="G2334" t="s">
        <v>29</v>
      </c>
      <c r="H2334" t="s">
        <v>404</v>
      </c>
    </row>
    <row r="2335" spans="1:8" x14ac:dyDescent="0.25">
      <c r="A2335" t="s">
        <v>841</v>
      </c>
      <c r="B2335" t="s">
        <v>399</v>
      </c>
      <c r="C2335" s="5">
        <v>207280</v>
      </c>
      <c r="D2335" s="5">
        <v>900</v>
      </c>
      <c r="E2335">
        <v>202923</v>
      </c>
      <c r="F2335" s="4" t="s">
        <v>400</v>
      </c>
      <c r="G2335" t="s">
        <v>29</v>
      </c>
      <c r="H2335" t="s">
        <v>401</v>
      </c>
    </row>
    <row r="2336" spans="1:8" x14ac:dyDescent="0.25">
      <c r="A2336" t="s">
        <v>841</v>
      </c>
      <c r="B2336" t="s">
        <v>396</v>
      </c>
      <c r="C2336" s="5">
        <v>2171990</v>
      </c>
      <c r="D2336" s="5">
        <v>18850</v>
      </c>
      <c r="E2336">
        <v>885029</v>
      </c>
      <c r="F2336" s="4" t="s">
        <v>498</v>
      </c>
      <c r="G2336" t="s">
        <v>29</v>
      </c>
      <c r="H2336" t="s">
        <v>499</v>
      </c>
    </row>
    <row r="2337" spans="1:8" x14ac:dyDescent="0.25">
      <c r="A2337" t="s">
        <v>841</v>
      </c>
      <c r="B2337" t="s">
        <v>393</v>
      </c>
      <c r="C2337" s="5">
        <v>16422</v>
      </c>
      <c r="D2337" s="5">
        <v>208</v>
      </c>
      <c r="E2337">
        <v>4505</v>
      </c>
      <c r="F2337" s="4" t="s">
        <v>53</v>
      </c>
      <c r="G2337" t="s">
        <v>29</v>
      </c>
      <c r="H2337" t="s">
        <v>54</v>
      </c>
    </row>
    <row r="2338" spans="1:8" x14ac:dyDescent="0.25">
      <c r="A2338" t="s">
        <v>841</v>
      </c>
      <c r="B2338" t="s">
        <v>390</v>
      </c>
      <c r="C2338" s="5">
        <v>211961</v>
      </c>
      <c r="D2338" s="5">
        <v>2896</v>
      </c>
      <c r="E2338">
        <v>190972</v>
      </c>
      <c r="F2338" s="4" t="s">
        <v>391</v>
      </c>
      <c r="G2338" t="s">
        <v>29</v>
      </c>
      <c r="H2338" t="s">
        <v>392</v>
      </c>
    </row>
    <row r="2339" spans="1:8" x14ac:dyDescent="0.25">
      <c r="A2339" t="s">
        <v>841</v>
      </c>
      <c r="B2339" t="s">
        <v>387</v>
      </c>
      <c r="C2339" s="5">
        <v>6366</v>
      </c>
      <c r="D2339" s="5">
        <v>213</v>
      </c>
      <c r="E2339">
        <v>5131</v>
      </c>
      <c r="F2339" s="4" t="s">
        <v>831</v>
      </c>
      <c r="G2339" t="s">
        <v>29</v>
      </c>
      <c r="H2339" t="s">
        <v>832</v>
      </c>
    </row>
    <row r="2340" spans="1:8" x14ac:dyDescent="0.25">
      <c r="A2340" t="s">
        <v>841</v>
      </c>
      <c r="B2340" t="s">
        <v>386</v>
      </c>
      <c r="C2340" s="5">
        <v>10968</v>
      </c>
      <c r="D2340" s="5">
        <v>265</v>
      </c>
      <c r="E2340">
        <v>3286</v>
      </c>
      <c r="F2340" s="4" t="s">
        <v>796</v>
      </c>
      <c r="G2340" t="s">
        <v>29</v>
      </c>
      <c r="H2340" t="s">
        <v>797</v>
      </c>
    </row>
    <row r="2341" spans="1:8" x14ac:dyDescent="0.25">
      <c r="A2341" t="s">
        <v>841</v>
      </c>
      <c r="B2341" t="s">
        <v>383</v>
      </c>
      <c r="C2341" s="5">
        <v>128927</v>
      </c>
      <c r="D2341" s="5">
        <v>3554</v>
      </c>
      <c r="E2341">
        <v>91882</v>
      </c>
      <c r="F2341" s="4" t="s">
        <v>384</v>
      </c>
      <c r="G2341" t="s">
        <v>29</v>
      </c>
      <c r="H2341" t="s">
        <v>385</v>
      </c>
    </row>
    <row r="2342" spans="1:8" x14ac:dyDescent="0.25">
      <c r="A2342" t="s">
        <v>841</v>
      </c>
      <c r="B2342" t="s">
        <v>380</v>
      </c>
      <c r="C2342" s="5">
        <v>151292</v>
      </c>
      <c r="D2342" s="5">
        <v>1930</v>
      </c>
      <c r="E2342">
        <v>16087</v>
      </c>
      <c r="F2342" s="4" t="s">
        <v>381</v>
      </c>
      <c r="G2342" t="s">
        <v>29</v>
      </c>
      <c r="H2342" t="s">
        <v>382</v>
      </c>
    </row>
    <row r="2343" spans="1:8" x14ac:dyDescent="0.25">
      <c r="A2343" t="s">
        <v>841</v>
      </c>
      <c r="B2343" t="s">
        <v>377</v>
      </c>
      <c r="C2343" s="5">
        <v>2471642</v>
      </c>
      <c r="D2343" s="5">
        <v>28912</v>
      </c>
      <c r="E2343">
        <v>1134630</v>
      </c>
      <c r="F2343" s="4" t="s">
        <v>378</v>
      </c>
      <c r="G2343" t="s">
        <v>29</v>
      </c>
      <c r="H2343" t="s">
        <v>379</v>
      </c>
    </row>
    <row r="2344" spans="1:8" x14ac:dyDescent="0.25">
      <c r="A2344" t="s">
        <v>841</v>
      </c>
      <c r="B2344" t="s">
        <v>374</v>
      </c>
      <c r="C2344" s="5">
        <v>3807211</v>
      </c>
      <c r="D2344" s="5">
        <v>288365</v>
      </c>
      <c r="E2344">
        <v>31154</v>
      </c>
      <c r="F2344" s="4" t="s">
        <v>375</v>
      </c>
      <c r="G2344" t="s">
        <v>29</v>
      </c>
      <c r="H2344" t="s">
        <v>376</v>
      </c>
    </row>
    <row r="2345" spans="1:8" x14ac:dyDescent="0.25">
      <c r="A2345" t="s">
        <v>841</v>
      </c>
      <c r="B2345" t="s">
        <v>371</v>
      </c>
      <c r="C2345" s="5">
        <v>61796</v>
      </c>
      <c r="D2345" s="5">
        <v>2301</v>
      </c>
      <c r="E2345">
        <v>23981</v>
      </c>
      <c r="F2345" s="4" t="s">
        <v>372</v>
      </c>
      <c r="G2345" t="s">
        <v>29</v>
      </c>
      <c r="H2345" t="s">
        <v>373</v>
      </c>
    </row>
    <row r="2346" spans="1:8" x14ac:dyDescent="0.25">
      <c r="A2346" t="s">
        <v>841</v>
      </c>
      <c r="B2346" t="s">
        <v>368</v>
      </c>
      <c r="C2346" s="5">
        <v>87638</v>
      </c>
      <c r="D2346" s="5">
        <v>243</v>
      </c>
      <c r="E2346">
        <v>86386</v>
      </c>
      <c r="F2346" s="4" t="s">
        <v>369</v>
      </c>
      <c r="G2346" t="s">
        <v>29</v>
      </c>
      <c r="H2346" t="s">
        <v>370</v>
      </c>
    </row>
    <row r="2347" spans="1:8" x14ac:dyDescent="0.25">
      <c r="A2347" t="s">
        <v>841</v>
      </c>
      <c r="B2347" t="s">
        <v>367</v>
      </c>
      <c r="C2347" s="5">
        <v>17698</v>
      </c>
      <c r="D2347" s="5">
        <v>166</v>
      </c>
      <c r="E2347">
        <v>1914</v>
      </c>
      <c r="F2347" s="4" t="s">
        <v>846</v>
      </c>
      <c r="G2347" t="s">
        <v>29</v>
      </c>
      <c r="H2347" t="s">
        <v>847</v>
      </c>
    </row>
    <row r="2348" spans="1:8" x14ac:dyDescent="0.25">
      <c r="A2348" t="s">
        <v>841</v>
      </c>
      <c r="B2348" t="s">
        <v>364</v>
      </c>
      <c r="C2348" s="5">
        <v>37653</v>
      </c>
      <c r="D2348" s="5">
        <v>461</v>
      </c>
      <c r="E2348">
        <v>5937</v>
      </c>
      <c r="F2348" s="4" t="s">
        <v>365</v>
      </c>
      <c r="G2348" t="s">
        <v>29</v>
      </c>
      <c r="H2348" t="s">
        <v>366</v>
      </c>
    </row>
    <row r="2349" spans="1:8" x14ac:dyDescent="0.25">
      <c r="A2349" t="s">
        <v>841</v>
      </c>
      <c r="B2349" t="s">
        <v>363</v>
      </c>
      <c r="C2349" s="5">
        <v>37320</v>
      </c>
      <c r="D2349" s="5">
        <v>797</v>
      </c>
      <c r="E2349">
        <v>31666</v>
      </c>
      <c r="F2349" s="4" t="s">
        <v>823</v>
      </c>
      <c r="G2349" t="s">
        <v>29</v>
      </c>
      <c r="H2349" t="s">
        <v>824</v>
      </c>
    </row>
    <row r="2350" spans="1:8" x14ac:dyDescent="0.25">
      <c r="A2350" t="s">
        <v>841</v>
      </c>
      <c r="B2350" t="s">
        <v>360</v>
      </c>
      <c r="C2350" s="5">
        <v>43183</v>
      </c>
      <c r="D2350" s="5">
        <v>681</v>
      </c>
      <c r="E2350">
        <v>34303</v>
      </c>
      <c r="F2350" s="4" t="s">
        <v>577</v>
      </c>
      <c r="G2350" t="s">
        <v>29</v>
      </c>
      <c r="H2350" t="s">
        <v>578</v>
      </c>
    </row>
    <row r="2351" spans="1:8" x14ac:dyDescent="0.25">
      <c r="A2351" t="s">
        <v>841</v>
      </c>
      <c r="B2351" t="s">
        <v>359</v>
      </c>
      <c r="C2351" s="5">
        <v>77</v>
      </c>
      <c r="D2351" s="5">
        <v>0</v>
      </c>
      <c r="E2351">
        <v>3</v>
      </c>
      <c r="F2351" s="4" t="s">
        <v>29</v>
      </c>
      <c r="G2351" t="s">
        <v>29</v>
      </c>
      <c r="H2351" t="s">
        <v>291</v>
      </c>
    </row>
    <row r="2352" spans="1:8" x14ac:dyDescent="0.25">
      <c r="A2352" t="s">
        <v>841</v>
      </c>
      <c r="B2352" t="s">
        <v>358</v>
      </c>
      <c r="C2352" s="5">
        <v>360317</v>
      </c>
      <c r="D2352" s="5">
        <v>1745</v>
      </c>
      <c r="E2352">
        <v>63010</v>
      </c>
      <c r="F2352" s="4" t="s">
        <v>848</v>
      </c>
      <c r="G2352" t="s">
        <v>29</v>
      </c>
      <c r="H2352" t="s">
        <v>849</v>
      </c>
    </row>
    <row r="2353" spans="1:8" x14ac:dyDescent="0.25">
      <c r="A2353" t="s">
        <v>841</v>
      </c>
      <c r="B2353" t="s">
        <v>355</v>
      </c>
      <c r="C2353" s="5">
        <v>500073</v>
      </c>
      <c r="D2353" s="5">
        <v>18697</v>
      </c>
      <c r="E2353">
        <v>239629</v>
      </c>
      <c r="F2353" s="4" t="s">
        <v>829</v>
      </c>
      <c r="G2353" t="s">
        <v>29</v>
      </c>
      <c r="H2353" t="s">
        <v>830</v>
      </c>
    </row>
    <row r="2354" spans="1:8" x14ac:dyDescent="0.25">
      <c r="A2354" t="s">
        <v>841</v>
      </c>
      <c r="B2354" t="s">
        <v>352</v>
      </c>
      <c r="C2354" s="5">
        <v>16073</v>
      </c>
      <c r="D2354" s="5">
        <v>563</v>
      </c>
      <c r="E2354">
        <v>3942</v>
      </c>
      <c r="F2354" s="4" t="s">
        <v>677</v>
      </c>
      <c r="G2354" t="s">
        <v>29</v>
      </c>
      <c r="H2354" t="s">
        <v>678</v>
      </c>
    </row>
    <row r="2355" spans="1:8" x14ac:dyDescent="0.25">
      <c r="A2355" t="s">
        <v>841</v>
      </c>
      <c r="B2355" t="s">
        <v>349</v>
      </c>
      <c r="C2355" s="5">
        <v>202552</v>
      </c>
      <c r="D2355" s="5">
        <v>7132</v>
      </c>
      <c r="E2355">
        <v>31190</v>
      </c>
      <c r="F2355" s="4" t="s">
        <v>353</v>
      </c>
      <c r="G2355" t="s">
        <v>29</v>
      </c>
      <c r="H2355" t="s">
        <v>354</v>
      </c>
    </row>
    <row r="2356" spans="1:8" x14ac:dyDescent="0.25">
      <c r="A2356" t="s">
        <v>841</v>
      </c>
      <c r="B2356" t="s">
        <v>348</v>
      </c>
      <c r="C2356" s="5">
        <v>4</v>
      </c>
      <c r="D2356" s="5">
        <v>0</v>
      </c>
      <c r="E2356">
        <v>0</v>
      </c>
      <c r="F2356" s="4" t="s">
        <v>29</v>
      </c>
      <c r="G2356" t="s">
        <v>29</v>
      </c>
      <c r="H2356" t="s">
        <v>291</v>
      </c>
    </row>
    <row r="2357" spans="1:8" x14ac:dyDescent="0.25">
      <c r="A2357" t="s">
        <v>841</v>
      </c>
      <c r="B2357" t="s">
        <v>347</v>
      </c>
      <c r="C2357" s="5">
        <v>43626</v>
      </c>
      <c r="D2357" s="5">
        <v>963</v>
      </c>
      <c r="E2357">
        <v>12805</v>
      </c>
      <c r="F2357" s="4" t="s">
        <v>132</v>
      </c>
      <c r="G2357" t="s">
        <v>29</v>
      </c>
      <c r="H2357" t="s">
        <v>133</v>
      </c>
    </row>
    <row r="2358" spans="1:8" x14ac:dyDescent="0.25">
      <c r="A2358" t="s">
        <v>841</v>
      </c>
      <c r="B2358" t="s">
        <v>344</v>
      </c>
      <c r="C2358" s="5">
        <v>3920</v>
      </c>
      <c r="D2358" s="5">
        <v>56</v>
      </c>
      <c r="E2358">
        <v>593</v>
      </c>
      <c r="F2358" s="4" t="s">
        <v>323</v>
      </c>
      <c r="G2358" t="s">
        <v>29</v>
      </c>
      <c r="H2358" t="s">
        <v>324</v>
      </c>
    </row>
    <row r="2359" spans="1:8" x14ac:dyDescent="0.25">
      <c r="A2359" t="s">
        <v>841</v>
      </c>
      <c r="B2359" t="s">
        <v>341</v>
      </c>
      <c r="C2359" s="5">
        <v>144314</v>
      </c>
      <c r="D2359" s="5">
        <v>2103</v>
      </c>
      <c r="E2359">
        <v>136208</v>
      </c>
      <c r="F2359" s="4" t="s">
        <v>565</v>
      </c>
      <c r="G2359" t="s">
        <v>29</v>
      </c>
      <c r="H2359" t="s">
        <v>566</v>
      </c>
    </row>
    <row r="2360" spans="1:8" x14ac:dyDescent="0.25">
      <c r="A2360" t="s">
        <v>841</v>
      </c>
      <c r="B2360" t="s">
        <v>338</v>
      </c>
      <c r="C2360" s="5">
        <v>337768</v>
      </c>
      <c r="D2360" s="5">
        <v>7790</v>
      </c>
      <c r="E2360">
        <v>300824</v>
      </c>
      <c r="F2360" s="4" t="s">
        <v>234</v>
      </c>
      <c r="G2360" t="s">
        <v>29</v>
      </c>
      <c r="H2360" t="s">
        <v>235</v>
      </c>
    </row>
    <row r="2361" spans="1:8" x14ac:dyDescent="0.25">
      <c r="A2361" t="s">
        <v>841</v>
      </c>
      <c r="B2361" t="s">
        <v>335</v>
      </c>
      <c r="C2361" s="5">
        <v>3414</v>
      </c>
      <c r="D2361" s="5">
        <v>36</v>
      </c>
      <c r="E2361">
        <v>2408</v>
      </c>
      <c r="F2361" s="4" t="s">
        <v>642</v>
      </c>
      <c r="G2361" t="s">
        <v>29</v>
      </c>
      <c r="H2361" t="s">
        <v>643</v>
      </c>
    </row>
    <row r="2362" spans="1:8" x14ac:dyDescent="0.25">
      <c r="A2362" t="s">
        <v>841</v>
      </c>
      <c r="B2362" t="s">
        <v>332</v>
      </c>
      <c r="C2362" s="5">
        <v>946145</v>
      </c>
      <c r="D2362" s="5">
        <v>14668</v>
      </c>
      <c r="E2362">
        <v>47236</v>
      </c>
      <c r="F2362" s="4" t="s">
        <v>333</v>
      </c>
      <c r="G2362" t="s">
        <v>29</v>
      </c>
      <c r="H2362" t="s">
        <v>334</v>
      </c>
    </row>
    <row r="2363" spans="1:8" x14ac:dyDescent="0.25">
      <c r="A2363" t="s">
        <v>841</v>
      </c>
      <c r="B2363" t="s">
        <v>329</v>
      </c>
      <c r="C2363" s="5">
        <v>357338</v>
      </c>
      <c r="D2363" s="5">
        <v>5099</v>
      </c>
      <c r="E2363">
        <v>274677</v>
      </c>
      <c r="F2363" s="4" t="s">
        <v>323</v>
      </c>
      <c r="G2363" t="s">
        <v>29</v>
      </c>
      <c r="H2363" t="s">
        <v>324</v>
      </c>
    </row>
    <row r="2364" spans="1:8" x14ac:dyDescent="0.25">
      <c r="A2364" t="s">
        <v>841</v>
      </c>
      <c r="B2364" t="s">
        <v>328</v>
      </c>
      <c r="C2364" s="5">
        <v>219139</v>
      </c>
      <c r="D2364" s="5">
        <v>3253</v>
      </c>
      <c r="E2364">
        <v>143816</v>
      </c>
      <c r="F2364" s="4" t="s">
        <v>285</v>
      </c>
      <c r="G2364" t="s">
        <v>29</v>
      </c>
      <c r="H2364" t="s">
        <v>286</v>
      </c>
    </row>
    <row r="2365" spans="1:8" x14ac:dyDescent="0.25">
      <c r="A2365" t="s">
        <v>841</v>
      </c>
      <c r="B2365" t="s">
        <v>325</v>
      </c>
      <c r="C2365" s="5">
        <v>81683</v>
      </c>
      <c r="D2365" s="5">
        <v>843</v>
      </c>
      <c r="E2365">
        <v>19108</v>
      </c>
      <c r="F2365" s="4" t="s">
        <v>687</v>
      </c>
      <c r="G2365" t="s">
        <v>29</v>
      </c>
      <c r="H2365" t="s">
        <v>688</v>
      </c>
    </row>
    <row r="2366" spans="1:8" x14ac:dyDescent="0.25">
      <c r="A2366" t="s">
        <v>841</v>
      </c>
      <c r="B2366" t="s">
        <v>322</v>
      </c>
      <c r="C2366" s="5">
        <v>408715</v>
      </c>
      <c r="D2366" s="5">
        <v>5873</v>
      </c>
      <c r="E2366">
        <v>288936</v>
      </c>
      <c r="F2366" s="4" t="s">
        <v>330</v>
      </c>
      <c r="G2366" t="s">
        <v>29</v>
      </c>
      <c r="H2366" t="s">
        <v>331</v>
      </c>
    </row>
    <row r="2367" spans="1:8" x14ac:dyDescent="0.25">
      <c r="A2367" t="s">
        <v>841</v>
      </c>
      <c r="B2367" t="s">
        <v>319</v>
      </c>
      <c r="C2367" s="5">
        <v>21635</v>
      </c>
      <c r="D2367" s="5">
        <v>658</v>
      </c>
      <c r="E2367">
        <v>10807</v>
      </c>
      <c r="F2367" s="4" t="s">
        <v>320</v>
      </c>
      <c r="G2367" t="s">
        <v>29</v>
      </c>
      <c r="H2367" t="s">
        <v>321</v>
      </c>
    </row>
    <row r="2368" spans="1:8" x14ac:dyDescent="0.25">
      <c r="A2368" t="s">
        <v>841</v>
      </c>
      <c r="B2368" t="s">
        <v>316</v>
      </c>
      <c r="C2368" s="5">
        <v>5812</v>
      </c>
      <c r="D2368" s="5">
        <v>287</v>
      </c>
      <c r="E2368">
        <v>793</v>
      </c>
      <c r="F2368" s="4" t="s">
        <v>644</v>
      </c>
      <c r="G2368" t="s">
        <v>29</v>
      </c>
      <c r="H2368" t="s">
        <v>645</v>
      </c>
    </row>
    <row r="2369" spans="1:8" x14ac:dyDescent="0.25">
      <c r="A2369" t="s">
        <v>841</v>
      </c>
      <c r="B2369" t="s">
        <v>315</v>
      </c>
      <c r="C2369" s="5">
        <v>541073</v>
      </c>
      <c r="D2369" s="5">
        <v>13743</v>
      </c>
      <c r="E2369">
        <v>437275</v>
      </c>
      <c r="F2369" s="4" t="s">
        <v>141</v>
      </c>
      <c r="G2369" t="s">
        <v>29</v>
      </c>
      <c r="H2369" t="s">
        <v>142</v>
      </c>
    </row>
    <row r="2370" spans="1:8" x14ac:dyDescent="0.25">
      <c r="A2370" t="s">
        <v>841</v>
      </c>
      <c r="B2370" t="s">
        <v>312</v>
      </c>
      <c r="C2370" s="5">
        <v>3662</v>
      </c>
      <c r="D2370" s="5">
        <v>61</v>
      </c>
      <c r="E2370">
        <v>2297</v>
      </c>
      <c r="F2370" s="4" t="s">
        <v>827</v>
      </c>
      <c r="G2370" t="s">
        <v>29</v>
      </c>
      <c r="H2370" t="s">
        <v>828</v>
      </c>
    </row>
    <row r="2371" spans="1:8" x14ac:dyDescent="0.25">
      <c r="A2371" t="s">
        <v>841</v>
      </c>
      <c r="B2371" t="s">
        <v>309</v>
      </c>
      <c r="C2371" s="5">
        <v>12559</v>
      </c>
      <c r="D2371" s="5">
        <v>255</v>
      </c>
      <c r="E2371">
        <v>9276</v>
      </c>
      <c r="F2371" s="4" t="s">
        <v>713</v>
      </c>
      <c r="G2371" t="s">
        <v>29</v>
      </c>
      <c r="H2371" t="s">
        <v>714</v>
      </c>
    </row>
    <row r="2372" spans="1:8" x14ac:dyDescent="0.25">
      <c r="A2372" t="s">
        <v>841</v>
      </c>
      <c r="B2372" t="s">
        <v>306</v>
      </c>
      <c r="C2372" s="5">
        <v>642024</v>
      </c>
      <c r="D2372" s="5">
        <v>8502</v>
      </c>
      <c r="E2372">
        <v>599288</v>
      </c>
      <c r="F2372" s="4" t="s">
        <v>307</v>
      </c>
      <c r="G2372" t="s">
        <v>29</v>
      </c>
      <c r="H2372" t="s">
        <v>308</v>
      </c>
    </row>
    <row r="2373" spans="1:8" x14ac:dyDescent="0.25">
      <c r="A2373" t="s">
        <v>841</v>
      </c>
      <c r="B2373" t="s">
        <v>303</v>
      </c>
      <c r="C2373" s="5">
        <v>40271</v>
      </c>
      <c r="D2373" s="5">
        <v>65</v>
      </c>
      <c r="E2373">
        <v>17831</v>
      </c>
      <c r="F2373" s="4" t="s">
        <v>825</v>
      </c>
      <c r="G2373" t="s">
        <v>29</v>
      </c>
      <c r="H2373" t="s">
        <v>826</v>
      </c>
    </row>
    <row r="2374" spans="1:8" x14ac:dyDescent="0.25">
      <c r="A2374" t="s">
        <v>841</v>
      </c>
      <c r="B2374" t="s">
        <v>302</v>
      </c>
      <c r="C2374" s="5">
        <v>1020264</v>
      </c>
      <c r="D2374" s="5">
        <v>17078</v>
      </c>
      <c r="E2374">
        <v>153470</v>
      </c>
      <c r="F2374" s="4" t="s">
        <v>827</v>
      </c>
      <c r="G2374" t="s">
        <v>29</v>
      </c>
      <c r="H2374" t="s">
        <v>828</v>
      </c>
    </row>
    <row r="2375" spans="1:8" x14ac:dyDescent="0.25">
      <c r="A2375" t="s">
        <v>841</v>
      </c>
      <c r="B2375" t="s">
        <v>299</v>
      </c>
      <c r="C2375" s="5">
        <v>412678</v>
      </c>
      <c r="D2375" s="5">
        <v>2461</v>
      </c>
      <c r="E2375">
        <v>111530</v>
      </c>
      <c r="F2375" s="4" t="s">
        <v>300</v>
      </c>
      <c r="G2375" t="s">
        <v>29</v>
      </c>
      <c r="H2375" t="s">
        <v>301</v>
      </c>
    </row>
    <row r="2376" spans="1:8" x14ac:dyDescent="0.25">
      <c r="A2376" t="s">
        <v>841</v>
      </c>
      <c r="B2376" t="s">
        <v>296</v>
      </c>
      <c r="C2376" s="5">
        <v>366386</v>
      </c>
      <c r="D2376" s="5">
        <v>2858</v>
      </c>
      <c r="E2376">
        <v>39204</v>
      </c>
      <c r="F2376" s="4" t="s">
        <v>297</v>
      </c>
      <c r="G2376" t="s">
        <v>29</v>
      </c>
      <c r="H2376" t="s">
        <v>298</v>
      </c>
    </row>
    <row r="2377" spans="1:8" x14ac:dyDescent="0.25">
      <c r="A2377" t="s">
        <v>841</v>
      </c>
      <c r="B2377" t="s">
        <v>293</v>
      </c>
      <c r="C2377" s="5">
        <v>2669</v>
      </c>
      <c r="D2377" s="5">
        <v>23</v>
      </c>
      <c r="E2377">
        <v>892</v>
      </c>
      <c r="F2377" s="4" t="s">
        <v>122</v>
      </c>
      <c r="G2377" t="s">
        <v>29</v>
      </c>
      <c r="H2377" t="s">
        <v>123</v>
      </c>
    </row>
    <row r="2378" spans="1:8" x14ac:dyDescent="0.25">
      <c r="A2378" t="s">
        <v>841</v>
      </c>
      <c r="B2378" t="s">
        <v>292</v>
      </c>
      <c r="C2378" s="5">
        <v>4259</v>
      </c>
      <c r="D2378" s="5">
        <v>147</v>
      </c>
      <c r="E2378">
        <v>1160</v>
      </c>
      <c r="F2378" s="4" t="s">
        <v>388</v>
      </c>
      <c r="G2378" t="s">
        <v>29</v>
      </c>
      <c r="H2378" t="s">
        <v>389</v>
      </c>
    </row>
    <row r="2379" spans="1:8" x14ac:dyDescent="0.25">
      <c r="A2379" t="s">
        <v>841</v>
      </c>
      <c r="B2379" t="s">
        <v>287</v>
      </c>
      <c r="C2379" s="5">
        <v>118522</v>
      </c>
      <c r="D2379" s="5">
        <v>2788</v>
      </c>
      <c r="E2379">
        <v>99086</v>
      </c>
      <c r="F2379" s="4" t="s">
        <v>591</v>
      </c>
      <c r="G2379" t="s">
        <v>29</v>
      </c>
      <c r="H2379" t="s">
        <v>592</v>
      </c>
    </row>
    <row r="2380" spans="1:8" x14ac:dyDescent="0.25">
      <c r="A2380" t="s">
        <v>841</v>
      </c>
      <c r="B2380" t="s">
        <v>290</v>
      </c>
      <c r="C2380" s="5">
        <v>2</v>
      </c>
      <c r="D2380" s="5">
        <v>0</v>
      </c>
      <c r="E2380">
        <v>1</v>
      </c>
      <c r="F2380" s="4" t="s">
        <v>29</v>
      </c>
      <c r="G2380" t="s">
        <v>29</v>
      </c>
      <c r="H2380" t="s">
        <v>291</v>
      </c>
    </row>
    <row r="2381" spans="1:8" x14ac:dyDescent="0.25">
      <c r="A2381" t="s">
        <v>841</v>
      </c>
      <c r="B2381" t="s">
        <v>284</v>
      </c>
      <c r="C2381" s="5">
        <v>181259</v>
      </c>
      <c r="D2381" s="5">
        <v>2671</v>
      </c>
      <c r="E2381">
        <v>84157</v>
      </c>
      <c r="F2381" s="4" t="s">
        <v>777</v>
      </c>
      <c r="G2381" t="s">
        <v>29</v>
      </c>
      <c r="H2381" t="s">
        <v>778</v>
      </c>
    </row>
    <row r="2382" spans="1:8" x14ac:dyDescent="0.25">
      <c r="A2382" t="s">
        <v>841</v>
      </c>
      <c r="B2382" t="s">
        <v>281</v>
      </c>
      <c r="C2382" s="5">
        <v>253310</v>
      </c>
      <c r="D2382" s="5">
        <v>5281</v>
      </c>
      <c r="E2382">
        <v>173122</v>
      </c>
      <c r="F2382" s="4" t="s">
        <v>549</v>
      </c>
      <c r="G2382" t="s">
        <v>29</v>
      </c>
      <c r="H2382" t="s">
        <v>550</v>
      </c>
    </row>
    <row r="2383" spans="1:8" x14ac:dyDescent="0.25">
      <c r="A2383" t="s">
        <v>841</v>
      </c>
      <c r="B2383" t="s">
        <v>280</v>
      </c>
      <c r="C2383" s="5">
        <v>1722343</v>
      </c>
      <c r="D2383" s="5">
        <v>18264</v>
      </c>
      <c r="E2383">
        <v>295890</v>
      </c>
      <c r="F2383" s="4" t="s">
        <v>165</v>
      </c>
      <c r="G2383" t="s">
        <v>29</v>
      </c>
      <c r="H2383" t="s">
        <v>166</v>
      </c>
    </row>
    <row r="2384" spans="1:8" x14ac:dyDescent="0.25">
      <c r="A2384" t="s">
        <v>841</v>
      </c>
      <c r="B2384" t="s">
        <v>279</v>
      </c>
      <c r="C2384" s="5">
        <v>862541</v>
      </c>
      <c r="D2384" s="5">
        <v>11038</v>
      </c>
      <c r="E2384">
        <v>156192</v>
      </c>
      <c r="F2384" s="4" t="s">
        <v>381</v>
      </c>
      <c r="G2384" t="s">
        <v>29</v>
      </c>
      <c r="H2384" t="s">
        <v>382</v>
      </c>
    </row>
    <row r="2385" spans="1:8" x14ac:dyDescent="0.25">
      <c r="A2385" t="s">
        <v>841</v>
      </c>
      <c r="B2385" t="s">
        <v>278</v>
      </c>
      <c r="C2385" s="5">
        <v>89014</v>
      </c>
      <c r="D2385" s="5">
        <v>2236</v>
      </c>
      <c r="E2385">
        <v>81231</v>
      </c>
      <c r="F2385" s="4" t="s">
        <v>700</v>
      </c>
      <c r="G2385" t="s">
        <v>29</v>
      </c>
      <c r="H2385" t="s">
        <v>701</v>
      </c>
    </row>
    <row r="2386" spans="1:8" x14ac:dyDescent="0.25">
      <c r="A2386" t="s">
        <v>841</v>
      </c>
      <c r="B2386" t="s">
        <v>275</v>
      </c>
      <c r="C2386" s="5">
        <v>4771965</v>
      </c>
      <c r="D2386" s="5">
        <v>132100</v>
      </c>
      <c r="E2386">
        <v>714507</v>
      </c>
      <c r="F2386" s="4" t="s">
        <v>507</v>
      </c>
      <c r="G2386" t="s">
        <v>29</v>
      </c>
      <c r="H2386" t="s">
        <v>508</v>
      </c>
    </row>
    <row r="2387" spans="1:8" x14ac:dyDescent="0.25">
      <c r="A2387" t="s">
        <v>841</v>
      </c>
      <c r="B2387" t="s">
        <v>272</v>
      </c>
      <c r="C2387" s="5">
        <v>13492</v>
      </c>
      <c r="D2387" s="5">
        <v>33</v>
      </c>
      <c r="E2387">
        <v>4539</v>
      </c>
      <c r="F2387" s="4" t="s">
        <v>454</v>
      </c>
      <c r="G2387" t="s">
        <v>29</v>
      </c>
      <c r="H2387" t="s">
        <v>455</v>
      </c>
    </row>
    <row r="2388" spans="1:8" x14ac:dyDescent="0.25">
      <c r="A2388" t="s">
        <v>841</v>
      </c>
      <c r="B2388" t="s">
        <v>269</v>
      </c>
      <c r="C2388" s="5">
        <v>5924638</v>
      </c>
      <c r="D2388" s="5">
        <v>126303</v>
      </c>
      <c r="E2388">
        <v>4683818</v>
      </c>
      <c r="F2388" s="4" t="s">
        <v>650</v>
      </c>
      <c r="G2388" t="s">
        <v>29</v>
      </c>
      <c r="H2388" t="s">
        <v>651</v>
      </c>
    </row>
    <row r="2389" spans="1:8" x14ac:dyDescent="0.25">
      <c r="A2389" t="s">
        <v>841</v>
      </c>
      <c r="B2389" t="s">
        <v>266</v>
      </c>
      <c r="C2389" s="5">
        <v>2055248</v>
      </c>
      <c r="D2389" s="5">
        <v>23170</v>
      </c>
      <c r="E2389">
        <v>1946906</v>
      </c>
      <c r="F2389" s="4" t="s">
        <v>267</v>
      </c>
      <c r="G2389" t="s">
        <v>29</v>
      </c>
      <c r="H2389" t="s">
        <v>268</v>
      </c>
    </row>
    <row r="2390" spans="1:8" x14ac:dyDescent="0.25">
      <c r="A2390" t="s">
        <v>841</v>
      </c>
      <c r="B2390" t="s">
        <v>263</v>
      </c>
      <c r="C2390" s="5">
        <v>34285814</v>
      </c>
      <c r="D2390" s="5">
        <v>458437</v>
      </c>
      <c r="E2390">
        <v>4353880</v>
      </c>
      <c r="F2390" s="4" t="s">
        <v>264</v>
      </c>
      <c r="G2390" t="s">
        <v>29</v>
      </c>
      <c r="H2390" t="s">
        <v>265</v>
      </c>
    </row>
    <row r="2391" spans="1:8" x14ac:dyDescent="0.25">
      <c r="A2391" t="s">
        <v>841</v>
      </c>
      <c r="B2391" t="s">
        <v>260</v>
      </c>
      <c r="C2391" s="5">
        <v>1327458</v>
      </c>
      <c r="D2391" s="5">
        <v>8100</v>
      </c>
      <c r="E2391">
        <v>225882</v>
      </c>
      <c r="F2391" s="4" t="s">
        <v>261</v>
      </c>
      <c r="G2391" t="s">
        <v>29</v>
      </c>
      <c r="H2391" t="s">
        <v>262</v>
      </c>
    </row>
    <row r="2392" spans="1:8" x14ac:dyDescent="0.25">
      <c r="A2392" t="s">
        <v>841</v>
      </c>
      <c r="B2392" t="s">
        <v>257</v>
      </c>
      <c r="C2392" s="5">
        <v>445594</v>
      </c>
      <c r="D2392" s="5">
        <v>5436</v>
      </c>
      <c r="E2392">
        <v>274758</v>
      </c>
      <c r="F2392" s="4" t="s">
        <v>365</v>
      </c>
      <c r="G2392" t="s">
        <v>29</v>
      </c>
      <c r="H2392" t="s">
        <v>366</v>
      </c>
    </row>
    <row r="2393" spans="1:8" x14ac:dyDescent="0.25">
      <c r="A2393" t="s">
        <v>841</v>
      </c>
      <c r="B2393" t="s">
        <v>254</v>
      </c>
      <c r="C2393" s="5">
        <v>4244358</v>
      </c>
      <c r="D2393" s="5">
        <v>143405</v>
      </c>
      <c r="E2393">
        <v>830033</v>
      </c>
      <c r="F2393" s="4" t="s">
        <v>255</v>
      </c>
      <c r="G2393" t="s">
        <v>29</v>
      </c>
      <c r="H2393" t="s">
        <v>256</v>
      </c>
    </row>
    <row r="2394" spans="1:8" x14ac:dyDescent="0.25">
      <c r="A2394" t="s">
        <v>841</v>
      </c>
      <c r="B2394" t="s">
        <v>251</v>
      </c>
      <c r="C2394" s="5">
        <v>863419</v>
      </c>
      <c r="D2394" s="5">
        <v>30729</v>
      </c>
      <c r="E2394">
        <v>377559</v>
      </c>
      <c r="F2394" s="4" t="s">
        <v>850</v>
      </c>
      <c r="G2394" t="s">
        <v>29</v>
      </c>
      <c r="H2394" t="s">
        <v>851</v>
      </c>
    </row>
    <row r="2395" spans="1:8" x14ac:dyDescent="0.25">
      <c r="A2395" t="s">
        <v>841</v>
      </c>
      <c r="B2395" t="s">
        <v>248</v>
      </c>
      <c r="C2395" s="5">
        <v>23960</v>
      </c>
      <c r="D2395" s="5">
        <v>671</v>
      </c>
      <c r="E2395">
        <v>16746</v>
      </c>
      <c r="F2395" s="4" t="s">
        <v>441</v>
      </c>
      <c r="G2395" t="s">
        <v>29</v>
      </c>
      <c r="H2395" t="s">
        <v>442</v>
      </c>
    </row>
    <row r="2396" spans="1:8" x14ac:dyDescent="0.25">
      <c r="A2396" t="s">
        <v>841</v>
      </c>
      <c r="B2396" t="s">
        <v>245</v>
      </c>
      <c r="C2396" s="5">
        <v>470348</v>
      </c>
      <c r="D2396" s="5">
        <v>9220</v>
      </c>
      <c r="E2396">
        <v>302258</v>
      </c>
      <c r="F2396" s="4" t="s">
        <v>771</v>
      </c>
      <c r="G2396" t="s">
        <v>29</v>
      </c>
      <c r="H2396" t="s">
        <v>772</v>
      </c>
    </row>
    <row r="2397" spans="1:8" x14ac:dyDescent="0.25">
      <c r="A2397" t="s">
        <v>841</v>
      </c>
      <c r="B2397" t="s">
        <v>242</v>
      </c>
      <c r="C2397" s="5">
        <v>375381</v>
      </c>
      <c r="D2397" s="5">
        <v>10239</v>
      </c>
      <c r="E2397">
        <v>269354</v>
      </c>
      <c r="F2397" s="4" t="s">
        <v>806</v>
      </c>
      <c r="G2397" t="s">
        <v>29</v>
      </c>
      <c r="H2397" t="s">
        <v>807</v>
      </c>
    </row>
    <row r="2398" spans="1:8" x14ac:dyDescent="0.25">
      <c r="A2398" t="s">
        <v>841</v>
      </c>
      <c r="B2398" t="s">
        <v>239</v>
      </c>
      <c r="C2398" s="5">
        <v>12346</v>
      </c>
      <c r="D2398" s="5">
        <v>213</v>
      </c>
      <c r="E2398">
        <v>4013</v>
      </c>
      <c r="F2398" s="4" t="s">
        <v>765</v>
      </c>
      <c r="G2398" t="s">
        <v>29</v>
      </c>
      <c r="H2398" t="s">
        <v>766</v>
      </c>
    </row>
    <row r="2399" spans="1:8" x14ac:dyDescent="0.25">
      <c r="A2399" t="s">
        <v>841</v>
      </c>
      <c r="B2399" t="s">
        <v>236</v>
      </c>
      <c r="C2399" s="5">
        <v>35548</v>
      </c>
      <c r="D2399" s="5">
        <v>913</v>
      </c>
      <c r="E2399">
        <v>32258</v>
      </c>
      <c r="F2399" s="4" t="s">
        <v>555</v>
      </c>
      <c r="G2399" t="s">
        <v>29</v>
      </c>
      <c r="H2399" t="s">
        <v>556</v>
      </c>
    </row>
    <row r="2400" spans="1:8" x14ac:dyDescent="0.25">
      <c r="A2400" t="s">
        <v>841</v>
      </c>
      <c r="B2400" t="s">
        <v>233</v>
      </c>
      <c r="C2400" s="5">
        <v>6134</v>
      </c>
      <c r="D2400" s="5">
        <v>141</v>
      </c>
      <c r="E2400">
        <v>5517</v>
      </c>
      <c r="F2400" s="4" t="s">
        <v>619</v>
      </c>
      <c r="G2400" t="s">
        <v>29</v>
      </c>
      <c r="H2400" t="s">
        <v>620</v>
      </c>
    </row>
    <row r="2401" spans="1:8" x14ac:dyDescent="0.25">
      <c r="A2401" t="s">
        <v>841</v>
      </c>
      <c r="B2401" t="s">
        <v>232</v>
      </c>
      <c r="C2401" s="5">
        <v>601572</v>
      </c>
      <c r="D2401" s="5">
        <v>15094</v>
      </c>
      <c r="E2401">
        <v>391883</v>
      </c>
      <c r="F2401" s="4" t="s">
        <v>700</v>
      </c>
      <c r="G2401" t="s">
        <v>29</v>
      </c>
      <c r="H2401" t="s">
        <v>701</v>
      </c>
    </row>
    <row r="2402" spans="1:8" x14ac:dyDescent="0.25">
      <c r="A2402" t="s">
        <v>841</v>
      </c>
      <c r="B2402" t="s">
        <v>229</v>
      </c>
      <c r="C2402" s="5">
        <v>742170</v>
      </c>
      <c r="D2402" s="5">
        <v>15938</v>
      </c>
      <c r="E2402">
        <v>499741</v>
      </c>
      <c r="F2402" s="4" t="s">
        <v>852</v>
      </c>
      <c r="G2402" t="s">
        <v>29</v>
      </c>
      <c r="H2402" t="s">
        <v>853</v>
      </c>
    </row>
    <row r="2403" spans="1:8" x14ac:dyDescent="0.25">
      <c r="A2403" t="s">
        <v>841</v>
      </c>
      <c r="B2403" t="s">
        <v>228</v>
      </c>
      <c r="C2403" s="5">
        <v>13368</v>
      </c>
      <c r="D2403" s="5">
        <v>167</v>
      </c>
      <c r="E2403">
        <v>12307</v>
      </c>
      <c r="F2403" s="4" t="s">
        <v>107</v>
      </c>
      <c r="G2403" t="s">
        <v>29</v>
      </c>
      <c r="H2403" t="s">
        <v>108</v>
      </c>
    </row>
    <row r="2404" spans="1:8" x14ac:dyDescent="0.25">
      <c r="A2404" t="s">
        <v>841</v>
      </c>
      <c r="B2404" t="s">
        <v>225</v>
      </c>
      <c r="C2404" s="5">
        <v>54288</v>
      </c>
      <c r="D2404" s="5">
        <v>815</v>
      </c>
      <c r="E2404">
        <v>28031</v>
      </c>
      <c r="F2404" s="4" t="s">
        <v>226</v>
      </c>
      <c r="G2404" t="s">
        <v>29</v>
      </c>
      <c r="H2404" t="s">
        <v>227</v>
      </c>
    </row>
    <row r="2405" spans="1:8" x14ac:dyDescent="0.25">
      <c r="A2405" t="s">
        <v>841</v>
      </c>
      <c r="B2405" t="s">
        <v>219</v>
      </c>
      <c r="C2405" s="5">
        <v>9965</v>
      </c>
      <c r="D2405" s="5">
        <v>340</v>
      </c>
      <c r="E2405">
        <v>6424</v>
      </c>
      <c r="F2405" s="4" t="s">
        <v>205</v>
      </c>
      <c r="G2405" t="s">
        <v>29</v>
      </c>
      <c r="H2405" t="s">
        <v>206</v>
      </c>
    </row>
    <row r="2406" spans="1:8" x14ac:dyDescent="0.25">
      <c r="A2406" t="s">
        <v>841</v>
      </c>
      <c r="B2406" t="s">
        <v>222</v>
      </c>
      <c r="C2406" s="5">
        <v>30653</v>
      </c>
      <c r="D2406" s="5">
        <v>385</v>
      </c>
      <c r="E2406">
        <v>22208</v>
      </c>
      <c r="F2406" s="4" t="s">
        <v>223</v>
      </c>
      <c r="G2406" t="s">
        <v>29</v>
      </c>
      <c r="H2406" t="s">
        <v>224</v>
      </c>
    </row>
    <row r="2407" spans="1:8" x14ac:dyDescent="0.25">
      <c r="A2407" t="s">
        <v>841</v>
      </c>
      <c r="B2407" t="s">
        <v>216</v>
      </c>
      <c r="C2407" s="5">
        <v>5992</v>
      </c>
      <c r="D2407" s="5">
        <v>98</v>
      </c>
      <c r="E2407">
        <v>4441</v>
      </c>
      <c r="F2407" s="4" t="s">
        <v>196</v>
      </c>
      <c r="G2407" t="s">
        <v>29</v>
      </c>
      <c r="H2407" t="s">
        <v>197</v>
      </c>
    </row>
    <row r="2408" spans="1:8" x14ac:dyDescent="0.25">
      <c r="A2408" t="s">
        <v>841</v>
      </c>
      <c r="B2408" t="s">
        <v>213</v>
      </c>
      <c r="C2408" s="5">
        <v>130077</v>
      </c>
      <c r="D2408" s="5">
        <v>1175</v>
      </c>
      <c r="E2408">
        <v>19357</v>
      </c>
      <c r="F2408" s="4" t="s">
        <v>667</v>
      </c>
      <c r="G2408" t="s">
        <v>29</v>
      </c>
      <c r="H2408" t="s">
        <v>668</v>
      </c>
    </row>
    <row r="2409" spans="1:8" x14ac:dyDescent="0.25">
      <c r="A2409" t="s">
        <v>841</v>
      </c>
      <c r="B2409" t="s">
        <v>210</v>
      </c>
      <c r="C2409" s="5">
        <v>44554</v>
      </c>
      <c r="D2409" s="5">
        <v>306</v>
      </c>
      <c r="E2409">
        <v>32321</v>
      </c>
      <c r="F2409" s="4" t="s">
        <v>180</v>
      </c>
      <c r="G2409" t="s">
        <v>29</v>
      </c>
      <c r="H2409" t="s">
        <v>181</v>
      </c>
    </row>
    <row r="2410" spans="1:8" x14ac:dyDescent="0.25">
      <c r="A2410" t="s">
        <v>841</v>
      </c>
      <c r="B2410" t="s">
        <v>204</v>
      </c>
      <c r="C2410" s="5">
        <v>5840</v>
      </c>
      <c r="D2410" s="5">
        <v>198</v>
      </c>
      <c r="E2410">
        <v>3723</v>
      </c>
      <c r="F2410" s="4" t="s">
        <v>585</v>
      </c>
      <c r="G2410" t="s">
        <v>29</v>
      </c>
      <c r="H2410" t="s">
        <v>586</v>
      </c>
    </row>
    <row r="2411" spans="1:8" x14ac:dyDescent="0.25">
      <c r="A2411" t="s">
        <v>841</v>
      </c>
      <c r="B2411" t="s">
        <v>207</v>
      </c>
      <c r="C2411" s="5">
        <v>719247</v>
      </c>
      <c r="D2411" s="5">
        <v>10045</v>
      </c>
      <c r="E2411">
        <v>583541</v>
      </c>
      <c r="F2411" s="4" t="s">
        <v>403</v>
      </c>
      <c r="G2411" t="s">
        <v>29</v>
      </c>
      <c r="H2411" t="s">
        <v>404</v>
      </c>
    </row>
    <row r="2412" spans="1:8" x14ac:dyDescent="0.25">
      <c r="A2412" t="s">
        <v>841</v>
      </c>
      <c r="B2412" t="s">
        <v>201</v>
      </c>
      <c r="C2412" s="5">
        <v>9094450</v>
      </c>
      <c r="D2412" s="5">
        <v>140957</v>
      </c>
      <c r="E2412">
        <v>3984679</v>
      </c>
      <c r="F2412" s="4" t="s">
        <v>333</v>
      </c>
      <c r="G2412" t="s">
        <v>29</v>
      </c>
      <c r="H2412" t="s">
        <v>334</v>
      </c>
    </row>
    <row r="2413" spans="1:8" x14ac:dyDescent="0.25">
      <c r="A2413" t="s">
        <v>841</v>
      </c>
      <c r="B2413" t="s">
        <v>198</v>
      </c>
      <c r="C2413" s="5">
        <v>35525</v>
      </c>
      <c r="D2413" s="5">
        <v>239</v>
      </c>
      <c r="E2413">
        <v>7148</v>
      </c>
      <c r="F2413" s="4" t="s">
        <v>92</v>
      </c>
      <c r="G2413" t="s">
        <v>29</v>
      </c>
      <c r="H2413" t="s">
        <v>93</v>
      </c>
    </row>
    <row r="2414" spans="1:8" x14ac:dyDescent="0.25">
      <c r="A2414" t="s">
        <v>841</v>
      </c>
      <c r="B2414" t="s">
        <v>195</v>
      </c>
      <c r="C2414" s="5">
        <v>6989191</v>
      </c>
      <c r="D2414" s="5">
        <v>115301</v>
      </c>
      <c r="E2414">
        <v>5466919</v>
      </c>
      <c r="F2414" s="4" t="s">
        <v>691</v>
      </c>
      <c r="G2414" t="s">
        <v>29</v>
      </c>
      <c r="H2414" t="s">
        <v>692</v>
      </c>
    </row>
    <row r="2415" spans="1:8" x14ac:dyDescent="0.25">
      <c r="A2415" t="s">
        <v>841</v>
      </c>
      <c r="B2415" t="s">
        <v>192</v>
      </c>
      <c r="C2415" s="5">
        <v>2145</v>
      </c>
      <c r="D2415" s="5">
        <v>2</v>
      </c>
      <c r="E2415">
        <v>1723</v>
      </c>
      <c r="F2415" s="4" t="s">
        <v>854</v>
      </c>
      <c r="G2415" t="s">
        <v>29</v>
      </c>
      <c r="H2415" t="s">
        <v>855</v>
      </c>
    </row>
    <row r="2416" spans="1:8" x14ac:dyDescent="0.25">
      <c r="A2416" t="s">
        <v>841</v>
      </c>
      <c r="B2416" t="s">
        <v>189</v>
      </c>
      <c r="C2416" s="5">
        <v>52141</v>
      </c>
      <c r="D2416" s="5">
        <v>674</v>
      </c>
      <c r="E2416">
        <v>22331</v>
      </c>
      <c r="F2416" s="4" t="s">
        <v>417</v>
      </c>
      <c r="G2416" t="s">
        <v>29</v>
      </c>
      <c r="H2416" t="s">
        <v>418</v>
      </c>
    </row>
    <row r="2417" spans="1:8" x14ac:dyDescent="0.25">
      <c r="A2417" t="s">
        <v>841</v>
      </c>
      <c r="B2417" t="s">
        <v>186</v>
      </c>
      <c r="C2417" s="5">
        <v>157531</v>
      </c>
      <c r="D2417" s="5">
        <v>1158</v>
      </c>
      <c r="E2417">
        <v>23036</v>
      </c>
      <c r="F2417" s="4" t="s">
        <v>819</v>
      </c>
      <c r="G2417" t="s">
        <v>29</v>
      </c>
      <c r="H2417" t="s">
        <v>820</v>
      </c>
    </row>
    <row r="2418" spans="1:8" x14ac:dyDescent="0.25">
      <c r="A2418" t="s">
        <v>841</v>
      </c>
      <c r="B2418" t="s">
        <v>185</v>
      </c>
      <c r="C2418" s="5">
        <v>365167</v>
      </c>
      <c r="D2418" s="5">
        <v>6459</v>
      </c>
      <c r="E2418">
        <v>296034</v>
      </c>
      <c r="F2418" s="4" t="s">
        <v>769</v>
      </c>
      <c r="G2418" t="s">
        <v>29</v>
      </c>
      <c r="H2418" t="s">
        <v>770</v>
      </c>
    </row>
    <row r="2419" spans="1:8" x14ac:dyDescent="0.25">
      <c r="A2419" t="s">
        <v>841</v>
      </c>
      <c r="B2419" t="s">
        <v>182</v>
      </c>
      <c r="C2419" s="5">
        <v>5011148</v>
      </c>
      <c r="D2419" s="5">
        <v>87368</v>
      </c>
      <c r="E2419">
        <v>4799185</v>
      </c>
      <c r="F2419" s="4" t="s">
        <v>183</v>
      </c>
      <c r="G2419" t="s">
        <v>29</v>
      </c>
      <c r="H2419" t="s">
        <v>184</v>
      </c>
    </row>
    <row r="2420" spans="1:8" x14ac:dyDescent="0.25">
      <c r="A2420" t="s">
        <v>841</v>
      </c>
      <c r="B2420" t="s">
        <v>179</v>
      </c>
      <c r="C2420" s="5">
        <v>6834</v>
      </c>
      <c r="D2420" s="5">
        <v>45</v>
      </c>
      <c r="E2420">
        <v>1234</v>
      </c>
      <c r="F2420" s="4" t="s">
        <v>162</v>
      </c>
      <c r="G2420" t="s">
        <v>29</v>
      </c>
      <c r="H2420" t="s">
        <v>163</v>
      </c>
    </row>
    <row r="2421" spans="1:8" x14ac:dyDescent="0.25">
      <c r="A2421" t="s">
        <v>841</v>
      </c>
      <c r="B2421" t="s">
        <v>176</v>
      </c>
      <c r="C2421" s="5">
        <v>331017</v>
      </c>
      <c r="D2421" s="5">
        <v>18651</v>
      </c>
      <c r="E2421">
        <v>27232</v>
      </c>
      <c r="F2421" s="4" t="s">
        <v>856</v>
      </c>
      <c r="G2421" t="s">
        <v>29</v>
      </c>
      <c r="H2421" t="s">
        <v>857</v>
      </c>
    </row>
    <row r="2422" spans="1:8" x14ac:dyDescent="0.25">
      <c r="A2422" t="s">
        <v>841</v>
      </c>
      <c r="B2422" t="s">
        <v>173</v>
      </c>
      <c r="C2422" s="5">
        <v>193969</v>
      </c>
      <c r="D2422" s="5">
        <v>1531</v>
      </c>
      <c r="E2422">
        <v>84260</v>
      </c>
      <c r="F2422" s="4" t="s">
        <v>174</v>
      </c>
      <c r="G2422" t="s">
        <v>29</v>
      </c>
      <c r="H2422" t="s">
        <v>175</v>
      </c>
    </row>
    <row r="2423" spans="1:8" x14ac:dyDescent="0.25">
      <c r="A2423" t="s">
        <v>841</v>
      </c>
      <c r="B2423" t="s">
        <v>170</v>
      </c>
      <c r="C2423" s="5">
        <v>515859</v>
      </c>
      <c r="D2423" s="5">
        <v>32958</v>
      </c>
      <c r="E2423">
        <v>468928</v>
      </c>
      <c r="F2423" s="4" t="s">
        <v>767</v>
      </c>
      <c r="G2423" t="s">
        <v>29</v>
      </c>
      <c r="H2423" t="s">
        <v>768</v>
      </c>
    </row>
    <row r="2424" spans="1:8" x14ac:dyDescent="0.25">
      <c r="A2424" t="s">
        <v>841</v>
      </c>
      <c r="B2424" t="s">
        <v>167</v>
      </c>
      <c r="C2424" s="5">
        <v>206452</v>
      </c>
      <c r="D2424" s="5">
        <v>5920</v>
      </c>
      <c r="E2424">
        <v>184522</v>
      </c>
      <c r="F2424" s="4" t="s">
        <v>168</v>
      </c>
      <c r="G2424" t="s">
        <v>29</v>
      </c>
      <c r="H2424" t="s">
        <v>169</v>
      </c>
    </row>
    <row r="2425" spans="1:8" x14ac:dyDescent="0.25">
      <c r="A2425" t="s">
        <v>841</v>
      </c>
      <c r="B2425" t="s">
        <v>164</v>
      </c>
      <c r="C2425" s="5">
        <v>381667</v>
      </c>
      <c r="D2425" s="5">
        <v>4130</v>
      </c>
      <c r="E2425">
        <v>70604</v>
      </c>
      <c r="F2425" s="4" t="s">
        <v>758</v>
      </c>
      <c r="G2425" t="s">
        <v>29</v>
      </c>
      <c r="H2425" t="s">
        <v>759</v>
      </c>
    </row>
    <row r="2426" spans="1:8" x14ac:dyDescent="0.25">
      <c r="A2426" t="s">
        <v>841</v>
      </c>
      <c r="B2426" t="s">
        <v>161</v>
      </c>
      <c r="C2426" s="5">
        <v>4823</v>
      </c>
      <c r="D2426" s="5">
        <v>32</v>
      </c>
      <c r="E2426">
        <v>3564</v>
      </c>
      <c r="F2426" s="4" t="s">
        <v>162</v>
      </c>
      <c r="G2426" t="s">
        <v>29</v>
      </c>
      <c r="H2426" t="s">
        <v>163</v>
      </c>
    </row>
    <row r="2427" spans="1:8" x14ac:dyDescent="0.25">
      <c r="A2427" t="s">
        <v>841</v>
      </c>
      <c r="B2427" t="s">
        <v>160</v>
      </c>
      <c r="C2427" s="5">
        <v>388582</v>
      </c>
      <c r="D2427" s="5">
        <v>2714</v>
      </c>
      <c r="E2427">
        <v>313687</v>
      </c>
      <c r="F2427" s="4" t="s">
        <v>211</v>
      </c>
      <c r="G2427" t="s">
        <v>29</v>
      </c>
      <c r="H2427" t="s">
        <v>212</v>
      </c>
    </row>
    <row r="2428" spans="1:8" x14ac:dyDescent="0.25">
      <c r="A2428" t="s">
        <v>841</v>
      </c>
      <c r="B2428" t="s">
        <v>157</v>
      </c>
      <c r="C2428" s="5">
        <v>13478</v>
      </c>
      <c r="D2428" s="5">
        <v>181</v>
      </c>
      <c r="E2428">
        <v>6939</v>
      </c>
      <c r="F2428" s="4" t="s">
        <v>264</v>
      </c>
      <c r="G2428" t="s">
        <v>29</v>
      </c>
      <c r="H2428" t="s">
        <v>265</v>
      </c>
    </row>
    <row r="2429" spans="1:8" x14ac:dyDescent="0.25">
      <c r="A2429" t="s">
        <v>841</v>
      </c>
      <c r="B2429" t="s">
        <v>154</v>
      </c>
      <c r="C2429" s="5">
        <v>4607958</v>
      </c>
      <c r="D2429" s="5">
        <v>95735</v>
      </c>
      <c r="E2429">
        <v>2285684</v>
      </c>
      <c r="F2429" s="4" t="s">
        <v>549</v>
      </c>
      <c r="G2429" t="s">
        <v>29</v>
      </c>
      <c r="H2429" t="s">
        <v>550</v>
      </c>
    </row>
    <row r="2430" spans="1:8" x14ac:dyDescent="0.25">
      <c r="A2430" t="s">
        <v>841</v>
      </c>
      <c r="B2430" t="s">
        <v>151</v>
      </c>
      <c r="C2430" s="5">
        <v>1762902</v>
      </c>
      <c r="D2430" s="5">
        <v>30753</v>
      </c>
      <c r="E2430">
        <v>243548</v>
      </c>
      <c r="F2430" s="4" t="s">
        <v>183</v>
      </c>
      <c r="G2430" t="s">
        <v>29</v>
      </c>
      <c r="H2430" t="s">
        <v>184</v>
      </c>
    </row>
    <row r="2431" spans="1:8" x14ac:dyDescent="0.25">
      <c r="A2431" t="s">
        <v>841</v>
      </c>
      <c r="B2431" t="s">
        <v>148</v>
      </c>
      <c r="C2431" s="5">
        <v>124017</v>
      </c>
      <c r="D2431" s="5">
        <v>575</v>
      </c>
      <c r="E2431">
        <v>115266</v>
      </c>
      <c r="F2431" s="4" t="s">
        <v>149</v>
      </c>
      <c r="G2431" t="s">
        <v>29</v>
      </c>
      <c r="H2431" t="s">
        <v>150</v>
      </c>
    </row>
    <row r="2432" spans="1:8" x14ac:dyDescent="0.25">
      <c r="A2432" t="s">
        <v>841</v>
      </c>
      <c r="B2432" t="s">
        <v>145</v>
      </c>
      <c r="C2432" s="5">
        <v>38215</v>
      </c>
      <c r="D2432" s="5">
        <v>349</v>
      </c>
      <c r="E2432">
        <v>19500</v>
      </c>
      <c r="F2432" s="4" t="s">
        <v>146</v>
      </c>
      <c r="G2432" t="s">
        <v>29</v>
      </c>
      <c r="H2432" t="s">
        <v>147</v>
      </c>
    </row>
    <row r="2433" spans="1:8" x14ac:dyDescent="0.25">
      <c r="A2433" t="s">
        <v>841</v>
      </c>
      <c r="B2433" t="s">
        <v>144</v>
      </c>
      <c r="C2433" s="5">
        <v>952001</v>
      </c>
      <c r="D2433" s="5">
        <v>8236</v>
      </c>
      <c r="E2433">
        <v>531939</v>
      </c>
      <c r="F2433" s="4" t="s">
        <v>498</v>
      </c>
      <c r="G2433" t="s">
        <v>29</v>
      </c>
      <c r="H2433" t="s">
        <v>499</v>
      </c>
    </row>
    <row r="2434" spans="1:8" x14ac:dyDescent="0.25">
      <c r="A2434" t="s">
        <v>841</v>
      </c>
      <c r="B2434" t="s">
        <v>143</v>
      </c>
      <c r="C2434" s="5">
        <v>559698</v>
      </c>
      <c r="D2434" s="5">
        <v>7029</v>
      </c>
      <c r="E2434">
        <v>44593</v>
      </c>
      <c r="F2434" s="4" t="s">
        <v>223</v>
      </c>
      <c r="G2434" t="s">
        <v>29</v>
      </c>
      <c r="H2434" t="s">
        <v>224</v>
      </c>
    </row>
    <row r="2435" spans="1:8" x14ac:dyDescent="0.25">
      <c r="A2435" t="s">
        <v>841</v>
      </c>
      <c r="B2435" t="s">
        <v>140</v>
      </c>
      <c r="C2435" s="5">
        <v>5002387</v>
      </c>
      <c r="D2435" s="5">
        <v>127281</v>
      </c>
      <c r="E2435">
        <v>641331</v>
      </c>
      <c r="F2435" s="4" t="s">
        <v>141</v>
      </c>
      <c r="G2435" t="s">
        <v>29</v>
      </c>
      <c r="H2435" t="s">
        <v>142</v>
      </c>
    </row>
    <row r="2436" spans="1:8" x14ac:dyDescent="0.25">
      <c r="A2436" t="s">
        <v>841</v>
      </c>
      <c r="B2436" t="s">
        <v>137</v>
      </c>
      <c r="C2436" s="5">
        <v>97243</v>
      </c>
      <c r="D2436" s="5">
        <v>4636</v>
      </c>
      <c r="E2436">
        <v>23346</v>
      </c>
      <c r="F2436" s="4" t="s">
        <v>858</v>
      </c>
      <c r="G2436" t="s">
        <v>29</v>
      </c>
      <c r="H2436" t="s">
        <v>859</v>
      </c>
    </row>
    <row r="2437" spans="1:8" x14ac:dyDescent="0.25">
      <c r="A2437" t="s">
        <v>841</v>
      </c>
      <c r="B2437" t="s">
        <v>134</v>
      </c>
      <c r="C2437" s="5">
        <v>102499</v>
      </c>
      <c r="D2437" s="5">
        <v>1686</v>
      </c>
      <c r="E2437">
        <v>92206</v>
      </c>
      <c r="F2437" s="4" t="s">
        <v>196</v>
      </c>
      <c r="G2437" t="s">
        <v>29</v>
      </c>
      <c r="H2437" t="s">
        <v>197</v>
      </c>
    </row>
    <row r="2438" spans="1:8" x14ac:dyDescent="0.25">
      <c r="A2438" t="s">
        <v>841</v>
      </c>
      <c r="B2438" t="s">
        <v>131</v>
      </c>
      <c r="C2438" s="5">
        <v>1695048</v>
      </c>
      <c r="D2438" s="5">
        <v>37757</v>
      </c>
      <c r="E2438">
        <v>179481</v>
      </c>
      <c r="F2438" s="4" t="s">
        <v>421</v>
      </c>
      <c r="G2438" t="s">
        <v>29</v>
      </c>
      <c r="H2438" t="s">
        <v>422</v>
      </c>
    </row>
    <row r="2439" spans="1:8" x14ac:dyDescent="0.25">
      <c r="A2439" t="s">
        <v>841</v>
      </c>
      <c r="B2439" t="s">
        <v>128</v>
      </c>
      <c r="C2439" s="5">
        <v>61297</v>
      </c>
      <c r="D2439" s="5">
        <v>695</v>
      </c>
      <c r="E2439">
        <v>8292</v>
      </c>
      <c r="F2439" s="4" t="s">
        <v>267</v>
      </c>
      <c r="G2439" t="s">
        <v>29</v>
      </c>
      <c r="H2439" t="s">
        <v>268</v>
      </c>
    </row>
    <row r="2440" spans="1:8" x14ac:dyDescent="0.25">
      <c r="A2440" t="s">
        <v>841</v>
      </c>
      <c r="B2440" t="s">
        <v>127</v>
      </c>
      <c r="C2440" s="5">
        <v>872558</v>
      </c>
      <c r="D2440" s="5">
        <v>11234</v>
      </c>
      <c r="E2440">
        <v>544430</v>
      </c>
      <c r="F2440" s="4" t="s">
        <v>417</v>
      </c>
      <c r="G2440" t="s">
        <v>29</v>
      </c>
      <c r="H2440" t="s">
        <v>418</v>
      </c>
    </row>
    <row r="2441" spans="1:8" x14ac:dyDescent="0.25">
      <c r="A2441" t="s">
        <v>841</v>
      </c>
      <c r="B2441" t="s">
        <v>124</v>
      </c>
      <c r="C2441" s="5">
        <v>17323</v>
      </c>
      <c r="D2441" s="5">
        <v>258</v>
      </c>
      <c r="E2441">
        <v>14531</v>
      </c>
      <c r="F2441" s="4" t="s">
        <v>800</v>
      </c>
      <c r="G2441" t="s">
        <v>29</v>
      </c>
      <c r="H2441" t="s">
        <v>801</v>
      </c>
    </row>
    <row r="2442" spans="1:8" x14ac:dyDescent="0.25">
      <c r="A2442" t="s">
        <v>841</v>
      </c>
      <c r="B2442" t="s">
        <v>121</v>
      </c>
      <c r="C2442" s="5">
        <v>11518</v>
      </c>
      <c r="D2442" s="5">
        <v>100</v>
      </c>
      <c r="E2442">
        <v>591</v>
      </c>
      <c r="F2442" s="4" t="s">
        <v>498</v>
      </c>
      <c r="G2442" t="s">
        <v>29</v>
      </c>
      <c r="H2442" t="s">
        <v>499</v>
      </c>
    </row>
    <row r="2443" spans="1:8" x14ac:dyDescent="0.25">
      <c r="A2443" t="s">
        <v>841</v>
      </c>
      <c r="B2443" t="s">
        <v>118</v>
      </c>
      <c r="C2443" s="5">
        <v>57470</v>
      </c>
      <c r="D2443" s="5">
        <v>1091</v>
      </c>
      <c r="E2443">
        <v>39045</v>
      </c>
      <c r="F2443" s="4" t="s">
        <v>652</v>
      </c>
      <c r="G2443" t="s">
        <v>29</v>
      </c>
      <c r="H2443" t="s">
        <v>653</v>
      </c>
    </row>
    <row r="2444" spans="1:8" x14ac:dyDescent="0.25">
      <c r="A2444" t="s">
        <v>841</v>
      </c>
      <c r="B2444" t="s">
        <v>115</v>
      </c>
      <c r="C2444" s="5">
        <v>1723506</v>
      </c>
      <c r="D2444" s="5">
        <v>29022</v>
      </c>
      <c r="E2444">
        <v>685097</v>
      </c>
      <c r="F2444" s="4" t="s">
        <v>116</v>
      </c>
      <c r="G2444" t="s">
        <v>29</v>
      </c>
      <c r="H2444" t="s">
        <v>117</v>
      </c>
    </row>
    <row r="2445" spans="1:8" x14ac:dyDescent="0.25">
      <c r="A2445" t="s">
        <v>841</v>
      </c>
      <c r="B2445" t="s">
        <v>112</v>
      </c>
      <c r="C2445" s="5">
        <v>26798</v>
      </c>
      <c r="D2445" s="5">
        <v>491</v>
      </c>
      <c r="E2445">
        <v>7383</v>
      </c>
      <c r="F2445" s="4" t="s">
        <v>812</v>
      </c>
      <c r="G2445" t="s">
        <v>29</v>
      </c>
      <c r="H2445" t="s">
        <v>813</v>
      </c>
    </row>
    <row r="2446" spans="1:8" x14ac:dyDescent="0.25">
      <c r="A2446" t="s">
        <v>841</v>
      </c>
      <c r="B2446" t="s">
        <v>109</v>
      </c>
      <c r="C2446" s="5">
        <v>600168</v>
      </c>
      <c r="D2446" s="5">
        <v>4631</v>
      </c>
      <c r="E2446">
        <v>590616</v>
      </c>
      <c r="F2446" s="4" t="s">
        <v>110</v>
      </c>
      <c r="G2446" t="s">
        <v>29</v>
      </c>
      <c r="H2446" t="s">
        <v>111</v>
      </c>
    </row>
    <row r="2447" spans="1:8" x14ac:dyDescent="0.25">
      <c r="A2447" t="s">
        <v>841</v>
      </c>
      <c r="B2447" t="s">
        <v>106</v>
      </c>
      <c r="C2447" s="5">
        <v>186594</v>
      </c>
      <c r="D2447" s="5">
        <v>2406</v>
      </c>
      <c r="E2447">
        <v>66969</v>
      </c>
      <c r="F2447" s="4" t="s">
        <v>417</v>
      </c>
      <c r="G2447" t="s">
        <v>29</v>
      </c>
      <c r="H2447" t="s">
        <v>418</v>
      </c>
    </row>
    <row r="2448" spans="1:8" x14ac:dyDescent="0.25">
      <c r="A2448" t="s">
        <v>841</v>
      </c>
      <c r="B2448" t="s">
        <v>103</v>
      </c>
      <c r="C2448" s="5">
        <v>2621</v>
      </c>
      <c r="D2448" s="5">
        <v>3</v>
      </c>
      <c r="E2448">
        <v>1466</v>
      </c>
      <c r="F2448" s="4" t="s">
        <v>104</v>
      </c>
      <c r="G2448" t="s">
        <v>29</v>
      </c>
      <c r="H2448" t="s">
        <v>105</v>
      </c>
    </row>
    <row r="2449" spans="1:8" x14ac:dyDescent="0.25">
      <c r="A2449" t="s">
        <v>841</v>
      </c>
      <c r="B2449" t="s">
        <v>100</v>
      </c>
      <c r="C2449" s="5">
        <v>22351</v>
      </c>
      <c r="D2449" s="5">
        <v>643</v>
      </c>
      <c r="E2449">
        <v>11058</v>
      </c>
      <c r="F2449" s="4" t="s">
        <v>860</v>
      </c>
      <c r="G2449" t="s">
        <v>29</v>
      </c>
      <c r="H2449" t="s">
        <v>861</v>
      </c>
    </row>
    <row r="2450" spans="1:8" x14ac:dyDescent="0.25">
      <c r="A2450" t="s">
        <v>841</v>
      </c>
      <c r="B2450" t="s">
        <v>97</v>
      </c>
      <c r="C2450" s="5">
        <v>21810855</v>
      </c>
      <c r="D2450" s="5">
        <v>607824</v>
      </c>
      <c r="E2450">
        <v>10011867</v>
      </c>
      <c r="F2450" s="4" t="s">
        <v>662</v>
      </c>
      <c r="G2450" t="s">
        <v>29</v>
      </c>
      <c r="H2450" t="s">
        <v>663</v>
      </c>
    </row>
    <row r="2451" spans="1:8" x14ac:dyDescent="0.25">
      <c r="A2451" t="s">
        <v>841</v>
      </c>
      <c r="B2451" t="s">
        <v>94</v>
      </c>
      <c r="C2451" s="5">
        <v>513584</v>
      </c>
      <c r="D2451" s="5">
        <v>18925</v>
      </c>
      <c r="E2451">
        <v>222819</v>
      </c>
      <c r="F2451" s="4" t="s">
        <v>760</v>
      </c>
      <c r="G2451" t="s">
        <v>29</v>
      </c>
      <c r="H2451" t="s">
        <v>761</v>
      </c>
    </row>
    <row r="2452" spans="1:8" x14ac:dyDescent="0.25">
      <c r="A2452" t="s">
        <v>841</v>
      </c>
      <c r="B2452" t="s">
        <v>91</v>
      </c>
      <c r="C2452" s="5">
        <v>13130</v>
      </c>
      <c r="D2452" s="5">
        <v>88</v>
      </c>
      <c r="E2452">
        <v>7765</v>
      </c>
      <c r="F2452" s="4" t="s">
        <v>92</v>
      </c>
      <c r="G2452" t="s">
        <v>29</v>
      </c>
      <c r="H2452" t="s">
        <v>93</v>
      </c>
    </row>
    <row r="2453" spans="1:8" x14ac:dyDescent="0.25">
      <c r="A2453" t="s">
        <v>841</v>
      </c>
      <c r="B2453" t="s">
        <v>88</v>
      </c>
      <c r="C2453" s="5">
        <v>1659</v>
      </c>
      <c r="D2453" s="5">
        <v>6</v>
      </c>
      <c r="E2453">
        <v>215</v>
      </c>
      <c r="F2453" s="4" t="s">
        <v>89</v>
      </c>
      <c r="G2453" t="s">
        <v>29</v>
      </c>
      <c r="H2453" t="s">
        <v>90</v>
      </c>
    </row>
    <row r="2454" spans="1:8" x14ac:dyDescent="0.25">
      <c r="A2454" t="s">
        <v>841</v>
      </c>
      <c r="B2454" t="s">
        <v>85</v>
      </c>
      <c r="C2454" s="5">
        <v>24749</v>
      </c>
      <c r="D2454" s="5">
        <v>161</v>
      </c>
      <c r="E2454">
        <v>13296</v>
      </c>
      <c r="F2454" s="4" t="s">
        <v>86</v>
      </c>
      <c r="G2454" t="s">
        <v>29</v>
      </c>
      <c r="H2454" t="s">
        <v>87</v>
      </c>
    </row>
    <row r="2455" spans="1:8" x14ac:dyDescent="0.25">
      <c r="A2455" t="s">
        <v>841</v>
      </c>
      <c r="B2455" t="s">
        <v>82</v>
      </c>
      <c r="C2455" s="5">
        <v>20039</v>
      </c>
      <c r="D2455" s="5">
        <v>38</v>
      </c>
      <c r="E2455">
        <v>16920</v>
      </c>
      <c r="F2455" s="4" t="s">
        <v>83</v>
      </c>
      <c r="G2455" t="s">
        <v>29</v>
      </c>
      <c r="H2455" t="s">
        <v>84</v>
      </c>
    </row>
    <row r="2456" spans="1:8" x14ac:dyDescent="0.25">
      <c r="A2456" t="s">
        <v>841</v>
      </c>
      <c r="B2456" t="s">
        <v>79</v>
      </c>
      <c r="C2456" s="5">
        <v>276829</v>
      </c>
      <c r="D2456" s="5">
        <v>1393</v>
      </c>
      <c r="E2456">
        <v>102223</v>
      </c>
      <c r="F2456" s="4" t="s">
        <v>80</v>
      </c>
      <c r="G2456" t="s">
        <v>29</v>
      </c>
      <c r="H2456" t="s">
        <v>81</v>
      </c>
    </row>
    <row r="2457" spans="1:8" x14ac:dyDescent="0.25">
      <c r="A2457" t="s">
        <v>841</v>
      </c>
      <c r="B2457" t="s">
        <v>76</v>
      </c>
      <c r="C2457" s="5">
        <v>602492</v>
      </c>
      <c r="D2457" s="5">
        <v>23999</v>
      </c>
      <c r="E2457">
        <v>395882</v>
      </c>
      <c r="F2457" s="4" t="s">
        <v>77</v>
      </c>
      <c r="G2457" t="s">
        <v>29</v>
      </c>
      <c r="H2457" t="s">
        <v>78</v>
      </c>
    </row>
    <row r="2458" spans="1:8" x14ac:dyDescent="0.25">
      <c r="A2458" t="s">
        <v>841</v>
      </c>
      <c r="B2458" t="s">
        <v>73</v>
      </c>
      <c r="C2458" s="5">
        <v>14793</v>
      </c>
      <c r="D2458" s="5">
        <v>214</v>
      </c>
      <c r="E2458">
        <v>12251</v>
      </c>
      <c r="F2458" s="4" t="s">
        <v>342</v>
      </c>
      <c r="G2458" t="s">
        <v>29</v>
      </c>
      <c r="H2458" t="s">
        <v>343</v>
      </c>
    </row>
    <row r="2459" spans="1:8" x14ac:dyDescent="0.25">
      <c r="A2459" t="s">
        <v>841</v>
      </c>
      <c r="B2459" t="s">
        <v>70</v>
      </c>
      <c r="C2459" s="5">
        <v>1360650</v>
      </c>
      <c r="D2459" s="5">
        <v>25994</v>
      </c>
      <c r="E2459">
        <v>1246470</v>
      </c>
      <c r="F2459" s="4" t="s">
        <v>119</v>
      </c>
      <c r="G2459" t="s">
        <v>29</v>
      </c>
      <c r="H2459" t="s">
        <v>120</v>
      </c>
    </row>
    <row r="2460" spans="1:8" x14ac:dyDescent="0.25">
      <c r="A2460" t="s">
        <v>841</v>
      </c>
      <c r="B2460" t="s">
        <v>67</v>
      </c>
      <c r="C2460" s="5">
        <v>1569539</v>
      </c>
      <c r="D2460" s="5">
        <v>27868</v>
      </c>
      <c r="E2460">
        <v>1138244</v>
      </c>
      <c r="F2460" s="4" t="s">
        <v>68</v>
      </c>
      <c r="G2460" t="s">
        <v>29</v>
      </c>
      <c r="H2460" t="s">
        <v>69</v>
      </c>
    </row>
    <row r="2461" spans="1:8" x14ac:dyDescent="0.25">
      <c r="A2461" t="s">
        <v>841</v>
      </c>
      <c r="B2461" t="s">
        <v>64</v>
      </c>
      <c r="C2461" s="5">
        <v>17763</v>
      </c>
      <c r="D2461" s="5">
        <v>153</v>
      </c>
      <c r="E2461">
        <v>986</v>
      </c>
      <c r="F2461" s="4" t="s">
        <v>122</v>
      </c>
      <c r="G2461" t="s">
        <v>29</v>
      </c>
      <c r="H2461" t="s">
        <v>123</v>
      </c>
    </row>
    <row r="2462" spans="1:8" x14ac:dyDescent="0.25">
      <c r="A2462" t="s">
        <v>841</v>
      </c>
      <c r="B2462" t="s">
        <v>61</v>
      </c>
      <c r="C2462" s="5">
        <v>252758</v>
      </c>
      <c r="D2462" s="5">
        <v>11495</v>
      </c>
      <c r="E2462">
        <v>201583</v>
      </c>
      <c r="F2462" s="4" t="s">
        <v>561</v>
      </c>
      <c r="G2462" t="s">
        <v>29</v>
      </c>
      <c r="H2462" t="s">
        <v>562</v>
      </c>
    </row>
    <row r="2463" spans="1:8" x14ac:dyDescent="0.25">
      <c r="A2463" t="s">
        <v>841</v>
      </c>
      <c r="B2463" t="s">
        <v>58</v>
      </c>
      <c r="C2463" s="5">
        <v>531370</v>
      </c>
      <c r="D2463" s="5">
        <v>7074</v>
      </c>
      <c r="E2463">
        <v>303155</v>
      </c>
      <c r="F2463" s="4" t="s">
        <v>59</v>
      </c>
      <c r="G2463" t="s">
        <v>29</v>
      </c>
      <c r="H2463" t="s">
        <v>60</v>
      </c>
    </row>
    <row r="2464" spans="1:8" x14ac:dyDescent="0.25">
      <c r="A2464" t="s">
        <v>841</v>
      </c>
      <c r="B2464" t="s">
        <v>55</v>
      </c>
      <c r="C2464" s="5">
        <v>172030</v>
      </c>
      <c r="D2464" s="5">
        <v>1743</v>
      </c>
      <c r="E2464">
        <v>13003</v>
      </c>
      <c r="F2464" s="4" t="s">
        <v>559</v>
      </c>
      <c r="G2464" t="s">
        <v>29</v>
      </c>
      <c r="H2464" t="s">
        <v>560</v>
      </c>
    </row>
    <row r="2465" spans="1:8" x14ac:dyDescent="0.25">
      <c r="A2465" t="s">
        <v>841</v>
      </c>
      <c r="B2465" t="s">
        <v>52</v>
      </c>
      <c r="C2465" s="5">
        <v>830981</v>
      </c>
      <c r="D2465" s="5">
        <v>11357</v>
      </c>
      <c r="E2465">
        <v>157842</v>
      </c>
      <c r="F2465" s="4" t="s">
        <v>391</v>
      </c>
      <c r="G2465" t="s">
        <v>29</v>
      </c>
      <c r="H2465" t="s">
        <v>392</v>
      </c>
    </row>
    <row r="2466" spans="1:8" x14ac:dyDescent="0.25">
      <c r="A2466" t="s">
        <v>841</v>
      </c>
      <c r="B2466" t="s">
        <v>49</v>
      </c>
      <c r="C2466" s="5">
        <v>5288807</v>
      </c>
      <c r="D2466" s="5">
        <v>115950</v>
      </c>
      <c r="E2466">
        <v>721195</v>
      </c>
      <c r="F2466" s="4" t="s">
        <v>50</v>
      </c>
      <c r="G2466" t="s">
        <v>29</v>
      </c>
      <c r="H2466" t="s">
        <v>51</v>
      </c>
    </row>
    <row r="2467" spans="1:8" x14ac:dyDescent="0.25">
      <c r="A2467" t="s">
        <v>841</v>
      </c>
      <c r="B2467" t="s">
        <v>46</v>
      </c>
      <c r="C2467" s="5">
        <v>64433</v>
      </c>
      <c r="D2467" s="5">
        <v>1710</v>
      </c>
      <c r="E2467">
        <v>31714</v>
      </c>
      <c r="F2467" s="4" t="s">
        <v>862</v>
      </c>
      <c r="G2467" t="s">
        <v>29</v>
      </c>
      <c r="H2467" t="s">
        <v>863</v>
      </c>
    </row>
    <row r="2468" spans="1:8" x14ac:dyDescent="0.25">
      <c r="A2468" t="s">
        <v>841</v>
      </c>
      <c r="B2468" t="s">
        <v>43</v>
      </c>
      <c r="C2468" s="5">
        <v>308326</v>
      </c>
      <c r="D2468" s="5">
        <v>6328</v>
      </c>
      <c r="E2468">
        <v>80893</v>
      </c>
      <c r="F2468" s="4" t="s">
        <v>579</v>
      </c>
      <c r="G2468" t="s">
        <v>29</v>
      </c>
      <c r="H2468" t="s">
        <v>580</v>
      </c>
    </row>
    <row r="2469" spans="1:8" x14ac:dyDescent="0.25">
      <c r="A2469" t="s">
        <v>841</v>
      </c>
      <c r="B2469" t="s">
        <v>40</v>
      </c>
      <c r="C2469" s="5">
        <v>185300</v>
      </c>
      <c r="D2469" s="5">
        <v>2924</v>
      </c>
      <c r="E2469">
        <v>99719</v>
      </c>
      <c r="F2469" s="4" t="s">
        <v>577</v>
      </c>
      <c r="G2469" t="s">
        <v>29</v>
      </c>
      <c r="H2469" t="s">
        <v>578</v>
      </c>
    </row>
    <row r="2470" spans="1:8" x14ac:dyDescent="0.25">
      <c r="A2470" t="s">
        <v>841</v>
      </c>
      <c r="B2470" t="s">
        <v>37</v>
      </c>
      <c r="C2470" s="5">
        <v>4058</v>
      </c>
      <c r="D2470" s="5">
        <v>102</v>
      </c>
      <c r="E2470">
        <v>3101</v>
      </c>
      <c r="F2470" s="4" t="s">
        <v>700</v>
      </c>
      <c r="G2470" t="s">
        <v>29</v>
      </c>
      <c r="H2470" t="s">
        <v>701</v>
      </c>
    </row>
    <row r="2471" spans="1:8" x14ac:dyDescent="0.25">
      <c r="A2471" t="s">
        <v>841</v>
      </c>
      <c r="B2471" t="s">
        <v>34</v>
      </c>
      <c r="C2471" s="5">
        <v>156250</v>
      </c>
      <c r="D2471" s="5">
        <v>7280</v>
      </c>
      <c r="E2471">
        <v>5700</v>
      </c>
      <c r="F2471" s="4" t="s">
        <v>35</v>
      </c>
      <c r="G2471" t="s">
        <v>29</v>
      </c>
      <c r="H2471" t="s">
        <v>36</v>
      </c>
    </row>
    <row r="2472" spans="1:8" x14ac:dyDescent="0.25">
      <c r="A2472" t="s">
        <v>841</v>
      </c>
      <c r="B2472" t="s">
        <v>31</v>
      </c>
      <c r="C2472" s="5">
        <v>739905</v>
      </c>
      <c r="D2472" s="5">
        <v>2136</v>
      </c>
      <c r="E2472">
        <v>133704</v>
      </c>
      <c r="F2472" s="4" t="s">
        <v>32</v>
      </c>
      <c r="G2472" t="s">
        <v>29</v>
      </c>
      <c r="H2472" t="s">
        <v>33</v>
      </c>
    </row>
    <row r="2473" spans="1:8" x14ac:dyDescent="0.25">
      <c r="A2473" t="s">
        <v>841</v>
      </c>
      <c r="B2473" t="s">
        <v>27</v>
      </c>
      <c r="C2473" s="5">
        <v>15516</v>
      </c>
      <c r="D2473" s="5">
        <v>130</v>
      </c>
      <c r="E2473">
        <v>9408</v>
      </c>
      <c r="F2473" s="4" t="s">
        <v>397</v>
      </c>
      <c r="G2473" t="s">
        <v>29</v>
      </c>
      <c r="H2473" t="s">
        <v>398</v>
      </c>
    </row>
    <row r="2474" spans="1:8" x14ac:dyDescent="0.25">
      <c r="A2474" t="s">
        <v>864</v>
      </c>
      <c r="B2474" t="s">
        <v>27</v>
      </c>
      <c r="C2474" s="5">
        <v>15516</v>
      </c>
      <c r="D2474" s="5">
        <v>130</v>
      </c>
      <c r="E2474">
        <v>2603</v>
      </c>
      <c r="F2474" s="4" t="s">
        <v>397</v>
      </c>
      <c r="G2474" t="s">
        <v>29</v>
      </c>
      <c r="H2474" t="s">
        <v>398</v>
      </c>
    </row>
    <row r="2475" spans="1:8" x14ac:dyDescent="0.25">
      <c r="A2475" t="s">
        <v>864</v>
      </c>
      <c r="B2475" t="s">
        <v>31</v>
      </c>
      <c r="C2475" s="5">
        <v>739824</v>
      </c>
      <c r="D2475" s="5">
        <v>2136</v>
      </c>
      <c r="E2475">
        <v>61288</v>
      </c>
      <c r="F2475" s="4" t="s">
        <v>32</v>
      </c>
      <c r="G2475" t="s">
        <v>29</v>
      </c>
      <c r="H2475" t="s">
        <v>33</v>
      </c>
    </row>
    <row r="2476" spans="1:8" x14ac:dyDescent="0.25">
      <c r="A2476" t="s">
        <v>864</v>
      </c>
      <c r="B2476" t="s">
        <v>34</v>
      </c>
      <c r="C2476" s="5">
        <v>156210</v>
      </c>
      <c r="D2476" s="5">
        <v>7272</v>
      </c>
      <c r="E2476">
        <v>27288</v>
      </c>
      <c r="F2476" s="4" t="s">
        <v>35</v>
      </c>
      <c r="G2476" t="s">
        <v>29</v>
      </c>
      <c r="H2476" t="s">
        <v>36</v>
      </c>
    </row>
    <row r="2477" spans="1:8" x14ac:dyDescent="0.25">
      <c r="A2477" t="s">
        <v>864</v>
      </c>
      <c r="B2477" t="s">
        <v>37</v>
      </c>
      <c r="C2477" s="5">
        <v>4058</v>
      </c>
      <c r="D2477" s="5">
        <v>102</v>
      </c>
      <c r="E2477">
        <v>1016</v>
      </c>
      <c r="F2477" s="4" t="s">
        <v>700</v>
      </c>
      <c r="G2477" t="s">
        <v>29</v>
      </c>
      <c r="H2477" t="s">
        <v>701</v>
      </c>
    </row>
    <row r="2478" spans="1:8" x14ac:dyDescent="0.25">
      <c r="A2478" t="s">
        <v>864</v>
      </c>
      <c r="B2478" t="s">
        <v>40</v>
      </c>
      <c r="C2478" s="5">
        <v>184887</v>
      </c>
      <c r="D2478" s="5">
        <v>2916</v>
      </c>
      <c r="E2478">
        <v>59024</v>
      </c>
      <c r="F2478" s="4" t="s">
        <v>577</v>
      </c>
      <c r="G2478" t="s">
        <v>29</v>
      </c>
      <c r="H2478" t="s">
        <v>578</v>
      </c>
    </row>
    <row r="2479" spans="1:8" x14ac:dyDescent="0.25">
      <c r="A2479" t="s">
        <v>864</v>
      </c>
      <c r="B2479" t="s">
        <v>43</v>
      </c>
      <c r="C2479" s="5">
        <v>306739</v>
      </c>
      <c r="D2479" s="5">
        <v>6284</v>
      </c>
      <c r="E2479">
        <v>192818</v>
      </c>
      <c r="F2479" s="4" t="s">
        <v>579</v>
      </c>
      <c r="G2479" t="s">
        <v>29</v>
      </c>
      <c r="H2479" t="s">
        <v>580</v>
      </c>
    </row>
    <row r="2480" spans="1:8" x14ac:dyDescent="0.25">
      <c r="A2480" t="s">
        <v>864</v>
      </c>
      <c r="B2480" t="s">
        <v>46</v>
      </c>
      <c r="C2480" s="5">
        <v>64374</v>
      </c>
      <c r="D2480" s="5">
        <v>1708</v>
      </c>
      <c r="E2480">
        <v>40386</v>
      </c>
      <c r="F2480" s="4" t="s">
        <v>862</v>
      </c>
      <c r="G2480" t="s">
        <v>29</v>
      </c>
      <c r="H2480" t="s">
        <v>863</v>
      </c>
    </row>
    <row r="2481" spans="1:8" x14ac:dyDescent="0.25">
      <c r="A2481" t="s">
        <v>864</v>
      </c>
      <c r="B2481" t="s">
        <v>49</v>
      </c>
      <c r="C2481" s="5">
        <v>5288259</v>
      </c>
      <c r="D2481" s="5">
        <v>115942</v>
      </c>
      <c r="E2481">
        <v>3866874</v>
      </c>
      <c r="F2481" s="4" t="s">
        <v>50</v>
      </c>
      <c r="G2481" t="s">
        <v>29</v>
      </c>
      <c r="H2481" t="s">
        <v>51</v>
      </c>
    </row>
    <row r="2482" spans="1:8" x14ac:dyDescent="0.25">
      <c r="A2482" t="s">
        <v>864</v>
      </c>
      <c r="B2482" t="s">
        <v>52</v>
      </c>
      <c r="C2482" s="5">
        <v>825297</v>
      </c>
      <c r="D2482" s="5">
        <v>11345</v>
      </c>
      <c r="E2482">
        <v>19991</v>
      </c>
      <c r="F2482" s="4" t="s">
        <v>391</v>
      </c>
      <c r="G2482" t="s">
        <v>29</v>
      </c>
      <c r="H2482" t="s">
        <v>392</v>
      </c>
    </row>
    <row r="2483" spans="1:8" x14ac:dyDescent="0.25">
      <c r="A2483" t="s">
        <v>864</v>
      </c>
      <c r="B2483" t="s">
        <v>55</v>
      </c>
      <c r="C2483" s="5">
        <v>170564</v>
      </c>
      <c r="D2483" s="5">
        <v>1735</v>
      </c>
      <c r="E2483">
        <v>35336</v>
      </c>
      <c r="F2483" s="4" t="s">
        <v>326</v>
      </c>
      <c r="G2483" t="s">
        <v>29</v>
      </c>
      <c r="H2483" t="s">
        <v>327</v>
      </c>
    </row>
    <row r="2484" spans="1:8" x14ac:dyDescent="0.25">
      <c r="A2484" t="s">
        <v>864</v>
      </c>
      <c r="B2484" t="s">
        <v>58</v>
      </c>
      <c r="C2484" s="5">
        <v>529109</v>
      </c>
      <c r="D2484" s="5">
        <v>7049</v>
      </c>
      <c r="E2484">
        <v>32124</v>
      </c>
      <c r="F2484" s="4" t="s">
        <v>59</v>
      </c>
      <c r="G2484" t="s">
        <v>29</v>
      </c>
      <c r="H2484" t="s">
        <v>60</v>
      </c>
    </row>
    <row r="2485" spans="1:8" x14ac:dyDescent="0.25">
      <c r="A2485" t="s">
        <v>864</v>
      </c>
      <c r="B2485" t="s">
        <v>61</v>
      </c>
      <c r="C2485" s="5">
        <v>252758</v>
      </c>
      <c r="D2485" s="5">
        <v>11495</v>
      </c>
      <c r="E2485">
        <v>118225</v>
      </c>
      <c r="F2485" s="4" t="s">
        <v>561</v>
      </c>
      <c r="G2485" t="s">
        <v>29</v>
      </c>
      <c r="H2485" t="s">
        <v>562</v>
      </c>
    </row>
    <row r="2486" spans="1:8" x14ac:dyDescent="0.25">
      <c r="A2486" t="s">
        <v>864</v>
      </c>
      <c r="B2486" t="s">
        <v>64</v>
      </c>
      <c r="C2486" s="5">
        <v>17465</v>
      </c>
      <c r="D2486" s="5">
        <v>152</v>
      </c>
      <c r="E2486">
        <v>15067</v>
      </c>
      <c r="F2486" s="4" t="s">
        <v>498</v>
      </c>
      <c r="G2486" t="s">
        <v>29</v>
      </c>
      <c r="H2486" t="s">
        <v>499</v>
      </c>
    </row>
    <row r="2487" spans="1:8" x14ac:dyDescent="0.25">
      <c r="A2487" t="s">
        <v>864</v>
      </c>
      <c r="B2487" t="s">
        <v>67</v>
      </c>
      <c r="C2487" s="5">
        <v>1569328</v>
      </c>
      <c r="D2487" s="5">
        <v>27862</v>
      </c>
      <c r="E2487">
        <v>349479</v>
      </c>
      <c r="F2487" s="4" t="s">
        <v>68</v>
      </c>
      <c r="G2487" t="s">
        <v>29</v>
      </c>
      <c r="H2487" t="s">
        <v>69</v>
      </c>
    </row>
    <row r="2488" spans="1:8" x14ac:dyDescent="0.25">
      <c r="A2488" t="s">
        <v>864</v>
      </c>
      <c r="B2488" t="s">
        <v>70</v>
      </c>
      <c r="C2488" s="5">
        <v>1360650</v>
      </c>
      <c r="D2488" s="5">
        <v>25994</v>
      </c>
      <c r="E2488">
        <v>396518</v>
      </c>
      <c r="F2488" s="4" t="s">
        <v>119</v>
      </c>
      <c r="G2488" t="s">
        <v>29</v>
      </c>
      <c r="H2488" t="s">
        <v>120</v>
      </c>
    </row>
    <row r="2489" spans="1:8" x14ac:dyDescent="0.25">
      <c r="A2489" t="s">
        <v>864</v>
      </c>
      <c r="B2489" t="s">
        <v>73</v>
      </c>
      <c r="C2489" s="5">
        <v>14793</v>
      </c>
      <c r="D2489" s="5">
        <v>214</v>
      </c>
      <c r="E2489">
        <v>13086</v>
      </c>
      <c r="F2489" s="4" t="s">
        <v>342</v>
      </c>
      <c r="G2489" t="s">
        <v>29</v>
      </c>
      <c r="H2489" t="s">
        <v>343</v>
      </c>
    </row>
    <row r="2490" spans="1:8" x14ac:dyDescent="0.25">
      <c r="A2490" t="s">
        <v>864</v>
      </c>
      <c r="B2490" t="s">
        <v>76</v>
      </c>
      <c r="C2490" s="5">
        <v>601035</v>
      </c>
      <c r="D2490" s="5">
        <v>23918</v>
      </c>
      <c r="E2490">
        <v>161915</v>
      </c>
      <c r="F2490" s="4" t="s">
        <v>77</v>
      </c>
      <c r="G2490" t="s">
        <v>29</v>
      </c>
      <c r="H2490" t="s">
        <v>78</v>
      </c>
    </row>
    <row r="2491" spans="1:8" x14ac:dyDescent="0.25">
      <c r="A2491" t="s">
        <v>864</v>
      </c>
      <c r="B2491" t="s">
        <v>79</v>
      </c>
      <c r="C2491" s="5">
        <v>276794</v>
      </c>
      <c r="D2491" s="5">
        <v>1393</v>
      </c>
      <c r="E2491">
        <v>66848</v>
      </c>
      <c r="F2491" s="4" t="s">
        <v>80</v>
      </c>
      <c r="G2491" t="s">
        <v>29</v>
      </c>
      <c r="H2491" t="s">
        <v>81</v>
      </c>
    </row>
    <row r="2492" spans="1:8" x14ac:dyDescent="0.25">
      <c r="A2492" t="s">
        <v>864</v>
      </c>
      <c r="B2492" t="s">
        <v>82</v>
      </c>
      <c r="C2492" s="5">
        <v>20039</v>
      </c>
      <c r="D2492" s="5">
        <v>38</v>
      </c>
      <c r="E2492">
        <v>3529</v>
      </c>
      <c r="F2492" s="4" t="s">
        <v>83</v>
      </c>
      <c r="G2492" t="s">
        <v>29</v>
      </c>
      <c r="H2492" t="s">
        <v>84</v>
      </c>
    </row>
    <row r="2493" spans="1:8" x14ac:dyDescent="0.25">
      <c r="A2493" t="s">
        <v>864</v>
      </c>
      <c r="B2493" t="s">
        <v>85</v>
      </c>
      <c r="C2493" s="5">
        <v>24749</v>
      </c>
      <c r="D2493" s="5">
        <v>161</v>
      </c>
      <c r="E2493">
        <v>6540</v>
      </c>
      <c r="F2493" s="4" t="s">
        <v>86</v>
      </c>
      <c r="G2493" t="s">
        <v>29</v>
      </c>
      <c r="H2493" t="s">
        <v>87</v>
      </c>
    </row>
    <row r="2494" spans="1:8" x14ac:dyDescent="0.25">
      <c r="A2494" t="s">
        <v>864</v>
      </c>
      <c r="B2494" t="s">
        <v>88</v>
      </c>
      <c r="C2494" s="5">
        <v>1659</v>
      </c>
      <c r="D2494" s="5">
        <v>6</v>
      </c>
      <c r="E2494">
        <v>125</v>
      </c>
      <c r="F2494" s="4" t="s">
        <v>89</v>
      </c>
      <c r="G2494" t="s">
        <v>29</v>
      </c>
      <c r="H2494" t="s">
        <v>90</v>
      </c>
    </row>
    <row r="2495" spans="1:8" x14ac:dyDescent="0.25">
      <c r="A2495" t="s">
        <v>864</v>
      </c>
      <c r="B2495" t="s">
        <v>91</v>
      </c>
      <c r="C2495" s="5">
        <v>13065</v>
      </c>
      <c r="D2495" s="5">
        <v>87</v>
      </c>
      <c r="E2495">
        <v>9820</v>
      </c>
      <c r="F2495" s="4" t="s">
        <v>92</v>
      </c>
      <c r="G2495" t="s">
        <v>29</v>
      </c>
      <c r="H2495" t="s">
        <v>93</v>
      </c>
    </row>
    <row r="2496" spans="1:8" x14ac:dyDescent="0.25">
      <c r="A2496" t="s">
        <v>864</v>
      </c>
      <c r="B2496" t="s">
        <v>94</v>
      </c>
      <c r="C2496" s="5">
        <v>513584</v>
      </c>
      <c r="D2496" s="5">
        <v>18925</v>
      </c>
      <c r="E2496">
        <v>41864</v>
      </c>
      <c r="F2496" s="4" t="s">
        <v>760</v>
      </c>
      <c r="G2496" t="s">
        <v>29</v>
      </c>
      <c r="H2496" t="s">
        <v>761</v>
      </c>
    </row>
    <row r="2497" spans="1:8" x14ac:dyDescent="0.25">
      <c r="A2497" t="s">
        <v>864</v>
      </c>
      <c r="B2497" t="s">
        <v>97</v>
      </c>
      <c r="C2497" s="5">
        <v>21804094</v>
      </c>
      <c r="D2497" s="5">
        <v>607694</v>
      </c>
      <c r="E2497">
        <v>12488865</v>
      </c>
      <c r="F2497" s="4" t="s">
        <v>662</v>
      </c>
      <c r="G2497" t="s">
        <v>29</v>
      </c>
      <c r="H2497" t="s">
        <v>663</v>
      </c>
    </row>
    <row r="2498" spans="1:8" x14ac:dyDescent="0.25">
      <c r="A2498" t="s">
        <v>864</v>
      </c>
      <c r="B2498" t="s">
        <v>100</v>
      </c>
      <c r="C2498" s="5">
        <v>22351</v>
      </c>
      <c r="D2498" s="5">
        <v>643</v>
      </c>
      <c r="E2498">
        <v>6951</v>
      </c>
      <c r="F2498" s="4" t="s">
        <v>860</v>
      </c>
      <c r="G2498" t="s">
        <v>29</v>
      </c>
      <c r="H2498" t="s">
        <v>861</v>
      </c>
    </row>
    <row r="2499" spans="1:8" x14ac:dyDescent="0.25">
      <c r="A2499" t="s">
        <v>864</v>
      </c>
      <c r="B2499" t="s">
        <v>103</v>
      </c>
      <c r="C2499" s="5">
        <v>2621</v>
      </c>
      <c r="D2499" s="5">
        <v>3</v>
      </c>
      <c r="E2499">
        <v>1122</v>
      </c>
      <c r="F2499" s="4" t="s">
        <v>104</v>
      </c>
      <c r="G2499" t="s">
        <v>29</v>
      </c>
      <c r="H2499" t="s">
        <v>105</v>
      </c>
    </row>
    <row r="2500" spans="1:8" x14ac:dyDescent="0.25">
      <c r="A2500" t="s">
        <v>864</v>
      </c>
      <c r="B2500" t="s">
        <v>106</v>
      </c>
      <c r="C2500" s="5">
        <v>186594</v>
      </c>
      <c r="D2500" s="5">
        <v>2406</v>
      </c>
      <c r="E2500">
        <v>1136</v>
      </c>
      <c r="F2500" s="4" t="s">
        <v>417</v>
      </c>
      <c r="G2500" t="s">
        <v>29</v>
      </c>
      <c r="H2500" t="s">
        <v>418</v>
      </c>
    </row>
    <row r="2501" spans="1:8" x14ac:dyDescent="0.25">
      <c r="A2501" t="s">
        <v>864</v>
      </c>
      <c r="B2501" t="s">
        <v>109</v>
      </c>
      <c r="C2501" s="5">
        <v>598183</v>
      </c>
      <c r="D2501" s="5">
        <v>4614</v>
      </c>
      <c r="E2501">
        <v>93320</v>
      </c>
      <c r="F2501" s="4" t="s">
        <v>110</v>
      </c>
      <c r="G2501" t="s">
        <v>29</v>
      </c>
      <c r="H2501" t="s">
        <v>111</v>
      </c>
    </row>
    <row r="2502" spans="1:8" x14ac:dyDescent="0.25">
      <c r="A2502" t="s">
        <v>864</v>
      </c>
      <c r="B2502" t="s">
        <v>112</v>
      </c>
      <c r="C2502" s="5">
        <v>26798</v>
      </c>
      <c r="D2502" s="5">
        <v>491</v>
      </c>
      <c r="E2502">
        <v>21329</v>
      </c>
      <c r="F2502" s="4" t="s">
        <v>812</v>
      </c>
      <c r="G2502" t="s">
        <v>29</v>
      </c>
      <c r="H2502" t="s">
        <v>813</v>
      </c>
    </row>
    <row r="2503" spans="1:8" x14ac:dyDescent="0.25">
      <c r="A2503" t="s">
        <v>864</v>
      </c>
      <c r="B2503" t="s">
        <v>115</v>
      </c>
      <c r="C2503" s="5">
        <v>1721987</v>
      </c>
      <c r="D2503" s="5">
        <v>29016</v>
      </c>
      <c r="E2503">
        <v>603827</v>
      </c>
      <c r="F2503" s="4" t="s">
        <v>152</v>
      </c>
      <c r="G2503" t="s">
        <v>29</v>
      </c>
      <c r="H2503" t="s">
        <v>153</v>
      </c>
    </row>
    <row r="2504" spans="1:8" x14ac:dyDescent="0.25">
      <c r="A2504" t="s">
        <v>864</v>
      </c>
      <c r="B2504" t="s">
        <v>118</v>
      </c>
      <c r="C2504" s="5">
        <v>57470</v>
      </c>
      <c r="D2504" s="5">
        <v>1091</v>
      </c>
      <c r="E2504">
        <v>6382</v>
      </c>
      <c r="F2504" s="4" t="s">
        <v>652</v>
      </c>
      <c r="G2504" t="s">
        <v>29</v>
      </c>
      <c r="H2504" t="s">
        <v>653</v>
      </c>
    </row>
    <row r="2505" spans="1:8" x14ac:dyDescent="0.25">
      <c r="A2505" t="s">
        <v>864</v>
      </c>
      <c r="B2505" t="s">
        <v>121</v>
      </c>
      <c r="C2505" s="5">
        <v>11518</v>
      </c>
      <c r="D2505" s="5">
        <v>100</v>
      </c>
      <c r="E2505">
        <v>8678</v>
      </c>
      <c r="F2505" s="4" t="s">
        <v>498</v>
      </c>
      <c r="G2505" t="s">
        <v>29</v>
      </c>
      <c r="H2505" t="s">
        <v>499</v>
      </c>
    </row>
    <row r="2506" spans="1:8" x14ac:dyDescent="0.25">
      <c r="A2506" t="s">
        <v>864</v>
      </c>
      <c r="B2506" t="s">
        <v>124</v>
      </c>
      <c r="C2506" s="5">
        <v>17323</v>
      </c>
      <c r="D2506" s="5">
        <v>258</v>
      </c>
      <c r="E2506">
        <v>5295</v>
      </c>
      <c r="F2506" s="4" t="s">
        <v>800</v>
      </c>
      <c r="G2506" t="s">
        <v>29</v>
      </c>
      <c r="H2506" t="s">
        <v>801</v>
      </c>
    </row>
    <row r="2507" spans="1:8" x14ac:dyDescent="0.25">
      <c r="A2507" t="s">
        <v>864</v>
      </c>
      <c r="B2507" t="s">
        <v>127</v>
      </c>
      <c r="C2507" s="5">
        <v>872558</v>
      </c>
      <c r="D2507" s="5">
        <v>11233</v>
      </c>
      <c r="E2507">
        <v>332243</v>
      </c>
      <c r="F2507" s="4" t="s">
        <v>417</v>
      </c>
      <c r="G2507" t="s">
        <v>29</v>
      </c>
      <c r="H2507" t="s">
        <v>418</v>
      </c>
    </row>
    <row r="2508" spans="1:8" x14ac:dyDescent="0.25">
      <c r="A2508" t="s">
        <v>864</v>
      </c>
      <c r="B2508" t="s">
        <v>128</v>
      </c>
      <c r="C2508" s="5">
        <v>61292</v>
      </c>
      <c r="D2508" s="5">
        <v>695</v>
      </c>
      <c r="E2508">
        <v>40501</v>
      </c>
      <c r="F2508" s="4" t="s">
        <v>267</v>
      </c>
      <c r="G2508" t="s">
        <v>29</v>
      </c>
      <c r="H2508" t="s">
        <v>268</v>
      </c>
    </row>
    <row r="2509" spans="1:8" x14ac:dyDescent="0.25">
      <c r="A2509" t="s">
        <v>864</v>
      </c>
      <c r="B2509" t="s">
        <v>131</v>
      </c>
      <c r="C2509" s="5">
        <v>1692877</v>
      </c>
      <c r="D2509" s="5">
        <v>37743</v>
      </c>
      <c r="E2509">
        <v>1071042</v>
      </c>
      <c r="F2509" s="4" t="s">
        <v>421</v>
      </c>
      <c r="G2509" t="s">
        <v>29</v>
      </c>
      <c r="H2509" t="s">
        <v>422</v>
      </c>
    </row>
    <row r="2510" spans="1:8" x14ac:dyDescent="0.25">
      <c r="A2510" t="s">
        <v>864</v>
      </c>
      <c r="B2510" t="s">
        <v>134</v>
      </c>
      <c r="C2510" s="5">
        <v>102499</v>
      </c>
      <c r="D2510" s="5">
        <v>1686</v>
      </c>
      <c r="E2510">
        <v>79441</v>
      </c>
      <c r="F2510" s="4" t="s">
        <v>196</v>
      </c>
      <c r="G2510" t="s">
        <v>29</v>
      </c>
      <c r="H2510" t="s">
        <v>197</v>
      </c>
    </row>
    <row r="2511" spans="1:8" x14ac:dyDescent="0.25">
      <c r="A2511" t="s">
        <v>864</v>
      </c>
      <c r="B2511" t="s">
        <v>137</v>
      </c>
      <c r="C2511" s="5">
        <v>97152</v>
      </c>
      <c r="D2511" s="5">
        <v>4636</v>
      </c>
      <c r="E2511">
        <v>65097</v>
      </c>
      <c r="F2511" s="4" t="s">
        <v>858</v>
      </c>
      <c r="G2511" t="s">
        <v>29</v>
      </c>
      <c r="H2511" t="s">
        <v>859</v>
      </c>
    </row>
    <row r="2512" spans="1:8" x14ac:dyDescent="0.25">
      <c r="A2512" t="s">
        <v>864</v>
      </c>
      <c r="B2512" t="s">
        <v>140</v>
      </c>
      <c r="C2512" s="5">
        <v>5000677</v>
      </c>
      <c r="D2512" s="5">
        <v>127258</v>
      </c>
      <c r="E2512">
        <v>2222667</v>
      </c>
      <c r="F2512" s="4" t="s">
        <v>141</v>
      </c>
      <c r="G2512" t="s">
        <v>29</v>
      </c>
      <c r="H2512" t="s">
        <v>142</v>
      </c>
    </row>
    <row r="2513" spans="1:8" x14ac:dyDescent="0.25">
      <c r="A2513" t="s">
        <v>864</v>
      </c>
      <c r="B2513" t="s">
        <v>143</v>
      </c>
      <c r="C2513" s="5">
        <v>559698</v>
      </c>
      <c r="D2513" s="5">
        <v>7029</v>
      </c>
      <c r="E2513">
        <v>285242</v>
      </c>
      <c r="F2513" s="4" t="s">
        <v>223</v>
      </c>
      <c r="G2513" t="s">
        <v>29</v>
      </c>
      <c r="H2513" t="s">
        <v>224</v>
      </c>
    </row>
    <row r="2514" spans="1:8" x14ac:dyDescent="0.25">
      <c r="A2514" t="s">
        <v>864</v>
      </c>
      <c r="B2514" t="s">
        <v>144</v>
      </c>
      <c r="C2514" s="5">
        <v>951325</v>
      </c>
      <c r="D2514" s="5">
        <v>8230</v>
      </c>
      <c r="E2514">
        <v>324395</v>
      </c>
      <c r="F2514" s="4" t="s">
        <v>498</v>
      </c>
      <c r="G2514" t="s">
        <v>29</v>
      </c>
      <c r="H2514" t="s">
        <v>499</v>
      </c>
    </row>
    <row r="2515" spans="1:8" x14ac:dyDescent="0.25">
      <c r="A2515" t="s">
        <v>864</v>
      </c>
      <c r="B2515" t="s">
        <v>145</v>
      </c>
      <c r="C2515" s="5">
        <v>38207</v>
      </c>
      <c r="D2515" s="5">
        <v>349</v>
      </c>
      <c r="E2515">
        <v>3029</v>
      </c>
      <c r="F2515" s="4" t="s">
        <v>146</v>
      </c>
      <c r="G2515" t="s">
        <v>29</v>
      </c>
      <c r="H2515" t="s">
        <v>147</v>
      </c>
    </row>
    <row r="2516" spans="1:8" x14ac:dyDescent="0.25">
      <c r="A2516" t="s">
        <v>864</v>
      </c>
      <c r="B2516" t="s">
        <v>148</v>
      </c>
      <c r="C2516" s="5">
        <v>124017</v>
      </c>
      <c r="D2516" s="5">
        <v>575</v>
      </c>
      <c r="E2516">
        <v>86258</v>
      </c>
      <c r="F2516" s="4" t="s">
        <v>149</v>
      </c>
      <c r="G2516" t="s">
        <v>29</v>
      </c>
      <c r="H2516" t="s">
        <v>150</v>
      </c>
    </row>
    <row r="2517" spans="1:8" x14ac:dyDescent="0.25">
      <c r="A2517" t="s">
        <v>864</v>
      </c>
      <c r="B2517" t="s">
        <v>151</v>
      </c>
      <c r="C2517" s="5">
        <v>1757821</v>
      </c>
      <c r="D2517" s="5">
        <v>30736</v>
      </c>
      <c r="E2517">
        <v>800614</v>
      </c>
      <c r="F2517" s="4" t="s">
        <v>545</v>
      </c>
      <c r="G2517" t="s">
        <v>29</v>
      </c>
      <c r="H2517" t="s">
        <v>546</v>
      </c>
    </row>
    <row r="2518" spans="1:8" x14ac:dyDescent="0.25">
      <c r="A2518" t="s">
        <v>864</v>
      </c>
      <c r="B2518" t="s">
        <v>154</v>
      </c>
      <c r="C2518" s="5">
        <v>4608512</v>
      </c>
      <c r="D2518" s="5">
        <v>95734</v>
      </c>
      <c r="E2518">
        <v>2566880</v>
      </c>
      <c r="F2518" s="4" t="s">
        <v>549</v>
      </c>
      <c r="G2518" t="s">
        <v>29</v>
      </c>
      <c r="H2518" t="s">
        <v>550</v>
      </c>
    </row>
    <row r="2519" spans="1:8" x14ac:dyDescent="0.25">
      <c r="A2519" t="s">
        <v>864</v>
      </c>
      <c r="B2519" t="s">
        <v>157</v>
      </c>
      <c r="C2519" s="5">
        <v>13478</v>
      </c>
      <c r="D2519" s="5">
        <v>181</v>
      </c>
      <c r="E2519">
        <v>12262</v>
      </c>
      <c r="F2519" s="4" t="s">
        <v>264</v>
      </c>
      <c r="G2519" t="s">
        <v>29</v>
      </c>
      <c r="H2519" t="s">
        <v>265</v>
      </c>
    </row>
    <row r="2520" spans="1:8" x14ac:dyDescent="0.25">
      <c r="A2520" t="s">
        <v>864</v>
      </c>
      <c r="B2520" t="s">
        <v>160</v>
      </c>
      <c r="C2520" s="5">
        <v>387050</v>
      </c>
      <c r="D2520" s="5">
        <v>2713</v>
      </c>
      <c r="E2520">
        <v>215171</v>
      </c>
      <c r="F2520" s="4" t="s">
        <v>211</v>
      </c>
      <c r="G2520" t="s">
        <v>29</v>
      </c>
      <c r="H2520" t="s">
        <v>212</v>
      </c>
    </row>
    <row r="2521" spans="1:8" x14ac:dyDescent="0.25">
      <c r="A2521" t="s">
        <v>864</v>
      </c>
      <c r="B2521" t="s">
        <v>161</v>
      </c>
      <c r="C2521" s="5">
        <v>4783</v>
      </c>
      <c r="D2521" s="5">
        <v>32</v>
      </c>
      <c r="E2521">
        <v>1084</v>
      </c>
      <c r="F2521" s="4" t="s">
        <v>92</v>
      </c>
      <c r="G2521" t="s">
        <v>29</v>
      </c>
      <c r="H2521" t="s">
        <v>93</v>
      </c>
    </row>
    <row r="2522" spans="1:8" x14ac:dyDescent="0.25">
      <c r="A2522" t="s">
        <v>864</v>
      </c>
      <c r="B2522" t="s">
        <v>164</v>
      </c>
      <c r="C2522" s="5">
        <v>380974</v>
      </c>
      <c r="D2522" s="5">
        <v>4129</v>
      </c>
      <c r="E2522">
        <v>196492</v>
      </c>
      <c r="F2522" s="4" t="s">
        <v>758</v>
      </c>
      <c r="G2522" t="s">
        <v>29</v>
      </c>
      <c r="H2522" t="s">
        <v>759</v>
      </c>
    </row>
    <row r="2523" spans="1:8" x14ac:dyDescent="0.25">
      <c r="A2523" t="s">
        <v>864</v>
      </c>
      <c r="B2523" t="s">
        <v>167</v>
      </c>
      <c r="C2523" s="5">
        <v>206358</v>
      </c>
      <c r="D2523" s="5">
        <v>5918</v>
      </c>
      <c r="E2523">
        <v>121440</v>
      </c>
      <c r="F2523" s="4" t="s">
        <v>168</v>
      </c>
      <c r="G2523" t="s">
        <v>29</v>
      </c>
      <c r="H2523" t="s">
        <v>169</v>
      </c>
    </row>
    <row r="2524" spans="1:8" x14ac:dyDescent="0.25">
      <c r="A2524" t="s">
        <v>864</v>
      </c>
      <c r="B2524" t="s">
        <v>170</v>
      </c>
      <c r="C2524" s="5">
        <v>515859</v>
      </c>
      <c r="D2524" s="5">
        <v>32958</v>
      </c>
      <c r="E2524">
        <v>381166</v>
      </c>
      <c r="F2524" s="4" t="s">
        <v>767</v>
      </c>
      <c r="G2524" t="s">
        <v>29</v>
      </c>
      <c r="H2524" t="s">
        <v>768</v>
      </c>
    </row>
    <row r="2525" spans="1:8" x14ac:dyDescent="0.25">
      <c r="A2525" t="s">
        <v>864</v>
      </c>
      <c r="B2525" t="s">
        <v>173</v>
      </c>
      <c r="C2525" s="5">
        <v>192092</v>
      </c>
      <c r="D2525" s="5">
        <v>1516</v>
      </c>
      <c r="E2525">
        <v>83486</v>
      </c>
      <c r="F2525" s="4" t="s">
        <v>174</v>
      </c>
      <c r="G2525" t="s">
        <v>29</v>
      </c>
      <c r="H2525" t="s">
        <v>175</v>
      </c>
    </row>
    <row r="2526" spans="1:8" x14ac:dyDescent="0.25">
      <c r="A2526" t="s">
        <v>864</v>
      </c>
      <c r="B2526" t="s">
        <v>176</v>
      </c>
      <c r="C2526" s="5">
        <v>330084</v>
      </c>
      <c r="D2526" s="5">
        <v>18592</v>
      </c>
      <c r="E2526">
        <v>123266</v>
      </c>
      <c r="F2526" s="4" t="s">
        <v>856</v>
      </c>
      <c r="G2526" t="s">
        <v>29</v>
      </c>
      <c r="H2526" t="s">
        <v>857</v>
      </c>
    </row>
    <row r="2527" spans="1:8" x14ac:dyDescent="0.25">
      <c r="A2527" t="s">
        <v>864</v>
      </c>
      <c r="B2527" t="s">
        <v>179</v>
      </c>
      <c r="C2527" s="5">
        <v>6831</v>
      </c>
      <c r="D2527" s="5">
        <v>45</v>
      </c>
      <c r="E2527">
        <v>2942</v>
      </c>
      <c r="F2527" s="4" t="s">
        <v>162</v>
      </c>
      <c r="G2527" t="s">
        <v>29</v>
      </c>
      <c r="H2527" t="s">
        <v>163</v>
      </c>
    </row>
    <row r="2528" spans="1:8" x14ac:dyDescent="0.25">
      <c r="A2528" t="s">
        <v>864</v>
      </c>
      <c r="B2528" t="s">
        <v>182</v>
      </c>
      <c r="C2528" s="5">
        <v>5011148</v>
      </c>
      <c r="D2528" s="5">
        <v>87368</v>
      </c>
      <c r="E2528">
        <v>3088371</v>
      </c>
      <c r="F2528" s="4" t="s">
        <v>183</v>
      </c>
      <c r="G2528" t="s">
        <v>29</v>
      </c>
      <c r="H2528" t="s">
        <v>184</v>
      </c>
    </row>
    <row r="2529" spans="1:8" x14ac:dyDescent="0.25">
      <c r="A2529" t="s">
        <v>864</v>
      </c>
      <c r="B2529" t="s">
        <v>185</v>
      </c>
      <c r="C2529" s="5">
        <v>364960</v>
      </c>
      <c r="D2529" s="5">
        <v>6451</v>
      </c>
      <c r="E2529">
        <v>213840</v>
      </c>
      <c r="F2529" s="4" t="s">
        <v>769</v>
      </c>
      <c r="G2529" t="s">
        <v>29</v>
      </c>
      <c r="H2529" t="s">
        <v>770</v>
      </c>
    </row>
    <row r="2530" spans="1:8" x14ac:dyDescent="0.25">
      <c r="A2530" t="s">
        <v>864</v>
      </c>
      <c r="B2530" t="s">
        <v>186</v>
      </c>
      <c r="C2530" s="5">
        <v>157531</v>
      </c>
      <c r="D2530" s="5">
        <v>1158</v>
      </c>
      <c r="E2530">
        <v>134715</v>
      </c>
      <c r="F2530" s="4" t="s">
        <v>819</v>
      </c>
      <c r="G2530" t="s">
        <v>29</v>
      </c>
      <c r="H2530" t="s">
        <v>820</v>
      </c>
    </row>
    <row r="2531" spans="1:8" x14ac:dyDescent="0.25">
      <c r="A2531" t="s">
        <v>864</v>
      </c>
      <c r="B2531" t="s">
        <v>189</v>
      </c>
      <c r="C2531" s="5">
        <v>52141</v>
      </c>
      <c r="D2531" s="5">
        <v>674</v>
      </c>
      <c r="E2531">
        <v>21086</v>
      </c>
      <c r="F2531" s="4" t="s">
        <v>417</v>
      </c>
      <c r="G2531" t="s">
        <v>29</v>
      </c>
      <c r="H2531" t="s">
        <v>418</v>
      </c>
    </row>
    <row r="2532" spans="1:8" x14ac:dyDescent="0.25">
      <c r="A2532" t="s">
        <v>864</v>
      </c>
      <c r="B2532" t="s">
        <v>192</v>
      </c>
      <c r="C2532" s="5">
        <v>2082</v>
      </c>
      <c r="D2532" s="5">
        <v>2</v>
      </c>
      <c r="E2532">
        <v>1286</v>
      </c>
      <c r="F2532" s="4" t="s">
        <v>865</v>
      </c>
      <c r="G2532" t="s">
        <v>29</v>
      </c>
      <c r="H2532" t="s">
        <v>866</v>
      </c>
    </row>
    <row r="2533" spans="1:8" x14ac:dyDescent="0.25">
      <c r="A2533" t="s">
        <v>864</v>
      </c>
      <c r="B2533" t="s">
        <v>195</v>
      </c>
      <c r="C2533" s="5">
        <v>6982862</v>
      </c>
      <c r="D2533" s="5">
        <v>115289</v>
      </c>
      <c r="E2533">
        <v>2601693</v>
      </c>
      <c r="F2533" s="4" t="s">
        <v>691</v>
      </c>
      <c r="G2533" t="s">
        <v>29</v>
      </c>
      <c r="H2533" t="s">
        <v>692</v>
      </c>
    </row>
    <row r="2534" spans="1:8" x14ac:dyDescent="0.25">
      <c r="A2534" t="s">
        <v>864</v>
      </c>
      <c r="B2534" t="s">
        <v>198</v>
      </c>
      <c r="C2534" s="5">
        <v>35525</v>
      </c>
      <c r="D2534" s="5">
        <v>239</v>
      </c>
      <c r="E2534">
        <v>6328</v>
      </c>
      <c r="F2534" s="4" t="s">
        <v>92</v>
      </c>
      <c r="G2534" t="s">
        <v>29</v>
      </c>
      <c r="H2534" t="s">
        <v>93</v>
      </c>
    </row>
    <row r="2535" spans="1:8" x14ac:dyDescent="0.25">
      <c r="A2535" t="s">
        <v>864</v>
      </c>
      <c r="B2535" t="s">
        <v>201</v>
      </c>
      <c r="C2535" s="5">
        <v>9056736</v>
      </c>
      <c r="D2535" s="5">
        <v>140883</v>
      </c>
      <c r="E2535">
        <v>200467</v>
      </c>
      <c r="F2535" s="4" t="s">
        <v>41</v>
      </c>
      <c r="G2535" t="s">
        <v>29</v>
      </c>
      <c r="H2535" t="s">
        <v>42</v>
      </c>
    </row>
    <row r="2536" spans="1:8" x14ac:dyDescent="0.25">
      <c r="A2536" t="s">
        <v>864</v>
      </c>
      <c r="B2536" t="s">
        <v>207</v>
      </c>
      <c r="C2536" s="5">
        <v>715865</v>
      </c>
      <c r="D2536" s="5">
        <v>10003</v>
      </c>
      <c r="E2536">
        <v>243557</v>
      </c>
      <c r="F2536" s="4" t="s">
        <v>403</v>
      </c>
      <c r="G2536" t="s">
        <v>29</v>
      </c>
      <c r="H2536" t="s">
        <v>404</v>
      </c>
    </row>
    <row r="2537" spans="1:8" x14ac:dyDescent="0.25">
      <c r="A2537" t="s">
        <v>864</v>
      </c>
      <c r="B2537" t="s">
        <v>204</v>
      </c>
      <c r="C2537" s="5">
        <v>5840</v>
      </c>
      <c r="D2537" s="5">
        <v>198</v>
      </c>
      <c r="E2537">
        <v>2116</v>
      </c>
      <c r="F2537" s="4" t="s">
        <v>585</v>
      </c>
      <c r="G2537" t="s">
        <v>29</v>
      </c>
      <c r="H2537" t="s">
        <v>586</v>
      </c>
    </row>
    <row r="2538" spans="1:8" x14ac:dyDescent="0.25">
      <c r="A2538" t="s">
        <v>864</v>
      </c>
      <c r="B2538" t="s">
        <v>210</v>
      </c>
      <c r="C2538" s="5">
        <v>44554</v>
      </c>
      <c r="D2538" s="5">
        <v>306</v>
      </c>
      <c r="E2538">
        <v>7915</v>
      </c>
      <c r="F2538" s="4" t="s">
        <v>180</v>
      </c>
      <c r="G2538" t="s">
        <v>29</v>
      </c>
      <c r="H2538" t="s">
        <v>181</v>
      </c>
    </row>
    <row r="2539" spans="1:8" x14ac:dyDescent="0.25">
      <c r="A2539" t="s">
        <v>864</v>
      </c>
      <c r="B2539" t="s">
        <v>213</v>
      </c>
      <c r="C2539" s="5">
        <v>130077</v>
      </c>
      <c r="D2539" s="5">
        <v>1175</v>
      </c>
      <c r="E2539">
        <v>124737</v>
      </c>
      <c r="F2539" s="4" t="s">
        <v>667</v>
      </c>
      <c r="G2539" t="s">
        <v>29</v>
      </c>
      <c r="H2539" t="s">
        <v>668</v>
      </c>
    </row>
    <row r="2540" spans="1:8" x14ac:dyDescent="0.25">
      <c r="A2540" t="s">
        <v>864</v>
      </c>
      <c r="B2540" t="s">
        <v>216</v>
      </c>
      <c r="C2540" s="5">
        <v>5974</v>
      </c>
      <c r="D2540" s="5">
        <v>98</v>
      </c>
      <c r="E2540">
        <v>1822</v>
      </c>
      <c r="F2540" s="4" t="s">
        <v>196</v>
      </c>
      <c r="G2540" t="s">
        <v>29</v>
      </c>
      <c r="H2540" t="s">
        <v>197</v>
      </c>
    </row>
    <row r="2541" spans="1:8" x14ac:dyDescent="0.25">
      <c r="A2541" t="s">
        <v>864</v>
      </c>
      <c r="B2541" t="s">
        <v>222</v>
      </c>
      <c r="C2541" s="5">
        <v>30653</v>
      </c>
      <c r="D2541" s="5">
        <v>385</v>
      </c>
      <c r="E2541">
        <v>1098</v>
      </c>
      <c r="F2541" s="4" t="s">
        <v>223</v>
      </c>
      <c r="G2541" t="s">
        <v>29</v>
      </c>
      <c r="H2541" t="s">
        <v>224</v>
      </c>
    </row>
    <row r="2542" spans="1:8" x14ac:dyDescent="0.25">
      <c r="A2542" t="s">
        <v>864</v>
      </c>
      <c r="B2542" t="s">
        <v>219</v>
      </c>
      <c r="C2542" s="5">
        <v>9965</v>
      </c>
      <c r="D2542" s="5">
        <v>340</v>
      </c>
      <c r="E2542">
        <v>2054</v>
      </c>
      <c r="F2542" s="4" t="s">
        <v>205</v>
      </c>
      <c r="G2542" t="s">
        <v>29</v>
      </c>
      <c r="H2542" t="s">
        <v>206</v>
      </c>
    </row>
    <row r="2543" spans="1:8" x14ac:dyDescent="0.25">
      <c r="A2543" t="s">
        <v>864</v>
      </c>
      <c r="B2543" t="s">
        <v>225</v>
      </c>
      <c r="C2543" s="5">
        <v>54288</v>
      </c>
      <c r="D2543" s="5">
        <v>815</v>
      </c>
      <c r="E2543">
        <v>5537</v>
      </c>
      <c r="F2543" s="4" t="s">
        <v>226</v>
      </c>
      <c r="G2543" t="s">
        <v>29</v>
      </c>
      <c r="H2543" t="s">
        <v>227</v>
      </c>
    </row>
    <row r="2544" spans="1:8" x14ac:dyDescent="0.25">
      <c r="A2544" t="s">
        <v>864</v>
      </c>
      <c r="B2544" t="s">
        <v>228</v>
      </c>
      <c r="C2544" s="5">
        <v>13368</v>
      </c>
      <c r="D2544" s="5">
        <v>167</v>
      </c>
      <c r="E2544">
        <v>9257</v>
      </c>
      <c r="F2544" s="4" t="s">
        <v>107</v>
      </c>
      <c r="G2544" t="s">
        <v>29</v>
      </c>
      <c r="H2544" t="s">
        <v>108</v>
      </c>
    </row>
    <row r="2545" spans="1:8" x14ac:dyDescent="0.25">
      <c r="A2545" t="s">
        <v>864</v>
      </c>
      <c r="B2545" t="s">
        <v>229</v>
      </c>
      <c r="C2545" s="5">
        <v>739448</v>
      </c>
      <c r="D2545" s="5">
        <v>15894</v>
      </c>
      <c r="E2545">
        <v>236167</v>
      </c>
      <c r="F2545" s="4" t="s">
        <v>852</v>
      </c>
      <c r="G2545" t="s">
        <v>29</v>
      </c>
      <c r="H2545" t="s">
        <v>853</v>
      </c>
    </row>
    <row r="2546" spans="1:8" x14ac:dyDescent="0.25">
      <c r="A2546" t="s">
        <v>864</v>
      </c>
      <c r="B2546" t="s">
        <v>232</v>
      </c>
      <c r="C2546" s="5">
        <v>601402</v>
      </c>
      <c r="D2546" s="5">
        <v>15050</v>
      </c>
      <c r="E2546">
        <v>356104</v>
      </c>
      <c r="F2546" s="4" t="s">
        <v>458</v>
      </c>
      <c r="G2546" t="s">
        <v>29</v>
      </c>
      <c r="H2546" t="s">
        <v>459</v>
      </c>
    </row>
    <row r="2547" spans="1:8" x14ac:dyDescent="0.25">
      <c r="A2547" t="s">
        <v>864</v>
      </c>
      <c r="B2547" t="s">
        <v>233</v>
      </c>
      <c r="C2547" s="5">
        <v>6133</v>
      </c>
      <c r="D2547" s="5">
        <v>141</v>
      </c>
      <c r="E2547">
        <v>2471</v>
      </c>
      <c r="F2547" s="4" t="s">
        <v>619</v>
      </c>
      <c r="G2547" t="s">
        <v>29</v>
      </c>
      <c r="H2547" t="s">
        <v>620</v>
      </c>
    </row>
    <row r="2548" spans="1:8" x14ac:dyDescent="0.25">
      <c r="A2548" t="s">
        <v>864</v>
      </c>
      <c r="B2548" t="s">
        <v>236</v>
      </c>
      <c r="C2548" s="5">
        <v>35548</v>
      </c>
      <c r="D2548" s="5">
        <v>913</v>
      </c>
      <c r="E2548">
        <v>5197</v>
      </c>
      <c r="F2548" s="4" t="s">
        <v>555</v>
      </c>
      <c r="G2548" t="s">
        <v>29</v>
      </c>
      <c r="H2548" t="s">
        <v>556</v>
      </c>
    </row>
    <row r="2549" spans="1:8" x14ac:dyDescent="0.25">
      <c r="A2549" t="s">
        <v>864</v>
      </c>
      <c r="B2549" t="s">
        <v>239</v>
      </c>
      <c r="C2549" s="5">
        <v>12345</v>
      </c>
      <c r="D2549" s="5">
        <v>213</v>
      </c>
      <c r="E2549">
        <v>1168</v>
      </c>
      <c r="F2549" s="4" t="s">
        <v>765</v>
      </c>
      <c r="G2549" t="s">
        <v>29</v>
      </c>
      <c r="H2549" t="s">
        <v>766</v>
      </c>
    </row>
    <row r="2550" spans="1:8" x14ac:dyDescent="0.25">
      <c r="A2550" t="s">
        <v>864</v>
      </c>
      <c r="B2550" t="s">
        <v>242</v>
      </c>
      <c r="C2550" s="5">
        <v>375381</v>
      </c>
      <c r="D2550" s="5">
        <v>10239</v>
      </c>
      <c r="E2550">
        <v>56599</v>
      </c>
      <c r="F2550" s="4" t="s">
        <v>806</v>
      </c>
      <c r="G2550" t="s">
        <v>29</v>
      </c>
      <c r="H2550" t="s">
        <v>807</v>
      </c>
    </row>
    <row r="2551" spans="1:8" x14ac:dyDescent="0.25">
      <c r="A2551" t="s">
        <v>864</v>
      </c>
      <c r="B2551" t="s">
        <v>245</v>
      </c>
      <c r="C2551" s="5">
        <v>467029</v>
      </c>
      <c r="D2551" s="5">
        <v>9198</v>
      </c>
      <c r="E2551">
        <v>67607</v>
      </c>
      <c r="F2551" s="4" t="s">
        <v>804</v>
      </c>
      <c r="G2551" t="s">
        <v>29</v>
      </c>
      <c r="H2551" t="s">
        <v>805</v>
      </c>
    </row>
    <row r="2552" spans="1:8" x14ac:dyDescent="0.25">
      <c r="A2552" t="s">
        <v>864</v>
      </c>
      <c r="B2552" t="s">
        <v>248</v>
      </c>
      <c r="C2552" s="5">
        <v>23960</v>
      </c>
      <c r="D2552" s="5">
        <v>671</v>
      </c>
      <c r="E2552">
        <v>22897</v>
      </c>
      <c r="F2552" s="4" t="s">
        <v>441</v>
      </c>
      <c r="G2552" t="s">
        <v>29</v>
      </c>
      <c r="H2552" t="s">
        <v>442</v>
      </c>
    </row>
    <row r="2553" spans="1:8" x14ac:dyDescent="0.25">
      <c r="A2553" t="s">
        <v>864</v>
      </c>
      <c r="B2553" t="s">
        <v>251</v>
      </c>
      <c r="C2553" s="5">
        <v>863419</v>
      </c>
      <c r="D2553" s="5">
        <v>30729</v>
      </c>
      <c r="E2553">
        <v>340448</v>
      </c>
      <c r="F2553" s="4" t="s">
        <v>850</v>
      </c>
      <c r="G2553" t="s">
        <v>29</v>
      </c>
      <c r="H2553" t="s">
        <v>851</v>
      </c>
    </row>
    <row r="2554" spans="1:8" x14ac:dyDescent="0.25">
      <c r="A2554" t="s">
        <v>864</v>
      </c>
      <c r="B2554" t="s">
        <v>254</v>
      </c>
      <c r="C2554" s="5">
        <v>4243835</v>
      </c>
      <c r="D2554" s="5">
        <v>143388</v>
      </c>
      <c r="E2554">
        <v>1475063</v>
      </c>
      <c r="F2554" s="4" t="s">
        <v>255</v>
      </c>
      <c r="G2554" t="s">
        <v>29</v>
      </c>
      <c r="H2554" t="s">
        <v>256</v>
      </c>
    </row>
    <row r="2555" spans="1:8" x14ac:dyDescent="0.25">
      <c r="A2555" t="s">
        <v>864</v>
      </c>
      <c r="B2555" t="s">
        <v>257</v>
      </c>
      <c r="C2555" s="5">
        <v>443631</v>
      </c>
      <c r="D2555" s="5">
        <v>5436</v>
      </c>
      <c r="E2555">
        <v>137985</v>
      </c>
      <c r="F2555" s="4" t="s">
        <v>798</v>
      </c>
      <c r="G2555" t="s">
        <v>29</v>
      </c>
      <c r="H2555" t="s">
        <v>799</v>
      </c>
    </row>
    <row r="2556" spans="1:8" x14ac:dyDescent="0.25">
      <c r="A2556" t="s">
        <v>864</v>
      </c>
      <c r="B2556" t="s">
        <v>260</v>
      </c>
      <c r="C2556" s="5">
        <v>1327126</v>
      </c>
      <c r="D2556" s="5">
        <v>8085</v>
      </c>
      <c r="E2556">
        <v>170584</v>
      </c>
      <c r="F2556" s="4" t="s">
        <v>261</v>
      </c>
      <c r="G2556" t="s">
        <v>29</v>
      </c>
      <c r="H2556" t="s">
        <v>262</v>
      </c>
    </row>
    <row r="2557" spans="1:8" x14ac:dyDescent="0.25">
      <c r="A2557" t="s">
        <v>864</v>
      </c>
      <c r="B2557" t="s">
        <v>263</v>
      </c>
      <c r="C2557" s="5">
        <v>34273300</v>
      </c>
      <c r="D2557" s="5">
        <v>458186</v>
      </c>
      <c r="E2557">
        <v>5608652</v>
      </c>
      <c r="F2557" s="4" t="s">
        <v>264</v>
      </c>
      <c r="G2557" t="s">
        <v>29</v>
      </c>
      <c r="H2557" t="s">
        <v>265</v>
      </c>
    </row>
    <row r="2558" spans="1:8" x14ac:dyDescent="0.25">
      <c r="A2558" t="s">
        <v>864</v>
      </c>
      <c r="B2558" t="s">
        <v>266</v>
      </c>
      <c r="C2558" s="5">
        <v>2054202</v>
      </c>
      <c r="D2558" s="5">
        <v>23138</v>
      </c>
      <c r="E2558">
        <v>394901</v>
      </c>
      <c r="F2558" s="4" t="s">
        <v>267</v>
      </c>
      <c r="G2558" t="s">
        <v>29</v>
      </c>
      <c r="H2558" t="s">
        <v>268</v>
      </c>
    </row>
    <row r="2559" spans="1:8" x14ac:dyDescent="0.25">
      <c r="A2559" t="s">
        <v>864</v>
      </c>
      <c r="B2559" t="s">
        <v>269</v>
      </c>
      <c r="C2559" s="5">
        <v>5916211</v>
      </c>
      <c r="D2559" s="5">
        <v>126126</v>
      </c>
      <c r="E2559">
        <v>5777988</v>
      </c>
      <c r="F2559" s="4" t="s">
        <v>650</v>
      </c>
      <c r="G2559" t="s">
        <v>29</v>
      </c>
      <c r="H2559" t="s">
        <v>651</v>
      </c>
    </row>
    <row r="2560" spans="1:8" x14ac:dyDescent="0.25">
      <c r="A2560" t="s">
        <v>864</v>
      </c>
      <c r="B2560" t="s">
        <v>272</v>
      </c>
      <c r="C2560" s="5">
        <v>13492</v>
      </c>
      <c r="D2560" s="5">
        <v>33</v>
      </c>
      <c r="E2560">
        <v>11693</v>
      </c>
      <c r="F2560" s="4" t="s">
        <v>454</v>
      </c>
      <c r="G2560" t="s">
        <v>29</v>
      </c>
      <c r="H2560" t="s">
        <v>455</v>
      </c>
    </row>
    <row r="2561" spans="1:8" x14ac:dyDescent="0.25">
      <c r="A2561" t="s">
        <v>864</v>
      </c>
      <c r="B2561" t="s">
        <v>275</v>
      </c>
      <c r="C2561" s="5">
        <v>4767440</v>
      </c>
      <c r="D2561" s="5">
        <v>132074</v>
      </c>
      <c r="E2561">
        <v>2922404</v>
      </c>
      <c r="F2561" s="4" t="s">
        <v>507</v>
      </c>
      <c r="G2561" t="s">
        <v>29</v>
      </c>
      <c r="H2561" t="s">
        <v>508</v>
      </c>
    </row>
    <row r="2562" spans="1:8" x14ac:dyDescent="0.25">
      <c r="A2562" t="s">
        <v>864</v>
      </c>
      <c r="B2562" t="s">
        <v>278</v>
      </c>
      <c r="C2562" s="5">
        <v>88907</v>
      </c>
      <c r="D2562" s="5">
        <v>2229</v>
      </c>
      <c r="E2562">
        <v>28033</v>
      </c>
      <c r="F2562" s="4" t="s">
        <v>700</v>
      </c>
      <c r="G2562" t="s">
        <v>29</v>
      </c>
      <c r="H2562" t="s">
        <v>701</v>
      </c>
    </row>
    <row r="2563" spans="1:8" x14ac:dyDescent="0.25">
      <c r="A2563" t="s">
        <v>864</v>
      </c>
      <c r="B2563" t="s">
        <v>279</v>
      </c>
      <c r="C2563" s="5">
        <v>860818</v>
      </c>
      <c r="D2563" s="5">
        <v>11028</v>
      </c>
      <c r="E2563">
        <v>262506</v>
      </c>
      <c r="F2563" s="4" t="s">
        <v>381</v>
      </c>
      <c r="G2563" t="s">
        <v>29</v>
      </c>
      <c r="H2563" t="s">
        <v>382</v>
      </c>
    </row>
    <row r="2564" spans="1:8" x14ac:dyDescent="0.25">
      <c r="A2564" t="s">
        <v>864</v>
      </c>
      <c r="B2564" t="s">
        <v>280</v>
      </c>
      <c r="C2564" s="5">
        <v>1722115</v>
      </c>
      <c r="D2564" s="5">
        <v>18257</v>
      </c>
      <c r="E2564">
        <v>594092</v>
      </c>
      <c r="F2564" s="4" t="s">
        <v>165</v>
      </c>
      <c r="G2564" t="s">
        <v>29</v>
      </c>
      <c r="H2564" t="s">
        <v>166</v>
      </c>
    </row>
    <row r="2565" spans="1:8" x14ac:dyDescent="0.25">
      <c r="A2565" t="s">
        <v>864</v>
      </c>
      <c r="B2565" t="s">
        <v>281</v>
      </c>
      <c r="C2565" s="5">
        <v>253293</v>
      </c>
      <c r="D2565" s="5">
        <v>5276</v>
      </c>
      <c r="E2565">
        <v>186422</v>
      </c>
      <c r="F2565" s="4" t="s">
        <v>549</v>
      </c>
      <c r="G2565" t="s">
        <v>29</v>
      </c>
      <c r="H2565" t="s">
        <v>550</v>
      </c>
    </row>
    <row r="2566" spans="1:8" x14ac:dyDescent="0.25">
      <c r="A2566" t="s">
        <v>864</v>
      </c>
      <c r="B2566" t="s">
        <v>284</v>
      </c>
      <c r="C2566" s="5">
        <v>181186</v>
      </c>
      <c r="D2566" s="5">
        <v>2668</v>
      </c>
      <c r="E2566">
        <v>125875</v>
      </c>
      <c r="F2566" s="4" t="s">
        <v>777</v>
      </c>
      <c r="G2566" t="s">
        <v>29</v>
      </c>
      <c r="H2566" t="s">
        <v>778</v>
      </c>
    </row>
    <row r="2567" spans="1:8" x14ac:dyDescent="0.25">
      <c r="A2567" t="s">
        <v>864</v>
      </c>
      <c r="B2567" t="s">
        <v>290</v>
      </c>
      <c r="C2567" s="5">
        <v>2</v>
      </c>
      <c r="D2567" s="5">
        <v>0</v>
      </c>
      <c r="E2567">
        <v>0</v>
      </c>
      <c r="F2567" s="4" t="s">
        <v>29</v>
      </c>
      <c r="G2567" t="s">
        <v>29</v>
      </c>
      <c r="H2567" t="s">
        <v>291</v>
      </c>
    </row>
    <row r="2568" spans="1:8" x14ac:dyDescent="0.25">
      <c r="A2568" t="s">
        <v>864</v>
      </c>
      <c r="B2568" t="s">
        <v>287</v>
      </c>
      <c r="C2568" s="5">
        <v>118427</v>
      </c>
      <c r="D2568" s="5">
        <v>2781</v>
      </c>
      <c r="E2568">
        <v>86007</v>
      </c>
      <c r="F2568" s="4" t="s">
        <v>591</v>
      </c>
      <c r="G2568" t="s">
        <v>29</v>
      </c>
      <c r="H2568" t="s">
        <v>592</v>
      </c>
    </row>
    <row r="2569" spans="1:8" x14ac:dyDescent="0.25">
      <c r="A2569" t="s">
        <v>864</v>
      </c>
      <c r="B2569" t="s">
        <v>292</v>
      </c>
      <c r="C2569" s="5">
        <v>4239</v>
      </c>
      <c r="D2569" s="5">
        <v>147</v>
      </c>
      <c r="E2569">
        <v>3023</v>
      </c>
      <c r="F2569" s="4" t="s">
        <v>867</v>
      </c>
      <c r="G2569" t="s">
        <v>29</v>
      </c>
      <c r="H2569" t="s">
        <v>868</v>
      </c>
    </row>
    <row r="2570" spans="1:8" x14ac:dyDescent="0.25">
      <c r="A2570" t="s">
        <v>864</v>
      </c>
      <c r="B2570" t="s">
        <v>293</v>
      </c>
      <c r="C2570" s="5">
        <v>2669</v>
      </c>
      <c r="D2570" s="5">
        <v>23</v>
      </c>
      <c r="E2570">
        <v>1691</v>
      </c>
      <c r="F2570" s="4" t="s">
        <v>122</v>
      </c>
      <c r="G2570" t="s">
        <v>29</v>
      </c>
      <c r="H2570" t="s">
        <v>123</v>
      </c>
    </row>
    <row r="2571" spans="1:8" x14ac:dyDescent="0.25">
      <c r="A2571" t="s">
        <v>864</v>
      </c>
      <c r="B2571" t="s">
        <v>296</v>
      </c>
      <c r="C2571" s="5">
        <v>364700</v>
      </c>
      <c r="D2571" s="5">
        <v>2849</v>
      </c>
      <c r="E2571">
        <v>327137</v>
      </c>
      <c r="F2571" s="4" t="s">
        <v>297</v>
      </c>
      <c r="G2571" t="s">
        <v>29</v>
      </c>
      <c r="H2571" t="s">
        <v>298</v>
      </c>
    </row>
    <row r="2572" spans="1:8" x14ac:dyDescent="0.25">
      <c r="A2572" t="s">
        <v>864</v>
      </c>
      <c r="B2572" t="s">
        <v>299</v>
      </c>
      <c r="C2572" s="5">
        <v>412653</v>
      </c>
      <c r="D2572" s="5">
        <v>2461</v>
      </c>
      <c r="E2572">
        <v>195944</v>
      </c>
      <c r="F2572" s="4" t="s">
        <v>300</v>
      </c>
      <c r="G2572" t="s">
        <v>29</v>
      </c>
      <c r="H2572" t="s">
        <v>301</v>
      </c>
    </row>
    <row r="2573" spans="1:8" x14ac:dyDescent="0.25">
      <c r="A2573" t="s">
        <v>864</v>
      </c>
      <c r="B2573" t="s">
        <v>302</v>
      </c>
      <c r="C2573" s="5">
        <v>1018841</v>
      </c>
      <c r="D2573" s="5">
        <v>17078</v>
      </c>
      <c r="E2573">
        <v>792613</v>
      </c>
      <c r="F2573" s="4" t="s">
        <v>116</v>
      </c>
      <c r="G2573" t="s">
        <v>29</v>
      </c>
      <c r="H2573" t="s">
        <v>117</v>
      </c>
    </row>
    <row r="2574" spans="1:8" x14ac:dyDescent="0.25">
      <c r="A2574" t="s">
        <v>864</v>
      </c>
      <c r="B2574" t="s">
        <v>303</v>
      </c>
      <c r="C2574" s="5">
        <v>39586</v>
      </c>
      <c r="D2574" s="5">
        <v>62</v>
      </c>
      <c r="E2574">
        <v>22195</v>
      </c>
      <c r="F2574" s="4" t="s">
        <v>825</v>
      </c>
      <c r="G2574" t="s">
        <v>29</v>
      </c>
      <c r="H2574" t="s">
        <v>826</v>
      </c>
    </row>
    <row r="2575" spans="1:8" x14ac:dyDescent="0.25">
      <c r="A2575" t="s">
        <v>864</v>
      </c>
      <c r="B2575" t="s">
        <v>306</v>
      </c>
      <c r="C2575" s="5">
        <v>641339</v>
      </c>
      <c r="D2575" s="5">
        <v>8495</v>
      </c>
      <c r="E2575">
        <v>159520</v>
      </c>
      <c r="F2575" s="4" t="s">
        <v>307</v>
      </c>
      <c r="G2575" t="s">
        <v>29</v>
      </c>
      <c r="H2575" t="s">
        <v>308</v>
      </c>
    </row>
    <row r="2576" spans="1:8" x14ac:dyDescent="0.25">
      <c r="A2576" t="s">
        <v>864</v>
      </c>
      <c r="B2576" t="s">
        <v>309</v>
      </c>
      <c r="C2576" s="5">
        <v>12559</v>
      </c>
      <c r="D2576" s="5">
        <v>255</v>
      </c>
      <c r="E2576">
        <v>3768</v>
      </c>
      <c r="F2576" s="4" t="s">
        <v>713</v>
      </c>
      <c r="G2576" t="s">
        <v>29</v>
      </c>
      <c r="H2576" t="s">
        <v>714</v>
      </c>
    </row>
    <row r="2577" spans="1:8" x14ac:dyDescent="0.25">
      <c r="A2577" t="s">
        <v>864</v>
      </c>
      <c r="B2577" t="s">
        <v>312</v>
      </c>
      <c r="C2577" s="5">
        <v>3662</v>
      </c>
      <c r="D2577" s="5">
        <v>61</v>
      </c>
      <c r="E2577">
        <v>3545</v>
      </c>
      <c r="F2577" s="4" t="s">
        <v>827</v>
      </c>
      <c r="G2577" t="s">
        <v>29</v>
      </c>
      <c r="H2577" t="s">
        <v>828</v>
      </c>
    </row>
    <row r="2578" spans="1:8" x14ac:dyDescent="0.25">
      <c r="A2578" t="s">
        <v>864</v>
      </c>
      <c r="B2578" t="s">
        <v>315</v>
      </c>
      <c r="C2578" s="5">
        <v>539981</v>
      </c>
      <c r="D2578" s="5">
        <v>13725</v>
      </c>
      <c r="E2578">
        <v>273899</v>
      </c>
      <c r="F2578" s="4" t="s">
        <v>141</v>
      </c>
      <c r="G2578" t="s">
        <v>29</v>
      </c>
      <c r="H2578" t="s">
        <v>142</v>
      </c>
    </row>
    <row r="2579" spans="1:8" x14ac:dyDescent="0.25">
      <c r="A2579" t="s">
        <v>864</v>
      </c>
      <c r="B2579" t="s">
        <v>316</v>
      </c>
      <c r="C2579" s="5">
        <v>5812</v>
      </c>
      <c r="D2579" s="5">
        <v>287</v>
      </c>
      <c r="E2579">
        <v>3703</v>
      </c>
      <c r="F2579" s="4" t="s">
        <v>644</v>
      </c>
      <c r="G2579" t="s">
        <v>29</v>
      </c>
      <c r="H2579" t="s">
        <v>645</v>
      </c>
    </row>
    <row r="2580" spans="1:8" x14ac:dyDescent="0.25">
      <c r="A2580" t="s">
        <v>864</v>
      </c>
      <c r="B2580" t="s">
        <v>319</v>
      </c>
      <c r="C2580" s="5">
        <v>21634</v>
      </c>
      <c r="D2580" s="5">
        <v>658</v>
      </c>
      <c r="E2580">
        <v>8908</v>
      </c>
      <c r="F2580" s="4" t="s">
        <v>320</v>
      </c>
      <c r="G2580" t="s">
        <v>29</v>
      </c>
      <c r="H2580" t="s">
        <v>321</v>
      </c>
    </row>
    <row r="2581" spans="1:8" x14ac:dyDescent="0.25">
      <c r="A2581" t="s">
        <v>864</v>
      </c>
      <c r="B2581" t="s">
        <v>322</v>
      </c>
      <c r="C2581" s="5">
        <v>406095</v>
      </c>
      <c r="D2581" s="5">
        <v>5833</v>
      </c>
      <c r="E2581">
        <v>324688</v>
      </c>
      <c r="F2581" s="4" t="s">
        <v>330</v>
      </c>
      <c r="G2581" t="s">
        <v>29</v>
      </c>
      <c r="H2581" t="s">
        <v>331</v>
      </c>
    </row>
    <row r="2582" spans="1:8" x14ac:dyDescent="0.25">
      <c r="A2582" t="s">
        <v>864</v>
      </c>
      <c r="B2582" t="s">
        <v>325</v>
      </c>
      <c r="C2582" s="5">
        <v>81683</v>
      </c>
      <c r="D2582" s="5">
        <v>843</v>
      </c>
      <c r="E2582">
        <v>61794</v>
      </c>
      <c r="F2582" s="4" t="s">
        <v>687</v>
      </c>
      <c r="G2582" t="s">
        <v>29</v>
      </c>
      <c r="H2582" t="s">
        <v>688</v>
      </c>
    </row>
    <row r="2583" spans="1:8" x14ac:dyDescent="0.25">
      <c r="A2583" t="s">
        <v>864</v>
      </c>
      <c r="B2583" t="s">
        <v>328</v>
      </c>
      <c r="C2583" s="5">
        <v>217339</v>
      </c>
      <c r="D2583" s="5">
        <v>3237</v>
      </c>
      <c r="E2583">
        <v>4854</v>
      </c>
      <c r="F2583" s="4" t="s">
        <v>800</v>
      </c>
      <c r="G2583" t="s">
        <v>29</v>
      </c>
      <c r="H2583" t="s">
        <v>801</v>
      </c>
    </row>
    <row r="2584" spans="1:8" x14ac:dyDescent="0.25">
      <c r="A2584" t="s">
        <v>864</v>
      </c>
      <c r="B2584" t="s">
        <v>329</v>
      </c>
      <c r="C2584" s="5">
        <v>356655</v>
      </c>
      <c r="D2584" s="5">
        <v>5078</v>
      </c>
      <c r="E2584">
        <v>185300</v>
      </c>
      <c r="F2584" s="4" t="s">
        <v>640</v>
      </c>
      <c r="G2584" t="s">
        <v>29</v>
      </c>
      <c r="H2584" t="s">
        <v>641</v>
      </c>
    </row>
    <row r="2585" spans="1:8" x14ac:dyDescent="0.25">
      <c r="A2585" t="s">
        <v>864</v>
      </c>
      <c r="B2585" t="s">
        <v>332</v>
      </c>
      <c r="C2585" s="5">
        <v>945960</v>
      </c>
      <c r="D2585" s="5">
        <v>14667</v>
      </c>
      <c r="E2585">
        <v>802283</v>
      </c>
      <c r="F2585" s="4" t="s">
        <v>333</v>
      </c>
      <c r="G2585" t="s">
        <v>29</v>
      </c>
      <c r="H2585" t="s">
        <v>334</v>
      </c>
    </row>
    <row r="2586" spans="1:8" x14ac:dyDescent="0.25">
      <c r="A2586" t="s">
        <v>864</v>
      </c>
      <c r="B2586" t="s">
        <v>335</v>
      </c>
      <c r="C2586" s="5">
        <v>3414</v>
      </c>
      <c r="D2586" s="5">
        <v>36</v>
      </c>
      <c r="E2586">
        <v>2594</v>
      </c>
      <c r="F2586" s="4" t="s">
        <v>642</v>
      </c>
      <c r="G2586" t="s">
        <v>29</v>
      </c>
      <c r="H2586" t="s">
        <v>643</v>
      </c>
    </row>
    <row r="2587" spans="1:8" x14ac:dyDescent="0.25">
      <c r="A2587" t="s">
        <v>864</v>
      </c>
      <c r="B2587" t="s">
        <v>338</v>
      </c>
      <c r="C2587" s="5">
        <v>337115</v>
      </c>
      <c r="D2587" s="5">
        <v>7751</v>
      </c>
      <c r="E2587">
        <v>210090</v>
      </c>
      <c r="F2587" s="4" t="s">
        <v>619</v>
      </c>
      <c r="G2587" t="s">
        <v>29</v>
      </c>
      <c r="H2587" t="s">
        <v>620</v>
      </c>
    </row>
    <row r="2588" spans="1:8" x14ac:dyDescent="0.25">
      <c r="A2588" t="s">
        <v>864</v>
      </c>
      <c r="B2588" t="s">
        <v>341</v>
      </c>
      <c r="C2588" s="5">
        <v>143785</v>
      </c>
      <c r="D2588" s="5">
        <v>2100</v>
      </c>
      <c r="E2588">
        <v>49960</v>
      </c>
      <c r="F2588" s="4" t="s">
        <v>565</v>
      </c>
      <c r="G2588" t="s">
        <v>29</v>
      </c>
      <c r="H2588" t="s">
        <v>566</v>
      </c>
    </row>
    <row r="2589" spans="1:8" x14ac:dyDescent="0.25">
      <c r="A2589" t="s">
        <v>864</v>
      </c>
      <c r="B2589" t="s">
        <v>344</v>
      </c>
      <c r="C2589" s="5">
        <v>3920</v>
      </c>
      <c r="D2589" s="5">
        <v>56</v>
      </c>
      <c r="E2589">
        <v>3093</v>
      </c>
      <c r="F2589" s="4" t="s">
        <v>323</v>
      </c>
      <c r="G2589" t="s">
        <v>29</v>
      </c>
      <c r="H2589" t="s">
        <v>324</v>
      </c>
    </row>
    <row r="2590" spans="1:8" x14ac:dyDescent="0.25">
      <c r="A2590" t="s">
        <v>864</v>
      </c>
      <c r="B2590" t="s">
        <v>347</v>
      </c>
      <c r="C2590" s="5">
        <v>43626</v>
      </c>
      <c r="D2590" s="5">
        <v>963</v>
      </c>
      <c r="E2590">
        <v>3243</v>
      </c>
      <c r="F2590" s="4" t="s">
        <v>132</v>
      </c>
      <c r="G2590" t="s">
        <v>29</v>
      </c>
      <c r="H2590" t="s">
        <v>133</v>
      </c>
    </row>
    <row r="2591" spans="1:8" x14ac:dyDescent="0.25">
      <c r="A2591" t="s">
        <v>864</v>
      </c>
      <c r="B2591" t="s">
        <v>348</v>
      </c>
      <c r="C2591" s="5">
        <v>4</v>
      </c>
      <c r="D2591" s="5">
        <v>0</v>
      </c>
      <c r="E2591">
        <v>2</v>
      </c>
      <c r="F2591" s="4" t="s">
        <v>29</v>
      </c>
      <c r="G2591" t="s">
        <v>29</v>
      </c>
      <c r="H2591" t="s">
        <v>291</v>
      </c>
    </row>
    <row r="2592" spans="1:8" x14ac:dyDescent="0.25">
      <c r="A2592" t="s">
        <v>864</v>
      </c>
      <c r="B2592" t="s">
        <v>349</v>
      </c>
      <c r="C2592" s="5">
        <v>202203</v>
      </c>
      <c r="D2592" s="5">
        <v>7121</v>
      </c>
      <c r="E2592">
        <v>45601</v>
      </c>
      <c r="F2592" s="4" t="s">
        <v>353</v>
      </c>
      <c r="G2592" t="s">
        <v>29</v>
      </c>
      <c r="H2592" t="s">
        <v>354</v>
      </c>
    </row>
    <row r="2593" spans="1:8" x14ac:dyDescent="0.25">
      <c r="A2593" t="s">
        <v>864</v>
      </c>
      <c r="B2593" t="s">
        <v>352</v>
      </c>
      <c r="C2593" s="5">
        <v>16038</v>
      </c>
      <c r="D2593" s="5">
        <v>563</v>
      </c>
      <c r="E2593">
        <v>9609</v>
      </c>
      <c r="F2593" s="4" t="s">
        <v>350</v>
      </c>
      <c r="G2593" t="s">
        <v>29</v>
      </c>
      <c r="H2593" t="s">
        <v>351</v>
      </c>
    </row>
    <row r="2594" spans="1:8" x14ac:dyDescent="0.25">
      <c r="A2594" t="s">
        <v>864</v>
      </c>
      <c r="B2594" t="s">
        <v>355</v>
      </c>
      <c r="C2594" s="5">
        <v>499321</v>
      </c>
      <c r="D2594" s="5">
        <v>18664</v>
      </c>
      <c r="E2594">
        <v>446022</v>
      </c>
      <c r="F2594" s="4" t="s">
        <v>829</v>
      </c>
      <c r="G2594" t="s">
        <v>29</v>
      </c>
      <c r="H2594" t="s">
        <v>830</v>
      </c>
    </row>
    <row r="2595" spans="1:8" x14ac:dyDescent="0.25">
      <c r="A2595" t="s">
        <v>864</v>
      </c>
      <c r="B2595" t="s">
        <v>358</v>
      </c>
      <c r="C2595" s="5">
        <v>359396</v>
      </c>
      <c r="D2595" s="5">
        <v>1734</v>
      </c>
      <c r="E2595">
        <v>68678</v>
      </c>
      <c r="F2595" s="4" t="s">
        <v>848</v>
      </c>
      <c r="G2595" t="s">
        <v>29</v>
      </c>
      <c r="H2595" t="s">
        <v>849</v>
      </c>
    </row>
    <row r="2596" spans="1:8" x14ac:dyDescent="0.25">
      <c r="A2596" t="s">
        <v>864</v>
      </c>
      <c r="B2596" t="s">
        <v>359</v>
      </c>
      <c r="C2596" s="5">
        <v>77</v>
      </c>
      <c r="D2596" s="5">
        <v>0</v>
      </c>
      <c r="E2596">
        <v>52</v>
      </c>
      <c r="F2596" s="4" t="s">
        <v>29</v>
      </c>
      <c r="G2596" t="s">
        <v>29</v>
      </c>
      <c r="H2596" t="s">
        <v>291</v>
      </c>
    </row>
    <row r="2597" spans="1:8" x14ac:dyDescent="0.25">
      <c r="A2597" t="s">
        <v>864</v>
      </c>
      <c r="B2597" t="s">
        <v>360</v>
      </c>
      <c r="C2597" s="5">
        <v>43183</v>
      </c>
      <c r="D2597" s="5">
        <v>681</v>
      </c>
      <c r="E2597">
        <v>16874</v>
      </c>
      <c r="F2597" s="4" t="s">
        <v>577</v>
      </c>
      <c r="G2597" t="s">
        <v>29</v>
      </c>
      <c r="H2597" t="s">
        <v>578</v>
      </c>
    </row>
    <row r="2598" spans="1:8" x14ac:dyDescent="0.25">
      <c r="A2598" t="s">
        <v>864</v>
      </c>
      <c r="B2598" t="s">
        <v>363</v>
      </c>
      <c r="C2598" s="5">
        <v>37275</v>
      </c>
      <c r="D2598" s="5">
        <v>795</v>
      </c>
      <c r="E2598">
        <v>7</v>
      </c>
      <c r="F2598" s="4" t="s">
        <v>650</v>
      </c>
      <c r="G2598" t="s">
        <v>29</v>
      </c>
      <c r="H2598" t="s">
        <v>651</v>
      </c>
    </row>
    <row r="2599" spans="1:8" x14ac:dyDescent="0.25">
      <c r="A2599" t="s">
        <v>864</v>
      </c>
      <c r="B2599" t="s">
        <v>364</v>
      </c>
      <c r="C2599" s="5">
        <v>37637</v>
      </c>
      <c r="D2599" s="5">
        <v>461</v>
      </c>
      <c r="E2599">
        <v>21419</v>
      </c>
      <c r="F2599" s="4" t="s">
        <v>365</v>
      </c>
      <c r="G2599" t="s">
        <v>29</v>
      </c>
      <c r="H2599" t="s">
        <v>366</v>
      </c>
    </row>
    <row r="2600" spans="1:8" x14ac:dyDescent="0.25">
      <c r="A2600" t="s">
        <v>864</v>
      </c>
      <c r="B2600" t="s">
        <v>367</v>
      </c>
      <c r="C2600" s="5">
        <v>17698</v>
      </c>
      <c r="D2600" s="5">
        <v>166</v>
      </c>
      <c r="E2600">
        <v>12252</v>
      </c>
      <c r="F2600" s="4" t="s">
        <v>846</v>
      </c>
      <c r="G2600" t="s">
        <v>29</v>
      </c>
      <c r="H2600" t="s">
        <v>847</v>
      </c>
    </row>
    <row r="2601" spans="1:8" x14ac:dyDescent="0.25">
      <c r="A2601" t="s">
        <v>864</v>
      </c>
      <c r="B2601" t="s">
        <v>368</v>
      </c>
      <c r="C2601" s="5">
        <v>87487</v>
      </c>
      <c r="D2601" s="5">
        <v>243</v>
      </c>
      <c r="E2601">
        <v>67986</v>
      </c>
      <c r="F2601" s="4" t="s">
        <v>369</v>
      </c>
      <c r="G2601" t="s">
        <v>29</v>
      </c>
      <c r="H2601" t="s">
        <v>370</v>
      </c>
    </row>
    <row r="2602" spans="1:8" x14ac:dyDescent="0.25">
      <c r="A2602" t="s">
        <v>864</v>
      </c>
      <c r="B2602" t="s">
        <v>371</v>
      </c>
      <c r="C2602" s="5">
        <v>61794</v>
      </c>
      <c r="D2602" s="5">
        <v>2300</v>
      </c>
      <c r="E2602">
        <v>22744</v>
      </c>
      <c r="F2602" s="4" t="s">
        <v>372</v>
      </c>
      <c r="G2602" t="s">
        <v>29</v>
      </c>
      <c r="H2602" t="s">
        <v>373</v>
      </c>
    </row>
    <row r="2603" spans="1:8" x14ac:dyDescent="0.25">
      <c r="A2603" t="s">
        <v>864</v>
      </c>
      <c r="B2603" t="s">
        <v>374</v>
      </c>
      <c r="C2603" s="5">
        <v>3805765</v>
      </c>
      <c r="D2603" s="5">
        <v>288276</v>
      </c>
      <c r="E2603">
        <v>469720</v>
      </c>
      <c r="F2603" s="4" t="s">
        <v>375</v>
      </c>
      <c r="G2603" t="s">
        <v>29</v>
      </c>
      <c r="H2603" t="s">
        <v>376</v>
      </c>
    </row>
    <row r="2604" spans="1:8" x14ac:dyDescent="0.25">
      <c r="A2604" t="s">
        <v>864</v>
      </c>
      <c r="B2604" t="s">
        <v>377</v>
      </c>
      <c r="C2604" s="5">
        <v>2466663</v>
      </c>
      <c r="D2604" s="5">
        <v>28876</v>
      </c>
      <c r="E2604">
        <v>764945</v>
      </c>
      <c r="F2604" s="4" t="s">
        <v>378</v>
      </c>
      <c r="G2604" t="s">
        <v>29</v>
      </c>
      <c r="H2604" t="s">
        <v>379</v>
      </c>
    </row>
    <row r="2605" spans="1:8" x14ac:dyDescent="0.25">
      <c r="A2605" t="s">
        <v>864</v>
      </c>
      <c r="B2605" t="s">
        <v>380</v>
      </c>
      <c r="C2605" s="5">
        <v>151270</v>
      </c>
      <c r="D2605" s="5">
        <v>1930</v>
      </c>
      <c r="E2605">
        <v>78769</v>
      </c>
      <c r="F2605" s="4" t="s">
        <v>381</v>
      </c>
      <c r="G2605" t="s">
        <v>29</v>
      </c>
      <c r="H2605" t="s">
        <v>382</v>
      </c>
    </row>
    <row r="2606" spans="1:8" x14ac:dyDescent="0.25">
      <c r="A2606" t="s">
        <v>864</v>
      </c>
      <c r="B2606" t="s">
        <v>383</v>
      </c>
      <c r="C2606" s="5">
        <v>128906</v>
      </c>
      <c r="D2606" s="5">
        <v>3552</v>
      </c>
      <c r="E2606">
        <v>76035</v>
      </c>
      <c r="F2606" s="4" t="s">
        <v>384</v>
      </c>
      <c r="G2606" t="s">
        <v>29</v>
      </c>
      <c r="H2606" t="s">
        <v>385</v>
      </c>
    </row>
    <row r="2607" spans="1:8" x14ac:dyDescent="0.25">
      <c r="A2607" t="s">
        <v>864</v>
      </c>
      <c r="B2607" t="s">
        <v>386</v>
      </c>
      <c r="C2607" s="5">
        <v>10948</v>
      </c>
      <c r="D2607" s="5">
        <v>264</v>
      </c>
      <c r="E2607">
        <v>6915</v>
      </c>
      <c r="F2607" s="4" t="s">
        <v>510</v>
      </c>
      <c r="G2607" t="s">
        <v>29</v>
      </c>
      <c r="H2607" t="s">
        <v>511</v>
      </c>
    </row>
    <row r="2608" spans="1:8" x14ac:dyDescent="0.25">
      <c r="A2608" t="s">
        <v>864</v>
      </c>
      <c r="B2608" t="s">
        <v>387</v>
      </c>
      <c r="C2608" s="5">
        <v>6339</v>
      </c>
      <c r="D2608" s="5">
        <v>212</v>
      </c>
      <c r="E2608">
        <v>3511</v>
      </c>
      <c r="F2608" s="4" t="s">
        <v>869</v>
      </c>
      <c r="G2608" t="s">
        <v>29</v>
      </c>
      <c r="H2608" t="s">
        <v>870</v>
      </c>
    </row>
    <row r="2609" spans="1:8" x14ac:dyDescent="0.25">
      <c r="A2609" t="s">
        <v>864</v>
      </c>
      <c r="B2609" t="s">
        <v>390</v>
      </c>
      <c r="C2609" s="5">
        <v>211887</v>
      </c>
      <c r="D2609" s="5">
        <v>2895</v>
      </c>
      <c r="E2609">
        <v>127872</v>
      </c>
      <c r="F2609" s="4" t="s">
        <v>391</v>
      </c>
      <c r="G2609" t="s">
        <v>29</v>
      </c>
      <c r="H2609" t="s">
        <v>392</v>
      </c>
    </row>
    <row r="2610" spans="1:8" x14ac:dyDescent="0.25">
      <c r="A2610" t="s">
        <v>864</v>
      </c>
      <c r="B2610" t="s">
        <v>393</v>
      </c>
      <c r="C2610" s="5">
        <v>16422</v>
      </c>
      <c r="D2610" s="5">
        <v>208</v>
      </c>
      <c r="E2610">
        <v>5658</v>
      </c>
      <c r="F2610" s="4" t="s">
        <v>53</v>
      </c>
      <c r="G2610" t="s">
        <v>29</v>
      </c>
      <c r="H2610" t="s">
        <v>54</v>
      </c>
    </row>
    <row r="2611" spans="1:8" x14ac:dyDescent="0.25">
      <c r="A2611" t="s">
        <v>864</v>
      </c>
      <c r="B2611" t="s">
        <v>396</v>
      </c>
      <c r="C2611" s="5">
        <v>2163794</v>
      </c>
      <c r="D2611" s="5">
        <v>18836</v>
      </c>
      <c r="E2611">
        <v>1655230</v>
      </c>
      <c r="F2611" s="4" t="s">
        <v>498</v>
      </c>
      <c r="G2611" t="s">
        <v>29</v>
      </c>
      <c r="H2611" t="s">
        <v>499</v>
      </c>
    </row>
    <row r="2612" spans="1:8" x14ac:dyDescent="0.25">
      <c r="A2612" t="s">
        <v>864</v>
      </c>
      <c r="B2612" t="s">
        <v>399</v>
      </c>
      <c r="C2612" s="5">
        <v>206653</v>
      </c>
      <c r="D2612" s="5">
        <v>900</v>
      </c>
      <c r="E2612">
        <v>177973</v>
      </c>
      <c r="F2612" s="4" t="s">
        <v>871</v>
      </c>
      <c r="G2612" t="s">
        <v>29</v>
      </c>
      <c r="H2612" t="s">
        <v>872</v>
      </c>
    </row>
    <row r="2613" spans="1:8" x14ac:dyDescent="0.25">
      <c r="A2613" t="s">
        <v>864</v>
      </c>
      <c r="B2613" t="s">
        <v>402</v>
      </c>
      <c r="C2613" s="5">
        <v>812194</v>
      </c>
      <c r="D2613" s="5">
        <v>11399</v>
      </c>
      <c r="E2613">
        <v>80490</v>
      </c>
      <c r="F2613" s="4" t="s">
        <v>403</v>
      </c>
      <c r="G2613" t="s">
        <v>29</v>
      </c>
      <c r="H2613" t="s">
        <v>404</v>
      </c>
    </row>
    <row r="2614" spans="1:8" x14ac:dyDescent="0.25">
      <c r="A2614" t="s">
        <v>864</v>
      </c>
      <c r="B2614" t="s">
        <v>405</v>
      </c>
      <c r="C2614" s="5">
        <v>6429</v>
      </c>
      <c r="D2614" s="5">
        <v>28</v>
      </c>
      <c r="E2614">
        <v>439</v>
      </c>
      <c r="F2614" s="4" t="s">
        <v>871</v>
      </c>
      <c r="G2614" t="s">
        <v>29</v>
      </c>
      <c r="H2614" t="s">
        <v>872</v>
      </c>
    </row>
    <row r="2615" spans="1:8" x14ac:dyDescent="0.25">
      <c r="A2615" t="s">
        <v>864</v>
      </c>
      <c r="B2615" t="s">
        <v>408</v>
      </c>
      <c r="C2615" s="5">
        <v>304241</v>
      </c>
      <c r="D2615" s="5">
        <v>4111</v>
      </c>
      <c r="E2615">
        <v>33919</v>
      </c>
      <c r="F2615" s="4" t="s">
        <v>409</v>
      </c>
      <c r="G2615" t="s">
        <v>29</v>
      </c>
      <c r="H2615" t="s">
        <v>410</v>
      </c>
    </row>
    <row r="2616" spans="1:8" x14ac:dyDescent="0.25">
      <c r="A2616" t="s">
        <v>864</v>
      </c>
      <c r="B2616" t="s">
        <v>411</v>
      </c>
      <c r="C2616" s="5">
        <v>472534</v>
      </c>
      <c r="D2616" s="5">
        <v>7315</v>
      </c>
      <c r="E2616">
        <v>331266</v>
      </c>
      <c r="F2616" s="4" t="s">
        <v>333</v>
      </c>
      <c r="G2616" t="s">
        <v>29</v>
      </c>
      <c r="H2616" t="s">
        <v>334</v>
      </c>
    </row>
    <row r="2617" spans="1:8" x14ac:dyDescent="0.25">
      <c r="A2617" t="s">
        <v>864</v>
      </c>
      <c r="B2617" t="s">
        <v>412</v>
      </c>
      <c r="C2617" s="5">
        <v>2200908</v>
      </c>
      <c r="D2617" s="5">
        <v>200217</v>
      </c>
      <c r="E2617">
        <v>1177555</v>
      </c>
      <c r="F2617" s="4" t="s">
        <v>873</v>
      </c>
      <c r="G2617" t="s">
        <v>29</v>
      </c>
      <c r="H2617" t="s">
        <v>874</v>
      </c>
    </row>
    <row r="2618" spans="1:8" x14ac:dyDescent="0.25">
      <c r="A2618" t="s">
        <v>864</v>
      </c>
      <c r="B2618" t="s">
        <v>415</v>
      </c>
      <c r="C2618" s="5">
        <v>45541</v>
      </c>
      <c r="D2618" s="5">
        <v>636</v>
      </c>
      <c r="E2618">
        <v>32912</v>
      </c>
      <c r="F2618" s="4" t="s">
        <v>403</v>
      </c>
      <c r="G2618" t="s">
        <v>29</v>
      </c>
      <c r="H2618" t="s">
        <v>404</v>
      </c>
    </row>
    <row r="2619" spans="1:8" x14ac:dyDescent="0.25">
      <c r="A2619" t="s">
        <v>864</v>
      </c>
      <c r="B2619" t="s">
        <v>416</v>
      </c>
      <c r="C2619" s="5">
        <v>29108</v>
      </c>
      <c r="D2619" s="5">
        <v>367</v>
      </c>
      <c r="E2619">
        <v>15036</v>
      </c>
      <c r="F2619" s="4" t="s">
        <v>223</v>
      </c>
      <c r="G2619" t="s">
        <v>29</v>
      </c>
      <c r="H2619" t="s">
        <v>224</v>
      </c>
    </row>
    <row r="2620" spans="1:8" x14ac:dyDescent="0.25">
      <c r="A2620" t="s">
        <v>864</v>
      </c>
      <c r="B2620" t="s">
        <v>419</v>
      </c>
      <c r="C2620" s="5">
        <v>2783896</v>
      </c>
      <c r="D2620" s="5">
        <v>43044</v>
      </c>
      <c r="E2620">
        <v>2061550</v>
      </c>
      <c r="F2620" s="4" t="s">
        <v>333</v>
      </c>
      <c r="G2620" t="s">
        <v>29</v>
      </c>
      <c r="H2620" t="s">
        <v>334</v>
      </c>
    </row>
    <row r="2621" spans="1:8" x14ac:dyDescent="0.25">
      <c r="A2621" t="s">
        <v>864</v>
      </c>
      <c r="B2621" t="s">
        <v>420</v>
      </c>
      <c r="C2621" s="5">
        <v>1273078</v>
      </c>
      <c r="D2621" s="5">
        <v>28449</v>
      </c>
      <c r="E2621">
        <v>889920</v>
      </c>
      <c r="F2621" s="4" t="s">
        <v>421</v>
      </c>
      <c r="G2621" t="s">
        <v>29</v>
      </c>
      <c r="H2621" t="s">
        <v>422</v>
      </c>
    </row>
    <row r="2622" spans="1:8" x14ac:dyDescent="0.25">
      <c r="A2622" t="s">
        <v>864</v>
      </c>
      <c r="B2622" t="s">
        <v>423</v>
      </c>
      <c r="C2622" s="5">
        <v>3018100</v>
      </c>
      <c r="D2622" s="5">
        <v>76990</v>
      </c>
      <c r="E2622">
        <v>2074804</v>
      </c>
      <c r="F2622" s="4" t="s">
        <v>513</v>
      </c>
      <c r="G2622" t="s">
        <v>29</v>
      </c>
      <c r="H2622" t="s">
        <v>514</v>
      </c>
    </row>
    <row r="2623" spans="1:8" x14ac:dyDescent="0.25">
      <c r="A2623" t="s">
        <v>864</v>
      </c>
      <c r="B2623" t="s">
        <v>426</v>
      </c>
      <c r="C2623" s="5">
        <v>452997</v>
      </c>
      <c r="D2623" s="5">
        <v>4663</v>
      </c>
      <c r="E2623">
        <v>215739</v>
      </c>
      <c r="F2623" s="4" t="s">
        <v>687</v>
      </c>
      <c r="G2623" t="s">
        <v>29</v>
      </c>
      <c r="H2623" t="s">
        <v>688</v>
      </c>
    </row>
    <row r="2624" spans="1:8" x14ac:dyDescent="0.25">
      <c r="A2624" t="s">
        <v>864</v>
      </c>
      <c r="B2624" t="s">
        <v>427</v>
      </c>
      <c r="C2624" s="5">
        <v>1089888</v>
      </c>
      <c r="D2624" s="5">
        <v>18156</v>
      </c>
      <c r="E2624">
        <v>290458</v>
      </c>
      <c r="F2624" s="4" t="s">
        <v>827</v>
      </c>
      <c r="G2624" t="s">
        <v>29</v>
      </c>
      <c r="H2624" t="s">
        <v>828</v>
      </c>
    </row>
    <row r="2625" spans="1:8" x14ac:dyDescent="0.25">
      <c r="A2625" t="s">
        <v>864</v>
      </c>
      <c r="B2625" t="s">
        <v>428</v>
      </c>
      <c r="C2625" s="5">
        <v>8</v>
      </c>
      <c r="D2625" s="5">
        <v>0</v>
      </c>
      <c r="E2625">
        <v>2</v>
      </c>
      <c r="F2625" s="4" t="s">
        <v>29</v>
      </c>
      <c r="G2625" t="s">
        <v>29</v>
      </c>
      <c r="H2625" t="s">
        <v>291</v>
      </c>
    </row>
    <row r="2626" spans="1:8" x14ac:dyDescent="0.25">
      <c r="A2626" t="s">
        <v>864</v>
      </c>
      <c r="B2626" t="s">
        <v>429</v>
      </c>
      <c r="C2626" s="5">
        <v>460974</v>
      </c>
      <c r="D2626" s="5">
        <v>16245</v>
      </c>
      <c r="E2626">
        <v>170781</v>
      </c>
      <c r="F2626" s="4" t="s">
        <v>353</v>
      </c>
      <c r="G2626" t="s">
        <v>29</v>
      </c>
      <c r="H2626" t="s">
        <v>354</v>
      </c>
    </row>
    <row r="2627" spans="1:8" x14ac:dyDescent="0.25">
      <c r="A2627" t="s">
        <v>864</v>
      </c>
      <c r="B2627" t="s">
        <v>432</v>
      </c>
      <c r="C2627" s="5">
        <v>239143</v>
      </c>
      <c r="D2627" s="5">
        <v>610</v>
      </c>
      <c r="E2627">
        <v>80536</v>
      </c>
      <c r="F2627" s="4" t="s">
        <v>794</v>
      </c>
      <c r="G2627" t="s">
        <v>29</v>
      </c>
      <c r="H2627" t="s">
        <v>795</v>
      </c>
    </row>
    <row r="2628" spans="1:8" x14ac:dyDescent="0.25">
      <c r="A2628" t="s">
        <v>864</v>
      </c>
      <c r="B2628" t="s">
        <v>435</v>
      </c>
      <c r="C2628" s="5">
        <v>54668</v>
      </c>
      <c r="D2628" s="5">
        <v>374</v>
      </c>
      <c r="E2628">
        <v>25566</v>
      </c>
      <c r="F2628" s="4" t="s">
        <v>605</v>
      </c>
      <c r="G2628" t="s">
        <v>29</v>
      </c>
      <c r="H2628" t="s">
        <v>606</v>
      </c>
    </row>
    <row r="2629" spans="1:8" x14ac:dyDescent="0.25">
      <c r="A2629" t="s">
        <v>864</v>
      </c>
      <c r="B2629" t="s">
        <v>436</v>
      </c>
      <c r="C2629" s="5">
        <v>1640607</v>
      </c>
      <c r="D2629" s="5">
        <v>47324</v>
      </c>
      <c r="E2629">
        <v>1230097</v>
      </c>
      <c r="F2629" s="4" t="s">
        <v>860</v>
      </c>
      <c r="G2629" t="s">
        <v>29</v>
      </c>
      <c r="H2629" t="s">
        <v>861</v>
      </c>
    </row>
    <row r="2630" spans="1:8" x14ac:dyDescent="0.25">
      <c r="A2630" t="s">
        <v>864</v>
      </c>
      <c r="B2630" t="s">
        <v>439</v>
      </c>
      <c r="C2630" s="5">
        <v>1137820</v>
      </c>
      <c r="D2630" s="5">
        <v>9890</v>
      </c>
      <c r="E2630">
        <v>865159</v>
      </c>
      <c r="F2630" s="4" t="s">
        <v>498</v>
      </c>
      <c r="G2630" t="s">
        <v>29</v>
      </c>
      <c r="H2630" t="s">
        <v>499</v>
      </c>
    </row>
    <row r="2631" spans="1:8" x14ac:dyDescent="0.25">
      <c r="A2631" t="s">
        <v>864</v>
      </c>
      <c r="B2631" t="s">
        <v>440</v>
      </c>
      <c r="C2631" s="5">
        <v>8338053</v>
      </c>
      <c r="D2631" s="5">
        <v>233063</v>
      </c>
      <c r="E2631">
        <v>496665</v>
      </c>
      <c r="F2631" s="4" t="s">
        <v>441</v>
      </c>
      <c r="G2631" t="s">
        <v>29</v>
      </c>
      <c r="H2631" t="s">
        <v>442</v>
      </c>
    </row>
    <row r="2632" spans="1:8" x14ac:dyDescent="0.25">
      <c r="A2632" t="s">
        <v>864</v>
      </c>
      <c r="B2632" t="s">
        <v>443</v>
      </c>
      <c r="C2632" s="5">
        <v>99681</v>
      </c>
      <c r="D2632" s="5">
        <v>1328</v>
      </c>
      <c r="E2632">
        <v>87825</v>
      </c>
      <c r="F2632" s="4" t="s">
        <v>59</v>
      </c>
      <c r="G2632" t="s">
        <v>29</v>
      </c>
      <c r="H2632" t="s">
        <v>60</v>
      </c>
    </row>
    <row r="2633" spans="1:8" x14ac:dyDescent="0.25">
      <c r="A2633" t="s">
        <v>864</v>
      </c>
      <c r="B2633" t="s">
        <v>444</v>
      </c>
      <c r="C2633" s="5">
        <v>548571</v>
      </c>
      <c r="D2633" s="5">
        <v>8793</v>
      </c>
      <c r="E2633">
        <v>460250</v>
      </c>
      <c r="F2633" s="4" t="s">
        <v>313</v>
      </c>
      <c r="G2633" t="s">
        <v>29</v>
      </c>
      <c r="H2633" t="s">
        <v>314</v>
      </c>
    </row>
    <row r="2634" spans="1:8" x14ac:dyDescent="0.25">
      <c r="A2634" t="s">
        <v>864</v>
      </c>
      <c r="B2634" t="s">
        <v>445</v>
      </c>
      <c r="C2634" s="5">
        <v>20</v>
      </c>
      <c r="D2634" s="5">
        <v>0</v>
      </c>
      <c r="E2634">
        <v>19</v>
      </c>
      <c r="F2634" s="4" t="s">
        <v>29</v>
      </c>
      <c r="G2634" t="s">
        <v>29</v>
      </c>
      <c r="H2634" t="s">
        <v>291</v>
      </c>
    </row>
    <row r="2635" spans="1:8" x14ac:dyDescent="0.25">
      <c r="A2635" t="s">
        <v>864</v>
      </c>
      <c r="B2635" t="s">
        <v>446</v>
      </c>
      <c r="C2635" s="5">
        <v>22243</v>
      </c>
      <c r="D2635" s="5">
        <v>119</v>
      </c>
      <c r="E2635">
        <v>6443</v>
      </c>
      <c r="F2635" s="4" t="s">
        <v>447</v>
      </c>
      <c r="G2635" t="s">
        <v>29</v>
      </c>
      <c r="H2635" t="s">
        <v>448</v>
      </c>
    </row>
    <row r="2636" spans="1:8" x14ac:dyDescent="0.25">
      <c r="A2636" t="s">
        <v>864</v>
      </c>
      <c r="B2636" t="s">
        <v>449</v>
      </c>
      <c r="C2636" s="5">
        <v>40433</v>
      </c>
      <c r="D2636" s="5">
        <v>3099</v>
      </c>
      <c r="E2636">
        <v>33539</v>
      </c>
      <c r="F2636" s="4" t="s">
        <v>632</v>
      </c>
      <c r="G2636" t="s">
        <v>29</v>
      </c>
      <c r="H2636" t="s">
        <v>633</v>
      </c>
    </row>
    <row r="2637" spans="1:8" x14ac:dyDescent="0.25">
      <c r="A2637" t="s">
        <v>864</v>
      </c>
      <c r="B2637" t="s">
        <v>452</v>
      </c>
      <c r="C2637" s="5">
        <v>1171512</v>
      </c>
      <c r="D2637" s="5">
        <v>15025</v>
      </c>
      <c r="E2637">
        <v>333497</v>
      </c>
      <c r="F2637" s="4" t="s">
        <v>381</v>
      </c>
      <c r="G2637" t="s">
        <v>29</v>
      </c>
      <c r="H2637" t="s">
        <v>382</v>
      </c>
    </row>
    <row r="2638" spans="1:8" x14ac:dyDescent="0.25">
      <c r="A2638" t="s">
        <v>864</v>
      </c>
      <c r="B2638" t="s">
        <v>453</v>
      </c>
      <c r="C2638" s="5">
        <v>195211</v>
      </c>
      <c r="D2638" s="5">
        <v>394</v>
      </c>
      <c r="E2638">
        <v>121897</v>
      </c>
      <c r="F2638" s="4" t="s">
        <v>717</v>
      </c>
      <c r="G2638" t="s">
        <v>29</v>
      </c>
      <c r="H2638" t="s">
        <v>718</v>
      </c>
    </row>
    <row r="2639" spans="1:8" x14ac:dyDescent="0.25">
      <c r="A2639" t="s">
        <v>864</v>
      </c>
      <c r="B2639" t="s">
        <v>456</v>
      </c>
      <c r="C2639" s="5">
        <v>334188</v>
      </c>
      <c r="D2639" s="5">
        <v>4739</v>
      </c>
      <c r="E2639">
        <v>283874</v>
      </c>
      <c r="F2639" s="4" t="s">
        <v>640</v>
      </c>
      <c r="G2639" t="s">
        <v>29</v>
      </c>
      <c r="H2639" t="s">
        <v>641</v>
      </c>
    </row>
    <row r="2640" spans="1:8" x14ac:dyDescent="0.25">
      <c r="A2640" t="s">
        <v>864</v>
      </c>
      <c r="B2640" t="s">
        <v>457</v>
      </c>
      <c r="C2640" s="5">
        <v>479737</v>
      </c>
      <c r="D2640" s="5">
        <v>13018</v>
      </c>
      <c r="E2640">
        <v>434941</v>
      </c>
      <c r="F2640" s="4" t="s">
        <v>875</v>
      </c>
      <c r="G2640" t="s">
        <v>29</v>
      </c>
      <c r="H2640" t="s">
        <v>876</v>
      </c>
    </row>
    <row r="2641" spans="1:8" x14ac:dyDescent="0.25">
      <c r="A2641" t="s">
        <v>864</v>
      </c>
      <c r="B2641" t="s">
        <v>460</v>
      </c>
      <c r="C2641" s="5">
        <v>6397</v>
      </c>
      <c r="D2641" s="5">
        <v>121</v>
      </c>
      <c r="E2641">
        <v>4667</v>
      </c>
      <c r="F2641" s="4" t="s">
        <v>461</v>
      </c>
      <c r="G2641" t="s">
        <v>29</v>
      </c>
      <c r="H2641" t="s">
        <v>462</v>
      </c>
    </row>
    <row r="2642" spans="1:8" x14ac:dyDescent="0.25">
      <c r="A2642" t="s">
        <v>864</v>
      </c>
      <c r="B2642" t="s">
        <v>463</v>
      </c>
      <c r="C2642" s="5">
        <v>5547</v>
      </c>
      <c r="D2642" s="5">
        <v>92</v>
      </c>
      <c r="E2642">
        <v>1253</v>
      </c>
      <c r="F2642" s="4" t="s">
        <v>135</v>
      </c>
      <c r="G2642" t="s">
        <v>29</v>
      </c>
      <c r="H2642" t="s">
        <v>136</v>
      </c>
    </row>
    <row r="2643" spans="1:8" x14ac:dyDescent="0.25">
      <c r="A2643" t="s">
        <v>864</v>
      </c>
      <c r="B2643" t="s">
        <v>464</v>
      </c>
      <c r="C2643" s="5">
        <v>73917</v>
      </c>
      <c r="D2643" s="5">
        <v>1878</v>
      </c>
      <c r="E2643">
        <v>15952</v>
      </c>
      <c r="F2643" s="4" t="s">
        <v>141</v>
      </c>
      <c r="G2643" t="s">
        <v>29</v>
      </c>
      <c r="H2643" t="s">
        <v>142</v>
      </c>
    </row>
    <row r="2644" spans="1:8" x14ac:dyDescent="0.25">
      <c r="A2644" t="s">
        <v>864</v>
      </c>
      <c r="B2644" t="s">
        <v>465</v>
      </c>
      <c r="C2644" s="5">
        <v>21998</v>
      </c>
      <c r="D2644" s="5">
        <v>1208</v>
      </c>
      <c r="E2644">
        <v>11158</v>
      </c>
      <c r="F2644" s="4" t="s">
        <v>744</v>
      </c>
      <c r="G2644" t="s">
        <v>29</v>
      </c>
      <c r="H2644" t="s">
        <v>745</v>
      </c>
    </row>
    <row r="2645" spans="1:8" x14ac:dyDescent="0.25">
      <c r="A2645" t="s">
        <v>864</v>
      </c>
      <c r="B2645" t="s">
        <v>468</v>
      </c>
      <c r="C2645" s="5">
        <v>48964</v>
      </c>
      <c r="D2645" s="5">
        <v>1090</v>
      </c>
      <c r="E2645">
        <v>8781</v>
      </c>
      <c r="F2645" s="4" t="s">
        <v>421</v>
      </c>
      <c r="G2645" t="s">
        <v>29</v>
      </c>
      <c r="H2645" t="s">
        <v>422</v>
      </c>
    </row>
    <row r="2646" spans="1:8" x14ac:dyDescent="0.25">
      <c r="A2646" t="s">
        <v>864</v>
      </c>
      <c r="B2646" t="s">
        <v>471</v>
      </c>
      <c r="C2646" s="5">
        <v>12361</v>
      </c>
      <c r="D2646" s="5">
        <v>133</v>
      </c>
      <c r="E2646">
        <v>2369</v>
      </c>
      <c r="F2646" s="4" t="s">
        <v>758</v>
      </c>
      <c r="G2646" t="s">
        <v>29</v>
      </c>
      <c r="H2646" t="s">
        <v>759</v>
      </c>
    </row>
    <row r="2647" spans="1:8" x14ac:dyDescent="0.25">
      <c r="A2647" t="s">
        <v>864</v>
      </c>
      <c r="B2647" t="s">
        <v>472</v>
      </c>
      <c r="C2647" s="5">
        <v>3712</v>
      </c>
      <c r="D2647" s="5">
        <v>56</v>
      </c>
      <c r="E2647">
        <v>896</v>
      </c>
      <c r="F2647" s="4" t="s">
        <v>202</v>
      </c>
      <c r="G2647" t="s">
        <v>29</v>
      </c>
      <c r="H2647" t="s">
        <v>203</v>
      </c>
    </row>
    <row r="2648" spans="1:8" x14ac:dyDescent="0.25">
      <c r="A2648" t="s">
        <v>864</v>
      </c>
      <c r="B2648" t="s">
        <v>473</v>
      </c>
      <c r="C2648" s="5">
        <v>113422</v>
      </c>
      <c r="D2648" s="5">
        <v>3622</v>
      </c>
      <c r="E2648">
        <v>57187</v>
      </c>
      <c r="F2648" s="4" t="s">
        <v>877</v>
      </c>
      <c r="G2648" t="s">
        <v>29</v>
      </c>
      <c r="H2648" t="s">
        <v>878</v>
      </c>
    </row>
    <row r="2649" spans="1:8" x14ac:dyDescent="0.25">
      <c r="A2649" t="s">
        <v>864</v>
      </c>
      <c r="B2649" t="s">
        <v>476</v>
      </c>
      <c r="C2649" s="5">
        <v>43146</v>
      </c>
      <c r="D2649" s="5">
        <v>2558</v>
      </c>
      <c r="E2649">
        <v>12597</v>
      </c>
      <c r="F2649" s="4" t="s">
        <v>842</v>
      </c>
      <c r="G2649" t="s">
        <v>29</v>
      </c>
      <c r="H2649" t="s">
        <v>843</v>
      </c>
    </row>
    <row r="2650" spans="1:8" x14ac:dyDescent="0.25">
      <c r="A2650" t="s">
        <v>864</v>
      </c>
      <c r="B2650" t="s">
        <v>479</v>
      </c>
      <c r="C2650" s="5">
        <v>46413</v>
      </c>
      <c r="D2650" s="5">
        <v>1242</v>
      </c>
      <c r="E2650">
        <v>16647</v>
      </c>
      <c r="F2650" s="4" t="s">
        <v>480</v>
      </c>
      <c r="G2650" t="s">
        <v>29</v>
      </c>
      <c r="H2650" t="s">
        <v>481</v>
      </c>
    </row>
    <row r="2651" spans="1:8" x14ac:dyDescent="0.25">
      <c r="A2651" t="s">
        <v>864</v>
      </c>
      <c r="B2651" t="s">
        <v>482</v>
      </c>
      <c r="C2651" s="5">
        <v>5069</v>
      </c>
      <c r="D2651" s="5">
        <v>174</v>
      </c>
      <c r="E2651">
        <v>1384</v>
      </c>
      <c r="F2651" s="4" t="s">
        <v>252</v>
      </c>
      <c r="G2651" t="s">
        <v>29</v>
      </c>
      <c r="H2651" t="s">
        <v>253</v>
      </c>
    </row>
    <row r="2652" spans="1:8" x14ac:dyDescent="0.25">
      <c r="A2652" t="s">
        <v>864</v>
      </c>
      <c r="B2652" t="s">
        <v>483</v>
      </c>
      <c r="C2652" s="5">
        <v>26068</v>
      </c>
      <c r="D2652" s="5">
        <v>242</v>
      </c>
      <c r="E2652">
        <v>6332</v>
      </c>
      <c r="F2652" s="4" t="s">
        <v>484</v>
      </c>
      <c r="G2652" t="s">
        <v>29</v>
      </c>
      <c r="H2652" t="s">
        <v>485</v>
      </c>
    </row>
    <row r="2653" spans="1:8" x14ac:dyDescent="0.25">
      <c r="A2653" t="s">
        <v>864</v>
      </c>
      <c r="B2653" t="s">
        <v>486</v>
      </c>
      <c r="C2653" s="5">
        <v>1903165</v>
      </c>
      <c r="D2653" s="5">
        <v>19158</v>
      </c>
      <c r="E2653">
        <v>611141</v>
      </c>
      <c r="F2653" s="4" t="s">
        <v>559</v>
      </c>
      <c r="G2653" t="s">
        <v>29</v>
      </c>
      <c r="H2653" t="s">
        <v>560</v>
      </c>
    </row>
    <row r="2654" spans="1:8" x14ac:dyDescent="0.25">
      <c r="A2654" t="s">
        <v>864</v>
      </c>
      <c r="B2654" t="s">
        <v>487</v>
      </c>
      <c r="C2654" s="5">
        <v>17486</v>
      </c>
      <c r="D2654" s="5">
        <v>125</v>
      </c>
      <c r="E2654">
        <v>16187</v>
      </c>
      <c r="F2654" s="4" t="s">
        <v>488</v>
      </c>
      <c r="G2654" t="s">
        <v>29</v>
      </c>
      <c r="H2654" t="s">
        <v>489</v>
      </c>
    </row>
    <row r="2655" spans="1:8" x14ac:dyDescent="0.25">
      <c r="A2655" t="s">
        <v>864</v>
      </c>
      <c r="B2655" t="s">
        <v>490</v>
      </c>
      <c r="C2655" s="5">
        <v>19789</v>
      </c>
      <c r="D2655" s="5">
        <v>122</v>
      </c>
      <c r="E2655">
        <v>17669</v>
      </c>
      <c r="F2655" s="4" t="s">
        <v>491</v>
      </c>
      <c r="G2655" t="s">
        <v>29</v>
      </c>
      <c r="H2655" t="s">
        <v>492</v>
      </c>
    </row>
    <row r="2656" spans="1:8" x14ac:dyDescent="0.25">
      <c r="A2656" t="s">
        <v>864</v>
      </c>
      <c r="B2656" t="s">
        <v>493</v>
      </c>
      <c r="C2656" s="5">
        <v>712318</v>
      </c>
      <c r="D2656" s="5">
        <v>25231</v>
      </c>
      <c r="E2656">
        <v>541777</v>
      </c>
      <c r="F2656" s="4" t="s">
        <v>494</v>
      </c>
      <c r="G2656" t="s">
        <v>29</v>
      </c>
      <c r="H2656" t="s">
        <v>495</v>
      </c>
    </row>
    <row r="2657" spans="1:8" x14ac:dyDescent="0.25">
      <c r="A2657" t="s">
        <v>864</v>
      </c>
      <c r="B2657" t="s">
        <v>496</v>
      </c>
      <c r="C2657" s="5">
        <v>1</v>
      </c>
      <c r="D2657" s="5">
        <v>0</v>
      </c>
      <c r="E2657">
        <v>0</v>
      </c>
      <c r="F2657" s="4" t="s">
        <v>29</v>
      </c>
      <c r="G2657" t="s">
        <v>29</v>
      </c>
      <c r="H2657" t="s">
        <v>291</v>
      </c>
    </row>
    <row r="2658" spans="1:8" x14ac:dyDescent="0.25">
      <c r="A2658" t="s">
        <v>864</v>
      </c>
      <c r="B2658" t="s">
        <v>497</v>
      </c>
      <c r="C2658" s="5">
        <v>8009010</v>
      </c>
      <c r="D2658" s="5">
        <v>70410</v>
      </c>
      <c r="E2658">
        <v>2493966</v>
      </c>
      <c r="F2658" s="4" t="s">
        <v>609</v>
      </c>
      <c r="G2658" t="s">
        <v>29</v>
      </c>
      <c r="H2658" t="s">
        <v>610</v>
      </c>
    </row>
    <row r="2659" spans="1:8" x14ac:dyDescent="0.25">
      <c r="A2659" t="s">
        <v>864</v>
      </c>
      <c r="B2659" t="s">
        <v>500</v>
      </c>
      <c r="C2659" s="5">
        <v>57121</v>
      </c>
      <c r="D2659" s="5">
        <v>1682</v>
      </c>
      <c r="E2659">
        <v>8474</v>
      </c>
      <c r="F2659" s="4" t="s">
        <v>748</v>
      </c>
      <c r="G2659" t="s">
        <v>29</v>
      </c>
      <c r="H2659" t="s">
        <v>749</v>
      </c>
    </row>
    <row r="2660" spans="1:8" x14ac:dyDescent="0.25">
      <c r="A2660" t="s">
        <v>864</v>
      </c>
      <c r="B2660" t="s">
        <v>503</v>
      </c>
      <c r="C2660" s="5">
        <v>16406</v>
      </c>
      <c r="D2660" s="5">
        <v>847</v>
      </c>
      <c r="E2660">
        <v>10063</v>
      </c>
      <c r="F2660" s="4" t="s">
        <v>740</v>
      </c>
      <c r="G2660" t="s">
        <v>29</v>
      </c>
      <c r="H2660" t="s">
        <v>741</v>
      </c>
    </row>
    <row r="2661" spans="1:8" x14ac:dyDescent="0.25">
      <c r="A2661" t="s">
        <v>864</v>
      </c>
      <c r="B2661" t="s">
        <v>506</v>
      </c>
      <c r="C2661" s="5">
        <v>26154</v>
      </c>
      <c r="D2661" s="5">
        <v>725</v>
      </c>
      <c r="E2661">
        <v>22729</v>
      </c>
      <c r="F2661" s="4" t="s">
        <v>507</v>
      </c>
      <c r="G2661" t="s">
        <v>29</v>
      </c>
      <c r="H2661" t="s">
        <v>508</v>
      </c>
    </row>
    <row r="2662" spans="1:8" x14ac:dyDescent="0.25">
      <c r="A2662" t="s">
        <v>864</v>
      </c>
      <c r="B2662" t="s">
        <v>509</v>
      </c>
      <c r="C2662" s="5">
        <v>3039616</v>
      </c>
      <c r="D2662" s="5">
        <v>71710</v>
      </c>
      <c r="E2662">
        <v>776877</v>
      </c>
      <c r="F2662" s="4" t="s">
        <v>339</v>
      </c>
      <c r="G2662" t="s">
        <v>29</v>
      </c>
      <c r="H2662" t="s">
        <v>340</v>
      </c>
    </row>
    <row r="2663" spans="1:8" x14ac:dyDescent="0.25">
      <c r="A2663" t="s">
        <v>864</v>
      </c>
      <c r="B2663" t="s">
        <v>512</v>
      </c>
      <c r="C2663" s="5">
        <v>126075</v>
      </c>
      <c r="D2663" s="5">
        <v>3215</v>
      </c>
      <c r="E2663">
        <v>40491</v>
      </c>
      <c r="F2663" s="4" t="s">
        <v>513</v>
      </c>
      <c r="G2663" t="s">
        <v>29</v>
      </c>
      <c r="H2663" t="s">
        <v>514</v>
      </c>
    </row>
    <row r="2664" spans="1:8" x14ac:dyDescent="0.25">
      <c r="A2664" t="s">
        <v>864</v>
      </c>
      <c r="B2664" t="s">
        <v>515</v>
      </c>
      <c r="C2664" s="5">
        <v>45953186</v>
      </c>
      <c r="D2664" s="5">
        <v>745904</v>
      </c>
      <c r="E2664">
        <v>12432777</v>
      </c>
      <c r="F2664" s="4" t="s">
        <v>516</v>
      </c>
      <c r="G2664" t="s">
        <v>29</v>
      </c>
      <c r="H2664" t="s">
        <v>517</v>
      </c>
    </row>
    <row r="2665" spans="1:8" x14ac:dyDescent="0.25">
      <c r="A2665" t="s">
        <v>864</v>
      </c>
      <c r="B2665" t="s">
        <v>518</v>
      </c>
      <c r="C2665" s="5">
        <v>393718</v>
      </c>
      <c r="D2665" s="5">
        <v>6077</v>
      </c>
      <c r="E2665">
        <v>168718</v>
      </c>
      <c r="F2665" s="4" t="s">
        <v>519</v>
      </c>
      <c r="G2665" t="s">
        <v>29</v>
      </c>
      <c r="H2665" t="s">
        <v>520</v>
      </c>
    </row>
    <row r="2666" spans="1:8" x14ac:dyDescent="0.25">
      <c r="A2666" t="s">
        <v>864</v>
      </c>
      <c r="B2666" t="s">
        <v>521</v>
      </c>
      <c r="C2666" s="5">
        <v>185647</v>
      </c>
      <c r="D2666" s="5">
        <v>1321</v>
      </c>
      <c r="E2666">
        <v>149060</v>
      </c>
      <c r="F2666" s="4" t="s">
        <v>488</v>
      </c>
      <c r="G2666" t="s">
        <v>29</v>
      </c>
      <c r="H2666" t="s">
        <v>489</v>
      </c>
    </row>
    <row r="2667" spans="1:8" x14ac:dyDescent="0.25">
      <c r="A2667" t="s">
        <v>864</v>
      </c>
      <c r="B2667" t="s">
        <v>522</v>
      </c>
      <c r="C2667" s="5">
        <v>27</v>
      </c>
      <c r="D2667" s="5">
        <v>0</v>
      </c>
      <c r="E2667">
        <v>0</v>
      </c>
      <c r="F2667" s="4" t="s">
        <v>29</v>
      </c>
      <c r="G2667" t="s">
        <v>29</v>
      </c>
      <c r="H2667" t="s">
        <v>291</v>
      </c>
    </row>
    <row r="2668" spans="1:8" x14ac:dyDescent="0.25">
      <c r="A2668" t="s">
        <v>864</v>
      </c>
      <c r="B2668" t="s">
        <v>523</v>
      </c>
      <c r="C2668" s="5">
        <v>4951</v>
      </c>
      <c r="D2668" s="5">
        <v>66</v>
      </c>
      <c r="E2668">
        <v>2618</v>
      </c>
      <c r="F2668" s="4" t="s">
        <v>59</v>
      </c>
      <c r="G2668" t="s">
        <v>29</v>
      </c>
      <c r="H2668" t="s">
        <v>60</v>
      </c>
    </row>
    <row r="2669" spans="1:8" x14ac:dyDescent="0.25">
      <c r="A2669" t="s">
        <v>864</v>
      </c>
      <c r="B2669" t="s">
        <v>524</v>
      </c>
      <c r="C2669" s="5">
        <v>406239</v>
      </c>
      <c r="D2669" s="5">
        <v>4884</v>
      </c>
      <c r="E2669">
        <v>8883</v>
      </c>
      <c r="F2669" s="4" t="s">
        <v>525</v>
      </c>
      <c r="G2669" t="s">
        <v>29</v>
      </c>
      <c r="H2669" t="s">
        <v>526</v>
      </c>
    </row>
    <row r="2670" spans="1:8" x14ac:dyDescent="0.25">
      <c r="A2670" t="s">
        <v>864</v>
      </c>
      <c r="B2670" t="s">
        <v>527</v>
      </c>
      <c r="C2670" s="5">
        <v>915603</v>
      </c>
      <c r="D2670" s="5">
        <v>22030</v>
      </c>
      <c r="E2670">
        <v>726802</v>
      </c>
      <c r="F2670" s="4" t="s">
        <v>510</v>
      </c>
      <c r="G2670" t="s">
        <v>29</v>
      </c>
      <c r="H2670" t="s">
        <v>511</v>
      </c>
    </row>
    <row r="2671" spans="1:8" x14ac:dyDescent="0.25">
      <c r="A2671" t="s">
        <v>864</v>
      </c>
      <c r="B2671" t="s">
        <v>530</v>
      </c>
      <c r="C2671" s="5">
        <v>6</v>
      </c>
      <c r="D2671" s="5">
        <v>1</v>
      </c>
      <c r="E2671">
        <v>1</v>
      </c>
      <c r="F2671" s="4" t="s">
        <v>531</v>
      </c>
      <c r="G2671" t="s">
        <v>29</v>
      </c>
      <c r="H2671" t="s">
        <v>532</v>
      </c>
    </row>
    <row r="2672" spans="1:8" x14ac:dyDescent="0.25">
      <c r="A2672" t="s">
        <v>864</v>
      </c>
      <c r="B2672" t="s">
        <v>533</v>
      </c>
      <c r="C2672" s="5">
        <v>3</v>
      </c>
      <c r="D2672" s="5">
        <v>0</v>
      </c>
      <c r="E2672">
        <v>1</v>
      </c>
      <c r="F2672" s="4" t="s">
        <v>29</v>
      </c>
      <c r="G2672" t="s">
        <v>29</v>
      </c>
      <c r="H2672" t="s">
        <v>291</v>
      </c>
    </row>
    <row r="2673" spans="1:8" x14ac:dyDescent="0.25">
      <c r="A2673" t="s">
        <v>864</v>
      </c>
      <c r="B2673" t="s">
        <v>534</v>
      </c>
      <c r="C2673" s="5">
        <v>160749</v>
      </c>
      <c r="D2673" s="5">
        <v>2976</v>
      </c>
      <c r="E2673">
        <v>156662</v>
      </c>
      <c r="F2673" s="4" t="s">
        <v>535</v>
      </c>
      <c r="G2673" t="s">
        <v>29</v>
      </c>
      <c r="H2673" t="s">
        <v>536</v>
      </c>
    </row>
    <row r="2674" spans="1:8" x14ac:dyDescent="0.25">
      <c r="A2674" t="s">
        <v>864</v>
      </c>
      <c r="B2674" t="s">
        <v>537</v>
      </c>
      <c r="C2674" s="5">
        <v>9779</v>
      </c>
      <c r="D2674" s="5">
        <v>1880</v>
      </c>
      <c r="E2674">
        <v>5762</v>
      </c>
      <c r="F2674" s="4" t="s">
        <v>879</v>
      </c>
      <c r="G2674" t="s">
        <v>29</v>
      </c>
      <c r="H2674" t="s">
        <v>880</v>
      </c>
    </row>
    <row r="2675" spans="1:8" x14ac:dyDescent="0.25">
      <c r="A2675" t="s">
        <v>864</v>
      </c>
      <c r="B2675" t="s">
        <v>540</v>
      </c>
      <c r="C2675" s="5">
        <v>20555</v>
      </c>
      <c r="D2675" s="5">
        <v>185</v>
      </c>
      <c r="E2675">
        <v>8819</v>
      </c>
      <c r="F2675" s="4" t="s">
        <v>667</v>
      </c>
      <c r="G2675" t="s">
        <v>29</v>
      </c>
      <c r="H2675" t="s">
        <v>668</v>
      </c>
    </row>
    <row r="2676" spans="1:8" x14ac:dyDescent="0.25">
      <c r="A2676" t="s">
        <v>864</v>
      </c>
      <c r="B2676" t="s">
        <v>541</v>
      </c>
      <c r="C2676" s="5">
        <v>2921886</v>
      </c>
      <c r="D2676" s="5">
        <v>89163</v>
      </c>
      <c r="E2676">
        <v>1545323</v>
      </c>
      <c r="F2676" s="4" t="s">
        <v>698</v>
      </c>
      <c r="G2676" t="s">
        <v>29</v>
      </c>
      <c r="H2676" t="s">
        <v>699</v>
      </c>
    </row>
    <row r="2677" spans="1:8" x14ac:dyDescent="0.25">
      <c r="A2677" t="s">
        <v>864</v>
      </c>
      <c r="B2677" t="s">
        <v>544</v>
      </c>
      <c r="C2677" s="5">
        <v>209722</v>
      </c>
      <c r="D2677" s="5">
        <v>3661</v>
      </c>
      <c r="E2677">
        <v>91989</v>
      </c>
      <c r="F2677" s="4" t="s">
        <v>545</v>
      </c>
      <c r="G2677" t="s">
        <v>29</v>
      </c>
      <c r="H2677" t="s">
        <v>546</v>
      </c>
    </row>
    <row r="2678" spans="1:8" x14ac:dyDescent="0.25">
      <c r="A2678" t="s">
        <v>864</v>
      </c>
      <c r="B2678" t="s">
        <v>547</v>
      </c>
      <c r="C2678" s="5">
        <v>132926</v>
      </c>
      <c r="D2678" s="5">
        <v>4675</v>
      </c>
      <c r="E2678">
        <v>46276</v>
      </c>
      <c r="F2678" s="4" t="s">
        <v>353</v>
      </c>
      <c r="G2678" t="s">
        <v>29</v>
      </c>
      <c r="H2678" t="s">
        <v>354</v>
      </c>
    </row>
    <row r="2679" spans="1:8" x14ac:dyDescent="0.25">
      <c r="A2679" t="s">
        <v>864</v>
      </c>
      <c r="B2679" t="s">
        <v>548</v>
      </c>
      <c r="C2679" s="5">
        <v>721</v>
      </c>
      <c r="D2679" s="5">
        <v>15</v>
      </c>
      <c r="E2679">
        <v>73</v>
      </c>
      <c r="F2679" s="4" t="s">
        <v>549</v>
      </c>
      <c r="G2679" t="s">
        <v>29</v>
      </c>
      <c r="H2679" t="s">
        <v>550</v>
      </c>
    </row>
    <row r="2680" spans="1:8" x14ac:dyDescent="0.25">
      <c r="A2680" t="s">
        <v>881</v>
      </c>
      <c r="B2680" t="s">
        <v>548</v>
      </c>
      <c r="C2680" s="5">
        <v>721</v>
      </c>
      <c r="D2680" s="5">
        <v>15</v>
      </c>
      <c r="E2680">
        <v>408</v>
      </c>
      <c r="F2680" s="4" t="s">
        <v>549</v>
      </c>
      <c r="G2680" t="s">
        <v>29</v>
      </c>
      <c r="H2680" t="s">
        <v>550</v>
      </c>
    </row>
    <row r="2681" spans="1:8" x14ac:dyDescent="0.25">
      <c r="A2681" t="s">
        <v>881</v>
      </c>
      <c r="B2681" t="s">
        <v>547</v>
      </c>
      <c r="C2681" s="5">
        <v>132926</v>
      </c>
      <c r="D2681" s="5">
        <v>4675</v>
      </c>
      <c r="E2681">
        <v>95680</v>
      </c>
      <c r="F2681" s="4" t="s">
        <v>353</v>
      </c>
      <c r="G2681" t="s">
        <v>29</v>
      </c>
      <c r="H2681" t="s">
        <v>354</v>
      </c>
    </row>
    <row r="2682" spans="1:8" x14ac:dyDescent="0.25">
      <c r="A2682" t="s">
        <v>881</v>
      </c>
      <c r="B2682" t="s">
        <v>544</v>
      </c>
      <c r="C2682" s="5">
        <v>209702</v>
      </c>
      <c r="D2682" s="5">
        <v>3660</v>
      </c>
      <c r="E2682">
        <v>57208</v>
      </c>
      <c r="F2682" s="4" t="s">
        <v>545</v>
      </c>
      <c r="G2682" t="s">
        <v>29</v>
      </c>
      <c r="H2682" t="s">
        <v>546</v>
      </c>
    </row>
    <row r="2683" spans="1:8" x14ac:dyDescent="0.25">
      <c r="A2683" t="s">
        <v>881</v>
      </c>
      <c r="B2683" t="s">
        <v>541</v>
      </c>
      <c r="C2683" s="5">
        <v>2921589</v>
      </c>
      <c r="D2683" s="5">
        <v>89151</v>
      </c>
      <c r="E2683">
        <v>422014</v>
      </c>
      <c r="F2683" s="4" t="s">
        <v>698</v>
      </c>
      <c r="G2683" t="s">
        <v>29</v>
      </c>
      <c r="H2683" t="s">
        <v>699</v>
      </c>
    </row>
    <row r="2684" spans="1:8" x14ac:dyDescent="0.25">
      <c r="A2684" t="s">
        <v>881</v>
      </c>
      <c r="B2684" t="s">
        <v>540</v>
      </c>
      <c r="C2684" s="5">
        <v>20555</v>
      </c>
      <c r="D2684" s="5">
        <v>185</v>
      </c>
      <c r="E2684">
        <v>6580</v>
      </c>
      <c r="F2684" s="4" t="s">
        <v>667</v>
      </c>
      <c r="G2684" t="s">
        <v>29</v>
      </c>
      <c r="H2684" t="s">
        <v>668</v>
      </c>
    </row>
    <row r="2685" spans="1:8" x14ac:dyDescent="0.25">
      <c r="A2685" t="s">
        <v>881</v>
      </c>
      <c r="B2685" t="s">
        <v>537</v>
      </c>
      <c r="C2685" s="5">
        <v>9773</v>
      </c>
      <c r="D2685" s="5">
        <v>1877</v>
      </c>
      <c r="E2685">
        <v>6492</v>
      </c>
      <c r="F2685" s="4" t="s">
        <v>882</v>
      </c>
      <c r="G2685" t="s">
        <v>29</v>
      </c>
      <c r="H2685" t="s">
        <v>883</v>
      </c>
    </row>
    <row r="2686" spans="1:8" x14ac:dyDescent="0.25">
      <c r="A2686" t="s">
        <v>881</v>
      </c>
      <c r="B2686" t="s">
        <v>534</v>
      </c>
      <c r="C2686" s="5">
        <v>160724</v>
      </c>
      <c r="D2686" s="5">
        <v>2976</v>
      </c>
      <c r="E2686">
        <v>113587</v>
      </c>
      <c r="F2686" s="4" t="s">
        <v>535</v>
      </c>
      <c r="G2686" t="s">
        <v>29</v>
      </c>
      <c r="H2686" t="s">
        <v>536</v>
      </c>
    </row>
    <row r="2687" spans="1:8" x14ac:dyDescent="0.25">
      <c r="A2687" t="s">
        <v>881</v>
      </c>
      <c r="B2687" t="s">
        <v>533</v>
      </c>
      <c r="C2687" s="5">
        <v>3</v>
      </c>
      <c r="D2687" s="5">
        <v>0</v>
      </c>
      <c r="E2687">
        <v>1</v>
      </c>
      <c r="F2687" s="4" t="s">
        <v>29</v>
      </c>
      <c r="G2687" t="s">
        <v>29</v>
      </c>
      <c r="H2687" t="s">
        <v>291</v>
      </c>
    </row>
    <row r="2688" spans="1:8" x14ac:dyDescent="0.25">
      <c r="A2688" t="s">
        <v>881</v>
      </c>
      <c r="B2688" t="s">
        <v>530</v>
      </c>
      <c r="C2688" s="5">
        <v>6</v>
      </c>
      <c r="D2688" s="5">
        <v>1</v>
      </c>
      <c r="E2688">
        <v>5</v>
      </c>
      <c r="F2688" s="4" t="s">
        <v>531</v>
      </c>
      <c r="G2688" t="s">
        <v>29</v>
      </c>
      <c r="H2688" t="s">
        <v>532</v>
      </c>
    </row>
    <row r="2689" spans="1:8" x14ac:dyDescent="0.25">
      <c r="A2689" t="s">
        <v>881</v>
      </c>
      <c r="B2689" t="s">
        <v>527</v>
      </c>
      <c r="C2689" s="5">
        <v>910376</v>
      </c>
      <c r="D2689" s="5">
        <v>21966</v>
      </c>
      <c r="E2689">
        <v>581747</v>
      </c>
      <c r="F2689" s="4" t="s">
        <v>510</v>
      </c>
      <c r="G2689" t="s">
        <v>29</v>
      </c>
      <c r="H2689" t="s">
        <v>511</v>
      </c>
    </row>
    <row r="2690" spans="1:8" x14ac:dyDescent="0.25">
      <c r="A2690" t="s">
        <v>881</v>
      </c>
      <c r="B2690" t="s">
        <v>524</v>
      </c>
      <c r="C2690" s="5">
        <v>404387</v>
      </c>
      <c r="D2690" s="5">
        <v>4860</v>
      </c>
      <c r="E2690">
        <v>358852</v>
      </c>
      <c r="F2690" s="4" t="s">
        <v>525</v>
      </c>
      <c r="G2690" t="s">
        <v>29</v>
      </c>
      <c r="H2690" t="s">
        <v>526</v>
      </c>
    </row>
    <row r="2691" spans="1:8" x14ac:dyDescent="0.25">
      <c r="A2691" t="s">
        <v>881</v>
      </c>
      <c r="B2691" t="s">
        <v>523</v>
      </c>
      <c r="C2691" s="5">
        <v>4951</v>
      </c>
      <c r="D2691" s="5">
        <v>66</v>
      </c>
      <c r="E2691">
        <v>3937</v>
      </c>
      <c r="F2691" s="4" t="s">
        <v>59</v>
      </c>
      <c r="G2691" t="s">
        <v>29</v>
      </c>
      <c r="H2691" t="s">
        <v>60</v>
      </c>
    </row>
    <row r="2692" spans="1:8" x14ac:dyDescent="0.25">
      <c r="A2692" t="s">
        <v>881</v>
      </c>
      <c r="B2692" t="s">
        <v>522</v>
      </c>
      <c r="C2692" s="5">
        <v>27</v>
      </c>
      <c r="D2692" s="5">
        <v>0</v>
      </c>
      <c r="E2692">
        <v>23</v>
      </c>
      <c r="F2692" s="4" t="s">
        <v>29</v>
      </c>
      <c r="G2692" t="s">
        <v>29</v>
      </c>
      <c r="H2692" t="s">
        <v>291</v>
      </c>
    </row>
    <row r="2693" spans="1:8" x14ac:dyDescent="0.25">
      <c r="A2693" t="s">
        <v>881</v>
      </c>
      <c r="B2693" t="s">
        <v>521</v>
      </c>
      <c r="C2693" s="5">
        <v>185295</v>
      </c>
      <c r="D2693" s="5">
        <v>1318</v>
      </c>
      <c r="E2693">
        <v>157882</v>
      </c>
      <c r="F2693" s="4" t="s">
        <v>488</v>
      </c>
      <c r="G2693" t="s">
        <v>29</v>
      </c>
      <c r="H2693" t="s">
        <v>489</v>
      </c>
    </row>
    <row r="2694" spans="1:8" x14ac:dyDescent="0.25">
      <c r="A2694" t="s">
        <v>881</v>
      </c>
      <c r="B2694" t="s">
        <v>518</v>
      </c>
      <c r="C2694" s="5">
        <v>393454</v>
      </c>
      <c r="D2694" s="5">
        <v>6077</v>
      </c>
      <c r="E2694">
        <v>31657</v>
      </c>
      <c r="F2694" s="4" t="s">
        <v>519</v>
      </c>
      <c r="G2694" t="s">
        <v>29</v>
      </c>
      <c r="H2694" t="s">
        <v>520</v>
      </c>
    </row>
    <row r="2695" spans="1:8" x14ac:dyDescent="0.25">
      <c r="A2695" t="s">
        <v>881</v>
      </c>
      <c r="B2695" t="s">
        <v>515</v>
      </c>
      <c r="C2695" s="5">
        <v>45923884</v>
      </c>
      <c r="D2695" s="5">
        <v>745377</v>
      </c>
      <c r="E2695">
        <v>12523653</v>
      </c>
      <c r="F2695" s="4" t="s">
        <v>516</v>
      </c>
      <c r="G2695" t="s">
        <v>29</v>
      </c>
      <c r="H2695" t="s">
        <v>517</v>
      </c>
    </row>
    <row r="2696" spans="1:8" x14ac:dyDescent="0.25">
      <c r="A2696" t="s">
        <v>881</v>
      </c>
      <c r="B2696" t="s">
        <v>512</v>
      </c>
      <c r="C2696" s="5">
        <v>126000</v>
      </c>
      <c r="D2696" s="5">
        <v>3210</v>
      </c>
      <c r="E2696">
        <v>47444</v>
      </c>
      <c r="F2696" s="4" t="s">
        <v>513</v>
      </c>
      <c r="G2696" t="s">
        <v>29</v>
      </c>
      <c r="H2696" t="s">
        <v>514</v>
      </c>
    </row>
    <row r="2697" spans="1:8" x14ac:dyDescent="0.25">
      <c r="A2697" t="s">
        <v>881</v>
      </c>
      <c r="B2697" t="s">
        <v>509</v>
      </c>
      <c r="C2697" s="5">
        <v>3012370</v>
      </c>
      <c r="D2697" s="5">
        <v>71141</v>
      </c>
      <c r="E2697">
        <v>953480</v>
      </c>
      <c r="F2697" s="4" t="s">
        <v>339</v>
      </c>
      <c r="G2697" t="s">
        <v>29</v>
      </c>
      <c r="H2697" t="s">
        <v>340</v>
      </c>
    </row>
    <row r="2698" spans="1:8" x14ac:dyDescent="0.25">
      <c r="A2698" t="s">
        <v>881</v>
      </c>
      <c r="B2698" t="s">
        <v>506</v>
      </c>
      <c r="C2698" s="5">
        <v>26154</v>
      </c>
      <c r="D2698" s="5">
        <v>725</v>
      </c>
      <c r="E2698">
        <v>5560</v>
      </c>
      <c r="F2698" s="4" t="s">
        <v>507</v>
      </c>
      <c r="G2698" t="s">
        <v>29</v>
      </c>
      <c r="H2698" t="s">
        <v>508</v>
      </c>
    </row>
    <row r="2699" spans="1:8" x14ac:dyDescent="0.25">
      <c r="A2699" t="s">
        <v>881</v>
      </c>
      <c r="B2699" t="s">
        <v>503</v>
      </c>
      <c r="C2699" s="5">
        <v>16399</v>
      </c>
      <c r="D2699" s="5">
        <v>847</v>
      </c>
      <c r="E2699">
        <v>1816</v>
      </c>
      <c r="F2699" s="4" t="s">
        <v>740</v>
      </c>
      <c r="G2699" t="s">
        <v>29</v>
      </c>
      <c r="H2699" t="s">
        <v>741</v>
      </c>
    </row>
    <row r="2700" spans="1:8" x14ac:dyDescent="0.25">
      <c r="A2700" t="s">
        <v>881</v>
      </c>
      <c r="B2700" t="s">
        <v>500</v>
      </c>
      <c r="C2700" s="5">
        <v>56831</v>
      </c>
      <c r="D2700" s="5">
        <v>1674</v>
      </c>
      <c r="E2700">
        <v>36236</v>
      </c>
      <c r="F2700" s="4" t="s">
        <v>884</v>
      </c>
      <c r="G2700" t="s">
        <v>29</v>
      </c>
      <c r="H2700" t="s">
        <v>885</v>
      </c>
    </row>
    <row r="2701" spans="1:8" x14ac:dyDescent="0.25">
      <c r="A2701" t="s">
        <v>881</v>
      </c>
      <c r="B2701" t="s">
        <v>497</v>
      </c>
      <c r="C2701" s="5">
        <v>7985914</v>
      </c>
      <c r="D2701" s="5">
        <v>70207</v>
      </c>
      <c r="E2701">
        <v>1789174</v>
      </c>
      <c r="F2701" s="4" t="s">
        <v>609</v>
      </c>
      <c r="G2701" t="s">
        <v>29</v>
      </c>
      <c r="H2701" t="s">
        <v>610</v>
      </c>
    </row>
    <row r="2702" spans="1:8" x14ac:dyDescent="0.25">
      <c r="A2702" t="s">
        <v>881</v>
      </c>
      <c r="B2702" t="s">
        <v>496</v>
      </c>
      <c r="C2702" s="5">
        <v>1</v>
      </c>
      <c r="D2702" s="5">
        <v>0</v>
      </c>
      <c r="E2702">
        <v>0</v>
      </c>
      <c r="F2702" s="4" t="s">
        <v>29</v>
      </c>
      <c r="G2702" t="s">
        <v>29</v>
      </c>
      <c r="H2702" t="s">
        <v>291</v>
      </c>
    </row>
    <row r="2703" spans="1:8" x14ac:dyDescent="0.25">
      <c r="A2703" t="s">
        <v>881</v>
      </c>
      <c r="B2703" t="s">
        <v>493</v>
      </c>
      <c r="C2703" s="5">
        <v>712318</v>
      </c>
      <c r="D2703" s="5">
        <v>25231</v>
      </c>
      <c r="E2703">
        <v>370442</v>
      </c>
      <c r="F2703" s="4" t="s">
        <v>494</v>
      </c>
      <c r="G2703" t="s">
        <v>29</v>
      </c>
      <c r="H2703" t="s">
        <v>495</v>
      </c>
    </row>
    <row r="2704" spans="1:8" x14ac:dyDescent="0.25">
      <c r="A2704" t="s">
        <v>881</v>
      </c>
      <c r="B2704" t="s">
        <v>490</v>
      </c>
      <c r="C2704" s="5">
        <v>19787</v>
      </c>
      <c r="D2704" s="5">
        <v>122</v>
      </c>
      <c r="E2704">
        <v>5221</v>
      </c>
      <c r="F2704" s="4" t="s">
        <v>491</v>
      </c>
      <c r="G2704" t="s">
        <v>29</v>
      </c>
      <c r="H2704" t="s">
        <v>492</v>
      </c>
    </row>
    <row r="2705" spans="1:8" x14ac:dyDescent="0.25">
      <c r="A2705" t="s">
        <v>881</v>
      </c>
      <c r="B2705" t="s">
        <v>487</v>
      </c>
      <c r="C2705" s="5">
        <v>17486</v>
      </c>
      <c r="D2705" s="5">
        <v>125</v>
      </c>
      <c r="E2705">
        <v>14685</v>
      </c>
      <c r="F2705" s="4" t="s">
        <v>488</v>
      </c>
      <c r="G2705" t="s">
        <v>29</v>
      </c>
      <c r="H2705" t="s">
        <v>489</v>
      </c>
    </row>
    <row r="2706" spans="1:8" x14ac:dyDescent="0.25">
      <c r="A2706" t="s">
        <v>881</v>
      </c>
      <c r="B2706" t="s">
        <v>486</v>
      </c>
      <c r="C2706" s="5">
        <v>1893941</v>
      </c>
      <c r="D2706" s="5">
        <v>19070</v>
      </c>
      <c r="E2706">
        <v>362546</v>
      </c>
      <c r="F2706" s="4" t="s">
        <v>559</v>
      </c>
      <c r="G2706" t="s">
        <v>29</v>
      </c>
      <c r="H2706" t="s">
        <v>560</v>
      </c>
    </row>
    <row r="2707" spans="1:8" x14ac:dyDescent="0.25">
      <c r="A2707" t="s">
        <v>881</v>
      </c>
      <c r="B2707" t="s">
        <v>483</v>
      </c>
      <c r="C2707" s="5">
        <v>26054</v>
      </c>
      <c r="D2707" s="5">
        <v>242</v>
      </c>
      <c r="E2707">
        <v>7717</v>
      </c>
      <c r="F2707" s="4" t="s">
        <v>484</v>
      </c>
      <c r="G2707" t="s">
        <v>29</v>
      </c>
      <c r="H2707" t="s">
        <v>485</v>
      </c>
    </row>
    <row r="2708" spans="1:8" x14ac:dyDescent="0.25">
      <c r="A2708" t="s">
        <v>881</v>
      </c>
      <c r="B2708" t="s">
        <v>482</v>
      </c>
      <c r="C2708" s="5">
        <v>5069</v>
      </c>
      <c r="D2708" s="5">
        <v>174</v>
      </c>
      <c r="E2708">
        <v>456</v>
      </c>
      <c r="F2708" s="4" t="s">
        <v>252</v>
      </c>
      <c r="G2708" t="s">
        <v>29</v>
      </c>
      <c r="H2708" t="s">
        <v>253</v>
      </c>
    </row>
    <row r="2709" spans="1:8" x14ac:dyDescent="0.25">
      <c r="A2709" t="s">
        <v>881</v>
      </c>
      <c r="B2709" t="s">
        <v>479</v>
      </c>
      <c r="C2709" s="5">
        <v>46403</v>
      </c>
      <c r="D2709" s="5">
        <v>1242</v>
      </c>
      <c r="E2709">
        <v>25312</v>
      </c>
      <c r="F2709" s="4" t="s">
        <v>480</v>
      </c>
      <c r="G2709" t="s">
        <v>29</v>
      </c>
      <c r="H2709" t="s">
        <v>481</v>
      </c>
    </row>
    <row r="2710" spans="1:8" x14ac:dyDescent="0.25">
      <c r="A2710" t="s">
        <v>881</v>
      </c>
      <c r="B2710" t="s">
        <v>476</v>
      </c>
      <c r="C2710" s="5">
        <v>42886</v>
      </c>
      <c r="D2710" s="5">
        <v>2550</v>
      </c>
      <c r="E2710">
        <v>3514</v>
      </c>
      <c r="F2710" s="4" t="s">
        <v>886</v>
      </c>
      <c r="G2710" t="s">
        <v>29</v>
      </c>
      <c r="H2710" t="s">
        <v>887</v>
      </c>
    </row>
    <row r="2711" spans="1:8" x14ac:dyDescent="0.25">
      <c r="A2711" t="s">
        <v>881</v>
      </c>
      <c r="B2711" t="s">
        <v>473</v>
      </c>
      <c r="C2711" s="5">
        <v>113422</v>
      </c>
      <c r="D2711" s="5">
        <v>3613</v>
      </c>
      <c r="E2711">
        <v>92172</v>
      </c>
      <c r="F2711" s="4" t="s">
        <v>877</v>
      </c>
      <c r="G2711" t="s">
        <v>29</v>
      </c>
      <c r="H2711" t="s">
        <v>878</v>
      </c>
    </row>
    <row r="2712" spans="1:8" x14ac:dyDescent="0.25">
      <c r="A2712" t="s">
        <v>881</v>
      </c>
      <c r="B2712" t="s">
        <v>471</v>
      </c>
      <c r="C2712" s="5">
        <v>12361</v>
      </c>
      <c r="D2712" s="5">
        <v>133</v>
      </c>
      <c r="E2712">
        <v>7126</v>
      </c>
      <c r="F2712" s="4" t="s">
        <v>758</v>
      </c>
      <c r="G2712" t="s">
        <v>29</v>
      </c>
      <c r="H2712" t="s">
        <v>759</v>
      </c>
    </row>
    <row r="2713" spans="1:8" x14ac:dyDescent="0.25">
      <c r="A2713" t="s">
        <v>881</v>
      </c>
      <c r="B2713" t="s">
        <v>472</v>
      </c>
      <c r="C2713" s="5">
        <v>3710</v>
      </c>
      <c r="D2713" s="5">
        <v>56</v>
      </c>
      <c r="E2713">
        <v>3044</v>
      </c>
      <c r="F2713" s="4" t="s">
        <v>202</v>
      </c>
      <c r="G2713" t="s">
        <v>29</v>
      </c>
      <c r="H2713" t="s">
        <v>203</v>
      </c>
    </row>
    <row r="2714" spans="1:8" x14ac:dyDescent="0.25">
      <c r="A2714" t="s">
        <v>881</v>
      </c>
      <c r="B2714" t="s">
        <v>468</v>
      </c>
      <c r="C2714" s="5">
        <v>48899</v>
      </c>
      <c r="D2714" s="5">
        <v>1082</v>
      </c>
      <c r="E2714">
        <v>18823</v>
      </c>
      <c r="F2714" s="4" t="s">
        <v>132</v>
      </c>
      <c r="G2714" t="s">
        <v>29</v>
      </c>
      <c r="H2714" t="s">
        <v>133</v>
      </c>
    </row>
    <row r="2715" spans="1:8" x14ac:dyDescent="0.25">
      <c r="A2715" t="s">
        <v>881</v>
      </c>
      <c r="B2715" t="s">
        <v>465</v>
      </c>
      <c r="C2715" s="5">
        <v>21998</v>
      </c>
      <c r="D2715" s="5">
        <v>1208</v>
      </c>
      <c r="E2715">
        <v>5857</v>
      </c>
      <c r="F2715" s="4" t="s">
        <v>744</v>
      </c>
      <c r="G2715" t="s">
        <v>29</v>
      </c>
      <c r="H2715" t="s">
        <v>745</v>
      </c>
    </row>
    <row r="2716" spans="1:8" x14ac:dyDescent="0.25">
      <c r="A2716" t="s">
        <v>881</v>
      </c>
      <c r="B2716" t="s">
        <v>464</v>
      </c>
      <c r="C2716" s="5">
        <v>73909</v>
      </c>
      <c r="D2716" s="5">
        <v>1878</v>
      </c>
      <c r="E2716">
        <v>67236</v>
      </c>
      <c r="F2716" s="4" t="s">
        <v>141</v>
      </c>
      <c r="G2716" t="s">
        <v>29</v>
      </c>
      <c r="H2716" t="s">
        <v>142</v>
      </c>
    </row>
    <row r="2717" spans="1:8" x14ac:dyDescent="0.25">
      <c r="A2717" t="s">
        <v>881</v>
      </c>
      <c r="B2717" t="s">
        <v>463</v>
      </c>
      <c r="C2717" s="5">
        <v>5547</v>
      </c>
      <c r="D2717" s="5">
        <v>92</v>
      </c>
      <c r="E2717">
        <v>2371</v>
      </c>
      <c r="F2717" s="4" t="s">
        <v>135</v>
      </c>
      <c r="G2717" t="s">
        <v>29</v>
      </c>
      <c r="H2717" t="s">
        <v>136</v>
      </c>
    </row>
    <row r="2718" spans="1:8" x14ac:dyDescent="0.25">
      <c r="A2718" t="s">
        <v>881</v>
      </c>
      <c r="B2718" t="s">
        <v>460</v>
      </c>
      <c r="C2718" s="5">
        <v>6397</v>
      </c>
      <c r="D2718" s="5">
        <v>121</v>
      </c>
      <c r="E2718">
        <v>548</v>
      </c>
      <c r="F2718" s="4" t="s">
        <v>461</v>
      </c>
      <c r="G2718" t="s">
        <v>29</v>
      </c>
      <c r="H2718" t="s">
        <v>462</v>
      </c>
    </row>
    <row r="2719" spans="1:8" x14ac:dyDescent="0.25">
      <c r="A2719" t="s">
        <v>881</v>
      </c>
      <c r="B2719" t="s">
        <v>457</v>
      </c>
      <c r="C2719" s="5">
        <v>474595</v>
      </c>
      <c r="D2719" s="5">
        <v>13000</v>
      </c>
      <c r="E2719">
        <v>381445</v>
      </c>
      <c r="F2719" s="4" t="s">
        <v>243</v>
      </c>
      <c r="G2719" t="s">
        <v>29</v>
      </c>
      <c r="H2719" t="s">
        <v>244</v>
      </c>
    </row>
    <row r="2720" spans="1:8" x14ac:dyDescent="0.25">
      <c r="A2720" t="s">
        <v>881</v>
      </c>
      <c r="B2720" t="s">
        <v>456</v>
      </c>
      <c r="C2720" s="5">
        <v>331206</v>
      </c>
      <c r="D2720" s="5">
        <v>4730</v>
      </c>
      <c r="E2720">
        <v>110666</v>
      </c>
      <c r="F2720" s="4" t="s">
        <v>323</v>
      </c>
      <c r="G2720" t="s">
        <v>29</v>
      </c>
      <c r="H2720" t="s">
        <v>324</v>
      </c>
    </row>
    <row r="2721" spans="1:8" x14ac:dyDescent="0.25">
      <c r="A2721" t="s">
        <v>881</v>
      </c>
      <c r="B2721" t="s">
        <v>453</v>
      </c>
      <c r="C2721" s="5">
        <v>192099</v>
      </c>
      <c r="D2721" s="5">
        <v>380</v>
      </c>
      <c r="E2721">
        <v>86338</v>
      </c>
      <c r="F2721" s="4" t="s">
        <v>717</v>
      </c>
      <c r="G2721" t="s">
        <v>29</v>
      </c>
      <c r="H2721" t="s">
        <v>718</v>
      </c>
    </row>
    <row r="2722" spans="1:8" x14ac:dyDescent="0.25">
      <c r="A2722" t="s">
        <v>881</v>
      </c>
      <c r="B2722" t="s">
        <v>452</v>
      </c>
      <c r="C2722" s="5">
        <v>1171512</v>
      </c>
      <c r="D2722" s="5">
        <v>15025</v>
      </c>
      <c r="E2722">
        <v>209632</v>
      </c>
      <c r="F2722" s="4" t="s">
        <v>381</v>
      </c>
      <c r="G2722" t="s">
        <v>29</v>
      </c>
      <c r="H2722" t="s">
        <v>382</v>
      </c>
    </row>
    <row r="2723" spans="1:8" x14ac:dyDescent="0.25">
      <c r="A2723" t="s">
        <v>881</v>
      </c>
      <c r="B2723" t="s">
        <v>449</v>
      </c>
      <c r="C2723" s="5">
        <v>40433</v>
      </c>
      <c r="D2723" s="5">
        <v>3099</v>
      </c>
      <c r="E2723">
        <v>17529</v>
      </c>
      <c r="F2723" s="4" t="s">
        <v>632</v>
      </c>
      <c r="G2723" t="s">
        <v>29</v>
      </c>
      <c r="H2723" t="s">
        <v>633</v>
      </c>
    </row>
    <row r="2724" spans="1:8" x14ac:dyDescent="0.25">
      <c r="A2724" t="s">
        <v>881</v>
      </c>
      <c r="B2724" t="s">
        <v>446</v>
      </c>
      <c r="C2724" s="5">
        <v>22243</v>
      </c>
      <c r="D2724" s="5">
        <v>119</v>
      </c>
      <c r="E2724">
        <v>11953</v>
      </c>
      <c r="F2724" s="4" t="s">
        <v>447</v>
      </c>
      <c r="G2724" t="s">
        <v>29</v>
      </c>
      <c r="H2724" t="s">
        <v>448</v>
      </c>
    </row>
    <row r="2725" spans="1:8" x14ac:dyDescent="0.25">
      <c r="A2725" t="s">
        <v>881</v>
      </c>
      <c r="B2725" t="s">
        <v>445</v>
      </c>
      <c r="C2725" s="5">
        <v>20</v>
      </c>
      <c r="D2725" s="5">
        <v>0</v>
      </c>
      <c r="E2725">
        <v>7</v>
      </c>
      <c r="F2725" s="4" t="s">
        <v>29</v>
      </c>
      <c r="G2725" t="s">
        <v>29</v>
      </c>
      <c r="H2725" t="s">
        <v>291</v>
      </c>
    </row>
    <row r="2726" spans="1:8" x14ac:dyDescent="0.25">
      <c r="A2726" t="s">
        <v>881</v>
      </c>
      <c r="B2726" t="s">
        <v>444</v>
      </c>
      <c r="C2726" s="5">
        <v>548530</v>
      </c>
      <c r="D2726" s="5">
        <v>8790</v>
      </c>
      <c r="E2726">
        <v>481256</v>
      </c>
      <c r="F2726" s="4" t="s">
        <v>313</v>
      </c>
      <c r="G2726" t="s">
        <v>29</v>
      </c>
      <c r="H2726" t="s">
        <v>314</v>
      </c>
    </row>
    <row r="2727" spans="1:8" x14ac:dyDescent="0.25">
      <c r="A2727" t="s">
        <v>881</v>
      </c>
      <c r="B2727" t="s">
        <v>443</v>
      </c>
      <c r="C2727" s="5">
        <v>99628</v>
      </c>
      <c r="D2727" s="5">
        <v>1328</v>
      </c>
      <c r="E2727">
        <v>39419</v>
      </c>
      <c r="F2727" s="4" t="s">
        <v>59</v>
      </c>
      <c r="G2727" t="s">
        <v>29</v>
      </c>
      <c r="H2727" t="s">
        <v>60</v>
      </c>
    </row>
    <row r="2728" spans="1:8" x14ac:dyDescent="0.25">
      <c r="A2728" t="s">
        <v>881</v>
      </c>
      <c r="B2728" t="s">
        <v>440</v>
      </c>
      <c r="C2728" s="5">
        <v>8298850</v>
      </c>
      <c r="D2728" s="5">
        <v>231931</v>
      </c>
      <c r="E2728">
        <v>3126887</v>
      </c>
      <c r="F2728" s="4" t="s">
        <v>662</v>
      </c>
      <c r="G2728" t="s">
        <v>29</v>
      </c>
      <c r="H2728" t="s">
        <v>663</v>
      </c>
    </row>
    <row r="2729" spans="1:8" x14ac:dyDescent="0.25">
      <c r="A2729" t="s">
        <v>881</v>
      </c>
      <c r="B2729" t="s">
        <v>439</v>
      </c>
      <c r="C2729" s="5">
        <v>1131819</v>
      </c>
      <c r="D2729" s="5">
        <v>9826</v>
      </c>
      <c r="E2729">
        <v>790106</v>
      </c>
      <c r="F2729" s="4" t="s">
        <v>498</v>
      </c>
      <c r="G2729" t="s">
        <v>29</v>
      </c>
      <c r="H2729" t="s">
        <v>499</v>
      </c>
    </row>
    <row r="2730" spans="1:8" x14ac:dyDescent="0.25">
      <c r="A2730" t="s">
        <v>881</v>
      </c>
      <c r="B2730" t="s">
        <v>436</v>
      </c>
      <c r="C2730" s="5">
        <v>1628501</v>
      </c>
      <c r="D2730" s="5">
        <v>46911</v>
      </c>
      <c r="E2730">
        <v>783801</v>
      </c>
      <c r="F2730" s="4" t="s">
        <v>860</v>
      </c>
      <c r="G2730" t="s">
        <v>29</v>
      </c>
      <c r="H2730" t="s">
        <v>861</v>
      </c>
    </row>
    <row r="2731" spans="1:8" x14ac:dyDescent="0.25">
      <c r="A2731" t="s">
        <v>881</v>
      </c>
      <c r="B2731" t="s">
        <v>435</v>
      </c>
      <c r="C2731" s="5">
        <v>54668</v>
      </c>
      <c r="D2731" s="5">
        <v>374</v>
      </c>
      <c r="E2731">
        <v>36688</v>
      </c>
      <c r="F2731" s="4" t="s">
        <v>605</v>
      </c>
      <c r="G2731" t="s">
        <v>29</v>
      </c>
      <c r="H2731" t="s">
        <v>606</v>
      </c>
    </row>
    <row r="2732" spans="1:8" x14ac:dyDescent="0.25">
      <c r="A2732" t="s">
        <v>881</v>
      </c>
      <c r="B2732" t="s">
        <v>432</v>
      </c>
      <c r="C2732" s="5">
        <v>239051</v>
      </c>
      <c r="D2732" s="5">
        <v>610</v>
      </c>
      <c r="E2732">
        <v>132170</v>
      </c>
      <c r="F2732" s="4" t="s">
        <v>794</v>
      </c>
      <c r="G2732" t="s">
        <v>29</v>
      </c>
      <c r="H2732" t="s">
        <v>795</v>
      </c>
    </row>
    <row r="2733" spans="1:8" x14ac:dyDescent="0.25">
      <c r="A2733" t="s">
        <v>881</v>
      </c>
      <c r="B2733" t="s">
        <v>429</v>
      </c>
      <c r="C2733" s="5">
        <v>460944</v>
      </c>
      <c r="D2733" s="5">
        <v>16243</v>
      </c>
      <c r="E2733">
        <v>135709</v>
      </c>
      <c r="F2733" s="4" t="s">
        <v>353</v>
      </c>
      <c r="G2733" t="s">
        <v>29</v>
      </c>
      <c r="H2733" t="s">
        <v>354</v>
      </c>
    </row>
    <row r="2734" spans="1:8" x14ac:dyDescent="0.25">
      <c r="A2734" t="s">
        <v>881</v>
      </c>
      <c r="B2734" t="s">
        <v>428</v>
      </c>
      <c r="C2734" s="5">
        <v>8</v>
      </c>
      <c r="D2734" s="5">
        <v>0</v>
      </c>
      <c r="E2734">
        <v>5</v>
      </c>
      <c r="F2734" s="4" t="s">
        <v>29</v>
      </c>
      <c r="G2734" t="s">
        <v>29</v>
      </c>
      <c r="H2734" t="s">
        <v>291</v>
      </c>
    </row>
    <row r="2735" spans="1:8" x14ac:dyDescent="0.25">
      <c r="A2735" t="s">
        <v>881</v>
      </c>
      <c r="B2735" t="s">
        <v>427</v>
      </c>
      <c r="C2735" s="5">
        <v>1088977</v>
      </c>
      <c r="D2735" s="5">
        <v>18153</v>
      </c>
      <c r="E2735">
        <v>771426</v>
      </c>
      <c r="F2735" s="4" t="s">
        <v>827</v>
      </c>
      <c r="G2735" t="s">
        <v>29</v>
      </c>
      <c r="H2735" t="s">
        <v>828</v>
      </c>
    </row>
    <row r="2736" spans="1:8" x14ac:dyDescent="0.25">
      <c r="A2736" t="s">
        <v>881</v>
      </c>
      <c r="B2736" t="s">
        <v>426</v>
      </c>
      <c r="C2736" s="5">
        <v>452997</v>
      </c>
      <c r="D2736" s="5">
        <v>4663</v>
      </c>
      <c r="E2736">
        <v>88324</v>
      </c>
      <c r="F2736" s="4" t="s">
        <v>687</v>
      </c>
      <c r="G2736" t="s">
        <v>29</v>
      </c>
      <c r="H2736" t="s">
        <v>688</v>
      </c>
    </row>
    <row r="2737" spans="1:8" x14ac:dyDescent="0.25">
      <c r="A2737" t="s">
        <v>881</v>
      </c>
      <c r="B2737" t="s">
        <v>423</v>
      </c>
      <c r="C2737" s="5">
        <v>3008294</v>
      </c>
      <c r="D2737" s="5">
        <v>76875</v>
      </c>
      <c r="E2737">
        <v>2476141</v>
      </c>
      <c r="F2737" s="4" t="s">
        <v>38</v>
      </c>
      <c r="G2737" t="s">
        <v>29</v>
      </c>
      <c r="H2737" t="s">
        <v>39</v>
      </c>
    </row>
    <row r="2738" spans="1:8" x14ac:dyDescent="0.25">
      <c r="A2738" t="s">
        <v>881</v>
      </c>
      <c r="B2738" t="s">
        <v>420</v>
      </c>
      <c r="C2738" s="5">
        <v>1272345</v>
      </c>
      <c r="D2738" s="5">
        <v>28439</v>
      </c>
      <c r="E2738">
        <v>825258</v>
      </c>
      <c r="F2738" s="4" t="s">
        <v>603</v>
      </c>
      <c r="G2738" t="s">
        <v>29</v>
      </c>
      <c r="H2738" t="s">
        <v>604</v>
      </c>
    </row>
    <row r="2739" spans="1:8" x14ac:dyDescent="0.25">
      <c r="A2739" t="s">
        <v>881</v>
      </c>
      <c r="B2739" t="s">
        <v>419</v>
      </c>
      <c r="C2739" s="5">
        <v>2779943</v>
      </c>
      <c r="D2739" s="5">
        <v>42621</v>
      </c>
      <c r="E2739">
        <v>330115</v>
      </c>
      <c r="F2739" s="4" t="s">
        <v>74</v>
      </c>
      <c r="G2739" t="s">
        <v>29</v>
      </c>
      <c r="H2739" t="s">
        <v>75</v>
      </c>
    </row>
    <row r="2740" spans="1:8" x14ac:dyDescent="0.25">
      <c r="A2740" t="s">
        <v>881</v>
      </c>
      <c r="B2740" t="s">
        <v>416</v>
      </c>
      <c r="C2740" s="5">
        <v>29108</v>
      </c>
      <c r="D2740" s="5">
        <v>367</v>
      </c>
      <c r="E2740">
        <v>7805</v>
      </c>
      <c r="F2740" s="4" t="s">
        <v>223</v>
      </c>
      <c r="G2740" t="s">
        <v>29</v>
      </c>
      <c r="H2740" t="s">
        <v>224</v>
      </c>
    </row>
    <row r="2741" spans="1:8" x14ac:dyDescent="0.25">
      <c r="A2741" t="s">
        <v>881</v>
      </c>
      <c r="B2741" t="s">
        <v>415</v>
      </c>
      <c r="C2741" s="5">
        <v>45541</v>
      </c>
      <c r="D2741" s="5">
        <v>636</v>
      </c>
      <c r="E2741">
        <v>22778</v>
      </c>
      <c r="F2741" s="4" t="s">
        <v>403</v>
      </c>
      <c r="G2741" t="s">
        <v>29</v>
      </c>
      <c r="H2741" t="s">
        <v>404</v>
      </c>
    </row>
    <row r="2742" spans="1:8" x14ac:dyDescent="0.25">
      <c r="A2742" t="s">
        <v>881</v>
      </c>
      <c r="B2742" t="s">
        <v>412</v>
      </c>
      <c r="C2742" s="5">
        <v>2199876</v>
      </c>
      <c r="D2742" s="5">
        <v>200197</v>
      </c>
      <c r="E2742">
        <v>893969</v>
      </c>
      <c r="F2742" s="4" t="s">
        <v>873</v>
      </c>
      <c r="G2742" t="s">
        <v>29</v>
      </c>
      <c r="H2742" t="s">
        <v>874</v>
      </c>
    </row>
    <row r="2743" spans="1:8" x14ac:dyDescent="0.25">
      <c r="A2743" t="s">
        <v>881</v>
      </c>
      <c r="B2743" t="s">
        <v>411</v>
      </c>
      <c r="C2743" s="5">
        <v>472398</v>
      </c>
      <c r="D2743" s="5">
        <v>7315</v>
      </c>
      <c r="E2743">
        <v>20764</v>
      </c>
      <c r="F2743" s="4" t="s">
        <v>333</v>
      </c>
      <c r="G2743" t="s">
        <v>29</v>
      </c>
      <c r="H2743" t="s">
        <v>334</v>
      </c>
    </row>
    <row r="2744" spans="1:8" x14ac:dyDescent="0.25">
      <c r="A2744" t="s">
        <v>881</v>
      </c>
      <c r="B2744" t="s">
        <v>408</v>
      </c>
      <c r="C2744" s="5">
        <v>304241</v>
      </c>
      <c r="D2744" s="5">
        <v>4111</v>
      </c>
      <c r="E2744">
        <v>144645</v>
      </c>
      <c r="F2744" s="4" t="s">
        <v>409</v>
      </c>
      <c r="G2744" t="s">
        <v>29</v>
      </c>
      <c r="H2744" t="s">
        <v>410</v>
      </c>
    </row>
    <row r="2745" spans="1:8" x14ac:dyDescent="0.25">
      <c r="A2745" t="s">
        <v>881</v>
      </c>
      <c r="B2745" t="s">
        <v>405</v>
      </c>
      <c r="C2745" s="5">
        <v>6286</v>
      </c>
      <c r="D2745" s="5">
        <v>28</v>
      </c>
      <c r="E2745">
        <v>5361</v>
      </c>
      <c r="F2745" s="4" t="s">
        <v>888</v>
      </c>
      <c r="G2745" t="s">
        <v>29</v>
      </c>
      <c r="H2745" t="s">
        <v>889</v>
      </c>
    </row>
    <row r="2746" spans="1:8" x14ac:dyDescent="0.25">
      <c r="A2746" t="s">
        <v>881</v>
      </c>
      <c r="B2746" t="s">
        <v>402</v>
      </c>
      <c r="C2746" s="5">
        <v>811897</v>
      </c>
      <c r="D2746" s="5">
        <v>11388</v>
      </c>
      <c r="E2746">
        <v>32057</v>
      </c>
      <c r="F2746" s="4" t="s">
        <v>403</v>
      </c>
      <c r="G2746" t="s">
        <v>29</v>
      </c>
      <c r="H2746" t="s">
        <v>404</v>
      </c>
    </row>
    <row r="2747" spans="1:8" x14ac:dyDescent="0.25">
      <c r="A2747" t="s">
        <v>881</v>
      </c>
      <c r="B2747" t="s">
        <v>399</v>
      </c>
      <c r="C2747" s="5">
        <v>205855</v>
      </c>
      <c r="D2747" s="5">
        <v>900</v>
      </c>
      <c r="E2747">
        <v>155346</v>
      </c>
      <c r="F2747" s="4" t="s">
        <v>871</v>
      </c>
      <c r="G2747" t="s">
        <v>29</v>
      </c>
      <c r="H2747" t="s">
        <v>872</v>
      </c>
    </row>
    <row r="2748" spans="1:8" x14ac:dyDescent="0.25">
      <c r="A2748" t="s">
        <v>881</v>
      </c>
      <c r="B2748" t="s">
        <v>396</v>
      </c>
      <c r="C2748" s="5">
        <v>2155810</v>
      </c>
      <c r="D2748" s="5">
        <v>18823</v>
      </c>
      <c r="E2748">
        <v>1839274</v>
      </c>
      <c r="F2748" s="4" t="s">
        <v>498</v>
      </c>
      <c r="G2748" t="s">
        <v>29</v>
      </c>
      <c r="H2748" t="s">
        <v>499</v>
      </c>
    </row>
    <row r="2749" spans="1:8" x14ac:dyDescent="0.25">
      <c r="A2749" t="s">
        <v>881</v>
      </c>
      <c r="B2749" t="s">
        <v>393</v>
      </c>
      <c r="C2749" s="5">
        <v>16422</v>
      </c>
      <c r="D2749" s="5">
        <v>208</v>
      </c>
      <c r="E2749">
        <v>10350</v>
      </c>
      <c r="F2749" s="4" t="s">
        <v>53</v>
      </c>
      <c r="G2749" t="s">
        <v>29</v>
      </c>
      <c r="H2749" t="s">
        <v>54</v>
      </c>
    </row>
    <row r="2750" spans="1:8" x14ac:dyDescent="0.25">
      <c r="A2750" t="s">
        <v>881</v>
      </c>
      <c r="B2750" t="s">
        <v>390</v>
      </c>
      <c r="C2750" s="5">
        <v>211798</v>
      </c>
      <c r="D2750" s="5">
        <v>2895</v>
      </c>
      <c r="E2750">
        <v>171658</v>
      </c>
      <c r="F2750" s="4" t="s">
        <v>391</v>
      </c>
      <c r="G2750" t="s">
        <v>29</v>
      </c>
      <c r="H2750" t="s">
        <v>392</v>
      </c>
    </row>
    <row r="2751" spans="1:8" x14ac:dyDescent="0.25">
      <c r="A2751" t="s">
        <v>881</v>
      </c>
      <c r="B2751" t="s">
        <v>387</v>
      </c>
      <c r="C2751" s="5">
        <v>6311</v>
      </c>
      <c r="D2751" s="5">
        <v>212</v>
      </c>
      <c r="E2751">
        <v>6080</v>
      </c>
      <c r="F2751" s="4" t="s">
        <v>890</v>
      </c>
      <c r="G2751" t="s">
        <v>29</v>
      </c>
      <c r="H2751" t="s">
        <v>891</v>
      </c>
    </row>
    <row r="2752" spans="1:8" x14ac:dyDescent="0.25">
      <c r="A2752" t="s">
        <v>881</v>
      </c>
      <c r="B2752" t="s">
        <v>386</v>
      </c>
      <c r="C2752" s="5">
        <v>10909</v>
      </c>
      <c r="D2752" s="5">
        <v>264</v>
      </c>
      <c r="E2752">
        <v>1754</v>
      </c>
      <c r="F2752" s="4" t="s">
        <v>796</v>
      </c>
      <c r="G2752" t="s">
        <v>29</v>
      </c>
      <c r="H2752" t="s">
        <v>797</v>
      </c>
    </row>
    <row r="2753" spans="1:8" x14ac:dyDescent="0.25">
      <c r="A2753" t="s">
        <v>881</v>
      </c>
      <c r="B2753" t="s">
        <v>383</v>
      </c>
      <c r="C2753" s="5">
        <v>128886</v>
      </c>
      <c r="D2753" s="5">
        <v>3552</v>
      </c>
      <c r="E2753">
        <v>26557</v>
      </c>
      <c r="F2753" s="4" t="s">
        <v>384</v>
      </c>
      <c r="G2753" t="s">
        <v>29</v>
      </c>
      <c r="H2753" t="s">
        <v>385</v>
      </c>
    </row>
    <row r="2754" spans="1:8" x14ac:dyDescent="0.25">
      <c r="A2754" t="s">
        <v>881</v>
      </c>
      <c r="B2754" t="s">
        <v>380</v>
      </c>
      <c r="C2754" s="5">
        <v>151270</v>
      </c>
      <c r="D2754" s="5">
        <v>1929</v>
      </c>
      <c r="E2754">
        <v>80300</v>
      </c>
      <c r="F2754" s="4" t="s">
        <v>381</v>
      </c>
      <c r="G2754" t="s">
        <v>29</v>
      </c>
      <c r="H2754" t="s">
        <v>382</v>
      </c>
    </row>
    <row r="2755" spans="1:8" x14ac:dyDescent="0.25">
      <c r="A2755" t="s">
        <v>881</v>
      </c>
      <c r="B2755" t="s">
        <v>377</v>
      </c>
      <c r="C2755" s="5">
        <v>2460809</v>
      </c>
      <c r="D2755" s="5">
        <v>28832</v>
      </c>
      <c r="E2755">
        <v>120085</v>
      </c>
      <c r="F2755" s="4" t="s">
        <v>378</v>
      </c>
      <c r="G2755" t="s">
        <v>29</v>
      </c>
      <c r="H2755" t="s">
        <v>379</v>
      </c>
    </row>
    <row r="2756" spans="1:8" x14ac:dyDescent="0.25">
      <c r="A2756" t="s">
        <v>881</v>
      </c>
      <c r="B2756" t="s">
        <v>374</v>
      </c>
      <c r="C2756" s="5">
        <v>3802287</v>
      </c>
      <c r="D2756" s="5">
        <v>287951</v>
      </c>
      <c r="E2756">
        <v>229916</v>
      </c>
      <c r="F2756" s="4" t="s">
        <v>375</v>
      </c>
      <c r="G2756" t="s">
        <v>29</v>
      </c>
      <c r="H2756" t="s">
        <v>376</v>
      </c>
    </row>
    <row r="2757" spans="1:8" x14ac:dyDescent="0.25">
      <c r="A2757" t="s">
        <v>881</v>
      </c>
      <c r="B2757" t="s">
        <v>371</v>
      </c>
      <c r="C2757" s="5">
        <v>61789</v>
      </c>
      <c r="D2757" s="5">
        <v>2299</v>
      </c>
      <c r="E2757">
        <v>11821</v>
      </c>
      <c r="F2757" s="4" t="s">
        <v>372</v>
      </c>
      <c r="G2757" t="s">
        <v>29</v>
      </c>
      <c r="H2757" t="s">
        <v>373</v>
      </c>
    </row>
    <row r="2758" spans="1:8" x14ac:dyDescent="0.25">
      <c r="A2758" t="s">
        <v>881</v>
      </c>
      <c r="B2758" t="s">
        <v>368</v>
      </c>
      <c r="C2758" s="5">
        <v>87487</v>
      </c>
      <c r="D2758" s="5">
        <v>243</v>
      </c>
      <c r="E2758">
        <v>45226</v>
      </c>
      <c r="F2758" s="4" t="s">
        <v>369</v>
      </c>
      <c r="G2758" t="s">
        <v>29</v>
      </c>
      <c r="H2758" t="s">
        <v>370</v>
      </c>
    </row>
    <row r="2759" spans="1:8" x14ac:dyDescent="0.25">
      <c r="A2759" t="s">
        <v>881</v>
      </c>
      <c r="B2759" t="s">
        <v>367</v>
      </c>
      <c r="C2759" s="5">
        <v>17698</v>
      </c>
      <c r="D2759" s="5">
        <v>166</v>
      </c>
      <c r="E2759">
        <v>11423</v>
      </c>
      <c r="F2759" s="4" t="s">
        <v>846</v>
      </c>
      <c r="G2759" t="s">
        <v>29</v>
      </c>
      <c r="H2759" t="s">
        <v>847</v>
      </c>
    </row>
    <row r="2760" spans="1:8" x14ac:dyDescent="0.25">
      <c r="A2760" t="s">
        <v>881</v>
      </c>
      <c r="B2760" t="s">
        <v>364</v>
      </c>
      <c r="C2760" s="5">
        <v>37618</v>
      </c>
      <c r="D2760" s="5">
        <v>461</v>
      </c>
      <c r="E2760">
        <v>19534</v>
      </c>
      <c r="F2760" s="4" t="s">
        <v>798</v>
      </c>
      <c r="G2760" t="s">
        <v>29</v>
      </c>
      <c r="H2760" t="s">
        <v>799</v>
      </c>
    </row>
    <row r="2761" spans="1:8" x14ac:dyDescent="0.25">
      <c r="A2761" t="s">
        <v>881</v>
      </c>
      <c r="B2761" t="s">
        <v>363</v>
      </c>
      <c r="C2761" s="5">
        <v>37222</v>
      </c>
      <c r="D2761" s="5">
        <v>794</v>
      </c>
      <c r="E2761">
        <v>35715</v>
      </c>
      <c r="F2761" s="4" t="s">
        <v>650</v>
      </c>
      <c r="G2761" t="s">
        <v>29</v>
      </c>
      <c r="H2761" t="s">
        <v>651</v>
      </c>
    </row>
    <row r="2762" spans="1:8" x14ac:dyDescent="0.25">
      <c r="A2762" t="s">
        <v>881</v>
      </c>
      <c r="B2762" t="s">
        <v>360</v>
      </c>
      <c r="C2762" s="5">
        <v>43183</v>
      </c>
      <c r="D2762" s="5">
        <v>681</v>
      </c>
      <c r="E2762">
        <v>42449</v>
      </c>
      <c r="F2762" s="4" t="s">
        <v>577</v>
      </c>
      <c r="G2762" t="s">
        <v>29</v>
      </c>
      <c r="H2762" t="s">
        <v>578</v>
      </c>
    </row>
    <row r="2763" spans="1:8" x14ac:dyDescent="0.25">
      <c r="A2763" t="s">
        <v>881</v>
      </c>
      <c r="B2763" t="s">
        <v>359</v>
      </c>
      <c r="C2763" s="5">
        <v>77</v>
      </c>
      <c r="D2763" s="5">
        <v>0</v>
      </c>
      <c r="E2763">
        <v>42</v>
      </c>
      <c r="F2763" s="4" t="s">
        <v>29</v>
      </c>
      <c r="G2763" t="s">
        <v>29</v>
      </c>
      <c r="H2763" t="s">
        <v>291</v>
      </c>
    </row>
    <row r="2764" spans="1:8" x14ac:dyDescent="0.25">
      <c r="A2764" t="s">
        <v>881</v>
      </c>
      <c r="B2764" t="s">
        <v>358</v>
      </c>
      <c r="C2764" s="5">
        <v>358208</v>
      </c>
      <c r="D2764" s="5">
        <v>1722</v>
      </c>
      <c r="E2764">
        <v>294696</v>
      </c>
      <c r="F2764" s="4" t="s">
        <v>848</v>
      </c>
      <c r="G2764" t="s">
        <v>29</v>
      </c>
      <c r="H2764" t="s">
        <v>849</v>
      </c>
    </row>
    <row r="2765" spans="1:8" x14ac:dyDescent="0.25">
      <c r="A2765" t="s">
        <v>881</v>
      </c>
      <c r="B2765" t="s">
        <v>355</v>
      </c>
      <c r="C2765" s="5">
        <v>498605</v>
      </c>
      <c r="D2765" s="5">
        <v>18644</v>
      </c>
      <c r="E2765">
        <v>343453</v>
      </c>
      <c r="F2765" s="4" t="s">
        <v>829</v>
      </c>
      <c r="G2765" t="s">
        <v>29</v>
      </c>
      <c r="H2765" t="s">
        <v>830</v>
      </c>
    </row>
    <row r="2766" spans="1:8" x14ac:dyDescent="0.25">
      <c r="A2766" t="s">
        <v>881</v>
      </c>
      <c r="B2766" t="s">
        <v>352</v>
      </c>
      <c r="C2766" s="5">
        <v>15978</v>
      </c>
      <c r="D2766" s="5">
        <v>563</v>
      </c>
      <c r="E2766">
        <v>13510</v>
      </c>
      <c r="F2766" s="4" t="s">
        <v>353</v>
      </c>
      <c r="G2766" t="s">
        <v>29</v>
      </c>
      <c r="H2766" t="s">
        <v>354</v>
      </c>
    </row>
    <row r="2767" spans="1:8" x14ac:dyDescent="0.25">
      <c r="A2767" t="s">
        <v>881</v>
      </c>
      <c r="B2767" t="s">
        <v>349</v>
      </c>
      <c r="C2767" s="5">
        <v>201708</v>
      </c>
      <c r="D2767" s="5">
        <v>7108</v>
      </c>
      <c r="E2767">
        <v>144083</v>
      </c>
      <c r="F2767" s="4" t="s">
        <v>353</v>
      </c>
      <c r="G2767" t="s">
        <v>29</v>
      </c>
      <c r="H2767" t="s">
        <v>354</v>
      </c>
    </row>
    <row r="2768" spans="1:8" x14ac:dyDescent="0.25">
      <c r="A2768" t="s">
        <v>881</v>
      </c>
      <c r="B2768" t="s">
        <v>348</v>
      </c>
      <c r="C2768" s="5">
        <v>4</v>
      </c>
      <c r="D2768" s="5">
        <v>0</v>
      </c>
      <c r="E2768">
        <v>2</v>
      </c>
      <c r="F2768" s="4" t="s">
        <v>29</v>
      </c>
      <c r="G2768" t="s">
        <v>29</v>
      </c>
      <c r="H2768" t="s">
        <v>291</v>
      </c>
    </row>
    <row r="2769" spans="1:8" x14ac:dyDescent="0.25">
      <c r="A2769" t="s">
        <v>881</v>
      </c>
      <c r="B2769" t="s">
        <v>347</v>
      </c>
      <c r="C2769" s="5">
        <v>43626</v>
      </c>
      <c r="D2769" s="5">
        <v>963</v>
      </c>
      <c r="E2769">
        <v>28644</v>
      </c>
      <c r="F2769" s="4" t="s">
        <v>132</v>
      </c>
      <c r="G2769" t="s">
        <v>29</v>
      </c>
      <c r="H2769" t="s">
        <v>133</v>
      </c>
    </row>
    <row r="2770" spans="1:8" x14ac:dyDescent="0.25">
      <c r="A2770" t="s">
        <v>881</v>
      </c>
      <c r="B2770" t="s">
        <v>344</v>
      </c>
      <c r="C2770" s="5">
        <v>3920</v>
      </c>
      <c r="D2770" s="5">
        <v>56</v>
      </c>
      <c r="E2770">
        <v>2177</v>
      </c>
      <c r="F2770" s="4" t="s">
        <v>323</v>
      </c>
      <c r="G2770" t="s">
        <v>29</v>
      </c>
      <c r="H2770" t="s">
        <v>324</v>
      </c>
    </row>
    <row r="2771" spans="1:8" x14ac:dyDescent="0.25">
      <c r="A2771" t="s">
        <v>881</v>
      </c>
      <c r="B2771" t="s">
        <v>341</v>
      </c>
      <c r="C2771" s="5">
        <v>143322</v>
      </c>
      <c r="D2771" s="5">
        <v>2095</v>
      </c>
      <c r="E2771">
        <v>81849</v>
      </c>
      <c r="F2771" s="4" t="s">
        <v>565</v>
      </c>
      <c r="G2771" t="s">
        <v>29</v>
      </c>
      <c r="H2771" t="s">
        <v>566</v>
      </c>
    </row>
    <row r="2772" spans="1:8" x14ac:dyDescent="0.25">
      <c r="A2772" t="s">
        <v>881</v>
      </c>
      <c r="B2772" t="s">
        <v>338</v>
      </c>
      <c r="C2772" s="5">
        <v>335860</v>
      </c>
      <c r="D2772" s="5">
        <v>7665</v>
      </c>
      <c r="E2772">
        <v>26888</v>
      </c>
      <c r="F2772" s="4" t="s">
        <v>892</v>
      </c>
      <c r="G2772" t="s">
        <v>29</v>
      </c>
      <c r="H2772" t="s">
        <v>893</v>
      </c>
    </row>
    <row r="2773" spans="1:8" x14ac:dyDescent="0.25">
      <c r="A2773" t="s">
        <v>881</v>
      </c>
      <c r="B2773" t="s">
        <v>335</v>
      </c>
      <c r="C2773" s="5">
        <v>3414</v>
      </c>
      <c r="D2773" s="5">
        <v>36</v>
      </c>
      <c r="E2773">
        <v>1598</v>
      </c>
      <c r="F2773" s="4" t="s">
        <v>642</v>
      </c>
      <c r="G2773" t="s">
        <v>29</v>
      </c>
      <c r="H2773" t="s">
        <v>643</v>
      </c>
    </row>
    <row r="2774" spans="1:8" x14ac:dyDescent="0.25">
      <c r="A2774" t="s">
        <v>881</v>
      </c>
      <c r="B2774" t="s">
        <v>332</v>
      </c>
      <c r="C2774" s="5">
        <v>945720</v>
      </c>
      <c r="D2774" s="5">
        <v>14660</v>
      </c>
      <c r="E2774">
        <v>925978</v>
      </c>
      <c r="F2774" s="4" t="s">
        <v>333</v>
      </c>
      <c r="G2774" t="s">
        <v>29</v>
      </c>
      <c r="H2774" t="s">
        <v>334</v>
      </c>
    </row>
    <row r="2775" spans="1:8" x14ac:dyDescent="0.25">
      <c r="A2775" t="s">
        <v>881</v>
      </c>
      <c r="B2775" t="s">
        <v>329</v>
      </c>
      <c r="C2775" s="5">
        <v>356655</v>
      </c>
      <c r="D2775" s="5">
        <v>5078</v>
      </c>
      <c r="E2775">
        <v>70010</v>
      </c>
      <c r="F2775" s="4" t="s">
        <v>640</v>
      </c>
      <c r="G2775" t="s">
        <v>29</v>
      </c>
      <c r="H2775" t="s">
        <v>641</v>
      </c>
    </row>
    <row r="2776" spans="1:8" x14ac:dyDescent="0.25">
      <c r="A2776" t="s">
        <v>881</v>
      </c>
      <c r="B2776" t="s">
        <v>328</v>
      </c>
      <c r="C2776" s="5">
        <v>214460</v>
      </c>
      <c r="D2776" s="5">
        <v>3198</v>
      </c>
      <c r="E2776">
        <v>153186</v>
      </c>
      <c r="F2776" s="4" t="s">
        <v>800</v>
      </c>
      <c r="G2776" t="s">
        <v>29</v>
      </c>
      <c r="H2776" t="s">
        <v>801</v>
      </c>
    </row>
    <row r="2777" spans="1:8" x14ac:dyDescent="0.25">
      <c r="A2777" t="s">
        <v>881</v>
      </c>
      <c r="B2777" t="s">
        <v>325</v>
      </c>
      <c r="C2777" s="5">
        <v>81683</v>
      </c>
      <c r="D2777" s="5">
        <v>843</v>
      </c>
      <c r="E2777">
        <v>80085</v>
      </c>
      <c r="F2777" s="4" t="s">
        <v>687</v>
      </c>
      <c r="G2777" t="s">
        <v>29</v>
      </c>
      <c r="H2777" t="s">
        <v>688</v>
      </c>
    </row>
    <row r="2778" spans="1:8" x14ac:dyDescent="0.25">
      <c r="A2778" t="s">
        <v>881</v>
      </c>
      <c r="B2778" t="s">
        <v>322</v>
      </c>
      <c r="C2778" s="5">
        <v>403051</v>
      </c>
      <c r="D2778" s="5">
        <v>5800</v>
      </c>
      <c r="E2778">
        <v>195005</v>
      </c>
      <c r="F2778" s="4" t="s">
        <v>330</v>
      </c>
      <c r="G2778" t="s">
        <v>29</v>
      </c>
      <c r="H2778" t="s">
        <v>331</v>
      </c>
    </row>
    <row r="2779" spans="1:8" x14ac:dyDescent="0.25">
      <c r="A2779" t="s">
        <v>881</v>
      </c>
      <c r="B2779" t="s">
        <v>319</v>
      </c>
      <c r="C2779" s="5">
        <v>21628</v>
      </c>
      <c r="D2779" s="5">
        <v>658</v>
      </c>
      <c r="E2779">
        <v>10482</v>
      </c>
      <c r="F2779" s="4" t="s">
        <v>320</v>
      </c>
      <c r="G2779" t="s">
        <v>29</v>
      </c>
      <c r="H2779" t="s">
        <v>321</v>
      </c>
    </row>
    <row r="2780" spans="1:8" x14ac:dyDescent="0.25">
      <c r="A2780" t="s">
        <v>881</v>
      </c>
      <c r="B2780" t="s">
        <v>316</v>
      </c>
      <c r="C2780" s="5">
        <v>5812</v>
      </c>
      <c r="D2780" s="5">
        <v>287</v>
      </c>
      <c r="E2780">
        <v>5402</v>
      </c>
      <c r="F2780" s="4" t="s">
        <v>644</v>
      </c>
      <c r="G2780" t="s">
        <v>29</v>
      </c>
      <c r="H2780" t="s">
        <v>645</v>
      </c>
    </row>
    <row r="2781" spans="1:8" x14ac:dyDescent="0.25">
      <c r="A2781" t="s">
        <v>881</v>
      </c>
      <c r="B2781" t="s">
        <v>315</v>
      </c>
      <c r="C2781" s="5">
        <v>539416</v>
      </c>
      <c r="D2781" s="5">
        <v>13706</v>
      </c>
      <c r="E2781">
        <v>170657</v>
      </c>
      <c r="F2781" s="4" t="s">
        <v>141</v>
      </c>
      <c r="G2781" t="s">
        <v>29</v>
      </c>
      <c r="H2781" t="s">
        <v>142</v>
      </c>
    </row>
    <row r="2782" spans="1:8" x14ac:dyDescent="0.25">
      <c r="A2782" t="s">
        <v>881</v>
      </c>
      <c r="B2782" t="s">
        <v>312</v>
      </c>
      <c r="C2782" s="5">
        <v>3662</v>
      </c>
      <c r="D2782" s="5">
        <v>61</v>
      </c>
      <c r="E2782">
        <v>3112</v>
      </c>
      <c r="F2782" s="4" t="s">
        <v>827</v>
      </c>
      <c r="G2782" t="s">
        <v>29</v>
      </c>
      <c r="H2782" t="s">
        <v>828</v>
      </c>
    </row>
    <row r="2783" spans="1:8" x14ac:dyDescent="0.25">
      <c r="A2783" t="s">
        <v>881</v>
      </c>
      <c r="B2783" t="s">
        <v>309</v>
      </c>
      <c r="C2783" s="5">
        <v>12536</v>
      </c>
      <c r="D2783" s="5">
        <v>254</v>
      </c>
      <c r="E2783">
        <v>12013</v>
      </c>
      <c r="F2783" s="4" t="s">
        <v>713</v>
      </c>
      <c r="G2783" t="s">
        <v>29</v>
      </c>
      <c r="H2783" t="s">
        <v>714</v>
      </c>
    </row>
    <row r="2784" spans="1:8" x14ac:dyDescent="0.25">
      <c r="A2784" t="s">
        <v>881</v>
      </c>
      <c r="B2784" t="s">
        <v>306</v>
      </c>
      <c r="C2784" s="5">
        <v>640675</v>
      </c>
      <c r="D2784" s="5">
        <v>8488</v>
      </c>
      <c r="E2784">
        <v>65384</v>
      </c>
      <c r="F2784" s="4" t="s">
        <v>307</v>
      </c>
      <c r="G2784" t="s">
        <v>29</v>
      </c>
      <c r="H2784" t="s">
        <v>308</v>
      </c>
    </row>
    <row r="2785" spans="1:8" x14ac:dyDescent="0.25">
      <c r="A2785" t="s">
        <v>881</v>
      </c>
      <c r="B2785" t="s">
        <v>303</v>
      </c>
      <c r="C2785" s="5">
        <v>38728</v>
      </c>
      <c r="D2785" s="5">
        <v>61</v>
      </c>
      <c r="E2785">
        <v>9068</v>
      </c>
      <c r="F2785" s="4" t="s">
        <v>825</v>
      </c>
      <c r="G2785" t="s">
        <v>29</v>
      </c>
      <c r="H2785" t="s">
        <v>826</v>
      </c>
    </row>
    <row r="2786" spans="1:8" x14ac:dyDescent="0.25">
      <c r="A2786" t="s">
        <v>881</v>
      </c>
      <c r="B2786" t="s">
        <v>302</v>
      </c>
      <c r="C2786" s="5">
        <v>1017181</v>
      </c>
      <c r="D2786" s="5">
        <v>17078</v>
      </c>
      <c r="E2786">
        <v>875059</v>
      </c>
      <c r="F2786" s="4" t="s">
        <v>116</v>
      </c>
      <c r="G2786" t="s">
        <v>29</v>
      </c>
      <c r="H2786" t="s">
        <v>117</v>
      </c>
    </row>
    <row r="2787" spans="1:8" x14ac:dyDescent="0.25">
      <c r="A2787" t="s">
        <v>881</v>
      </c>
      <c r="B2787" t="s">
        <v>299</v>
      </c>
      <c r="C2787" s="5">
        <v>412641</v>
      </c>
      <c r="D2787" s="5">
        <v>2461</v>
      </c>
      <c r="E2787">
        <v>36355</v>
      </c>
      <c r="F2787" s="4" t="s">
        <v>300</v>
      </c>
      <c r="G2787" t="s">
        <v>29</v>
      </c>
      <c r="H2787" t="s">
        <v>301</v>
      </c>
    </row>
    <row r="2788" spans="1:8" x14ac:dyDescent="0.25">
      <c r="A2788" t="s">
        <v>881</v>
      </c>
      <c r="B2788" t="s">
        <v>296</v>
      </c>
      <c r="C2788" s="5">
        <v>362639</v>
      </c>
      <c r="D2788" s="5">
        <v>2830</v>
      </c>
      <c r="E2788">
        <v>215176</v>
      </c>
      <c r="F2788" s="4" t="s">
        <v>297</v>
      </c>
      <c r="G2788" t="s">
        <v>29</v>
      </c>
      <c r="H2788" t="s">
        <v>298</v>
      </c>
    </row>
    <row r="2789" spans="1:8" x14ac:dyDescent="0.25">
      <c r="A2789" t="s">
        <v>881</v>
      </c>
      <c r="B2789" t="s">
        <v>293</v>
      </c>
      <c r="C2789" s="5">
        <v>2668</v>
      </c>
      <c r="D2789" s="5">
        <v>23</v>
      </c>
      <c r="E2789">
        <v>411</v>
      </c>
      <c r="F2789" s="4" t="s">
        <v>122</v>
      </c>
      <c r="G2789" t="s">
        <v>29</v>
      </c>
      <c r="H2789" t="s">
        <v>123</v>
      </c>
    </row>
    <row r="2790" spans="1:8" x14ac:dyDescent="0.25">
      <c r="A2790" t="s">
        <v>881</v>
      </c>
      <c r="B2790" t="s">
        <v>292</v>
      </c>
      <c r="C2790" s="5">
        <v>4239</v>
      </c>
      <c r="D2790" s="5">
        <v>147</v>
      </c>
      <c r="E2790">
        <v>336</v>
      </c>
      <c r="F2790" s="4" t="s">
        <v>867</v>
      </c>
      <c r="G2790" t="s">
        <v>29</v>
      </c>
      <c r="H2790" t="s">
        <v>868</v>
      </c>
    </row>
    <row r="2791" spans="1:8" x14ac:dyDescent="0.25">
      <c r="A2791" t="s">
        <v>881</v>
      </c>
      <c r="B2791" t="s">
        <v>287</v>
      </c>
      <c r="C2791" s="5">
        <v>118321</v>
      </c>
      <c r="D2791" s="5">
        <v>2773</v>
      </c>
      <c r="E2791">
        <v>12245</v>
      </c>
      <c r="F2791" s="4" t="s">
        <v>681</v>
      </c>
      <c r="G2791" t="s">
        <v>29</v>
      </c>
      <c r="H2791" t="s">
        <v>682</v>
      </c>
    </row>
    <row r="2792" spans="1:8" x14ac:dyDescent="0.25">
      <c r="A2792" t="s">
        <v>881</v>
      </c>
      <c r="B2792" t="s">
        <v>290</v>
      </c>
      <c r="C2792" s="5">
        <v>2</v>
      </c>
      <c r="D2792" s="5">
        <v>0</v>
      </c>
      <c r="E2792">
        <v>1</v>
      </c>
      <c r="F2792" s="4" t="s">
        <v>29</v>
      </c>
      <c r="G2792" t="s">
        <v>29</v>
      </c>
      <c r="H2792" t="s">
        <v>291</v>
      </c>
    </row>
    <row r="2793" spans="1:8" x14ac:dyDescent="0.25">
      <c r="A2793" t="s">
        <v>881</v>
      </c>
      <c r="B2793" t="s">
        <v>284</v>
      </c>
      <c r="C2793" s="5">
        <v>181105</v>
      </c>
      <c r="D2793" s="5">
        <v>2666</v>
      </c>
      <c r="E2793">
        <v>87681</v>
      </c>
      <c r="F2793" s="4" t="s">
        <v>777</v>
      </c>
      <c r="G2793" t="s">
        <v>29</v>
      </c>
      <c r="H2793" t="s">
        <v>778</v>
      </c>
    </row>
    <row r="2794" spans="1:8" x14ac:dyDescent="0.25">
      <c r="A2794" t="s">
        <v>881</v>
      </c>
      <c r="B2794" t="s">
        <v>281</v>
      </c>
      <c r="C2794" s="5">
        <v>253151</v>
      </c>
      <c r="D2794" s="5">
        <v>5273</v>
      </c>
      <c r="E2794">
        <v>126095</v>
      </c>
      <c r="F2794" s="4" t="s">
        <v>549</v>
      </c>
      <c r="G2794" t="s">
        <v>29</v>
      </c>
      <c r="H2794" t="s">
        <v>550</v>
      </c>
    </row>
    <row r="2795" spans="1:8" x14ac:dyDescent="0.25">
      <c r="A2795" t="s">
        <v>881</v>
      </c>
      <c r="B2795" t="s">
        <v>280</v>
      </c>
      <c r="C2795" s="5">
        <v>1719043</v>
      </c>
      <c r="D2795" s="5">
        <v>18261</v>
      </c>
      <c r="E2795">
        <v>583648</v>
      </c>
      <c r="F2795" s="4" t="s">
        <v>165</v>
      </c>
      <c r="G2795" t="s">
        <v>29</v>
      </c>
      <c r="H2795" t="s">
        <v>166</v>
      </c>
    </row>
    <row r="2796" spans="1:8" x14ac:dyDescent="0.25">
      <c r="A2796" t="s">
        <v>881</v>
      </c>
      <c r="B2796" t="s">
        <v>279</v>
      </c>
      <c r="C2796" s="5">
        <v>859796</v>
      </c>
      <c r="D2796" s="5">
        <v>11016</v>
      </c>
      <c r="E2796">
        <v>34006</v>
      </c>
      <c r="F2796" s="4" t="s">
        <v>381</v>
      </c>
      <c r="G2796" t="s">
        <v>29</v>
      </c>
      <c r="H2796" t="s">
        <v>382</v>
      </c>
    </row>
    <row r="2797" spans="1:8" x14ac:dyDescent="0.25">
      <c r="A2797" t="s">
        <v>881</v>
      </c>
      <c r="B2797" t="s">
        <v>278</v>
      </c>
      <c r="C2797" s="5">
        <v>88775</v>
      </c>
      <c r="D2797" s="5">
        <v>2217</v>
      </c>
      <c r="E2797">
        <v>62210</v>
      </c>
      <c r="F2797" s="4" t="s">
        <v>458</v>
      </c>
      <c r="G2797" t="s">
        <v>29</v>
      </c>
      <c r="H2797" t="s">
        <v>459</v>
      </c>
    </row>
    <row r="2798" spans="1:8" x14ac:dyDescent="0.25">
      <c r="A2798" t="s">
        <v>881</v>
      </c>
      <c r="B2798" t="s">
        <v>275</v>
      </c>
      <c r="C2798" s="5">
        <v>4762563</v>
      </c>
      <c r="D2798" s="5">
        <v>132037</v>
      </c>
      <c r="E2798">
        <v>2876156</v>
      </c>
      <c r="F2798" s="4" t="s">
        <v>507</v>
      </c>
      <c r="G2798" t="s">
        <v>29</v>
      </c>
      <c r="H2798" t="s">
        <v>508</v>
      </c>
    </row>
    <row r="2799" spans="1:8" x14ac:dyDescent="0.25">
      <c r="A2799" t="s">
        <v>881</v>
      </c>
      <c r="B2799" t="s">
        <v>272</v>
      </c>
      <c r="C2799" s="5">
        <v>13492</v>
      </c>
      <c r="D2799" s="5">
        <v>33</v>
      </c>
      <c r="E2799">
        <v>12801</v>
      </c>
      <c r="F2799" s="4" t="s">
        <v>454</v>
      </c>
      <c r="G2799" t="s">
        <v>29</v>
      </c>
      <c r="H2799" t="s">
        <v>455</v>
      </c>
    </row>
    <row r="2800" spans="1:8" x14ac:dyDescent="0.25">
      <c r="A2800" t="s">
        <v>881</v>
      </c>
      <c r="B2800" t="s">
        <v>269</v>
      </c>
      <c r="C2800" s="5">
        <v>5909402</v>
      </c>
      <c r="D2800" s="5">
        <v>125998</v>
      </c>
      <c r="E2800">
        <v>53301</v>
      </c>
      <c r="F2800" s="4" t="s">
        <v>650</v>
      </c>
      <c r="G2800" t="s">
        <v>29</v>
      </c>
      <c r="H2800" t="s">
        <v>651</v>
      </c>
    </row>
    <row r="2801" spans="1:8" x14ac:dyDescent="0.25">
      <c r="A2801" t="s">
        <v>881</v>
      </c>
      <c r="B2801" t="s">
        <v>266</v>
      </c>
      <c r="C2801" s="5">
        <v>2053520</v>
      </c>
      <c r="D2801" s="5">
        <v>23111</v>
      </c>
      <c r="E2801">
        <v>1007099</v>
      </c>
      <c r="F2801" s="4" t="s">
        <v>267</v>
      </c>
      <c r="G2801" t="s">
        <v>29</v>
      </c>
      <c r="H2801" t="s">
        <v>268</v>
      </c>
    </row>
    <row r="2802" spans="1:8" x14ac:dyDescent="0.25">
      <c r="A2802" t="s">
        <v>881</v>
      </c>
      <c r="B2802" t="s">
        <v>263</v>
      </c>
      <c r="C2802" s="5">
        <v>34260470</v>
      </c>
      <c r="D2802" s="5">
        <v>457740</v>
      </c>
      <c r="E2802">
        <v>1257775</v>
      </c>
      <c r="F2802" s="4" t="s">
        <v>264</v>
      </c>
      <c r="G2802" t="s">
        <v>29</v>
      </c>
      <c r="H2802" t="s">
        <v>265</v>
      </c>
    </row>
    <row r="2803" spans="1:8" x14ac:dyDescent="0.25">
      <c r="A2803" t="s">
        <v>881</v>
      </c>
      <c r="B2803" t="s">
        <v>260</v>
      </c>
      <c r="C2803" s="5">
        <v>1326742</v>
      </c>
      <c r="D2803" s="5">
        <v>8085</v>
      </c>
      <c r="E2803">
        <v>406531</v>
      </c>
      <c r="F2803" s="4" t="s">
        <v>261</v>
      </c>
      <c r="G2803" t="s">
        <v>29</v>
      </c>
      <c r="H2803" t="s">
        <v>262</v>
      </c>
    </row>
    <row r="2804" spans="1:8" x14ac:dyDescent="0.25">
      <c r="A2804" t="s">
        <v>881</v>
      </c>
      <c r="B2804" t="s">
        <v>257</v>
      </c>
      <c r="C2804" s="5">
        <v>440665</v>
      </c>
      <c r="D2804" s="5">
        <v>5436</v>
      </c>
      <c r="E2804">
        <v>274485</v>
      </c>
      <c r="F2804" s="4" t="s">
        <v>798</v>
      </c>
      <c r="G2804" t="s">
        <v>29</v>
      </c>
      <c r="H2804" t="s">
        <v>799</v>
      </c>
    </row>
    <row r="2805" spans="1:8" x14ac:dyDescent="0.25">
      <c r="A2805" t="s">
        <v>881</v>
      </c>
      <c r="B2805" t="s">
        <v>254</v>
      </c>
      <c r="C2805" s="5">
        <v>4243215</v>
      </c>
      <c r="D2805" s="5">
        <v>143361</v>
      </c>
      <c r="E2805">
        <v>1464429</v>
      </c>
      <c r="F2805" s="4" t="s">
        <v>255</v>
      </c>
      <c r="G2805" t="s">
        <v>29</v>
      </c>
      <c r="H2805" t="s">
        <v>256</v>
      </c>
    </row>
    <row r="2806" spans="1:8" x14ac:dyDescent="0.25">
      <c r="A2806" t="s">
        <v>881</v>
      </c>
      <c r="B2806" t="s">
        <v>251</v>
      </c>
      <c r="C2806" s="5">
        <v>863419</v>
      </c>
      <c r="D2806" s="5">
        <v>30729</v>
      </c>
      <c r="E2806">
        <v>360941</v>
      </c>
      <c r="F2806" s="4" t="s">
        <v>850</v>
      </c>
      <c r="G2806" t="s">
        <v>29</v>
      </c>
      <c r="H2806" t="s">
        <v>851</v>
      </c>
    </row>
    <row r="2807" spans="1:8" x14ac:dyDescent="0.25">
      <c r="A2807" t="s">
        <v>881</v>
      </c>
      <c r="B2807" t="s">
        <v>248</v>
      </c>
      <c r="C2807" s="5">
        <v>23823</v>
      </c>
      <c r="D2807" s="5">
        <v>662</v>
      </c>
      <c r="E2807">
        <v>7483</v>
      </c>
      <c r="F2807" s="4" t="s">
        <v>98</v>
      </c>
      <c r="G2807" t="s">
        <v>29</v>
      </c>
      <c r="H2807" t="s">
        <v>99</v>
      </c>
    </row>
    <row r="2808" spans="1:8" x14ac:dyDescent="0.25">
      <c r="A2808" t="s">
        <v>881</v>
      </c>
      <c r="B2808" t="s">
        <v>245</v>
      </c>
      <c r="C2808" s="5">
        <v>462482</v>
      </c>
      <c r="D2808" s="5">
        <v>9168</v>
      </c>
      <c r="E2808">
        <v>399326</v>
      </c>
      <c r="F2808" s="4" t="s">
        <v>155</v>
      </c>
      <c r="G2808" t="s">
        <v>29</v>
      </c>
      <c r="H2808" t="s">
        <v>156</v>
      </c>
    </row>
    <row r="2809" spans="1:8" x14ac:dyDescent="0.25">
      <c r="A2809" t="s">
        <v>881</v>
      </c>
      <c r="B2809" t="s">
        <v>242</v>
      </c>
      <c r="C2809" s="5">
        <v>375213</v>
      </c>
      <c r="D2809" s="5">
        <v>10235</v>
      </c>
      <c r="E2809">
        <v>195512</v>
      </c>
      <c r="F2809" s="4" t="s">
        <v>806</v>
      </c>
      <c r="G2809" t="s">
        <v>29</v>
      </c>
      <c r="H2809" t="s">
        <v>807</v>
      </c>
    </row>
    <row r="2810" spans="1:8" x14ac:dyDescent="0.25">
      <c r="A2810" t="s">
        <v>881</v>
      </c>
      <c r="B2810" t="s">
        <v>239</v>
      </c>
      <c r="C2810" s="5">
        <v>12342</v>
      </c>
      <c r="D2810" s="5">
        <v>213</v>
      </c>
      <c r="E2810">
        <v>3117</v>
      </c>
      <c r="F2810" s="4" t="s">
        <v>765</v>
      </c>
      <c r="G2810" t="s">
        <v>29</v>
      </c>
      <c r="H2810" t="s">
        <v>766</v>
      </c>
    </row>
    <row r="2811" spans="1:8" x14ac:dyDescent="0.25">
      <c r="A2811" t="s">
        <v>881</v>
      </c>
      <c r="B2811" t="s">
        <v>236</v>
      </c>
      <c r="C2811" s="5">
        <v>35444</v>
      </c>
      <c r="D2811" s="5">
        <v>910</v>
      </c>
      <c r="E2811">
        <v>25631</v>
      </c>
      <c r="F2811" s="4" t="s">
        <v>555</v>
      </c>
      <c r="G2811" t="s">
        <v>29</v>
      </c>
      <c r="H2811" t="s">
        <v>556</v>
      </c>
    </row>
    <row r="2812" spans="1:8" x14ac:dyDescent="0.25">
      <c r="A2812" t="s">
        <v>881</v>
      </c>
      <c r="B2812" t="s">
        <v>233</v>
      </c>
      <c r="C2812" s="5">
        <v>6133</v>
      </c>
      <c r="D2812" s="5">
        <v>141</v>
      </c>
      <c r="E2812">
        <v>1022</v>
      </c>
      <c r="F2812" s="4" t="s">
        <v>619</v>
      </c>
      <c r="G2812" t="s">
        <v>29</v>
      </c>
      <c r="H2812" t="s">
        <v>620</v>
      </c>
    </row>
    <row r="2813" spans="1:8" x14ac:dyDescent="0.25">
      <c r="A2813" t="s">
        <v>881</v>
      </c>
      <c r="B2813" t="s">
        <v>232</v>
      </c>
      <c r="C2813" s="5">
        <v>600419</v>
      </c>
      <c r="D2813" s="5">
        <v>14993</v>
      </c>
      <c r="E2813">
        <v>23145</v>
      </c>
      <c r="F2813" s="4" t="s">
        <v>458</v>
      </c>
      <c r="G2813" t="s">
        <v>29</v>
      </c>
      <c r="H2813" t="s">
        <v>459</v>
      </c>
    </row>
    <row r="2814" spans="1:8" x14ac:dyDescent="0.25">
      <c r="A2814" t="s">
        <v>881</v>
      </c>
      <c r="B2814" t="s">
        <v>229</v>
      </c>
      <c r="C2814" s="5">
        <v>734778</v>
      </c>
      <c r="D2814" s="5">
        <v>15856</v>
      </c>
      <c r="E2814">
        <v>21975</v>
      </c>
      <c r="F2814" s="4" t="s">
        <v>894</v>
      </c>
      <c r="G2814" t="s">
        <v>29</v>
      </c>
      <c r="H2814" t="s">
        <v>895</v>
      </c>
    </row>
    <row r="2815" spans="1:8" x14ac:dyDescent="0.25">
      <c r="A2815" t="s">
        <v>881</v>
      </c>
      <c r="B2815" t="s">
        <v>228</v>
      </c>
      <c r="C2815" s="5">
        <v>13304</v>
      </c>
      <c r="D2815" s="5">
        <v>166</v>
      </c>
      <c r="E2815">
        <v>12460</v>
      </c>
      <c r="F2815" s="4" t="s">
        <v>107</v>
      </c>
      <c r="G2815" t="s">
        <v>29</v>
      </c>
      <c r="H2815" t="s">
        <v>108</v>
      </c>
    </row>
    <row r="2816" spans="1:8" x14ac:dyDescent="0.25">
      <c r="A2816" t="s">
        <v>881</v>
      </c>
      <c r="B2816" t="s">
        <v>225</v>
      </c>
      <c r="C2816" s="5">
        <v>54288</v>
      </c>
      <c r="D2816" s="5">
        <v>815</v>
      </c>
      <c r="E2816">
        <v>46552</v>
      </c>
      <c r="F2816" s="4" t="s">
        <v>226</v>
      </c>
      <c r="G2816" t="s">
        <v>29</v>
      </c>
      <c r="H2816" t="s">
        <v>227</v>
      </c>
    </row>
    <row r="2817" spans="1:8" x14ac:dyDescent="0.25">
      <c r="A2817" t="s">
        <v>881</v>
      </c>
      <c r="B2817" t="s">
        <v>219</v>
      </c>
      <c r="C2817" s="5">
        <v>9965</v>
      </c>
      <c r="D2817" s="5">
        <v>340</v>
      </c>
      <c r="E2817">
        <v>9088</v>
      </c>
      <c r="F2817" s="4" t="s">
        <v>205</v>
      </c>
      <c r="G2817" t="s">
        <v>29</v>
      </c>
      <c r="H2817" t="s">
        <v>206</v>
      </c>
    </row>
    <row r="2818" spans="1:8" x14ac:dyDescent="0.25">
      <c r="A2818" t="s">
        <v>881</v>
      </c>
      <c r="B2818" t="s">
        <v>222</v>
      </c>
      <c r="C2818" s="5">
        <v>30653</v>
      </c>
      <c r="D2818" s="5">
        <v>385</v>
      </c>
      <c r="E2818">
        <v>24822</v>
      </c>
      <c r="F2818" s="4" t="s">
        <v>223</v>
      </c>
      <c r="G2818" t="s">
        <v>29</v>
      </c>
      <c r="H2818" t="s">
        <v>224</v>
      </c>
    </row>
    <row r="2819" spans="1:8" x14ac:dyDescent="0.25">
      <c r="A2819" t="s">
        <v>881</v>
      </c>
      <c r="B2819" t="s">
        <v>216</v>
      </c>
      <c r="C2819" s="5">
        <v>5959</v>
      </c>
      <c r="D2819" s="5">
        <v>98</v>
      </c>
      <c r="E2819">
        <v>5198</v>
      </c>
      <c r="F2819" s="4" t="s">
        <v>196</v>
      </c>
      <c r="G2819" t="s">
        <v>29</v>
      </c>
      <c r="H2819" t="s">
        <v>197</v>
      </c>
    </row>
    <row r="2820" spans="1:8" x14ac:dyDescent="0.25">
      <c r="A2820" t="s">
        <v>881</v>
      </c>
      <c r="B2820" t="s">
        <v>213</v>
      </c>
      <c r="C2820" s="5">
        <v>130077</v>
      </c>
      <c r="D2820" s="5">
        <v>1175</v>
      </c>
      <c r="E2820">
        <v>128243</v>
      </c>
      <c r="F2820" s="4" t="s">
        <v>667</v>
      </c>
      <c r="G2820" t="s">
        <v>29</v>
      </c>
      <c r="H2820" t="s">
        <v>668</v>
      </c>
    </row>
    <row r="2821" spans="1:8" x14ac:dyDescent="0.25">
      <c r="A2821" t="s">
        <v>881</v>
      </c>
      <c r="B2821" t="s">
        <v>210</v>
      </c>
      <c r="C2821" s="5">
        <v>44554</v>
      </c>
      <c r="D2821" s="5">
        <v>306</v>
      </c>
      <c r="E2821">
        <v>19348</v>
      </c>
      <c r="F2821" s="4" t="s">
        <v>180</v>
      </c>
      <c r="G2821" t="s">
        <v>29</v>
      </c>
      <c r="H2821" t="s">
        <v>181</v>
      </c>
    </row>
    <row r="2822" spans="1:8" x14ac:dyDescent="0.25">
      <c r="A2822" t="s">
        <v>881</v>
      </c>
      <c r="B2822" t="s">
        <v>204</v>
      </c>
      <c r="C2822" s="5">
        <v>5839</v>
      </c>
      <c r="D2822" s="5">
        <v>198</v>
      </c>
      <c r="E2822">
        <v>58</v>
      </c>
      <c r="F2822" s="4" t="s">
        <v>585</v>
      </c>
      <c r="G2822" t="s">
        <v>29</v>
      </c>
      <c r="H2822" t="s">
        <v>586</v>
      </c>
    </row>
    <row r="2823" spans="1:8" x14ac:dyDescent="0.25">
      <c r="A2823" t="s">
        <v>881</v>
      </c>
      <c r="B2823" t="s">
        <v>207</v>
      </c>
      <c r="C2823" s="5">
        <v>711255</v>
      </c>
      <c r="D2823" s="5">
        <v>9961</v>
      </c>
      <c r="E2823">
        <v>29544</v>
      </c>
      <c r="F2823" s="4" t="s">
        <v>403</v>
      </c>
      <c r="G2823" t="s">
        <v>29</v>
      </c>
      <c r="H2823" t="s">
        <v>404</v>
      </c>
    </row>
    <row r="2824" spans="1:8" x14ac:dyDescent="0.25">
      <c r="A2824" t="s">
        <v>881</v>
      </c>
      <c r="B2824" t="s">
        <v>201</v>
      </c>
      <c r="C2824" s="5">
        <v>9015742</v>
      </c>
      <c r="D2824" s="5">
        <v>140717</v>
      </c>
      <c r="E2824">
        <v>8241090</v>
      </c>
      <c r="F2824" s="4" t="s">
        <v>41</v>
      </c>
      <c r="G2824" t="s">
        <v>29</v>
      </c>
      <c r="H2824" t="s">
        <v>42</v>
      </c>
    </row>
    <row r="2825" spans="1:8" x14ac:dyDescent="0.25">
      <c r="A2825" t="s">
        <v>881</v>
      </c>
      <c r="B2825" t="s">
        <v>198</v>
      </c>
      <c r="C2825" s="5">
        <v>35525</v>
      </c>
      <c r="D2825" s="5">
        <v>239</v>
      </c>
      <c r="E2825">
        <v>24489</v>
      </c>
      <c r="F2825" s="4" t="s">
        <v>92</v>
      </c>
      <c r="G2825" t="s">
        <v>29</v>
      </c>
      <c r="H2825" t="s">
        <v>93</v>
      </c>
    </row>
    <row r="2826" spans="1:8" x14ac:dyDescent="0.25">
      <c r="A2826" t="s">
        <v>881</v>
      </c>
      <c r="B2826" t="s">
        <v>195</v>
      </c>
      <c r="C2826" s="5">
        <v>6975502</v>
      </c>
      <c r="D2826" s="5">
        <v>115267</v>
      </c>
      <c r="E2826">
        <v>3078365</v>
      </c>
      <c r="F2826" s="4" t="s">
        <v>691</v>
      </c>
      <c r="G2826" t="s">
        <v>29</v>
      </c>
      <c r="H2826" t="s">
        <v>692</v>
      </c>
    </row>
    <row r="2827" spans="1:8" x14ac:dyDescent="0.25">
      <c r="A2827" t="s">
        <v>881</v>
      </c>
      <c r="B2827" t="s">
        <v>192</v>
      </c>
      <c r="C2827" s="5">
        <v>2011</v>
      </c>
      <c r="D2827" s="5">
        <v>2</v>
      </c>
      <c r="E2827">
        <v>292</v>
      </c>
      <c r="F2827" s="4" t="s">
        <v>865</v>
      </c>
      <c r="G2827" t="s">
        <v>29</v>
      </c>
      <c r="H2827" t="s">
        <v>866</v>
      </c>
    </row>
    <row r="2828" spans="1:8" x14ac:dyDescent="0.25">
      <c r="A2828" t="s">
        <v>881</v>
      </c>
      <c r="B2828" t="s">
        <v>189</v>
      </c>
      <c r="C2828" s="5">
        <v>52141</v>
      </c>
      <c r="D2828" s="5">
        <v>674</v>
      </c>
      <c r="E2828">
        <v>42172</v>
      </c>
      <c r="F2828" s="4" t="s">
        <v>417</v>
      </c>
      <c r="G2828" t="s">
        <v>29</v>
      </c>
      <c r="H2828" t="s">
        <v>418</v>
      </c>
    </row>
    <row r="2829" spans="1:8" x14ac:dyDescent="0.25">
      <c r="A2829" t="s">
        <v>881</v>
      </c>
      <c r="B2829" t="s">
        <v>186</v>
      </c>
      <c r="C2829" s="5">
        <v>157531</v>
      </c>
      <c r="D2829" s="5">
        <v>1158</v>
      </c>
      <c r="E2829">
        <v>2280</v>
      </c>
      <c r="F2829" s="4" t="s">
        <v>819</v>
      </c>
      <c r="G2829" t="s">
        <v>29</v>
      </c>
      <c r="H2829" t="s">
        <v>820</v>
      </c>
    </row>
    <row r="2830" spans="1:8" x14ac:dyDescent="0.25">
      <c r="A2830" t="s">
        <v>881</v>
      </c>
      <c r="B2830" t="s">
        <v>185</v>
      </c>
      <c r="C2830" s="5">
        <v>364576</v>
      </c>
      <c r="D2830" s="5">
        <v>6437</v>
      </c>
      <c r="E2830">
        <v>297037</v>
      </c>
      <c r="F2830" s="4" t="s">
        <v>769</v>
      </c>
      <c r="G2830" t="s">
        <v>29</v>
      </c>
      <c r="H2830" t="s">
        <v>770</v>
      </c>
    </row>
    <row r="2831" spans="1:8" x14ac:dyDescent="0.25">
      <c r="A2831" t="s">
        <v>881</v>
      </c>
      <c r="B2831" t="s">
        <v>182</v>
      </c>
      <c r="C2831" s="5">
        <v>5011148</v>
      </c>
      <c r="D2831" s="5">
        <v>87368</v>
      </c>
      <c r="E2831">
        <v>303512</v>
      </c>
      <c r="F2831" s="4" t="s">
        <v>183</v>
      </c>
      <c r="G2831" t="s">
        <v>29</v>
      </c>
      <c r="H2831" t="s">
        <v>184</v>
      </c>
    </row>
    <row r="2832" spans="1:8" x14ac:dyDescent="0.25">
      <c r="A2832" t="s">
        <v>881</v>
      </c>
      <c r="B2832" t="s">
        <v>179</v>
      </c>
      <c r="C2832" s="5">
        <v>6816</v>
      </c>
      <c r="D2832" s="5">
        <v>45</v>
      </c>
      <c r="E2832">
        <v>4926</v>
      </c>
      <c r="F2832" s="4" t="s">
        <v>162</v>
      </c>
      <c r="G2832" t="s">
        <v>29</v>
      </c>
      <c r="H2832" t="s">
        <v>163</v>
      </c>
    </row>
    <row r="2833" spans="1:8" x14ac:dyDescent="0.25">
      <c r="A2833" t="s">
        <v>881</v>
      </c>
      <c r="B2833" t="s">
        <v>176</v>
      </c>
      <c r="C2833" s="5">
        <v>329136</v>
      </c>
      <c r="D2833" s="5">
        <v>18535</v>
      </c>
      <c r="E2833">
        <v>187679</v>
      </c>
      <c r="F2833" s="4" t="s">
        <v>856</v>
      </c>
      <c r="G2833" t="s">
        <v>29</v>
      </c>
      <c r="H2833" t="s">
        <v>857</v>
      </c>
    </row>
    <row r="2834" spans="1:8" x14ac:dyDescent="0.25">
      <c r="A2834" t="s">
        <v>881</v>
      </c>
      <c r="B2834" t="s">
        <v>173</v>
      </c>
      <c r="C2834" s="5">
        <v>190201</v>
      </c>
      <c r="D2834" s="5">
        <v>1502</v>
      </c>
      <c r="E2834">
        <v>77203</v>
      </c>
      <c r="F2834" s="4" t="s">
        <v>174</v>
      </c>
      <c r="G2834" t="s">
        <v>29</v>
      </c>
      <c r="H2834" t="s">
        <v>175</v>
      </c>
    </row>
    <row r="2835" spans="1:8" x14ac:dyDescent="0.25">
      <c r="A2835" t="s">
        <v>881</v>
      </c>
      <c r="B2835" t="s">
        <v>170</v>
      </c>
      <c r="C2835" s="5">
        <v>515859</v>
      </c>
      <c r="D2835" s="5">
        <v>32958</v>
      </c>
      <c r="E2835">
        <v>185405</v>
      </c>
      <c r="F2835" s="4" t="s">
        <v>767</v>
      </c>
      <c r="G2835" t="s">
        <v>29</v>
      </c>
      <c r="H2835" t="s">
        <v>768</v>
      </c>
    </row>
    <row r="2836" spans="1:8" x14ac:dyDescent="0.25">
      <c r="A2836" t="s">
        <v>881</v>
      </c>
      <c r="B2836" t="s">
        <v>167</v>
      </c>
      <c r="C2836" s="5">
        <v>206270</v>
      </c>
      <c r="D2836" s="5">
        <v>5913</v>
      </c>
      <c r="E2836">
        <v>4258</v>
      </c>
      <c r="F2836" s="4" t="s">
        <v>168</v>
      </c>
      <c r="G2836" t="s">
        <v>29</v>
      </c>
      <c r="H2836" t="s">
        <v>169</v>
      </c>
    </row>
    <row r="2837" spans="1:8" x14ac:dyDescent="0.25">
      <c r="A2837" t="s">
        <v>881</v>
      </c>
      <c r="B2837" t="s">
        <v>164</v>
      </c>
      <c r="C2837" s="5">
        <v>380215</v>
      </c>
      <c r="D2837" s="5">
        <v>4126</v>
      </c>
      <c r="E2837">
        <v>150914</v>
      </c>
      <c r="F2837" s="4" t="s">
        <v>683</v>
      </c>
      <c r="G2837" t="s">
        <v>29</v>
      </c>
      <c r="H2837" t="s">
        <v>684</v>
      </c>
    </row>
    <row r="2838" spans="1:8" x14ac:dyDescent="0.25">
      <c r="A2838" t="s">
        <v>881</v>
      </c>
      <c r="B2838" t="s">
        <v>161</v>
      </c>
      <c r="C2838" s="5">
        <v>4783</v>
      </c>
      <c r="D2838" s="5">
        <v>32</v>
      </c>
      <c r="E2838">
        <v>2833</v>
      </c>
      <c r="F2838" s="4" t="s">
        <v>92</v>
      </c>
      <c r="G2838" t="s">
        <v>29</v>
      </c>
      <c r="H2838" t="s">
        <v>93</v>
      </c>
    </row>
    <row r="2839" spans="1:8" x14ac:dyDescent="0.25">
      <c r="A2839" t="s">
        <v>881</v>
      </c>
      <c r="B2839" t="s">
        <v>160</v>
      </c>
      <c r="C2839" s="5">
        <v>385379</v>
      </c>
      <c r="D2839" s="5">
        <v>2709</v>
      </c>
      <c r="E2839">
        <v>75468</v>
      </c>
      <c r="F2839" s="4" t="s">
        <v>211</v>
      </c>
      <c r="G2839" t="s">
        <v>29</v>
      </c>
      <c r="H2839" t="s">
        <v>212</v>
      </c>
    </row>
    <row r="2840" spans="1:8" x14ac:dyDescent="0.25">
      <c r="A2840" t="s">
        <v>881</v>
      </c>
      <c r="B2840" t="s">
        <v>157</v>
      </c>
      <c r="C2840" s="5">
        <v>13478</v>
      </c>
      <c r="D2840" s="5">
        <v>181</v>
      </c>
      <c r="E2840">
        <v>1979</v>
      </c>
      <c r="F2840" s="4" t="s">
        <v>264</v>
      </c>
      <c r="G2840" t="s">
        <v>29</v>
      </c>
      <c r="H2840" t="s">
        <v>265</v>
      </c>
    </row>
    <row r="2841" spans="1:8" x14ac:dyDescent="0.25">
      <c r="A2841" t="s">
        <v>881</v>
      </c>
      <c r="B2841" t="s">
        <v>154</v>
      </c>
      <c r="C2841" s="5">
        <v>4591264</v>
      </c>
      <c r="D2841" s="5">
        <v>95701</v>
      </c>
      <c r="E2841">
        <v>3052603</v>
      </c>
      <c r="F2841" s="4" t="s">
        <v>549</v>
      </c>
      <c r="G2841" t="s">
        <v>29</v>
      </c>
      <c r="H2841" t="s">
        <v>550</v>
      </c>
    </row>
    <row r="2842" spans="1:8" x14ac:dyDescent="0.25">
      <c r="A2842" t="s">
        <v>881</v>
      </c>
      <c r="B2842" t="s">
        <v>151</v>
      </c>
      <c r="C2842" s="5">
        <v>1752086</v>
      </c>
      <c r="D2842" s="5">
        <v>30705</v>
      </c>
      <c r="E2842">
        <v>74407</v>
      </c>
      <c r="F2842" s="4" t="s">
        <v>545</v>
      </c>
      <c r="G2842" t="s">
        <v>29</v>
      </c>
      <c r="H2842" t="s">
        <v>546</v>
      </c>
    </row>
    <row r="2843" spans="1:8" x14ac:dyDescent="0.25">
      <c r="A2843" t="s">
        <v>881</v>
      </c>
      <c r="B2843" t="s">
        <v>148</v>
      </c>
      <c r="C2843" s="5">
        <v>124017</v>
      </c>
      <c r="D2843" s="5">
        <v>572</v>
      </c>
      <c r="E2843">
        <v>34703</v>
      </c>
      <c r="F2843" s="4" t="s">
        <v>149</v>
      </c>
      <c r="G2843" t="s">
        <v>29</v>
      </c>
      <c r="H2843" t="s">
        <v>150</v>
      </c>
    </row>
    <row r="2844" spans="1:8" x14ac:dyDescent="0.25">
      <c r="A2844" t="s">
        <v>881</v>
      </c>
      <c r="B2844" t="s">
        <v>145</v>
      </c>
      <c r="C2844" s="5">
        <v>38197</v>
      </c>
      <c r="D2844" s="5">
        <v>349</v>
      </c>
      <c r="E2844">
        <v>33004</v>
      </c>
      <c r="F2844" s="4" t="s">
        <v>146</v>
      </c>
      <c r="G2844" t="s">
        <v>29</v>
      </c>
      <c r="H2844" t="s">
        <v>147</v>
      </c>
    </row>
    <row r="2845" spans="1:8" x14ac:dyDescent="0.25">
      <c r="A2845" t="s">
        <v>881</v>
      </c>
      <c r="B2845" t="s">
        <v>144</v>
      </c>
      <c r="C2845" s="5">
        <v>950613</v>
      </c>
      <c r="D2845" s="5">
        <v>8223</v>
      </c>
      <c r="E2845">
        <v>753366</v>
      </c>
      <c r="F2845" s="4" t="s">
        <v>498</v>
      </c>
      <c r="G2845" t="s">
        <v>29</v>
      </c>
      <c r="H2845" t="s">
        <v>499</v>
      </c>
    </row>
    <row r="2846" spans="1:8" x14ac:dyDescent="0.25">
      <c r="A2846" t="s">
        <v>881</v>
      </c>
      <c r="B2846" t="s">
        <v>143</v>
      </c>
      <c r="C2846" s="5">
        <v>559698</v>
      </c>
      <c r="D2846" s="5">
        <v>7029</v>
      </c>
      <c r="E2846">
        <v>497972</v>
      </c>
      <c r="F2846" s="4" t="s">
        <v>223</v>
      </c>
      <c r="G2846" t="s">
        <v>29</v>
      </c>
      <c r="H2846" t="s">
        <v>224</v>
      </c>
    </row>
    <row r="2847" spans="1:8" x14ac:dyDescent="0.25">
      <c r="A2847" t="s">
        <v>881</v>
      </c>
      <c r="B2847" t="s">
        <v>140</v>
      </c>
      <c r="C2847" s="5">
        <v>4999048</v>
      </c>
      <c r="D2847" s="5">
        <v>127225</v>
      </c>
      <c r="E2847">
        <v>1087561</v>
      </c>
      <c r="F2847" s="4" t="s">
        <v>141</v>
      </c>
      <c r="G2847" t="s">
        <v>29</v>
      </c>
      <c r="H2847" t="s">
        <v>142</v>
      </c>
    </row>
    <row r="2848" spans="1:8" x14ac:dyDescent="0.25">
      <c r="A2848" t="s">
        <v>881</v>
      </c>
      <c r="B2848" t="s">
        <v>137</v>
      </c>
      <c r="C2848" s="5">
        <v>97080</v>
      </c>
      <c r="D2848" s="5">
        <v>4636</v>
      </c>
      <c r="E2848">
        <v>65092</v>
      </c>
      <c r="F2848" s="4" t="s">
        <v>896</v>
      </c>
      <c r="G2848" t="s">
        <v>29</v>
      </c>
      <c r="H2848" t="s">
        <v>897</v>
      </c>
    </row>
    <row r="2849" spans="1:8" x14ac:dyDescent="0.25">
      <c r="A2849" t="s">
        <v>881</v>
      </c>
      <c r="B2849" t="s">
        <v>134</v>
      </c>
      <c r="C2849" s="5">
        <v>102499</v>
      </c>
      <c r="D2849" s="5">
        <v>1686</v>
      </c>
      <c r="E2849">
        <v>100703</v>
      </c>
      <c r="F2849" s="4" t="s">
        <v>196</v>
      </c>
      <c r="G2849" t="s">
        <v>29</v>
      </c>
      <c r="H2849" t="s">
        <v>197</v>
      </c>
    </row>
    <row r="2850" spans="1:8" x14ac:dyDescent="0.25">
      <c r="A2850" t="s">
        <v>881</v>
      </c>
      <c r="B2850" t="s">
        <v>131</v>
      </c>
      <c r="C2850" s="5">
        <v>1690735</v>
      </c>
      <c r="D2850" s="5">
        <v>37729</v>
      </c>
      <c r="E2850">
        <v>416843</v>
      </c>
      <c r="F2850" s="4" t="s">
        <v>421</v>
      </c>
      <c r="G2850" t="s">
        <v>29</v>
      </c>
      <c r="H2850" t="s">
        <v>422</v>
      </c>
    </row>
    <row r="2851" spans="1:8" x14ac:dyDescent="0.25">
      <c r="A2851" t="s">
        <v>881</v>
      </c>
      <c r="B2851" t="s">
        <v>128</v>
      </c>
      <c r="C2851" s="5">
        <v>61271</v>
      </c>
      <c r="D2851" s="5">
        <v>692</v>
      </c>
      <c r="E2851">
        <v>9666</v>
      </c>
      <c r="F2851" s="4" t="s">
        <v>267</v>
      </c>
      <c r="G2851" t="s">
        <v>29</v>
      </c>
      <c r="H2851" t="s">
        <v>268</v>
      </c>
    </row>
    <row r="2852" spans="1:8" x14ac:dyDescent="0.25">
      <c r="A2852" t="s">
        <v>881</v>
      </c>
      <c r="B2852" t="s">
        <v>127</v>
      </c>
      <c r="C2852" s="5">
        <v>872558</v>
      </c>
      <c r="D2852" s="5">
        <v>11233</v>
      </c>
      <c r="E2852">
        <v>465150</v>
      </c>
      <c r="F2852" s="4" t="s">
        <v>417</v>
      </c>
      <c r="G2852" t="s">
        <v>29</v>
      </c>
      <c r="H2852" t="s">
        <v>418</v>
      </c>
    </row>
    <row r="2853" spans="1:8" x14ac:dyDescent="0.25">
      <c r="A2853" t="s">
        <v>881</v>
      </c>
      <c r="B2853" t="s">
        <v>124</v>
      </c>
      <c r="C2853" s="5">
        <v>17323</v>
      </c>
      <c r="D2853" s="5">
        <v>258</v>
      </c>
      <c r="E2853">
        <v>2713</v>
      </c>
      <c r="F2853" s="4" t="s">
        <v>800</v>
      </c>
      <c r="G2853" t="s">
        <v>29</v>
      </c>
      <c r="H2853" t="s">
        <v>801</v>
      </c>
    </row>
    <row r="2854" spans="1:8" x14ac:dyDescent="0.25">
      <c r="A2854" t="s">
        <v>881</v>
      </c>
      <c r="B2854" t="s">
        <v>121</v>
      </c>
      <c r="C2854" s="5">
        <v>11518</v>
      </c>
      <c r="D2854" s="5">
        <v>100</v>
      </c>
      <c r="E2854">
        <v>6516</v>
      </c>
      <c r="F2854" s="4" t="s">
        <v>498</v>
      </c>
      <c r="G2854" t="s">
        <v>29</v>
      </c>
      <c r="H2854" t="s">
        <v>499</v>
      </c>
    </row>
    <row r="2855" spans="1:8" x14ac:dyDescent="0.25">
      <c r="A2855" t="s">
        <v>881</v>
      </c>
      <c r="B2855" t="s">
        <v>118</v>
      </c>
      <c r="C2855" s="5">
        <v>57470</v>
      </c>
      <c r="D2855" s="5">
        <v>1091</v>
      </c>
      <c r="E2855">
        <v>43069</v>
      </c>
      <c r="F2855" s="4" t="s">
        <v>652</v>
      </c>
      <c r="G2855" t="s">
        <v>29</v>
      </c>
      <c r="H2855" t="s">
        <v>653</v>
      </c>
    </row>
    <row r="2856" spans="1:8" x14ac:dyDescent="0.25">
      <c r="A2856" t="s">
        <v>881</v>
      </c>
      <c r="B2856" t="s">
        <v>115</v>
      </c>
      <c r="C2856" s="5">
        <v>1720340</v>
      </c>
      <c r="D2856" s="5">
        <v>29005</v>
      </c>
      <c r="E2856">
        <v>31996</v>
      </c>
      <c r="F2856" s="4" t="s">
        <v>152</v>
      </c>
      <c r="G2856" t="s">
        <v>29</v>
      </c>
      <c r="H2856" t="s">
        <v>153</v>
      </c>
    </row>
    <row r="2857" spans="1:8" x14ac:dyDescent="0.25">
      <c r="A2857" t="s">
        <v>881</v>
      </c>
      <c r="B2857" t="s">
        <v>112</v>
      </c>
      <c r="C2857" s="5">
        <v>26798</v>
      </c>
      <c r="D2857" s="5">
        <v>491</v>
      </c>
      <c r="E2857">
        <v>17312</v>
      </c>
      <c r="F2857" s="4" t="s">
        <v>812</v>
      </c>
      <c r="G2857" t="s">
        <v>29</v>
      </c>
      <c r="H2857" t="s">
        <v>813</v>
      </c>
    </row>
    <row r="2858" spans="1:8" x14ac:dyDescent="0.25">
      <c r="A2858" t="s">
        <v>881</v>
      </c>
      <c r="B2858" t="s">
        <v>109</v>
      </c>
      <c r="C2858" s="5">
        <v>596191</v>
      </c>
      <c r="D2858" s="5">
        <v>4596</v>
      </c>
      <c r="E2858">
        <v>176740</v>
      </c>
      <c r="F2858" s="4" t="s">
        <v>110</v>
      </c>
      <c r="G2858" t="s">
        <v>29</v>
      </c>
      <c r="H2858" t="s">
        <v>111</v>
      </c>
    </row>
    <row r="2859" spans="1:8" x14ac:dyDescent="0.25">
      <c r="A2859" t="s">
        <v>881</v>
      </c>
      <c r="B2859" t="s">
        <v>106</v>
      </c>
      <c r="C2859" s="5">
        <v>186594</v>
      </c>
      <c r="D2859" s="5">
        <v>2406</v>
      </c>
      <c r="E2859">
        <v>132137</v>
      </c>
      <c r="F2859" s="4" t="s">
        <v>417</v>
      </c>
      <c r="G2859" t="s">
        <v>29</v>
      </c>
      <c r="H2859" t="s">
        <v>418</v>
      </c>
    </row>
    <row r="2860" spans="1:8" x14ac:dyDescent="0.25">
      <c r="A2860" t="s">
        <v>881</v>
      </c>
      <c r="B2860" t="s">
        <v>103</v>
      </c>
      <c r="C2860" s="5">
        <v>2621</v>
      </c>
      <c r="D2860" s="5">
        <v>3</v>
      </c>
      <c r="E2860">
        <v>2442</v>
      </c>
      <c r="F2860" s="4" t="s">
        <v>104</v>
      </c>
      <c r="G2860" t="s">
        <v>29</v>
      </c>
      <c r="H2860" t="s">
        <v>105</v>
      </c>
    </row>
    <row r="2861" spans="1:8" x14ac:dyDescent="0.25">
      <c r="A2861" t="s">
        <v>881</v>
      </c>
      <c r="B2861" t="s">
        <v>100</v>
      </c>
      <c r="C2861" s="5">
        <v>22351</v>
      </c>
      <c r="D2861" s="5">
        <v>643</v>
      </c>
      <c r="E2861">
        <v>13146</v>
      </c>
      <c r="F2861" s="4" t="s">
        <v>860</v>
      </c>
      <c r="G2861" t="s">
        <v>29</v>
      </c>
      <c r="H2861" t="s">
        <v>861</v>
      </c>
    </row>
    <row r="2862" spans="1:8" x14ac:dyDescent="0.25">
      <c r="A2862" t="s">
        <v>881</v>
      </c>
      <c r="B2862" t="s">
        <v>97</v>
      </c>
      <c r="C2862" s="5">
        <v>21793401</v>
      </c>
      <c r="D2862" s="5">
        <v>607462</v>
      </c>
      <c r="E2862">
        <v>5897048</v>
      </c>
      <c r="F2862" s="4" t="s">
        <v>662</v>
      </c>
      <c r="G2862" t="s">
        <v>29</v>
      </c>
      <c r="H2862" t="s">
        <v>663</v>
      </c>
    </row>
    <row r="2863" spans="1:8" x14ac:dyDescent="0.25">
      <c r="A2863" t="s">
        <v>881</v>
      </c>
      <c r="B2863" t="s">
        <v>94</v>
      </c>
      <c r="C2863" s="5">
        <v>512460</v>
      </c>
      <c r="D2863" s="5">
        <v>18915</v>
      </c>
      <c r="E2863">
        <v>152136</v>
      </c>
      <c r="F2863" s="4" t="s">
        <v>898</v>
      </c>
      <c r="G2863" t="s">
        <v>29</v>
      </c>
      <c r="H2863" t="s">
        <v>899</v>
      </c>
    </row>
    <row r="2864" spans="1:8" x14ac:dyDescent="0.25">
      <c r="A2864" t="s">
        <v>881</v>
      </c>
      <c r="B2864" t="s">
        <v>91</v>
      </c>
      <c r="C2864" s="5">
        <v>12955</v>
      </c>
      <c r="D2864" s="5">
        <v>86</v>
      </c>
      <c r="E2864">
        <v>5193</v>
      </c>
      <c r="F2864" s="4" t="s">
        <v>162</v>
      </c>
      <c r="G2864" t="s">
        <v>29</v>
      </c>
      <c r="H2864" t="s">
        <v>163</v>
      </c>
    </row>
    <row r="2865" spans="1:8" x14ac:dyDescent="0.25">
      <c r="A2865" t="s">
        <v>881</v>
      </c>
      <c r="B2865" t="s">
        <v>88</v>
      </c>
      <c r="C2865" s="5">
        <v>1659</v>
      </c>
      <c r="D2865" s="5">
        <v>6</v>
      </c>
      <c r="E2865">
        <v>1550</v>
      </c>
      <c r="F2865" s="4" t="s">
        <v>89</v>
      </c>
      <c r="G2865" t="s">
        <v>29</v>
      </c>
      <c r="H2865" t="s">
        <v>90</v>
      </c>
    </row>
    <row r="2866" spans="1:8" x14ac:dyDescent="0.25">
      <c r="A2866" t="s">
        <v>881</v>
      </c>
      <c r="B2866" t="s">
        <v>85</v>
      </c>
      <c r="C2866" s="5">
        <v>24749</v>
      </c>
      <c r="D2866" s="5">
        <v>161</v>
      </c>
      <c r="E2866">
        <v>6682</v>
      </c>
      <c r="F2866" s="4" t="s">
        <v>86</v>
      </c>
      <c r="G2866" t="s">
        <v>29</v>
      </c>
      <c r="H2866" t="s">
        <v>87</v>
      </c>
    </row>
    <row r="2867" spans="1:8" x14ac:dyDescent="0.25">
      <c r="A2867" t="s">
        <v>881</v>
      </c>
      <c r="B2867" t="s">
        <v>82</v>
      </c>
      <c r="C2867" s="5">
        <v>20039</v>
      </c>
      <c r="D2867" s="5">
        <v>38</v>
      </c>
      <c r="E2867">
        <v>8676</v>
      </c>
      <c r="F2867" s="4" t="s">
        <v>83</v>
      </c>
      <c r="G2867" t="s">
        <v>29</v>
      </c>
      <c r="H2867" t="s">
        <v>84</v>
      </c>
    </row>
    <row r="2868" spans="1:8" x14ac:dyDescent="0.25">
      <c r="A2868" t="s">
        <v>881</v>
      </c>
      <c r="B2868" t="s">
        <v>79</v>
      </c>
      <c r="C2868" s="5">
        <v>276749</v>
      </c>
      <c r="D2868" s="5">
        <v>1393</v>
      </c>
      <c r="E2868">
        <v>79507</v>
      </c>
      <c r="F2868" s="4" t="s">
        <v>80</v>
      </c>
      <c r="G2868" t="s">
        <v>29</v>
      </c>
      <c r="H2868" t="s">
        <v>81</v>
      </c>
    </row>
    <row r="2869" spans="1:8" x14ac:dyDescent="0.25">
      <c r="A2869" t="s">
        <v>881</v>
      </c>
      <c r="B2869" t="s">
        <v>76</v>
      </c>
      <c r="C2869" s="5">
        <v>598199</v>
      </c>
      <c r="D2869" s="5">
        <v>23872</v>
      </c>
      <c r="E2869">
        <v>184498</v>
      </c>
      <c r="F2869" s="4" t="s">
        <v>817</v>
      </c>
      <c r="G2869" t="s">
        <v>29</v>
      </c>
      <c r="H2869" t="s">
        <v>818</v>
      </c>
    </row>
    <row r="2870" spans="1:8" x14ac:dyDescent="0.25">
      <c r="A2870" t="s">
        <v>881</v>
      </c>
      <c r="B2870" t="s">
        <v>73</v>
      </c>
      <c r="C2870" s="5">
        <v>14793</v>
      </c>
      <c r="D2870" s="5">
        <v>214</v>
      </c>
      <c r="E2870">
        <v>4986</v>
      </c>
      <c r="F2870" s="4" t="s">
        <v>342</v>
      </c>
      <c r="G2870" t="s">
        <v>29</v>
      </c>
      <c r="H2870" t="s">
        <v>343</v>
      </c>
    </row>
    <row r="2871" spans="1:8" x14ac:dyDescent="0.25">
      <c r="A2871" t="s">
        <v>881</v>
      </c>
      <c r="B2871" t="s">
        <v>70</v>
      </c>
      <c r="C2871" s="5">
        <v>1360650</v>
      </c>
      <c r="D2871" s="5">
        <v>25994</v>
      </c>
      <c r="E2871">
        <v>1304583</v>
      </c>
      <c r="F2871" s="4" t="s">
        <v>119</v>
      </c>
      <c r="G2871" t="s">
        <v>29</v>
      </c>
      <c r="H2871" t="s">
        <v>120</v>
      </c>
    </row>
    <row r="2872" spans="1:8" x14ac:dyDescent="0.25">
      <c r="A2872" t="s">
        <v>881</v>
      </c>
      <c r="B2872" t="s">
        <v>67</v>
      </c>
      <c r="C2872" s="5">
        <v>1569162</v>
      </c>
      <c r="D2872" s="5">
        <v>27854</v>
      </c>
      <c r="E2872">
        <v>1219889</v>
      </c>
      <c r="F2872" s="4" t="s">
        <v>68</v>
      </c>
      <c r="G2872" t="s">
        <v>29</v>
      </c>
      <c r="H2872" t="s">
        <v>69</v>
      </c>
    </row>
    <row r="2873" spans="1:8" x14ac:dyDescent="0.25">
      <c r="A2873" t="s">
        <v>881</v>
      </c>
      <c r="B2873" t="s">
        <v>64</v>
      </c>
      <c r="C2873" s="5">
        <v>17151</v>
      </c>
      <c r="D2873" s="5">
        <v>151</v>
      </c>
      <c r="E2873">
        <v>13924</v>
      </c>
      <c r="F2873" s="4" t="s">
        <v>609</v>
      </c>
      <c r="G2873" t="s">
        <v>29</v>
      </c>
      <c r="H2873" t="s">
        <v>610</v>
      </c>
    </row>
    <row r="2874" spans="1:8" x14ac:dyDescent="0.25">
      <c r="A2874" t="s">
        <v>881</v>
      </c>
      <c r="B2874" t="s">
        <v>61</v>
      </c>
      <c r="C2874" s="5">
        <v>252758</v>
      </c>
      <c r="D2874" s="5">
        <v>11495</v>
      </c>
      <c r="E2874">
        <v>36020</v>
      </c>
      <c r="F2874" s="4" t="s">
        <v>561</v>
      </c>
      <c r="G2874" t="s">
        <v>29</v>
      </c>
      <c r="H2874" t="s">
        <v>562</v>
      </c>
    </row>
    <row r="2875" spans="1:8" x14ac:dyDescent="0.25">
      <c r="A2875" t="s">
        <v>881</v>
      </c>
      <c r="B2875" t="s">
        <v>58</v>
      </c>
      <c r="C2875" s="5">
        <v>526920</v>
      </c>
      <c r="D2875" s="5">
        <v>7021</v>
      </c>
      <c r="E2875">
        <v>426210</v>
      </c>
      <c r="F2875" s="4" t="s">
        <v>59</v>
      </c>
      <c r="G2875" t="s">
        <v>29</v>
      </c>
      <c r="H2875" t="s">
        <v>60</v>
      </c>
    </row>
    <row r="2876" spans="1:8" x14ac:dyDescent="0.25">
      <c r="A2876" t="s">
        <v>881</v>
      </c>
      <c r="B2876" t="s">
        <v>55</v>
      </c>
      <c r="C2876" s="5">
        <v>169379</v>
      </c>
      <c r="D2876" s="5">
        <v>1722</v>
      </c>
      <c r="E2876">
        <v>121579</v>
      </c>
      <c r="F2876" s="4" t="s">
        <v>326</v>
      </c>
      <c r="G2876" t="s">
        <v>29</v>
      </c>
      <c r="H2876" t="s">
        <v>327</v>
      </c>
    </row>
    <row r="2877" spans="1:8" x14ac:dyDescent="0.25">
      <c r="A2877" t="s">
        <v>881</v>
      </c>
      <c r="B2877" t="s">
        <v>52</v>
      </c>
      <c r="C2877" s="5">
        <v>819195</v>
      </c>
      <c r="D2877" s="5">
        <v>11333</v>
      </c>
      <c r="E2877">
        <v>784305</v>
      </c>
      <c r="F2877" s="4" t="s">
        <v>158</v>
      </c>
      <c r="G2877" t="s">
        <v>29</v>
      </c>
      <c r="H2877" t="s">
        <v>159</v>
      </c>
    </row>
    <row r="2878" spans="1:8" x14ac:dyDescent="0.25">
      <c r="A2878" t="s">
        <v>881</v>
      </c>
      <c r="B2878" t="s">
        <v>49</v>
      </c>
      <c r="C2878" s="5">
        <v>5287447</v>
      </c>
      <c r="D2878" s="5">
        <v>115935</v>
      </c>
      <c r="E2878">
        <v>1996750</v>
      </c>
      <c r="F2878" s="4" t="s">
        <v>50</v>
      </c>
      <c r="G2878" t="s">
        <v>29</v>
      </c>
      <c r="H2878" t="s">
        <v>51</v>
      </c>
    </row>
    <row r="2879" spans="1:8" x14ac:dyDescent="0.25">
      <c r="A2879" t="s">
        <v>881</v>
      </c>
      <c r="B2879" t="s">
        <v>46</v>
      </c>
      <c r="C2879" s="5">
        <v>64301</v>
      </c>
      <c r="D2879" s="5">
        <v>1707</v>
      </c>
      <c r="E2879">
        <v>61062</v>
      </c>
      <c r="F2879" s="4" t="s">
        <v>862</v>
      </c>
      <c r="G2879" t="s">
        <v>29</v>
      </c>
      <c r="H2879" t="s">
        <v>863</v>
      </c>
    </row>
    <row r="2880" spans="1:8" x14ac:dyDescent="0.25">
      <c r="A2880" t="s">
        <v>881</v>
      </c>
      <c r="B2880" t="s">
        <v>43</v>
      </c>
      <c r="C2880" s="5">
        <v>304546</v>
      </c>
      <c r="D2880" s="5">
        <v>6232</v>
      </c>
      <c r="E2880">
        <v>173115</v>
      </c>
      <c r="F2880" s="4" t="s">
        <v>579</v>
      </c>
      <c r="G2880" t="s">
        <v>29</v>
      </c>
      <c r="H2880" t="s">
        <v>580</v>
      </c>
    </row>
    <row r="2881" spans="1:8" x14ac:dyDescent="0.25">
      <c r="A2881" t="s">
        <v>881</v>
      </c>
      <c r="B2881" t="s">
        <v>40</v>
      </c>
      <c r="C2881" s="5">
        <v>184340</v>
      </c>
      <c r="D2881" s="5">
        <v>2909</v>
      </c>
      <c r="E2881">
        <v>85773</v>
      </c>
      <c r="F2881" s="4" t="s">
        <v>577</v>
      </c>
      <c r="G2881" t="s">
        <v>29</v>
      </c>
      <c r="H2881" t="s">
        <v>578</v>
      </c>
    </row>
    <row r="2882" spans="1:8" x14ac:dyDescent="0.25">
      <c r="A2882" t="s">
        <v>881</v>
      </c>
      <c r="B2882" t="s">
        <v>37</v>
      </c>
      <c r="C2882" s="5">
        <v>4040</v>
      </c>
      <c r="D2882" s="5">
        <v>102</v>
      </c>
      <c r="E2882">
        <v>3157</v>
      </c>
      <c r="F2882" s="4" t="s">
        <v>729</v>
      </c>
      <c r="G2882" t="s">
        <v>29</v>
      </c>
      <c r="H2882" t="s">
        <v>730</v>
      </c>
    </row>
    <row r="2883" spans="1:8" x14ac:dyDescent="0.25">
      <c r="A2883" t="s">
        <v>881</v>
      </c>
      <c r="B2883" t="s">
        <v>34</v>
      </c>
      <c r="C2883" s="5">
        <v>156196</v>
      </c>
      <c r="D2883" s="5">
        <v>7269</v>
      </c>
      <c r="E2883">
        <v>142649</v>
      </c>
      <c r="F2883" s="4" t="s">
        <v>900</v>
      </c>
      <c r="G2883" t="s">
        <v>29</v>
      </c>
      <c r="H2883" t="s">
        <v>901</v>
      </c>
    </row>
    <row r="2884" spans="1:8" x14ac:dyDescent="0.25">
      <c r="A2884" t="s">
        <v>881</v>
      </c>
      <c r="B2884" t="s">
        <v>31</v>
      </c>
      <c r="C2884" s="5">
        <v>739736</v>
      </c>
      <c r="D2884" s="5">
        <v>2136</v>
      </c>
      <c r="E2884">
        <v>471023</v>
      </c>
      <c r="F2884" s="4" t="s">
        <v>32</v>
      </c>
      <c r="G2884" t="s">
        <v>29</v>
      </c>
      <c r="H2884" t="s">
        <v>33</v>
      </c>
    </row>
    <row r="2885" spans="1:8" x14ac:dyDescent="0.25">
      <c r="A2885" t="s">
        <v>881</v>
      </c>
      <c r="B2885" t="s">
        <v>27</v>
      </c>
      <c r="C2885" s="5">
        <v>15516</v>
      </c>
      <c r="D2885" s="5">
        <v>130</v>
      </c>
      <c r="E2885">
        <v>7657</v>
      </c>
      <c r="F2885" s="4" t="s">
        <v>397</v>
      </c>
      <c r="G2885" t="s">
        <v>29</v>
      </c>
      <c r="H2885" t="s">
        <v>398</v>
      </c>
    </row>
    <row r="2886" spans="1:8" x14ac:dyDescent="0.25">
      <c r="A2886" t="s">
        <v>902</v>
      </c>
      <c r="B2886" t="s">
        <v>27</v>
      </c>
      <c r="C2886" s="5">
        <v>15505</v>
      </c>
      <c r="D2886" s="5">
        <v>130</v>
      </c>
      <c r="E2886">
        <v>8693</v>
      </c>
      <c r="F2886" s="4" t="s">
        <v>397</v>
      </c>
      <c r="G2886" t="s">
        <v>29</v>
      </c>
      <c r="H2886" t="s">
        <v>398</v>
      </c>
    </row>
    <row r="2887" spans="1:8" x14ac:dyDescent="0.25">
      <c r="A2887" t="s">
        <v>902</v>
      </c>
      <c r="B2887" t="s">
        <v>31</v>
      </c>
      <c r="C2887" s="5">
        <v>739654</v>
      </c>
      <c r="D2887" s="5">
        <v>2135</v>
      </c>
      <c r="E2887">
        <v>520087</v>
      </c>
      <c r="F2887" s="4" t="s">
        <v>32</v>
      </c>
      <c r="G2887" t="s">
        <v>29</v>
      </c>
      <c r="H2887" t="s">
        <v>33</v>
      </c>
    </row>
    <row r="2888" spans="1:8" x14ac:dyDescent="0.25">
      <c r="A2888" t="s">
        <v>902</v>
      </c>
      <c r="B2888" t="s">
        <v>34</v>
      </c>
      <c r="C2888" s="5">
        <v>156166</v>
      </c>
      <c r="D2888" s="5">
        <v>7268</v>
      </c>
      <c r="E2888">
        <v>92015</v>
      </c>
      <c r="F2888" s="4" t="s">
        <v>900</v>
      </c>
      <c r="G2888" t="s">
        <v>29</v>
      </c>
      <c r="H2888" t="s">
        <v>901</v>
      </c>
    </row>
    <row r="2889" spans="1:8" x14ac:dyDescent="0.25">
      <c r="A2889" t="s">
        <v>902</v>
      </c>
      <c r="B2889" t="s">
        <v>37</v>
      </c>
      <c r="C2889" s="5">
        <v>4040</v>
      </c>
      <c r="D2889" s="5">
        <v>102</v>
      </c>
      <c r="E2889">
        <v>1987</v>
      </c>
      <c r="F2889" s="4" t="s">
        <v>729</v>
      </c>
      <c r="G2889" t="s">
        <v>29</v>
      </c>
      <c r="H2889" t="s">
        <v>730</v>
      </c>
    </row>
    <row r="2890" spans="1:8" x14ac:dyDescent="0.25">
      <c r="A2890" t="s">
        <v>902</v>
      </c>
      <c r="B2890" t="s">
        <v>40</v>
      </c>
      <c r="C2890" s="5">
        <v>183873</v>
      </c>
      <c r="D2890" s="5">
        <v>2902</v>
      </c>
      <c r="E2890">
        <v>179820</v>
      </c>
      <c r="F2890" s="4" t="s">
        <v>577</v>
      </c>
      <c r="G2890" t="s">
        <v>29</v>
      </c>
      <c r="H2890" t="s">
        <v>578</v>
      </c>
    </row>
    <row r="2891" spans="1:8" x14ac:dyDescent="0.25">
      <c r="A2891" t="s">
        <v>902</v>
      </c>
      <c r="B2891" t="s">
        <v>43</v>
      </c>
      <c r="C2891" s="5">
        <v>302450</v>
      </c>
      <c r="D2891" s="5">
        <v>6189</v>
      </c>
      <c r="E2891">
        <v>62957</v>
      </c>
      <c r="F2891" s="4" t="s">
        <v>579</v>
      </c>
      <c r="G2891" t="s">
        <v>29</v>
      </c>
      <c r="H2891" t="s">
        <v>580</v>
      </c>
    </row>
    <row r="2892" spans="1:8" x14ac:dyDescent="0.25">
      <c r="A2892" t="s">
        <v>902</v>
      </c>
      <c r="B2892" t="s">
        <v>46</v>
      </c>
      <c r="C2892" s="5">
        <v>64226</v>
      </c>
      <c r="D2892" s="5">
        <v>1705</v>
      </c>
      <c r="E2892">
        <v>5756</v>
      </c>
      <c r="F2892" s="4" t="s">
        <v>862</v>
      </c>
      <c r="G2892" t="s">
        <v>29</v>
      </c>
      <c r="H2892" t="s">
        <v>863</v>
      </c>
    </row>
    <row r="2893" spans="1:8" x14ac:dyDescent="0.25">
      <c r="A2893" t="s">
        <v>902</v>
      </c>
      <c r="B2893" t="s">
        <v>49</v>
      </c>
      <c r="C2893" s="5">
        <v>5286074</v>
      </c>
      <c r="D2893" s="5">
        <v>115916</v>
      </c>
      <c r="E2893">
        <v>3350076</v>
      </c>
      <c r="F2893" s="4" t="s">
        <v>50</v>
      </c>
      <c r="G2893" t="s">
        <v>29</v>
      </c>
      <c r="H2893" t="s">
        <v>51</v>
      </c>
    </row>
    <row r="2894" spans="1:8" x14ac:dyDescent="0.25">
      <c r="A2894" t="s">
        <v>902</v>
      </c>
      <c r="B2894" t="s">
        <v>52</v>
      </c>
      <c r="C2894" s="5">
        <v>813334</v>
      </c>
      <c r="D2894" s="5">
        <v>11316</v>
      </c>
      <c r="E2894">
        <v>186021</v>
      </c>
      <c r="F2894" s="4" t="s">
        <v>208</v>
      </c>
      <c r="G2894" t="s">
        <v>29</v>
      </c>
      <c r="H2894" t="s">
        <v>209</v>
      </c>
    </row>
    <row r="2895" spans="1:8" x14ac:dyDescent="0.25">
      <c r="A2895" t="s">
        <v>902</v>
      </c>
      <c r="B2895" t="s">
        <v>55</v>
      </c>
      <c r="C2895" s="5">
        <v>167790</v>
      </c>
      <c r="D2895" s="5">
        <v>1708</v>
      </c>
      <c r="E2895">
        <v>105464</v>
      </c>
      <c r="F2895" s="4" t="s">
        <v>326</v>
      </c>
      <c r="G2895" t="s">
        <v>29</v>
      </c>
      <c r="H2895" t="s">
        <v>327</v>
      </c>
    </row>
    <row r="2896" spans="1:8" x14ac:dyDescent="0.25">
      <c r="A2896" t="s">
        <v>902</v>
      </c>
      <c r="B2896" t="s">
        <v>58</v>
      </c>
      <c r="C2896" s="5">
        <v>524788</v>
      </c>
      <c r="D2896" s="5">
        <v>6995</v>
      </c>
      <c r="E2896">
        <v>58162</v>
      </c>
      <c r="F2896" s="4" t="s">
        <v>59</v>
      </c>
      <c r="G2896" t="s">
        <v>29</v>
      </c>
      <c r="H2896" t="s">
        <v>60</v>
      </c>
    </row>
    <row r="2897" spans="1:8" x14ac:dyDescent="0.25">
      <c r="A2897" t="s">
        <v>902</v>
      </c>
      <c r="B2897" t="s">
        <v>61</v>
      </c>
      <c r="C2897" s="5">
        <v>252083</v>
      </c>
      <c r="D2897" s="5">
        <v>11477</v>
      </c>
      <c r="E2897">
        <v>225579</v>
      </c>
      <c r="F2897" s="4" t="s">
        <v>561</v>
      </c>
      <c r="G2897" t="s">
        <v>29</v>
      </c>
      <c r="H2897" t="s">
        <v>562</v>
      </c>
    </row>
    <row r="2898" spans="1:8" x14ac:dyDescent="0.25">
      <c r="A2898" t="s">
        <v>902</v>
      </c>
      <c r="B2898" t="s">
        <v>64</v>
      </c>
      <c r="C2898" s="5">
        <v>16782</v>
      </c>
      <c r="D2898" s="5">
        <v>151</v>
      </c>
      <c r="E2898">
        <v>9346</v>
      </c>
      <c r="F2898" s="4" t="s">
        <v>667</v>
      </c>
      <c r="G2898" t="s">
        <v>29</v>
      </c>
      <c r="H2898" t="s">
        <v>668</v>
      </c>
    </row>
    <row r="2899" spans="1:8" x14ac:dyDescent="0.25">
      <c r="A2899" t="s">
        <v>902</v>
      </c>
      <c r="B2899" t="s">
        <v>67</v>
      </c>
      <c r="C2899" s="5">
        <v>1568857</v>
      </c>
      <c r="D2899" s="5">
        <v>27847</v>
      </c>
      <c r="E2899">
        <v>864394</v>
      </c>
      <c r="F2899" s="4" t="s">
        <v>769</v>
      </c>
      <c r="G2899" t="s">
        <v>29</v>
      </c>
      <c r="H2899" t="s">
        <v>770</v>
      </c>
    </row>
    <row r="2900" spans="1:8" x14ac:dyDescent="0.25">
      <c r="A2900" t="s">
        <v>902</v>
      </c>
      <c r="B2900" t="s">
        <v>70</v>
      </c>
      <c r="C2900" s="5">
        <v>1351913</v>
      </c>
      <c r="D2900" s="5">
        <v>25976</v>
      </c>
      <c r="E2900">
        <v>500994</v>
      </c>
      <c r="F2900" s="4" t="s">
        <v>721</v>
      </c>
      <c r="G2900" t="s">
        <v>29</v>
      </c>
      <c r="H2900" t="s">
        <v>722</v>
      </c>
    </row>
    <row r="2901" spans="1:8" x14ac:dyDescent="0.25">
      <c r="A2901" t="s">
        <v>902</v>
      </c>
      <c r="B2901" t="s">
        <v>73</v>
      </c>
      <c r="C2901" s="5">
        <v>14793</v>
      </c>
      <c r="D2901" s="5">
        <v>214</v>
      </c>
      <c r="E2901">
        <v>8725</v>
      </c>
      <c r="F2901" s="4" t="s">
        <v>342</v>
      </c>
      <c r="G2901" t="s">
        <v>29</v>
      </c>
      <c r="H2901" t="s">
        <v>343</v>
      </c>
    </row>
    <row r="2902" spans="1:8" x14ac:dyDescent="0.25">
      <c r="A2902" t="s">
        <v>902</v>
      </c>
      <c r="B2902" t="s">
        <v>76</v>
      </c>
      <c r="C2902" s="5">
        <v>592943</v>
      </c>
      <c r="D2902" s="5">
        <v>23718</v>
      </c>
      <c r="E2902">
        <v>368698</v>
      </c>
      <c r="F2902" s="4" t="s">
        <v>903</v>
      </c>
      <c r="G2902" t="s">
        <v>29</v>
      </c>
      <c r="H2902" t="s">
        <v>904</v>
      </c>
    </row>
    <row r="2903" spans="1:8" x14ac:dyDescent="0.25">
      <c r="A2903" t="s">
        <v>902</v>
      </c>
      <c r="B2903" t="s">
        <v>79</v>
      </c>
      <c r="C2903" s="5">
        <v>276718</v>
      </c>
      <c r="D2903" s="5">
        <v>1393</v>
      </c>
      <c r="E2903">
        <v>127834</v>
      </c>
      <c r="F2903" s="4" t="s">
        <v>80</v>
      </c>
      <c r="G2903" t="s">
        <v>29</v>
      </c>
      <c r="H2903" t="s">
        <v>81</v>
      </c>
    </row>
    <row r="2904" spans="1:8" x14ac:dyDescent="0.25">
      <c r="A2904" t="s">
        <v>902</v>
      </c>
      <c r="B2904" t="s">
        <v>82</v>
      </c>
      <c r="C2904" s="5">
        <v>20016</v>
      </c>
      <c r="D2904" s="5">
        <v>38</v>
      </c>
      <c r="E2904">
        <v>7820</v>
      </c>
      <c r="F2904" s="4" t="s">
        <v>83</v>
      </c>
      <c r="G2904" t="s">
        <v>29</v>
      </c>
      <c r="H2904" t="s">
        <v>84</v>
      </c>
    </row>
    <row r="2905" spans="1:8" x14ac:dyDescent="0.25">
      <c r="A2905" t="s">
        <v>902</v>
      </c>
      <c r="B2905" t="s">
        <v>85</v>
      </c>
      <c r="C2905" s="5">
        <v>24749</v>
      </c>
      <c r="D2905" s="5">
        <v>161</v>
      </c>
      <c r="E2905">
        <v>7571</v>
      </c>
      <c r="F2905" s="4" t="s">
        <v>86</v>
      </c>
      <c r="G2905" t="s">
        <v>29</v>
      </c>
      <c r="H2905" t="s">
        <v>87</v>
      </c>
    </row>
    <row r="2906" spans="1:8" x14ac:dyDescent="0.25">
      <c r="A2906" t="s">
        <v>902</v>
      </c>
      <c r="B2906" t="s">
        <v>88</v>
      </c>
      <c r="C2906" s="5">
        <v>1659</v>
      </c>
      <c r="D2906" s="5">
        <v>6</v>
      </c>
      <c r="E2906">
        <v>968</v>
      </c>
      <c r="F2906" s="4" t="s">
        <v>89</v>
      </c>
      <c r="G2906" t="s">
        <v>29</v>
      </c>
      <c r="H2906" t="s">
        <v>90</v>
      </c>
    </row>
    <row r="2907" spans="1:8" x14ac:dyDescent="0.25">
      <c r="A2907" t="s">
        <v>902</v>
      </c>
      <c r="B2907" t="s">
        <v>91</v>
      </c>
      <c r="C2907" s="5">
        <v>12823</v>
      </c>
      <c r="D2907" s="5">
        <v>83</v>
      </c>
      <c r="E2907">
        <v>6060</v>
      </c>
      <c r="F2907" s="4" t="s">
        <v>86</v>
      </c>
      <c r="G2907" t="s">
        <v>29</v>
      </c>
      <c r="H2907" t="s">
        <v>87</v>
      </c>
    </row>
    <row r="2908" spans="1:8" x14ac:dyDescent="0.25">
      <c r="A2908" t="s">
        <v>902</v>
      </c>
      <c r="B2908" t="s">
        <v>94</v>
      </c>
      <c r="C2908" s="5">
        <v>511854</v>
      </c>
      <c r="D2908" s="5">
        <v>18911</v>
      </c>
      <c r="E2908">
        <v>327463</v>
      </c>
      <c r="F2908" s="4" t="s">
        <v>898</v>
      </c>
      <c r="G2908" t="s">
        <v>29</v>
      </c>
      <c r="H2908" t="s">
        <v>899</v>
      </c>
    </row>
    <row r="2909" spans="1:8" x14ac:dyDescent="0.25">
      <c r="A2909" t="s">
        <v>902</v>
      </c>
      <c r="B2909" t="s">
        <v>97</v>
      </c>
      <c r="C2909" s="5">
        <v>21781436</v>
      </c>
      <c r="D2909" s="5">
        <v>607068</v>
      </c>
      <c r="E2909">
        <v>7492216</v>
      </c>
      <c r="F2909" s="4" t="s">
        <v>662</v>
      </c>
      <c r="G2909" t="s">
        <v>29</v>
      </c>
      <c r="H2909" t="s">
        <v>663</v>
      </c>
    </row>
    <row r="2910" spans="1:8" x14ac:dyDescent="0.25">
      <c r="A2910" t="s">
        <v>902</v>
      </c>
      <c r="B2910" t="s">
        <v>100</v>
      </c>
      <c r="C2910" s="5">
        <v>22351</v>
      </c>
      <c r="D2910" s="5">
        <v>643</v>
      </c>
      <c r="E2910">
        <v>14854</v>
      </c>
      <c r="F2910" s="4" t="s">
        <v>860</v>
      </c>
      <c r="G2910" t="s">
        <v>29</v>
      </c>
      <c r="H2910" t="s">
        <v>861</v>
      </c>
    </row>
    <row r="2911" spans="1:8" x14ac:dyDescent="0.25">
      <c r="A2911" t="s">
        <v>902</v>
      </c>
      <c r="B2911" t="s">
        <v>103</v>
      </c>
      <c r="C2911" s="5">
        <v>2621</v>
      </c>
      <c r="D2911" s="5">
        <v>3</v>
      </c>
      <c r="E2911">
        <v>908</v>
      </c>
      <c r="F2911" s="4" t="s">
        <v>104</v>
      </c>
      <c r="G2911" t="s">
        <v>29</v>
      </c>
      <c r="H2911" t="s">
        <v>105</v>
      </c>
    </row>
    <row r="2912" spans="1:8" x14ac:dyDescent="0.25">
      <c r="A2912" t="s">
        <v>902</v>
      </c>
      <c r="B2912" t="s">
        <v>106</v>
      </c>
      <c r="C2912" s="5">
        <v>186594</v>
      </c>
      <c r="D2912" s="5">
        <v>2406</v>
      </c>
      <c r="E2912">
        <v>173951</v>
      </c>
      <c r="F2912" s="4" t="s">
        <v>417</v>
      </c>
      <c r="G2912" t="s">
        <v>29</v>
      </c>
      <c r="H2912" t="s">
        <v>418</v>
      </c>
    </row>
    <row r="2913" spans="1:8" x14ac:dyDescent="0.25">
      <c r="A2913" t="s">
        <v>902</v>
      </c>
      <c r="B2913" t="s">
        <v>109</v>
      </c>
      <c r="C2913" s="5">
        <v>594203</v>
      </c>
      <c r="D2913" s="5">
        <v>4580</v>
      </c>
      <c r="E2913">
        <v>7816</v>
      </c>
      <c r="F2913" s="4" t="s">
        <v>110</v>
      </c>
      <c r="G2913" t="s">
        <v>29</v>
      </c>
      <c r="H2913" t="s">
        <v>111</v>
      </c>
    </row>
    <row r="2914" spans="1:8" x14ac:dyDescent="0.25">
      <c r="A2914" t="s">
        <v>902</v>
      </c>
      <c r="B2914" t="s">
        <v>112</v>
      </c>
      <c r="C2914" s="5">
        <v>26625</v>
      </c>
      <c r="D2914" s="5">
        <v>491</v>
      </c>
      <c r="E2914">
        <v>21749</v>
      </c>
      <c r="F2914" s="4" t="s">
        <v>905</v>
      </c>
      <c r="G2914" t="s">
        <v>29</v>
      </c>
      <c r="H2914" t="s">
        <v>906</v>
      </c>
    </row>
    <row r="2915" spans="1:8" x14ac:dyDescent="0.25">
      <c r="A2915" t="s">
        <v>902</v>
      </c>
      <c r="B2915" t="s">
        <v>115</v>
      </c>
      <c r="C2915" s="5">
        <v>1717762</v>
      </c>
      <c r="D2915" s="5">
        <v>28981</v>
      </c>
      <c r="E2915">
        <v>456383</v>
      </c>
      <c r="F2915" s="4" t="s">
        <v>152</v>
      </c>
      <c r="G2915" t="s">
        <v>29</v>
      </c>
      <c r="H2915" t="s">
        <v>153</v>
      </c>
    </row>
    <row r="2916" spans="1:8" x14ac:dyDescent="0.25">
      <c r="A2916" t="s">
        <v>902</v>
      </c>
      <c r="B2916" t="s">
        <v>118</v>
      </c>
      <c r="C2916" s="5">
        <v>57470</v>
      </c>
      <c r="D2916" s="5">
        <v>1091</v>
      </c>
      <c r="E2916">
        <v>43624</v>
      </c>
      <c r="F2916" s="4" t="s">
        <v>652</v>
      </c>
      <c r="G2916" t="s">
        <v>29</v>
      </c>
      <c r="H2916" t="s">
        <v>653</v>
      </c>
    </row>
    <row r="2917" spans="1:8" x14ac:dyDescent="0.25">
      <c r="A2917" t="s">
        <v>902</v>
      </c>
      <c r="B2917" t="s">
        <v>121</v>
      </c>
      <c r="C2917" s="5">
        <v>11518</v>
      </c>
      <c r="D2917" s="5">
        <v>100</v>
      </c>
      <c r="E2917">
        <v>2286</v>
      </c>
      <c r="F2917" s="4" t="s">
        <v>498</v>
      </c>
      <c r="G2917" t="s">
        <v>29</v>
      </c>
      <c r="H2917" t="s">
        <v>499</v>
      </c>
    </row>
    <row r="2918" spans="1:8" x14ac:dyDescent="0.25">
      <c r="A2918" t="s">
        <v>902</v>
      </c>
      <c r="B2918" t="s">
        <v>124</v>
      </c>
      <c r="C2918" s="5">
        <v>17323</v>
      </c>
      <c r="D2918" s="5">
        <v>258</v>
      </c>
      <c r="E2918">
        <v>15947</v>
      </c>
      <c r="F2918" s="4" t="s">
        <v>800</v>
      </c>
      <c r="G2918" t="s">
        <v>29</v>
      </c>
      <c r="H2918" t="s">
        <v>801</v>
      </c>
    </row>
    <row r="2919" spans="1:8" x14ac:dyDescent="0.25">
      <c r="A2919" t="s">
        <v>902</v>
      </c>
      <c r="B2919" t="s">
        <v>127</v>
      </c>
      <c r="C2919" s="5">
        <v>870837</v>
      </c>
      <c r="D2919" s="5">
        <v>11219</v>
      </c>
      <c r="E2919">
        <v>382162</v>
      </c>
      <c r="F2919" s="4" t="s">
        <v>417</v>
      </c>
      <c r="G2919" t="s">
        <v>29</v>
      </c>
      <c r="H2919" t="s">
        <v>418</v>
      </c>
    </row>
    <row r="2920" spans="1:8" x14ac:dyDescent="0.25">
      <c r="A2920" t="s">
        <v>902</v>
      </c>
      <c r="B2920" t="s">
        <v>128</v>
      </c>
      <c r="C2920" s="5">
        <v>61267</v>
      </c>
      <c r="D2920" s="5">
        <v>691</v>
      </c>
      <c r="E2920">
        <v>39558</v>
      </c>
      <c r="F2920" s="4" t="s">
        <v>267</v>
      </c>
      <c r="G2920" t="s">
        <v>29</v>
      </c>
      <c r="H2920" t="s">
        <v>268</v>
      </c>
    </row>
    <row r="2921" spans="1:8" x14ac:dyDescent="0.25">
      <c r="A2921" t="s">
        <v>902</v>
      </c>
      <c r="B2921" t="s">
        <v>131</v>
      </c>
      <c r="C2921" s="5">
        <v>1688454</v>
      </c>
      <c r="D2921" s="5">
        <v>37719</v>
      </c>
      <c r="E2921">
        <v>839769</v>
      </c>
      <c r="F2921" s="4" t="s">
        <v>421</v>
      </c>
      <c r="G2921" t="s">
        <v>29</v>
      </c>
      <c r="H2921" t="s">
        <v>422</v>
      </c>
    </row>
    <row r="2922" spans="1:8" x14ac:dyDescent="0.25">
      <c r="A2922" t="s">
        <v>902</v>
      </c>
      <c r="B2922" t="s">
        <v>134</v>
      </c>
      <c r="C2922" s="5">
        <v>102499</v>
      </c>
      <c r="D2922" s="5">
        <v>1686</v>
      </c>
      <c r="E2922">
        <v>60832</v>
      </c>
      <c r="F2922" s="4" t="s">
        <v>196</v>
      </c>
      <c r="G2922" t="s">
        <v>29</v>
      </c>
      <c r="H2922" t="s">
        <v>197</v>
      </c>
    </row>
    <row r="2923" spans="1:8" x14ac:dyDescent="0.25">
      <c r="A2923" t="s">
        <v>902</v>
      </c>
      <c r="B2923" t="s">
        <v>137</v>
      </c>
      <c r="C2923" s="5">
        <v>97002</v>
      </c>
      <c r="D2923" s="5">
        <v>4636</v>
      </c>
      <c r="E2923">
        <v>19414</v>
      </c>
      <c r="F2923" s="4" t="s">
        <v>896</v>
      </c>
      <c r="G2923" t="s">
        <v>29</v>
      </c>
      <c r="H2923" t="s">
        <v>897</v>
      </c>
    </row>
    <row r="2924" spans="1:8" x14ac:dyDescent="0.25">
      <c r="A2924" t="s">
        <v>902</v>
      </c>
      <c r="B2924" t="s">
        <v>140</v>
      </c>
      <c r="C2924" s="5">
        <v>4997444</v>
      </c>
      <c r="D2924" s="5">
        <v>127195</v>
      </c>
      <c r="E2924">
        <v>1016091</v>
      </c>
      <c r="F2924" s="4" t="s">
        <v>513</v>
      </c>
      <c r="G2924" t="s">
        <v>29</v>
      </c>
      <c r="H2924" t="s">
        <v>514</v>
      </c>
    </row>
    <row r="2925" spans="1:8" x14ac:dyDescent="0.25">
      <c r="A2925" t="s">
        <v>902</v>
      </c>
      <c r="B2925" t="s">
        <v>143</v>
      </c>
      <c r="C2925" s="5">
        <v>559250</v>
      </c>
      <c r="D2925" s="5">
        <v>7021</v>
      </c>
      <c r="E2925">
        <v>281449</v>
      </c>
      <c r="F2925" s="4" t="s">
        <v>223</v>
      </c>
      <c r="G2925" t="s">
        <v>29</v>
      </c>
      <c r="H2925" t="s">
        <v>224</v>
      </c>
    </row>
    <row r="2926" spans="1:8" x14ac:dyDescent="0.25">
      <c r="A2926" t="s">
        <v>902</v>
      </c>
      <c r="B2926" t="s">
        <v>144</v>
      </c>
      <c r="C2926" s="5">
        <v>949747</v>
      </c>
      <c r="D2926" s="5">
        <v>8219</v>
      </c>
      <c r="E2926">
        <v>876428</v>
      </c>
      <c r="F2926" s="4" t="s">
        <v>498</v>
      </c>
      <c r="G2926" t="s">
        <v>29</v>
      </c>
      <c r="H2926" t="s">
        <v>499</v>
      </c>
    </row>
    <row r="2927" spans="1:8" x14ac:dyDescent="0.25">
      <c r="A2927" t="s">
        <v>902</v>
      </c>
      <c r="B2927" t="s">
        <v>145</v>
      </c>
      <c r="C2927" s="5">
        <v>38181</v>
      </c>
      <c r="D2927" s="5">
        <v>349</v>
      </c>
      <c r="E2927">
        <v>26547</v>
      </c>
      <c r="F2927" s="4" t="s">
        <v>146</v>
      </c>
      <c r="G2927" t="s">
        <v>29</v>
      </c>
      <c r="H2927" t="s">
        <v>147</v>
      </c>
    </row>
    <row r="2928" spans="1:8" x14ac:dyDescent="0.25">
      <c r="A2928" t="s">
        <v>902</v>
      </c>
      <c r="B2928" t="s">
        <v>148</v>
      </c>
      <c r="C2928" s="5">
        <v>123908</v>
      </c>
      <c r="D2928" s="5">
        <v>572</v>
      </c>
      <c r="E2928">
        <v>5943</v>
      </c>
      <c r="F2928" s="4" t="s">
        <v>149</v>
      </c>
      <c r="G2928" t="s">
        <v>29</v>
      </c>
      <c r="H2928" t="s">
        <v>150</v>
      </c>
    </row>
    <row r="2929" spans="1:8" x14ac:dyDescent="0.25">
      <c r="A2929" t="s">
        <v>902</v>
      </c>
      <c r="B2929" t="s">
        <v>151</v>
      </c>
      <c r="C2929" s="5">
        <v>1747701</v>
      </c>
      <c r="D2929" s="5">
        <v>30689</v>
      </c>
      <c r="E2929">
        <v>827512</v>
      </c>
      <c r="F2929" s="4" t="s">
        <v>907</v>
      </c>
      <c r="G2929" t="s">
        <v>29</v>
      </c>
      <c r="H2929" t="s">
        <v>908</v>
      </c>
    </row>
    <row r="2930" spans="1:8" x14ac:dyDescent="0.25">
      <c r="A2930" t="s">
        <v>902</v>
      </c>
      <c r="B2930" t="s">
        <v>154</v>
      </c>
      <c r="C2930" s="5">
        <v>4553744</v>
      </c>
      <c r="D2930" s="5">
        <v>95522</v>
      </c>
      <c r="E2930">
        <v>3895079</v>
      </c>
      <c r="F2930" s="4" t="s">
        <v>557</v>
      </c>
      <c r="G2930" t="s">
        <v>29</v>
      </c>
      <c r="H2930" t="s">
        <v>558</v>
      </c>
    </row>
    <row r="2931" spans="1:8" x14ac:dyDescent="0.25">
      <c r="A2931" t="s">
        <v>902</v>
      </c>
      <c r="B2931" t="s">
        <v>157</v>
      </c>
      <c r="C2931" s="5">
        <v>13472</v>
      </c>
      <c r="D2931" s="5">
        <v>181</v>
      </c>
      <c r="E2931">
        <v>8466</v>
      </c>
      <c r="F2931" s="4" t="s">
        <v>264</v>
      </c>
      <c r="G2931" t="s">
        <v>29</v>
      </c>
      <c r="H2931" t="s">
        <v>265</v>
      </c>
    </row>
    <row r="2932" spans="1:8" x14ac:dyDescent="0.25">
      <c r="A2932" t="s">
        <v>902</v>
      </c>
      <c r="B2932" t="s">
        <v>160</v>
      </c>
      <c r="C2932" s="5">
        <v>383583</v>
      </c>
      <c r="D2932" s="5">
        <v>2709</v>
      </c>
      <c r="E2932">
        <v>114702</v>
      </c>
      <c r="F2932" s="4" t="s">
        <v>488</v>
      </c>
      <c r="G2932" t="s">
        <v>29</v>
      </c>
      <c r="H2932" t="s">
        <v>489</v>
      </c>
    </row>
    <row r="2933" spans="1:8" x14ac:dyDescent="0.25">
      <c r="A2933" t="s">
        <v>902</v>
      </c>
      <c r="B2933" t="s">
        <v>161</v>
      </c>
      <c r="C2933" s="5">
        <v>4742</v>
      </c>
      <c r="D2933" s="5">
        <v>31</v>
      </c>
      <c r="E2933">
        <v>1318</v>
      </c>
      <c r="F2933" s="4" t="s">
        <v>86</v>
      </c>
      <c r="G2933" t="s">
        <v>29</v>
      </c>
      <c r="H2933" t="s">
        <v>87</v>
      </c>
    </row>
    <row r="2934" spans="1:8" x14ac:dyDescent="0.25">
      <c r="A2934" t="s">
        <v>902</v>
      </c>
      <c r="B2934" t="s">
        <v>164</v>
      </c>
      <c r="C2934" s="5">
        <v>379336</v>
      </c>
      <c r="D2934" s="5">
        <v>4124</v>
      </c>
      <c r="E2934">
        <v>204482</v>
      </c>
      <c r="F2934" s="4" t="s">
        <v>683</v>
      </c>
      <c r="G2934" t="s">
        <v>29</v>
      </c>
      <c r="H2934" t="s">
        <v>684</v>
      </c>
    </row>
    <row r="2935" spans="1:8" x14ac:dyDescent="0.25">
      <c r="A2935" t="s">
        <v>902</v>
      </c>
      <c r="B2935" t="s">
        <v>167</v>
      </c>
      <c r="C2935" s="5">
        <v>206160</v>
      </c>
      <c r="D2935" s="5">
        <v>5907</v>
      </c>
      <c r="E2935">
        <v>13870</v>
      </c>
      <c r="F2935" s="4" t="s">
        <v>168</v>
      </c>
      <c r="G2935" t="s">
        <v>29</v>
      </c>
      <c r="H2935" t="s">
        <v>169</v>
      </c>
    </row>
    <row r="2936" spans="1:8" x14ac:dyDescent="0.25">
      <c r="A2936" t="s">
        <v>902</v>
      </c>
      <c r="B2936" t="s">
        <v>170</v>
      </c>
      <c r="C2936" s="5">
        <v>515859</v>
      </c>
      <c r="D2936" s="5">
        <v>32958</v>
      </c>
      <c r="E2936">
        <v>204180</v>
      </c>
      <c r="F2936" s="4" t="s">
        <v>767</v>
      </c>
      <c r="G2936" t="s">
        <v>29</v>
      </c>
      <c r="H2936" t="s">
        <v>768</v>
      </c>
    </row>
    <row r="2937" spans="1:8" x14ac:dyDescent="0.25">
      <c r="A2937" t="s">
        <v>902</v>
      </c>
      <c r="B2937" t="s">
        <v>173</v>
      </c>
      <c r="C2937" s="5">
        <v>188522</v>
      </c>
      <c r="D2937" s="5">
        <v>1491</v>
      </c>
      <c r="E2937">
        <v>66388</v>
      </c>
      <c r="F2937" s="4" t="s">
        <v>174</v>
      </c>
      <c r="G2937" t="s">
        <v>29</v>
      </c>
      <c r="H2937" t="s">
        <v>175</v>
      </c>
    </row>
    <row r="2938" spans="1:8" x14ac:dyDescent="0.25">
      <c r="A2938" t="s">
        <v>902</v>
      </c>
      <c r="B2938" t="s">
        <v>176</v>
      </c>
      <c r="C2938" s="5">
        <v>328209</v>
      </c>
      <c r="D2938" s="5">
        <v>18483</v>
      </c>
      <c r="E2938">
        <v>117538</v>
      </c>
      <c r="F2938" s="4" t="s">
        <v>856</v>
      </c>
      <c r="G2938" t="s">
        <v>29</v>
      </c>
      <c r="H2938" t="s">
        <v>857</v>
      </c>
    </row>
    <row r="2939" spans="1:8" x14ac:dyDescent="0.25">
      <c r="A2939" t="s">
        <v>902</v>
      </c>
      <c r="B2939" t="s">
        <v>179</v>
      </c>
      <c r="C2939" s="5">
        <v>6806</v>
      </c>
      <c r="D2939" s="5">
        <v>45</v>
      </c>
      <c r="E2939">
        <v>1563</v>
      </c>
      <c r="F2939" s="4" t="s">
        <v>162</v>
      </c>
      <c r="G2939" t="s">
        <v>29</v>
      </c>
      <c r="H2939" t="s">
        <v>163</v>
      </c>
    </row>
    <row r="2940" spans="1:8" x14ac:dyDescent="0.25">
      <c r="A2940" t="s">
        <v>902</v>
      </c>
      <c r="B2940" t="s">
        <v>182</v>
      </c>
      <c r="C2940" s="5">
        <v>5008887</v>
      </c>
      <c r="D2940" s="5">
        <v>87322</v>
      </c>
      <c r="E2940">
        <v>603141</v>
      </c>
      <c r="F2940" s="4" t="s">
        <v>183</v>
      </c>
      <c r="G2940" t="s">
        <v>29</v>
      </c>
      <c r="H2940" t="s">
        <v>184</v>
      </c>
    </row>
    <row r="2941" spans="1:8" x14ac:dyDescent="0.25">
      <c r="A2941" t="s">
        <v>902</v>
      </c>
      <c r="B2941" t="s">
        <v>185</v>
      </c>
      <c r="C2941" s="5">
        <v>364098</v>
      </c>
      <c r="D2941" s="5">
        <v>6428</v>
      </c>
      <c r="E2941">
        <v>297307</v>
      </c>
      <c r="F2941" s="4" t="s">
        <v>769</v>
      </c>
      <c r="G2941" t="s">
        <v>29</v>
      </c>
      <c r="H2941" t="s">
        <v>770</v>
      </c>
    </row>
    <row r="2942" spans="1:8" x14ac:dyDescent="0.25">
      <c r="A2942" t="s">
        <v>902</v>
      </c>
      <c r="B2942" t="s">
        <v>186</v>
      </c>
      <c r="C2942" s="5">
        <v>156959</v>
      </c>
      <c r="D2942" s="5">
        <v>1154</v>
      </c>
      <c r="E2942">
        <v>97366</v>
      </c>
      <c r="F2942" s="4" t="s">
        <v>819</v>
      </c>
      <c r="G2942" t="s">
        <v>29</v>
      </c>
      <c r="H2942" t="s">
        <v>820</v>
      </c>
    </row>
    <row r="2943" spans="1:8" x14ac:dyDescent="0.25">
      <c r="A2943" t="s">
        <v>902</v>
      </c>
      <c r="B2943" t="s">
        <v>189</v>
      </c>
      <c r="C2943" s="5">
        <v>52079</v>
      </c>
      <c r="D2943" s="5">
        <v>673</v>
      </c>
      <c r="E2943">
        <v>44153</v>
      </c>
      <c r="F2943" s="4" t="s">
        <v>417</v>
      </c>
      <c r="G2943" t="s">
        <v>29</v>
      </c>
      <c r="H2943" t="s">
        <v>418</v>
      </c>
    </row>
    <row r="2944" spans="1:8" x14ac:dyDescent="0.25">
      <c r="A2944" t="s">
        <v>902</v>
      </c>
      <c r="B2944" t="s">
        <v>192</v>
      </c>
      <c r="C2944" s="5">
        <v>1930</v>
      </c>
      <c r="D2944" s="5">
        <v>2</v>
      </c>
      <c r="E2944">
        <v>1875</v>
      </c>
      <c r="F2944" s="4" t="s">
        <v>865</v>
      </c>
      <c r="G2944" t="s">
        <v>29</v>
      </c>
      <c r="H2944" t="s">
        <v>866</v>
      </c>
    </row>
    <row r="2945" spans="1:8" x14ac:dyDescent="0.25">
      <c r="A2945" t="s">
        <v>902</v>
      </c>
      <c r="B2945" t="s">
        <v>195</v>
      </c>
      <c r="C2945" s="5">
        <v>6969404</v>
      </c>
      <c r="D2945" s="5">
        <v>115250</v>
      </c>
      <c r="E2945">
        <v>2602359</v>
      </c>
      <c r="F2945" s="4" t="s">
        <v>691</v>
      </c>
      <c r="G2945" t="s">
        <v>29</v>
      </c>
      <c r="H2945" t="s">
        <v>692</v>
      </c>
    </row>
    <row r="2946" spans="1:8" x14ac:dyDescent="0.25">
      <c r="A2946" t="s">
        <v>902</v>
      </c>
      <c r="B2946" t="s">
        <v>198</v>
      </c>
      <c r="C2946" s="5">
        <v>35252</v>
      </c>
      <c r="D2946" s="5">
        <v>235</v>
      </c>
      <c r="E2946">
        <v>2702</v>
      </c>
      <c r="F2946" s="4" t="s">
        <v>92</v>
      </c>
      <c r="G2946" t="s">
        <v>29</v>
      </c>
      <c r="H2946" t="s">
        <v>93</v>
      </c>
    </row>
    <row r="2947" spans="1:8" x14ac:dyDescent="0.25">
      <c r="A2947" t="s">
        <v>902</v>
      </c>
      <c r="B2947" t="s">
        <v>201</v>
      </c>
      <c r="C2947" s="5">
        <v>8972500</v>
      </c>
      <c r="D2947" s="5">
        <v>140530</v>
      </c>
      <c r="E2947">
        <v>8083156</v>
      </c>
      <c r="F2947" s="4" t="s">
        <v>217</v>
      </c>
      <c r="G2947" t="s">
        <v>29</v>
      </c>
      <c r="H2947" t="s">
        <v>218</v>
      </c>
    </row>
    <row r="2948" spans="1:8" x14ac:dyDescent="0.25">
      <c r="A2948" t="s">
        <v>902</v>
      </c>
      <c r="B2948" t="s">
        <v>207</v>
      </c>
      <c r="C2948" s="5">
        <v>707290</v>
      </c>
      <c r="D2948" s="5">
        <v>9918</v>
      </c>
      <c r="E2948">
        <v>562357</v>
      </c>
      <c r="F2948" s="4" t="s">
        <v>403</v>
      </c>
      <c r="G2948" t="s">
        <v>29</v>
      </c>
      <c r="H2948" t="s">
        <v>404</v>
      </c>
    </row>
    <row r="2949" spans="1:8" x14ac:dyDescent="0.25">
      <c r="A2949" t="s">
        <v>902</v>
      </c>
      <c r="B2949" t="s">
        <v>204</v>
      </c>
      <c r="C2949" s="5">
        <v>5834</v>
      </c>
      <c r="D2949" s="5">
        <v>197</v>
      </c>
      <c r="E2949">
        <v>4721</v>
      </c>
      <c r="F2949" s="4" t="s">
        <v>255</v>
      </c>
      <c r="G2949" t="s">
        <v>29</v>
      </c>
      <c r="H2949" t="s">
        <v>256</v>
      </c>
    </row>
    <row r="2950" spans="1:8" x14ac:dyDescent="0.25">
      <c r="A2950" t="s">
        <v>902</v>
      </c>
      <c r="B2950" t="s">
        <v>210</v>
      </c>
      <c r="C2950" s="5">
        <v>44438</v>
      </c>
      <c r="D2950" s="5">
        <v>304</v>
      </c>
      <c r="E2950">
        <v>8794</v>
      </c>
      <c r="F2950" s="4" t="s">
        <v>605</v>
      </c>
      <c r="G2950" t="s">
        <v>29</v>
      </c>
      <c r="H2950" t="s">
        <v>606</v>
      </c>
    </row>
    <row r="2951" spans="1:8" x14ac:dyDescent="0.25">
      <c r="A2951" t="s">
        <v>902</v>
      </c>
      <c r="B2951" t="s">
        <v>213</v>
      </c>
      <c r="C2951" s="5">
        <v>130077</v>
      </c>
      <c r="D2951" s="5">
        <v>1175</v>
      </c>
      <c r="E2951">
        <v>76320</v>
      </c>
      <c r="F2951" s="4" t="s">
        <v>667</v>
      </c>
      <c r="G2951" t="s">
        <v>29</v>
      </c>
      <c r="H2951" t="s">
        <v>668</v>
      </c>
    </row>
    <row r="2952" spans="1:8" x14ac:dyDescent="0.25">
      <c r="A2952" t="s">
        <v>902</v>
      </c>
      <c r="B2952" t="s">
        <v>216</v>
      </c>
      <c r="C2952" s="5">
        <v>5943</v>
      </c>
      <c r="D2952" s="5">
        <v>98</v>
      </c>
      <c r="E2952">
        <v>3920</v>
      </c>
      <c r="F2952" s="4" t="s">
        <v>691</v>
      </c>
      <c r="G2952" t="s">
        <v>29</v>
      </c>
      <c r="H2952" t="s">
        <v>692</v>
      </c>
    </row>
    <row r="2953" spans="1:8" x14ac:dyDescent="0.25">
      <c r="A2953" t="s">
        <v>902</v>
      </c>
      <c r="B2953" t="s">
        <v>222</v>
      </c>
      <c r="C2953" s="5">
        <v>30653</v>
      </c>
      <c r="D2953" s="5">
        <v>385</v>
      </c>
      <c r="E2953">
        <v>10387</v>
      </c>
      <c r="F2953" s="4" t="s">
        <v>223</v>
      </c>
      <c r="G2953" t="s">
        <v>29</v>
      </c>
      <c r="H2953" t="s">
        <v>224</v>
      </c>
    </row>
    <row r="2954" spans="1:8" x14ac:dyDescent="0.25">
      <c r="A2954" t="s">
        <v>902</v>
      </c>
      <c r="B2954" t="s">
        <v>219</v>
      </c>
      <c r="C2954" s="5">
        <v>9963</v>
      </c>
      <c r="D2954" s="5">
        <v>340</v>
      </c>
      <c r="E2954">
        <v>6261</v>
      </c>
      <c r="F2954" s="4" t="s">
        <v>205</v>
      </c>
      <c r="G2954" t="s">
        <v>29</v>
      </c>
      <c r="H2954" t="s">
        <v>206</v>
      </c>
    </row>
    <row r="2955" spans="1:8" x14ac:dyDescent="0.25">
      <c r="A2955" t="s">
        <v>902</v>
      </c>
      <c r="B2955" t="s">
        <v>225</v>
      </c>
      <c r="C2955" s="5">
        <v>54288</v>
      </c>
      <c r="D2955" s="5">
        <v>815</v>
      </c>
      <c r="E2955">
        <v>53036</v>
      </c>
      <c r="F2955" s="4" t="s">
        <v>226</v>
      </c>
      <c r="G2955" t="s">
        <v>29</v>
      </c>
      <c r="H2955" t="s">
        <v>227</v>
      </c>
    </row>
    <row r="2956" spans="1:8" x14ac:dyDescent="0.25">
      <c r="A2956" t="s">
        <v>902</v>
      </c>
      <c r="B2956" t="s">
        <v>228</v>
      </c>
      <c r="C2956" s="5">
        <v>13236</v>
      </c>
      <c r="D2956" s="5">
        <v>163</v>
      </c>
      <c r="E2956">
        <v>2251</v>
      </c>
      <c r="F2956" s="4" t="s">
        <v>798</v>
      </c>
      <c r="G2956" t="s">
        <v>29</v>
      </c>
      <c r="H2956" t="s">
        <v>799</v>
      </c>
    </row>
    <row r="2957" spans="1:8" x14ac:dyDescent="0.25">
      <c r="A2957" t="s">
        <v>902</v>
      </c>
      <c r="B2957" t="s">
        <v>229</v>
      </c>
      <c r="C2957" s="5">
        <v>731167</v>
      </c>
      <c r="D2957" s="5">
        <v>15801</v>
      </c>
      <c r="E2957">
        <v>409736</v>
      </c>
      <c r="F2957" s="4" t="s">
        <v>894</v>
      </c>
      <c r="G2957" t="s">
        <v>29</v>
      </c>
      <c r="H2957" t="s">
        <v>895</v>
      </c>
    </row>
    <row r="2958" spans="1:8" x14ac:dyDescent="0.25">
      <c r="A2958" t="s">
        <v>902</v>
      </c>
      <c r="B2958" t="s">
        <v>232</v>
      </c>
      <c r="C2958" s="5">
        <v>599042</v>
      </c>
      <c r="D2958" s="5">
        <v>14928</v>
      </c>
      <c r="E2958">
        <v>8211</v>
      </c>
      <c r="F2958" s="4" t="s">
        <v>424</v>
      </c>
      <c r="G2958" t="s">
        <v>29</v>
      </c>
      <c r="H2958" t="s">
        <v>425</v>
      </c>
    </row>
    <row r="2959" spans="1:8" x14ac:dyDescent="0.25">
      <c r="A2959" t="s">
        <v>902</v>
      </c>
      <c r="B2959" t="s">
        <v>233</v>
      </c>
      <c r="C2959" s="5">
        <v>6133</v>
      </c>
      <c r="D2959" s="5">
        <v>141</v>
      </c>
      <c r="E2959">
        <v>2260</v>
      </c>
      <c r="F2959" s="4" t="s">
        <v>619</v>
      </c>
      <c r="G2959" t="s">
        <v>29</v>
      </c>
      <c r="H2959" t="s">
        <v>620</v>
      </c>
    </row>
    <row r="2960" spans="1:8" x14ac:dyDescent="0.25">
      <c r="A2960" t="s">
        <v>902</v>
      </c>
      <c r="B2960" t="s">
        <v>236</v>
      </c>
      <c r="C2960" s="5">
        <v>35350</v>
      </c>
      <c r="D2960" s="5">
        <v>904</v>
      </c>
      <c r="E2960">
        <v>25445</v>
      </c>
      <c r="F2960" s="4" t="s">
        <v>38</v>
      </c>
      <c r="G2960" t="s">
        <v>29</v>
      </c>
      <c r="H2960" t="s">
        <v>39</v>
      </c>
    </row>
    <row r="2961" spans="1:8" x14ac:dyDescent="0.25">
      <c r="A2961" t="s">
        <v>902</v>
      </c>
      <c r="B2961" t="s">
        <v>239</v>
      </c>
      <c r="C2961" s="5">
        <v>12337</v>
      </c>
      <c r="D2961" s="5">
        <v>213</v>
      </c>
      <c r="E2961">
        <v>4881</v>
      </c>
      <c r="F2961" s="4" t="s">
        <v>765</v>
      </c>
      <c r="G2961" t="s">
        <v>29</v>
      </c>
      <c r="H2961" t="s">
        <v>766</v>
      </c>
    </row>
    <row r="2962" spans="1:8" x14ac:dyDescent="0.25">
      <c r="A2962" t="s">
        <v>902</v>
      </c>
      <c r="B2962" t="s">
        <v>242</v>
      </c>
      <c r="C2962" s="5">
        <v>375213</v>
      </c>
      <c r="D2962" s="5">
        <v>10235</v>
      </c>
      <c r="E2962">
        <v>27506</v>
      </c>
      <c r="F2962" s="4" t="s">
        <v>806</v>
      </c>
      <c r="G2962" t="s">
        <v>29</v>
      </c>
      <c r="H2962" t="s">
        <v>807</v>
      </c>
    </row>
    <row r="2963" spans="1:8" x14ac:dyDescent="0.25">
      <c r="A2963" t="s">
        <v>902</v>
      </c>
      <c r="B2963" t="s">
        <v>245</v>
      </c>
      <c r="C2963" s="5">
        <v>458090</v>
      </c>
      <c r="D2963" s="5">
        <v>9142</v>
      </c>
      <c r="E2963">
        <v>337424</v>
      </c>
      <c r="F2963" s="4" t="s">
        <v>573</v>
      </c>
      <c r="G2963" t="s">
        <v>29</v>
      </c>
      <c r="H2963" t="s">
        <v>574</v>
      </c>
    </row>
    <row r="2964" spans="1:8" x14ac:dyDescent="0.25">
      <c r="A2964" t="s">
        <v>902</v>
      </c>
      <c r="B2964" t="s">
        <v>248</v>
      </c>
      <c r="C2964" s="5">
        <v>23823</v>
      </c>
      <c r="D2964" s="5">
        <v>662</v>
      </c>
      <c r="E2964">
        <v>8411</v>
      </c>
      <c r="F2964" s="4" t="s">
        <v>98</v>
      </c>
      <c r="G2964" t="s">
        <v>29</v>
      </c>
      <c r="H2964" t="s">
        <v>99</v>
      </c>
    </row>
    <row r="2965" spans="1:8" x14ac:dyDescent="0.25">
      <c r="A2965" t="s">
        <v>902</v>
      </c>
      <c r="B2965" t="s">
        <v>251</v>
      </c>
      <c r="C2965" s="5">
        <v>859378</v>
      </c>
      <c r="D2965" s="5">
        <v>30692</v>
      </c>
      <c r="E2965">
        <v>515153</v>
      </c>
      <c r="F2965" s="4" t="s">
        <v>909</v>
      </c>
      <c r="G2965" t="s">
        <v>29</v>
      </c>
      <c r="H2965" t="s">
        <v>910</v>
      </c>
    </row>
    <row r="2966" spans="1:8" x14ac:dyDescent="0.25">
      <c r="A2966" t="s">
        <v>902</v>
      </c>
      <c r="B2966" t="s">
        <v>254</v>
      </c>
      <c r="C2966" s="5">
        <v>4242532</v>
      </c>
      <c r="D2966" s="5">
        <v>143333</v>
      </c>
      <c r="E2966">
        <v>2065795</v>
      </c>
      <c r="F2966" s="4" t="s">
        <v>255</v>
      </c>
      <c r="G2966" t="s">
        <v>29</v>
      </c>
      <c r="H2966" t="s">
        <v>256</v>
      </c>
    </row>
    <row r="2967" spans="1:8" x14ac:dyDescent="0.25">
      <c r="A2967" t="s">
        <v>902</v>
      </c>
      <c r="B2967" t="s">
        <v>257</v>
      </c>
      <c r="C2967" s="5">
        <v>438124</v>
      </c>
      <c r="D2967" s="5">
        <v>5436</v>
      </c>
      <c r="E2967">
        <v>226020</v>
      </c>
      <c r="F2967" s="4" t="s">
        <v>394</v>
      </c>
      <c r="G2967" t="s">
        <v>29</v>
      </c>
      <c r="H2967" t="s">
        <v>395</v>
      </c>
    </row>
    <row r="2968" spans="1:8" x14ac:dyDescent="0.25">
      <c r="A2968" t="s">
        <v>902</v>
      </c>
      <c r="B2968" t="s">
        <v>260</v>
      </c>
      <c r="C2968" s="5">
        <v>1326171</v>
      </c>
      <c r="D2968" s="5">
        <v>8081</v>
      </c>
      <c r="E2968">
        <v>134535</v>
      </c>
      <c r="F2968" s="4" t="s">
        <v>261</v>
      </c>
      <c r="G2968" t="s">
        <v>29</v>
      </c>
      <c r="H2968" t="s">
        <v>262</v>
      </c>
    </row>
    <row r="2969" spans="1:8" x14ac:dyDescent="0.25">
      <c r="A2969" t="s">
        <v>902</v>
      </c>
      <c r="B2969" t="s">
        <v>263</v>
      </c>
      <c r="C2969" s="5">
        <v>34246157</v>
      </c>
      <c r="D2969" s="5">
        <v>457191</v>
      </c>
      <c r="E2969">
        <v>26562366</v>
      </c>
      <c r="F2969" s="4" t="s">
        <v>264</v>
      </c>
      <c r="G2969" t="s">
        <v>29</v>
      </c>
      <c r="H2969" t="s">
        <v>265</v>
      </c>
    </row>
    <row r="2970" spans="1:8" x14ac:dyDescent="0.25">
      <c r="A2970" t="s">
        <v>902</v>
      </c>
      <c r="B2970" t="s">
        <v>266</v>
      </c>
      <c r="C2970" s="5">
        <v>2052123</v>
      </c>
      <c r="D2970" s="5">
        <v>23083</v>
      </c>
      <c r="E2970">
        <v>1425302</v>
      </c>
      <c r="F2970" s="4" t="s">
        <v>911</v>
      </c>
      <c r="G2970" t="s">
        <v>29</v>
      </c>
      <c r="H2970" t="s">
        <v>912</v>
      </c>
    </row>
    <row r="2971" spans="1:8" x14ac:dyDescent="0.25">
      <c r="A2971" t="s">
        <v>902</v>
      </c>
      <c r="B2971" t="s">
        <v>269</v>
      </c>
      <c r="C2971" s="5">
        <v>5899509</v>
      </c>
      <c r="D2971" s="5">
        <v>125875</v>
      </c>
      <c r="E2971">
        <v>2605280</v>
      </c>
      <c r="F2971" s="4" t="s">
        <v>650</v>
      </c>
      <c r="G2971" t="s">
        <v>29</v>
      </c>
      <c r="H2971" t="s">
        <v>651</v>
      </c>
    </row>
    <row r="2972" spans="1:8" x14ac:dyDescent="0.25">
      <c r="A2972" t="s">
        <v>902</v>
      </c>
      <c r="B2972" t="s">
        <v>272</v>
      </c>
      <c r="C2972" s="5">
        <v>13413</v>
      </c>
      <c r="D2972" s="5">
        <v>33</v>
      </c>
      <c r="E2972">
        <v>11749</v>
      </c>
      <c r="F2972" s="4" t="s">
        <v>433</v>
      </c>
      <c r="G2972" t="s">
        <v>29</v>
      </c>
      <c r="H2972" t="s">
        <v>434</v>
      </c>
    </row>
    <row r="2973" spans="1:8" x14ac:dyDescent="0.25">
      <c r="A2973" t="s">
        <v>902</v>
      </c>
      <c r="B2973" t="s">
        <v>275</v>
      </c>
      <c r="C2973" s="5">
        <v>4757231</v>
      </c>
      <c r="D2973" s="5">
        <v>132004</v>
      </c>
      <c r="E2973">
        <v>1216687</v>
      </c>
      <c r="F2973" s="4" t="s">
        <v>507</v>
      </c>
      <c r="G2973" t="s">
        <v>29</v>
      </c>
      <c r="H2973" t="s">
        <v>508</v>
      </c>
    </row>
    <row r="2974" spans="1:8" x14ac:dyDescent="0.25">
      <c r="A2974" t="s">
        <v>902</v>
      </c>
      <c r="B2974" t="s">
        <v>278</v>
      </c>
      <c r="C2974" s="5">
        <v>88666</v>
      </c>
      <c r="D2974" s="5">
        <v>2199</v>
      </c>
      <c r="E2974">
        <v>26855</v>
      </c>
      <c r="F2974" s="4" t="s">
        <v>913</v>
      </c>
      <c r="G2974" t="s">
        <v>29</v>
      </c>
      <c r="H2974" t="s">
        <v>914</v>
      </c>
    </row>
    <row r="2975" spans="1:8" x14ac:dyDescent="0.25">
      <c r="A2975" t="s">
        <v>902</v>
      </c>
      <c r="B2975" t="s">
        <v>279</v>
      </c>
      <c r="C2975" s="5">
        <v>858342</v>
      </c>
      <c r="D2975" s="5">
        <v>11000</v>
      </c>
      <c r="E2975">
        <v>94976</v>
      </c>
      <c r="F2975" s="4" t="s">
        <v>381</v>
      </c>
      <c r="G2975" t="s">
        <v>29</v>
      </c>
      <c r="H2975" t="s">
        <v>382</v>
      </c>
    </row>
    <row r="2976" spans="1:8" x14ac:dyDescent="0.25">
      <c r="A2976" t="s">
        <v>902</v>
      </c>
      <c r="B2976" t="s">
        <v>280</v>
      </c>
      <c r="C2976" s="5">
        <v>1718764</v>
      </c>
      <c r="D2976" s="5">
        <v>18245</v>
      </c>
      <c r="E2976">
        <v>563540</v>
      </c>
      <c r="F2976" s="4" t="s">
        <v>165</v>
      </c>
      <c r="G2976" t="s">
        <v>29</v>
      </c>
      <c r="H2976" t="s">
        <v>166</v>
      </c>
    </row>
    <row r="2977" spans="1:8" x14ac:dyDescent="0.25">
      <c r="A2977" t="s">
        <v>902</v>
      </c>
      <c r="B2977" t="s">
        <v>281</v>
      </c>
      <c r="C2977" s="5">
        <v>253018</v>
      </c>
      <c r="D2977" s="5">
        <v>5270</v>
      </c>
      <c r="E2977">
        <v>142423</v>
      </c>
      <c r="F2977" s="4" t="s">
        <v>549</v>
      </c>
      <c r="G2977" t="s">
        <v>29</v>
      </c>
      <c r="H2977" t="s">
        <v>550</v>
      </c>
    </row>
    <row r="2978" spans="1:8" x14ac:dyDescent="0.25">
      <c r="A2978" t="s">
        <v>902</v>
      </c>
      <c r="B2978" t="s">
        <v>284</v>
      </c>
      <c r="C2978" s="5">
        <v>180989</v>
      </c>
      <c r="D2978" s="5">
        <v>2664</v>
      </c>
      <c r="E2978">
        <v>33777</v>
      </c>
      <c r="F2978" s="4" t="s">
        <v>777</v>
      </c>
      <c r="G2978" t="s">
        <v>29</v>
      </c>
      <c r="H2978" t="s">
        <v>778</v>
      </c>
    </row>
    <row r="2979" spans="1:8" x14ac:dyDescent="0.25">
      <c r="A2979" t="s">
        <v>902</v>
      </c>
      <c r="B2979" t="s">
        <v>290</v>
      </c>
      <c r="C2979" s="5">
        <v>2</v>
      </c>
      <c r="D2979" s="5">
        <v>0</v>
      </c>
      <c r="E2979">
        <v>1</v>
      </c>
      <c r="F2979" s="4" t="s">
        <v>29</v>
      </c>
      <c r="G2979" t="s">
        <v>29</v>
      </c>
      <c r="H2979" t="s">
        <v>291</v>
      </c>
    </row>
    <row r="2980" spans="1:8" x14ac:dyDescent="0.25">
      <c r="A2980" t="s">
        <v>902</v>
      </c>
      <c r="B2980" t="s">
        <v>287</v>
      </c>
      <c r="C2980" s="5">
        <v>118220</v>
      </c>
      <c r="D2980" s="5">
        <v>2766</v>
      </c>
      <c r="E2980">
        <v>108830</v>
      </c>
      <c r="F2980" s="4" t="s">
        <v>681</v>
      </c>
      <c r="G2980" t="s">
        <v>29</v>
      </c>
      <c r="H2980" t="s">
        <v>682</v>
      </c>
    </row>
    <row r="2981" spans="1:8" x14ac:dyDescent="0.25">
      <c r="A2981" t="s">
        <v>902</v>
      </c>
      <c r="B2981" t="s">
        <v>292</v>
      </c>
      <c r="C2981" s="5">
        <v>4239</v>
      </c>
      <c r="D2981" s="5">
        <v>147</v>
      </c>
      <c r="E2981">
        <v>1183</v>
      </c>
      <c r="F2981" s="4" t="s">
        <v>867</v>
      </c>
      <c r="G2981" t="s">
        <v>29</v>
      </c>
      <c r="H2981" t="s">
        <v>868</v>
      </c>
    </row>
    <row r="2982" spans="1:8" x14ac:dyDescent="0.25">
      <c r="A2982" t="s">
        <v>902</v>
      </c>
      <c r="B2982" t="s">
        <v>293</v>
      </c>
      <c r="C2982" s="5">
        <v>2664</v>
      </c>
      <c r="D2982" s="5">
        <v>21</v>
      </c>
      <c r="E2982">
        <v>722</v>
      </c>
      <c r="F2982" s="4" t="s">
        <v>174</v>
      </c>
      <c r="G2982" t="s">
        <v>29</v>
      </c>
      <c r="H2982" t="s">
        <v>175</v>
      </c>
    </row>
    <row r="2983" spans="1:8" x14ac:dyDescent="0.25">
      <c r="A2983" t="s">
        <v>902</v>
      </c>
      <c r="B2983" t="s">
        <v>296</v>
      </c>
      <c r="C2983" s="5">
        <v>360536</v>
      </c>
      <c r="D2983" s="5">
        <v>2817</v>
      </c>
      <c r="E2983">
        <v>32680</v>
      </c>
      <c r="F2983" s="4" t="s">
        <v>297</v>
      </c>
      <c r="G2983" t="s">
        <v>29</v>
      </c>
      <c r="H2983" t="s">
        <v>298</v>
      </c>
    </row>
    <row r="2984" spans="1:8" x14ac:dyDescent="0.25">
      <c r="A2984" t="s">
        <v>902</v>
      </c>
      <c r="B2984" t="s">
        <v>299</v>
      </c>
      <c r="C2984" s="5">
        <v>412619</v>
      </c>
      <c r="D2984" s="5">
        <v>2461</v>
      </c>
      <c r="E2984">
        <v>399293</v>
      </c>
      <c r="F2984" s="4" t="s">
        <v>300</v>
      </c>
      <c r="G2984" t="s">
        <v>29</v>
      </c>
      <c r="H2984" t="s">
        <v>301</v>
      </c>
    </row>
    <row r="2985" spans="1:8" x14ac:dyDescent="0.25">
      <c r="A2985" t="s">
        <v>902</v>
      </c>
      <c r="B2985" t="s">
        <v>302</v>
      </c>
      <c r="C2985" s="5">
        <v>1015439</v>
      </c>
      <c r="D2985" s="5">
        <v>17050</v>
      </c>
      <c r="E2985">
        <v>157634</v>
      </c>
      <c r="F2985" s="4" t="s">
        <v>116</v>
      </c>
      <c r="G2985" t="s">
        <v>29</v>
      </c>
      <c r="H2985" t="s">
        <v>117</v>
      </c>
    </row>
    <row r="2986" spans="1:8" x14ac:dyDescent="0.25">
      <c r="A2986" t="s">
        <v>902</v>
      </c>
      <c r="B2986" t="s">
        <v>303</v>
      </c>
      <c r="C2986" s="5">
        <v>38281</v>
      </c>
      <c r="D2986" s="5">
        <v>59</v>
      </c>
      <c r="E2986">
        <v>16336</v>
      </c>
      <c r="F2986" s="4" t="s">
        <v>915</v>
      </c>
      <c r="G2986" t="s">
        <v>29</v>
      </c>
      <c r="H2986" t="s">
        <v>916</v>
      </c>
    </row>
    <row r="2987" spans="1:8" x14ac:dyDescent="0.25">
      <c r="A2987" t="s">
        <v>902</v>
      </c>
      <c r="B2987" t="s">
        <v>306</v>
      </c>
      <c r="C2987" s="5">
        <v>639995</v>
      </c>
      <c r="D2987" s="5">
        <v>8480</v>
      </c>
      <c r="E2987">
        <v>7254</v>
      </c>
      <c r="F2987" s="4" t="s">
        <v>59</v>
      </c>
      <c r="G2987" t="s">
        <v>29</v>
      </c>
      <c r="H2987" t="s">
        <v>60</v>
      </c>
    </row>
    <row r="2988" spans="1:8" x14ac:dyDescent="0.25">
      <c r="A2988" t="s">
        <v>902</v>
      </c>
      <c r="B2988" t="s">
        <v>309</v>
      </c>
      <c r="C2988" s="5">
        <v>12517</v>
      </c>
      <c r="D2988" s="5">
        <v>253</v>
      </c>
      <c r="E2988">
        <v>873</v>
      </c>
      <c r="F2988" s="4" t="s">
        <v>704</v>
      </c>
      <c r="G2988" t="s">
        <v>29</v>
      </c>
      <c r="H2988" t="s">
        <v>705</v>
      </c>
    </row>
    <row r="2989" spans="1:8" x14ac:dyDescent="0.25">
      <c r="A2989" t="s">
        <v>902</v>
      </c>
      <c r="B2989" t="s">
        <v>312</v>
      </c>
      <c r="C2989" s="5">
        <v>3653</v>
      </c>
      <c r="D2989" s="5">
        <v>61</v>
      </c>
      <c r="E2989">
        <v>348</v>
      </c>
      <c r="F2989" s="4" t="s">
        <v>827</v>
      </c>
      <c r="G2989" t="s">
        <v>29</v>
      </c>
      <c r="H2989" t="s">
        <v>828</v>
      </c>
    </row>
    <row r="2990" spans="1:8" x14ac:dyDescent="0.25">
      <c r="A2990" t="s">
        <v>902</v>
      </c>
      <c r="B2990" t="s">
        <v>315</v>
      </c>
      <c r="C2990" s="5">
        <v>538860</v>
      </c>
      <c r="D2990" s="5">
        <v>13696</v>
      </c>
      <c r="E2990">
        <v>91117</v>
      </c>
      <c r="F2990" s="4" t="s">
        <v>141</v>
      </c>
      <c r="G2990" t="s">
        <v>29</v>
      </c>
      <c r="H2990" t="s">
        <v>142</v>
      </c>
    </row>
    <row r="2991" spans="1:8" x14ac:dyDescent="0.25">
      <c r="A2991" t="s">
        <v>902</v>
      </c>
      <c r="B2991" t="s">
        <v>316</v>
      </c>
      <c r="C2991" s="5">
        <v>5812</v>
      </c>
      <c r="D2991" s="5">
        <v>287</v>
      </c>
      <c r="E2991">
        <v>242</v>
      </c>
      <c r="F2991" s="4" t="s">
        <v>644</v>
      </c>
      <c r="G2991" t="s">
        <v>29</v>
      </c>
      <c r="H2991" t="s">
        <v>645</v>
      </c>
    </row>
    <row r="2992" spans="1:8" x14ac:dyDescent="0.25">
      <c r="A2992" t="s">
        <v>902</v>
      </c>
      <c r="B2992" t="s">
        <v>319</v>
      </c>
      <c r="C2992" s="5">
        <v>21624</v>
      </c>
      <c r="D2992" s="5">
        <v>657</v>
      </c>
      <c r="E2992">
        <v>15238</v>
      </c>
      <c r="F2992" s="4" t="s">
        <v>320</v>
      </c>
      <c r="G2992" t="s">
        <v>29</v>
      </c>
      <c r="H2992" t="s">
        <v>321</v>
      </c>
    </row>
    <row r="2993" spans="1:8" x14ac:dyDescent="0.25">
      <c r="A2993" t="s">
        <v>902</v>
      </c>
      <c r="B2993" t="s">
        <v>322</v>
      </c>
      <c r="C2993" s="5">
        <v>399532</v>
      </c>
      <c r="D2993" s="5">
        <v>5766</v>
      </c>
      <c r="E2993">
        <v>379399</v>
      </c>
      <c r="F2993" s="4" t="s">
        <v>330</v>
      </c>
      <c r="G2993" t="s">
        <v>29</v>
      </c>
      <c r="H2993" t="s">
        <v>331</v>
      </c>
    </row>
    <row r="2994" spans="1:8" x14ac:dyDescent="0.25">
      <c r="A2994" t="s">
        <v>902</v>
      </c>
      <c r="B2994" t="s">
        <v>325</v>
      </c>
      <c r="C2994" s="5">
        <v>81501</v>
      </c>
      <c r="D2994" s="5">
        <v>843</v>
      </c>
      <c r="E2994">
        <v>53877</v>
      </c>
      <c r="F2994" s="4" t="s">
        <v>687</v>
      </c>
      <c r="G2994" t="s">
        <v>29</v>
      </c>
      <c r="H2994" t="s">
        <v>688</v>
      </c>
    </row>
    <row r="2995" spans="1:8" x14ac:dyDescent="0.25">
      <c r="A2995" t="s">
        <v>902</v>
      </c>
      <c r="B2995" t="s">
        <v>328</v>
      </c>
      <c r="C2995" s="5">
        <v>211702</v>
      </c>
      <c r="D2995" s="5">
        <v>3173</v>
      </c>
      <c r="E2995">
        <v>172272</v>
      </c>
      <c r="F2995" s="4" t="s">
        <v>226</v>
      </c>
      <c r="G2995" t="s">
        <v>29</v>
      </c>
      <c r="H2995" t="s">
        <v>227</v>
      </c>
    </row>
    <row r="2996" spans="1:8" x14ac:dyDescent="0.25">
      <c r="A2996" t="s">
        <v>902</v>
      </c>
      <c r="B2996" t="s">
        <v>329</v>
      </c>
      <c r="C2996" s="5">
        <v>356086</v>
      </c>
      <c r="D2996" s="5">
        <v>5061</v>
      </c>
      <c r="E2996">
        <v>110439</v>
      </c>
      <c r="F2996" s="4" t="s">
        <v>640</v>
      </c>
      <c r="G2996" t="s">
        <v>29</v>
      </c>
      <c r="H2996" t="s">
        <v>641</v>
      </c>
    </row>
    <row r="2997" spans="1:8" x14ac:dyDescent="0.25">
      <c r="A2997" t="s">
        <v>902</v>
      </c>
      <c r="B2997" t="s">
        <v>332</v>
      </c>
      <c r="C2997" s="5">
        <v>945504</v>
      </c>
      <c r="D2997" s="5">
        <v>14654</v>
      </c>
      <c r="E2997">
        <v>402185</v>
      </c>
      <c r="F2997" s="4" t="s">
        <v>333</v>
      </c>
      <c r="G2997" t="s">
        <v>29</v>
      </c>
      <c r="H2997" t="s">
        <v>334</v>
      </c>
    </row>
    <row r="2998" spans="1:8" x14ac:dyDescent="0.25">
      <c r="A2998" t="s">
        <v>902</v>
      </c>
      <c r="B2998" t="s">
        <v>335</v>
      </c>
      <c r="C2998" s="5">
        <v>3407</v>
      </c>
      <c r="D2998" s="5">
        <v>36</v>
      </c>
      <c r="E2998">
        <v>2259</v>
      </c>
      <c r="F2998" s="4" t="s">
        <v>165</v>
      </c>
      <c r="G2998" t="s">
        <v>29</v>
      </c>
      <c r="H2998" t="s">
        <v>166</v>
      </c>
    </row>
    <row r="2999" spans="1:8" x14ac:dyDescent="0.25">
      <c r="A2999" t="s">
        <v>902</v>
      </c>
      <c r="B2999" t="s">
        <v>338</v>
      </c>
      <c r="C2999" s="5">
        <v>334287</v>
      </c>
      <c r="D2999" s="5">
        <v>7665</v>
      </c>
      <c r="E2999">
        <v>182548</v>
      </c>
      <c r="F2999" s="4" t="s">
        <v>528</v>
      </c>
      <c r="G2999" t="s">
        <v>29</v>
      </c>
      <c r="H2999" t="s">
        <v>529</v>
      </c>
    </row>
    <row r="3000" spans="1:8" x14ac:dyDescent="0.25">
      <c r="A3000" t="s">
        <v>902</v>
      </c>
      <c r="B3000" t="s">
        <v>341</v>
      </c>
      <c r="C3000" s="5">
        <v>142807</v>
      </c>
      <c r="D3000" s="5">
        <v>2087</v>
      </c>
      <c r="E3000">
        <v>8831</v>
      </c>
      <c r="F3000" s="4" t="s">
        <v>565</v>
      </c>
      <c r="G3000" t="s">
        <v>29</v>
      </c>
      <c r="H3000" t="s">
        <v>566</v>
      </c>
    </row>
    <row r="3001" spans="1:8" x14ac:dyDescent="0.25">
      <c r="A3001" t="s">
        <v>902</v>
      </c>
      <c r="B3001" t="s">
        <v>344</v>
      </c>
      <c r="C3001" s="5">
        <v>3920</v>
      </c>
      <c r="D3001" s="5">
        <v>55</v>
      </c>
      <c r="E3001">
        <v>3257</v>
      </c>
      <c r="F3001" s="4" t="s">
        <v>403</v>
      </c>
      <c r="G3001" t="s">
        <v>29</v>
      </c>
      <c r="H3001" t="s">
        <v>404</v>
      </c>
    </row>
    <row r="3002" spans="1:8" x14ac:dyDescent="0.25">
      <c r="A3002" t="s">
        <v>902</v>
      </c>
      <c r="B3002" t="s">
        <v>347</v>
      </c>
      <c r="C3002" s="5">
        <v>43626</v>
      </c>
      <c r="D3002" s="5">
        <v>963</v>
      </c>
      <c r="E3002">
        <v>5559</v>
      </c>
      <c r="F3002" s="4" t="s">
        <v>132</v>
      </c>
      <c r="G3002" t="s">
        <v>29</v>
      </c>
      <c r="H3002" t="s">
        <v>133</v>
      </c>
    </row>
    <row r="3003" spans="1:8" x14ac:dyDescent="0.25">
      <c r="A3003" t="s">
        <v>902</v>
      </c>
      <c r="B3003" t="s">
        <v>348</v>
      </c>
      <c r="C3003" s="5">
        <v>4</v>
      </c>
      <c r="D3003" s="5">
        <v>0</v>
      </c>
      <c r="E3003">
        <v>3</v>
      </c>
      <c r="F3003" s="4" t="s">
        <v>29</v>
      </c>
      <c r="G3003" t="s">
        <v>29</v>
      </c>
      <c r="H3003" t="s">
        <v>291</v>
      </c>
    </row>
    <row r="3004" spans="1:8" x14ac:dyDescent="0.25">
      <c r="A3004" t="s">
        <v>902</v>
      </c>
      <c r="B3004" t="s">
        <v>349</v>
      </c>
      <c r="C3004" s="5">
        <v>201292</v>
      </c>
      <c r="D3004" s="5">
        <v>7098</v>
      </c>
      <c r="E3004">
        <v>170553</v>
      </c>
      <c r="F3004" s="4" t="s">
        <v>430</v>
      </c>
      <c r="G3004" t="s">
        <v>29</v>
      </c>
      <c r="H3004" t="s">
        <v>431</v>
      </c>
    </row>
    <row r="3005" spans="1:8" x14ac:dyDescent="0.25">
      <c r="A3005" t="s">
        <v>902</v>
      </c>
      <c r="B3005" t="s">
        <v>352</v>
      </c>
      <c r="C3005" s="5">
        <v>15947</v>
      </c>
      <c r="D3005" s="5">
        <v>562</v>
      </c>
      <c r="E3005">
        <v>2548</v>
      </c>
      <c r="F3005" s="4" t="s">
        <v>353</v>
      </c>
      <c r="G3005" t="s">
        <v>29</v>
      </c>
      <c r="H3005" t="s">
        <v>354</v>
      </c>
    </row>
    <row r="3006" spans="1:8" x14ac:dyDescent="0.25">
      <c r="A3006" t="s">
        <v>902</v>
      </c>
      <c r="B3006" t="s">
        <v>355</v>
      </c>
      <c r="C3006" s="5">
        <v>497700</v>
      </c>
      <c r="D3006" s="5">
        <v>18622</v>
      </c>
      <c r="E3006">
        <v>347994</v>
      </c>
      <c r="F3006" s="4" t="s">
        <v>829</v>
      </c>
      <c r="G3006" t="s">
        <v>29</v>
      </c>
      <c r="H3006" t="s">
        <v>830</v>
      </c>
    </row>
    <row r="3007" spans="1:8" x14ac:dyDescent="0.25">
      <c r="A3007" t="s">
        <v>902</v>
      </c>
      <c r="B3007" t="s">
        <v>358</v>
      </c>
      <c r="C3007" s="5">
        <v>356765</v>
      </c>
      <c r="D3007" s="5">
        <v>1711</v>
      </c>
      <c r="E3007">
        <v>269838</v>
      </c>
      <c r="F3007" s="4" t="s">
        <v>848</v>
      </c>
      <c r="G3007" t="s">
        <v>29</v>
      </c>
      <c r="H3007" t="s">
        <v>849</v>
      </c>
    </row>
    <row r="3008" spans="1:8" x14ac:dyDescent="0.25">
      <c r="A3008" t="s">
        <v>902</v>
      </c>
      <c r="B3008" t="s">
        <v>359</v>
      </c>
      <c r="C3008" s="5">
        <v>77</v>
      </c>
      <c r="D3008" s="5">
        <v>0</v>
      </c>
      <c r="E3008">
        <v>18</v>
      </c>
      <c r="F3008" s="4" t="s">
        <v>29</v>
      </c>
      <c r="G3008" t="s">
        <v>29</v>
      </c>
      <c r="H3008" t="s">
        <v>291</v>
      </c>
    </row>
    <row r="3009" spans="1:8" x14ac:dyDescent="0.25">
      <c r="A3009" t="s">
        <v>902</v>
      </c>
      <c r="B3009" t="s">
        <v>360</v>
      </c>
      <c r="C3009" s="5">
        <v>43022</v>
      </c>
      <c r="D3009" s="5">
        <v>675</v>
      </c>
      <c r="E3009">
        <v>18215</v>
      </c>
      <c r="F3009" s="4" t="s">
        <v>217</v>
      </c>
      <c r="G3009" t="s">
        <v>29</v>
      </c>
      <c r="H3009" t="s">
        <v>218</v>
      </c>
    </row>
    <row r="3010" spans="1:8" x14ac:dyDescent="0.25">
      <c r="A3010" t="s">
        <v>902</v>
      </c>
      <c r="B3010" t="s">
        <v>363</v>
      </c>
      <c r="C3010" s="5">
        <v>37155</v>
      </c>
      <c r="D3010" s="5">
        <v>794</v>
      </c>
      <c r="E3010">
        <v>22340</v>
      </c>
      <c r="F3010" s="4" t="s">
        <v>823</v>
      </c>
      <c r="G3010" t="s">
        <v>29</v>
      </c>
      <c r="H3010" t="s">
        <v>824</v>
      </c>
    </row>
    <row r="3011" spans="1:8" x14ac:dyDescent="0.25">
      <c r="A3011" t="s">
        <v>902</v>
      </c>
      <c r="B3011" t="s">
        <v>364</v>
      </c>
      <c r="C3011" s="5">
        <v>37610</v>
      </c>
      <c r="D3011" s="5">
        <v>460</v>
      </c>
      <c r="E3011">
        <v>863</v>
      </c>
      <c r="F3011" s="4" t="s">
        <v>365</v>
      </c>
      <c r="G3011" t="s">
        <v>29</v>
      </c>
      <c r="H3011" t="s">
        <v>366</v>
      </c>
    </row>
    <row r="3012" spans="1:8" x14ac:dyDescent="0.25">
      <c r="A3012" t="s">
        <v>902</v>
      </c>
      <c r="B3012" t="s">
        <v>367</v>
      </c>
      <c r="C3012" s="5">
        <v>17586</v>
      </c>
      <c r="D3012" s="5">
        <v>164</v>
      </c>
      <c r="E3012">
        <v>8886</v>
      </c>
      <c r="F3012" s="4" t="s">
        <v>484</v>
      </c>
      <c r="G3012" t="s">
        <v>29</v>
      </c>
      <c r="H3012" t="s">
        <v>485</v>
      </c>
    </row>
    <row r="3013" spans="1:8" x14ac:dyDescent="0.25">
      <c r="A3013" t="s">
        <v>902</v>
      </c>
      <c r="B3013" t="s">
        <v>368</v>
      </c>
      <c r="C3013" s="5">
        <v>87487</v>
      </c>
      <c r="D3013" s="5">
        <v>243</v>
      </c>
      <c r="E3013">
        <v>39901</v>
      </c>
      <c r="F3013" s="4" t="s">
        <v>369</v>
      </c>
      <c r="G3013" t="s">
        <v>29</v>
      </c>
      <c r="H3013" t="s">
        <v>370</v>
      </c>
    </row>
    <row r="3014" spans="1:8" x14ac:dyDescent="0.25">
      <c r="A3014" t="s">
        <v>902</v>
      </c>
      <c r="B3014" t="s">
        <v>371</v>
      </c>
      <c r="C3014" s="5">
        <v>61782</v>
      </c>
      <c r="D3014" s="5">
        <v>2298</v>
      </c>
      <c r="E3014">
        <v>37264</v>
      </c>
      <c r="F3014" s="4" t="s">
        <v>372</v>
      </c>
      <c r="G3014" t="s">
        <v>29</v>
      </c>
      <c r="H3014" t="s">
        <v>373</v>
      </c>
    </row>
    <row r="3015" spans="1:8" x14ac:dyDescent="0.25">
      <c r="A3015" t="s">
        <v>902</v>
      </c>
      <c r="B3015" t="s">
        <v>374</v>
      </c>
      <c r="C3015" s="5">
        <v>3798286</v>
      </c>
      <c r="D3015" s="5">
        <v>287631</v>
      </c>
      <c r="E3015">
        <v>3323963</v>
      </c>
      <c r="F3015" s="4" t="s">
        <v>375</v>
      </c>
      <c r="G3015" t="s">
        <v>29</v>
      </c>
      <c r="H3015" t="s">
        <v>376</v>
      </c>
    </row>
    <row r="3016" spans="1:8" x14ac:dyDescent="0.25">
      <c r="A3016" t="s">
        <v>902</v>
      </c>
      <c r="B3016" t="s">
        <v>377</v>
      </c>
      <c r="C3016" s="5">
        <v>2454749</v>
      </c>
      <c r="D3016" s="5">
        <v>28769</v>
      </c>
      <c r="E3016">
        <v>189803</v>
      </c>
      <c r="F3016" s="4" t="s">
        <v>378</v>
      </c>
      <c r="G3016" t="s">
        <v>29</v>
      </c>
      <c r="H3016" t="s">
        <v>379</v>
      </c>
    </row>
    <row r="3017" spans="1:8" x14ac:dyDescent="0.25">
      <c r="A3017" t="s">
        <v>902</v>
      </c>
      <c r="B3017" t="s">
        <v>380</v>
      </c>
      <c r="C3017" s="5">
        <v>151260</v>
      </c>
      <c r="D3017" s="5">
        <v>1929</v>
      </c>
      <c r="E3017">
        <v>55710</v>
      </c>
      <c r="F3017" s="4" t="s">
        <v>381</v>
      </c>
      <c r="G3017" t="s">
        <v>29</v>
      </c>
      <c r="H3017" t="s">
        <v>382</v>
      </c>
    </row>
    <row r="3018" spans="1:8" x14ac:dyDescent="0.25">
      <c r="A3018" t="s">
        <v>902</v>
      </c>
      <c r="B3018" t="s">
        <v>383</v>
      </c>
      <c r="C3018" s="5">
        <v>128880</v>
      </c>
      <c r="D3018" s="5">
        <v>3550</v>
      </c>
      <c r="E3018">
        <v>115734</v>
      </c>
      <c r="F3018" s="4" t="s">
        <v>276</v>
      </c>
      <c r="G3018" t="s">
        <v>29</v>
      </c>
      <c r="H3018" t="s">
        <v>277</v>
      </c>
    </row>
    <row r="3019" spans="1:8" x14ac:dyDescent="0.25">
      <c r="A3019" t="s">
        <v>902</v>
      </c>
      <c r="B3019" t="s">
        <v>386</v>
      </c>
      <c r="C3019" s="5">
        <v>10848</v>
      </c>
      <c r="D3019" s="5">
        <v>264</v>
      </c>
      <c r="E3019">
        <v>8454</v>
      </c>
      <c r="F3019" s="4" t="s">
        <v>917</v>
      </c>
      <c r="G3019" t="s">
        <v>29</v>
      </c>
      <c r="H3019" t="s">
        <v>918</v>
      </c>
    </row>
    <row r="3020" spans="1:8" x14ac:dyDescent="0.25">
      <c r="A3020" t="s">
        <v>902</v>
      </c>
      <c r="B3020" t="s">
        <v>387</v>
      </c>
      <c r="C3020" s="5">
        <v>6300</v>
      </c>
      <c r="D3020" s="5">
        <v>211</v>
      </c>
      <c r="E3020">
        <v>1005</v>
      </c>
      <c r="F3020" s="4" t="s">
        <v>831</v>
      </c>
      <c r="G3020" t="s">
        <v>29</v>
      </c>
      <c r="H3020" t="s">
        <v>832</v>
      </c>
    </row>
    <row r="3021" spans="1:8" x14ac:dyDescent="0.25">
      <c r="A3021" t="s">
        <v>902</v>
      </c>
      <c r="B3021" t="s">
        <v>390</v>
      </c>
      <c r="C3021" s="5">
        <v>211678</v>
      </c>
      <c r="D3021" s="5">
        <v>2892</v>
      </c>
      <c r="E3021">
        <v>195032</v>
      </c>
      <c r="F3021" s="4" t="s">
        <v>391</v>
      </c>
      <c r="G3021" t="s">
        <v>29</v>
      </c>
      <c r="H3021" t="s">
        <v>392</v>
      </c>
    </row>
    <row r="3022" spans="1:8" x14ac:dyDescent="0.25">
      <c r="A3022" t="s">
        <v>902</v>
      </c>
      <c r="B3022" t="s">
        <v>393</v>
      </c>
      <c r="C3022" s="5">
        <v>16422</v>
      </c>
      <c r="D3022" s="5">
        <v>208</v>
      </c>
      <c r="E3022">
        <v>6102</v>
      </c>
      <c r="F3022" s="4" t="s">
        <v>53</v>
      </c>
      <c r="G3022" t="s">
        <v>29</v>
      </c>
      <c r="H3022" t="s">
        <v>54</v>
      </c>
    </row>
    <row r="3023" spans="1:8" x14ac:dyDescent="0.25">
      <c r="A3023" t="s">
        <v>902</v>
      </c>
      <c r="B3023" t="s">
        <v>396</v>
      </c>
      <c r="C3023" s="5">
        <v>2148383</v>
      </c>
      <c r="D3023" s="5">
        <v>18810</v>
      </c>
      <c r="E3023">
        <v>649524</v>
      </c>
      <c r="F3023" s="4" t="s">
        <v>609</v>
      </c>
      <c r="G3023" t="s">
        <v>29</v>
      </c>
      <c r="H3023" t="s">
        <v>610</v>
      </c>
    </row>
    <row r="3024" spans="1:8" x14ac:dyDescent="0.25">
      <c r="A3024" t="s">
        <v>902</v>
      </c>
      <c r="B3024" t="s">
        <v>399</v>
      </c>
      <c r="C3024" s="5">
        <v>204730</v>
      </c>
      <c r="D3024" s="5">
        <v>900</v>
      </c>
      <c r="E3024">
        <v>102140</v>
      </c>
      <c r="F3024" s="4" t="s">
        <v>871</v>
      </c>
      <c r="G3024" t="s">
        <v>29</v>
      </c>
      <c r="H3024" t="s">
        <v>872</v>
      </c>
    </row>
    <row r="3025" spans="1:8" x14ac:dyDescent="0.25">
      <c r="A3025" t="s">
        <v>902</v>
      </c>
      <c r="B3025" t="s">
        <v>402</v>
      </c>
      <c r="C3025" s="5">
        <v>811407</v>
      </c>
      <c r="D3025" s="5">
        <v>11382</v>
      </c>
      <c r="E3025">
        <v>492690</v>
      </c>
      <c r="F3025" s="4" t="s">
        <v>403</v>
      </c>
      <c r="G3025" t="s">
        <v>29</v>
      </c>
      <c r="H3025" t="s">
        <v>404</v>
      </c>
    </row>
    <row r="3026" spans="1:8" x14ac:dyDescent="0.25">
      <c r="A3026" t="s">
        <v>902</v>
      </c>
      <c r="B3026" t="s">
        <v>405</v>
      </c>
      <c r="C3026" s="5">
        <v>6125</v>
      </c>
      <c r="D3026" s="5">
        <v>28</v>
      </c>
      <c r="E3026">
        <v>812</v>
      </c>
      <c r="F3026" s="4" t="s">
        <v>149</v>
      </c>
      <c r="G3026" t="s">
        <v>29</v>
      </c>
      <c r="H3026" t="s">
        <v>150</v>
      </c>
    </row>
    <row r="3027" spans="1:8" x14ac:dyDescent="0.25">
      <c r="A3027" t="s">
        <v>902</v>
      </c>
      <c r="B3027" t="s">
        <v>408</v>
      </c>
      <c r="C3027" s="5">
        <v>304241</v>
      </c>
      <c r="D3027" s="5">
        <v>4111</v>
      </c>
      <c r="E3027">
        <v>290703</v>
      </c>
      <c r="F3027" s="4" t="s">
        <v>409</v>
      </c>
      <c r="G3027" t="s">
        <v>29</v>
      </c>
      <c r="H3027" t="s">
        <v>410</v>
      </c>
    </row>
    <row r="3028" spans="1:8" x14ac:dyDescent="0.25">
      <c r="A3028" t="s">
        <v>902</v>
      </c>
      <c r="B3028" t="s">
        <v>411</v>
      </c>
      <c r="C3028" s="5">
        <v>472197</v>
      </c>
      <c r="D3028" s="5">
        <v>7314</v>
      </c>
      <c r="E3028">
        <v>275799</v>
      </c>
      <c r="F3028" s="4" t="s">
        <v>333</v>
      </c>
      <c r="G3028" t="s">
        <v>29</v>
      </c>
      <c r="H3028" t="s">
        <v>334</v>
      </c>
    </row>
    <row r="3029" spans="1:8" x14ac:dyDescent="0.25">
      <c r="A3029" t="s">
        <v>902</v>
      </c>
      <c r="B3029" t="s">
        <v>412</v>
      </c>
      <c r="C3029" s="5">
        <v>2199036</v>
      </c>
      <c r="D3029" s="5">
        <v>200179</v>
      </c>
      <c r="E3029">
        <v>1343286</v>
      </c>
      <c r="F3029" s="4" t="s">
        <v>873</v>
      </c>
      <c r="G3029" t="s">
        <v>29</v>
      </c>
      <c r="H3029" t="s">
        <v>874</v>
      </c>
    </row>
    <row r="3030" spans="1:8" x14ac:dyDescent="0.25">
      <c r="A3030" t="s">
        <v>902</v>
      </c>
      <c r="B3030" t="s">
        <v>415</v>
      </c>
      <c r="C3030" s="5">
        <v>45541</v>
      </c>
      <c r="D3030" s="5">
        <v>636</v>
      </c>
      <c r="E3030">
        <v>9400</v>
      </c>
      <c r="F3030" s="4" t="s">
        <v>403</v>
      </c>
      <c r="G3030" t="s">
        <v>29</v>
      </c>
      <c r="H3030" t="s">
        <v>404</v>
      </c>
    </row>
    <row r="3031" spans="1:8" x14ac:dyDescent="0.25">
      <c r="A3031" t="s">
        <v>902</v>
      </c>
      <c r="B3031" t="s">
        <v>416</v>
      </c>
      <c r="C3031" s="5">
        <v>28823</v>
      </c>
      <c r="D3031" s="5">
        <v>345</v>
      </c>
      <c r="E3031">
        <v>6889</v>
      </c>
      <c r="F3031" s="4" t="s">
        <v>525</v>
      </c>
      <c r="G3031" t="s">
        <v>29</v>
      </c>
      <c r="H3031" t="s">
        <v>526</v>
      </c>
    </row>
    <row r="3032" spans="1:8" x14ac:dyDescent="0.25">
      <c r="A3032" t="s">
        <v>902</v>
      </c>
      <c r="B3032" t="s">
        <v>419</v>
      </c>
      <c r="C3032" s="5">
        <v>2768849</v>
      </c>
      <c r="D3032" s="5">
        <v>42348</v>
      </c>
      <c r="E3032">
        <v>371622</v>
      </c>
      <c r="F3032" s="4" t="s">
        <v>74</v>
      </c>
      <c r="G3032" t="s">
        <v>29</v>
      </c>
      <c r="H3032" t="s">
        <v>75</v>
      </c>
    </row>
    <row r="3033" spans="1:8" x14ac:dyDescent="0.25">
      <c r="A3033" t="s">
        <v>902</v>
      </c>
      <c r="B3033" t="s">
        <v>420</v>
      </c>
      <c r="C3033" s="5">
        <v>1271687</v>
      </c>
      <c r="D3033" s="5">
        <v>28431</v>
      </c>
      <c r="E3033">
        <v>661341</v>
      </c>
      <c r="F3033" s="4" t="s">
        <v>603</v>
      </c>
      <c r="G3033" t="s">
        <v>29</v>
      </c>
      <c r="H3033" t="s">
        <v>604</v>
      </c>
    </row>
    <row r="3034" spans="1:8" x14ac:dyDescent="0.25">
      <c r="A3034" t="s">
        <v>902</v>
      </c>
      <c r="B3034" t="s">
        <v>423</v>
      </c>
      <c r="C3034" s="5">
        <v>2998891</v>
      </c>
      <c r="D3034" s="5">
        <v>76773</v>
      </c>
      <c r="E3034">
        <v>440480</v>
      </c>
      <c r="F3034" s="4" t="s">
        <v>38</v>
      </c>
      <c r="G3034" t="s">
        <v>29</v>
      </c>
      <c r="H3034" t="s">
        <v>39</v>
      </c>
    </row>
    <row r="3035" spans="1:8" x14ac:dyDescent="0.25">
      <c r="A3035" t="s">
        <v>902</v>
      </c>
      <c r="B3035" t="s">
        <v>426</v>
      </c>
      <c r="C3035" s="5">
        <v>452642</v>
      </c>
      <c r="D3035" s="5">
        <v>4657</v>
      </c>
      <c r="E3035">
        <v>222049</v>
      </c>
      <c r="F3035" s="4" t="s">
        <v>687</v>
      </c>
      <c r="G3035" t="s">
        <v>29</v>
      </c>
      <c r="H3035" t="s">
        <v>688</v>
      </c>
    </row>
    <row r="3036" spans="1:8" x14ac:dyDescent="0.25">
      <c r="A3036" t="s">
        <v>902</v>
      </c>
      <c r="B3036" t="s">
        <v>427</v>
      </c>
      <c r="C3036" s="5">
        <v>1088133</v>
      </c>
      <c r="D3036" s="5">
        <v>18149</v>
      </c>
      <c r="E3036">
        <v>251102</v>
      </c>
      <c r="F3036" s="4" t="s">
        <v>827</v>
      </c>
      <c r="G3036" t="s">
        <v>29</v>
      </c>
      <c r="H3036" t="s">
        <v>828</v>
      </c>
    </row>
    <row r="3037" spans="1:8" x14ac:dyDescent="0.25">
      <c r="A3037" t="s">
        <v>902</v>
      </c>
      <c r="B3037" t="s">
        <v>428</v>
      </c>
      <c r="C3037" s="5">
        <v>8</v>
      </c>
      <c r="D3037" s="5">
        <v>0</v>
      </c>
      <c r="E3037">
        <v>1</v>
      </c>
      <c r="F3037" s="4" t="s">
        <v>29</v>
      </c>
      <c r="G3037" t="s">
        <v>29</v>
      </c>
      <c r="H3037" t="s">
        <v>291</v>
      </c>
    </row>
    <row r="3038" spans="1:8" x14ac:dyDescent="0.25">
      <c r="A3038" t="s">
        <v>902</v>
      </c>
      <c r="B3038" t="s">
        <v>429</v>
      </c>
      <c r="C3038" s="5">
        <v>460944</v>
      </c>
      <c r="D3038" s="5">
        <v>16243</v>
      </c>
      <c r="E3038">
        <v>167614</v>
      </c>
      <c r="F3038" s="4" t="s">
        <v>353</v>
      </c>
      <c r="G3038" t="s">
        <v>29</v>
      </c>
      <c r="H3038" t="s">
        <v>354</v>
      </c>
    </row>
    <row r="3039" spans="1:8" x14ac:dyDescent="0.25">
      <c r="A3039" t="s">
        <v>902</v>
      </c>
      <c r="B3039" t="s">
        <v>432</v>
      </c>
      <c r="C3039" s="5">
        <v>238950</v>
      </c>
      <c r="D3039" s="5">
        <v>609</v>
      </c>
      <c r="E3039">
        <v>130904</v>
      </c>
      <c r="F3039" s="4" t="s">
        <v>433</v>
      </c>
      <c r="G3039" t="s">
        <v>29</v>
      </c>
      <c r="H3039" t="s">
        <v>434</v>
      </c>
    </row>
    <row r="3040" spans="1:8" x14ac:dyDescent="0.25">
      <c r="A3040" t="s">
        <v>902</v>
      </c>
      <c r="B3040" t="s">
        <v>435</v>
      </c>
      <c r="C3040" s="5">
        <v>54668</v>
      </c>
      <c r="D3040" s="5">
        <v>374</v>
      </c>
      <c r="E3040">
        <v>9899</v>
      </c>
      <c r="F3040" s="4" t="s">
        <v>605</v>
      </c>
      <c r="G3040" t="s">
        <v>29</v>
      </c>
      <c r="H3040" t="s">
        <v>606</v>
      </c>
    </row>
    <row r="3041" spans="1:8" x14ac:dyDescent="0.25">
      <c r="A3041" t="s">
        <v>902</v>
      </c>
      <c r="B3041" t="s">
        <v>436</v>
      </c>
      <c r="C3041" s="5">
        <v>1616027</v>
      </c>
      <c r="D3041" s="5">
        <v>46430</v>
      </c>
      <c r="E3041">
        <v>1435386</v>
      </c>
      <c r="F3041" s="4" t="s">
        <v>168</v>
      </c>
      <c r="G3041" t="s">
        <v>29</v>
      </c>
      <c r="H3041" t="s">
        <v>169</v>
      </c>
    </row>
    <row r="3042" spans="1:8" x14ac:dyDescent="0.25">
      <c r="A3042" t="s">
        <v>902</v>
      </c>
      <c r="B3042" t="s">
        <v>439</v>
      </c>
      <c r="C3042" s="5">
        <v>1125602</v>
      </c>
      <c r="D3042" s="5">
        <v>9761</v>
      </c>
      <c r="E3042">
        <v>449411</v>
      </c>
      <c r="F3042" s="4" t="s">
        <v>498</v>
      </c>
      <c r="G3042" t="s">
        <v>29</v>
      </c>
      <c r="H3042" t="s">
        <v>499</v>
      </c>
    </row>
    <row r="3043" spans="1:8" x14ac:dyDescent="0.25">
      <c r="A3043" t="s">
        <v>902</v>
      </c>
      <c r="B3043" t="s">
        <v>440</v>
      </c>
      <c r="C3043" s="5">
        <v>8260045</v>
      </c>
      <c r="D3043" s="5">
        <v>230786</v>
      </c>
      <c r="E3043">
        <v>3823006</v>
      </c>
      <c r="F3043" s="4" t="s">
        <v>662</v>
      </c>
      <c r="G3043" t="s">
        <v>29</v>
      </c>
      <c r="H3043" t="s">
        <v>663</v>
      </c>
    </row>
    <row r="3044" spans="1:8" x14ac:dyDescent="0.25">
      <c r="A3044" t="s">
        <v>902</v>
      </c>
      <c r="B3044" t="s">
        <v>443</v>
      </c>
      <c r="C3044" s="5">
        <v>99565</v>
      </c>
      <c r="D3044" s="5">
        <v>1327</v>
      </c>
      <c r="E3044">
        <v>60786</v>
      </c>
      <c r="F3044" s="4" t="s">
        <v>59</v>
      </c>
      <c r="G3044" t="s">
        <v>29</v>
      </c>
      <c r="H3044" t="s">
        <v>60</v>
      </c>
    </row>
    <row r="3045" spans="1:8" x14ac:dyDescent="0.25">
      <c r="A3045" t="s">
        <v>902</v>
      </c>
      <c r="B3045" t="s">
        <v>444</v>
      </c>
      <c r="C3045" s="5">
        <v>548474</v>
      </c>
      <c r="D3045" s="5">
        <v>8788</v>
      </c>
      <c r="E3045">
        <v>515931</v>
      </c>
      <c r="F3045" s="4" t="s">
        <v>313</v>
      </c>
      <c r="G3045" t="s">
        <v>29</v>
      </c>
      <c r="H3045" t="s">
        <v>314</v>
      </c>
    </row>
    <row r="3046" spans="1:8" x14ac:dyDescent="0.25">
      <c r="A3046" t="s">
        <v>902</v>
      </c>
      <c r="B3046" t="s">
        <v>445</v>
      </c>
      <c r="C3046" s="5">
        <v>20</v>
      </c>
      <c r="D3046" s="5">
        <v>0</v>
      </c>
      <c r="E3046">
        <v>7</v>
      </c>
      <c r="F3046" s="4" t="s">
        <v>29</v>
      </c>
      <c r="G3046" t="s">
        <v>29</v>
      </c>
      <c r="H3046" t="s">
        <v>291</v>
      </c>
    </row>
    <row r="3047" spans="1:8" x14ac:dyDescent="0.25">
      <c r="A3047" t="s">
        <v>902</v>
      </c>
      <c r="B3047" t="s">
        <v>446</v>
      </c>
      <c r="C3047" s="5">
        <v>22213</v>
      </c>
      <c r="D3047" s="5">
        <v>119</v>
      </c>
      <c r="E3047">
        <v>14162</v>
      </c>
      <c r="F3047" s="4" t="s">
        <v>919</v>
      </c>
      <c r="G3047" t="s">
        <v>29</v>
      </c>
      <c r="H3047" t="s">
        <v>920</v>
      </c>
    </row>
    <row r="3048" spans="1:8" x14ac:dyDescent="0.25">
      <c r="A3048" t="s">
        <v>902</v>
      </c>
      <c r="B3048" t="s">
        <v>449</v>
      </c>
      <c r="C3048" s="5">
        <v>40433</v>
      </c>
      <c r="D3048" s="5">
        <v>3099</v>
      </c>
      <c r="E3048">
        <v>22181</v>
      </c>
      <c r="F3048" s="4" t="s">
        <v>632</v>
      </c>
      <c r="G3048" t="s">
        <v>29</v>
      </c>
      <c r="H3048" t="s">
        <v>633</v>
      </c>
    </row>
    <row r="3049" spans="1:8" x14ac:dyDescent="0.25">
      <c r="A3049" t="s">
        <v>902</v>
      </c>
      <c r="B3049" t="s">
        <v>452</v>
      </c>
      <c r="C3049" s="5">
        <v>1170422</v>
      </c>
      <c r="D3049" s="5">
        <v>15018</v>
      </c>
      <c r="E3049">
        <v>501329</v>
      </c>
      <c r="F3049" s="4" t="s">
        <v>381</v>
      </c>
      <c r="G3049" t="s">
        <v>29</v>
      </c>
      <c r="H3049" t="s">
        <v>382</v>
      </c>
    </row>
    <row r="3050" spans="1:8" x14ac:dyDescent="0.25">
      <c r="A3050" t="s">
        <v>902</v>
      </c>
      <c r="B3050" t="s">
        <v>453</v>
      </c>
      <c r="C3050" s="5">
        <v>187851</v>
      </c>
      <c r="D3050" s="5">
        <v>364</v>
      </c>
      <c r="E3050">
        <v>161857</v>
      </c>
      <c r="F3050" s="4" t="s">
        <v>83</v>
      </c>
      <c r="G3050" t="s">
        <v>29</v>
      </c>
      <c r="H3050" t="s">
        <v>84</v>
      </c>
    </row>
    <row r="3051" spans="1:8" x14ac:dyDescent="0.25">
      <c r="A3051" t="s">
        <v>902</v>
      </c>
      <c r="B3051" t="s">
        <v>456</v>
      </c>
      <c r="C3051" s="5">
        <v>328729</v>
      </c>
      <c r="D3051" s="5">
        <v>4723</v>
      </c>
      <c r="E3051">
        <v>253790</v>
      </c>
      <c r="F3051" s="4" t="s">
        <v>330</v>
      </c>
      <c r="G3051" t="s">
        <v>29</v>
      </c>
      <c r="H3051" t="s">
        <v>331</v>
      </c>
    </row>
    <row r="3052" spans="1:8" x14ac:dyDescent="0.25">
      <c r="A3052" t="s">
        <v>902</v>
      </c>
      <c r="B3052" t="s">
        <v>457</v>
      </c>
      <c r="C3052" s="5">
        <v>470008</v>
      </c>
      <c r="D3052" s="5">
        <v>12977</v>
      </c>
      <c r="E3052">
        <v>339991</v>
      </c>
      <c r="F3052" s="4" t="s">
        <v>384</v>
      </c>
      <c r="G3052" t="s">
        <v>29</v>
      </c>
      <c r="H3052" t="s">
        <v>385</v>
      </c>
    </row>
    <row r="3053" spans="1:8" x14ac:dyDescent="0.25">
      <c r="A3053" t="s">
        <v>902</v>
      </c>
      <c r="B3053" t="s">
        <v>460</v>
      </c>
      <c r="C3053" s="5">
        <v>6397</v>
      </c>
      <c r="D3053" s="5">
        <v>121</v>
      </c>
      <c r="E3053">
        <v>3939</v>
      </c>
      <c r="F3053" s="4" t="s">
        <v>461</v>
      </c>
      <c r="G3053" t="s">
        <v>29</v>
      </c>
      <c r="H3053" t="s">
        <v>462</v>
      </c>
    </row>
    <row r="3054" spans="1:8" x14ac:dyDescent="0.25">
      <c r="A3054" t="s">
        <v>902</v>
      </c>
      <c r="B3054" t="s">
        <v>463</v>
      </c>
      <c r="C3054" s="5">
        <v>5540</v>
      </c>
      <c r="D3054" s="5">
        <v>92</v>
      </c>
      <c r="E3054">
        <v>2472</v>
      </c>
      <c r="F3054" s="4" t="s">
        <v>135</v>
      </c>
      <c r="G3054" t="s">
        <v>29</v>
      </c>
      <c r="H3054" t="s">
        <v>136</v>
      </c>
    </row>
    <row r="3055" spans="1:8" x14ac:dyDescent="0.25">
      <c r="A3055" t="s">
        <v>902</v>
      </c>
      <c r="B3055" t="s">
        <v>464</v>
      </c>
      <c r="C3055" s="5">
        <v>73904</v>
      </c>
      <c r="D3055" s="5">
        <v>1878</v>
      </c>
      <c r="E3055">
        <v>3644</v>
      </c>
      <c r="F3055" s="4" t="s">
        <v>141</v>
      </c>
      <c r="G3055" t="s">
        <v>29</v>
      </c>
      <c r="H3055" t="s">
        <v>142</v>
      </c>
    </row>
    <row r="3056" spans="1:8" x14ac:dyDescent="0.25">
      <c r="A3056" t="s">
        <v>902</v>
      </c>
      <c r="B3056" t="s">
        <v>465</v>
      </c>
      <c r="C3056" s="5">
        <v>21998</v>
      </c>
      <c r="D3056" s="5">
        <v>1208</v>
      </c>
      <c r="E3056">
        <v>1904</v>
      </c>
      <c r="F3056" s="4" t="s">
        <v>744</v>
      </c>
      <c r="G3056" t="s">
        <v>29</v>
      </c>
      <c r="H3056" t="s">
        <v>745</v>
      </c>
    </row>
    <row r="3057" spans="1:8" x14ac:dyDescent="0.25">
      <c r="A3057" t="s">
        <v>902</v>
      </c>
      <c r="B3057" t="s">
        <v>468</v>
      </c>
      <c r="C3057" s="5">
        <v>48785</v>
      </c>
      <c r="D3057" s="5">
        <v>1082</v>
      </c>
      <c r="E3057">
        <v>32699</v>
      </c>
      <c r="F3057" s="4" t="s">
        <v>673</v>
      </c>
      <c r="G3057" t="s">
        <v>29</v>
      </c>
      <c r="H3057" t="s">
        <v>674</v>
      </c>
    </row>
    <row r="3058" spans="1:8" x14ac:dyDescent="0.25">
      <c r="A3058" t="s">
        <v>902</v>
      </c>
      <c r="B3058" t="s">
        <v>472</v>
      </c>
      <c r="C3058" s="5">
        <v>3705</v>
      </c>
      <c r="D3058" s="5">
        <v>56</v>
      </c>
      <c r="E3058">
        <v>3552</v>
      </c>
      <c r="F3058" s="4" t="s">
        <v>202</v>
      </c>
      <c r="G3058" t="s">
        <v>29</v>
      </c>
      <c r="H3058" t="s">
        <v>203</v>
      </c>
    </row>
    <row r="3059" spans="1:8" x14ac:dyDescent="0.25">
      <c r="A3059" t="s">
        <v>902</v>
      </c>
      <c r="B3059" t="s">
        <v>471</v>
      </c>
      <c r="C3059" s="5">
        <v>12348</v>
      </c>
      <c r="D3059" s="5">
        <v>133</v>
      </c>
      <c r="E3059">
        <v>9440</v>
      </c>
      <c r="F3059" s="4" t="s">
        <v>758</v>
      </c>
      <c r="G3059" t="s">
        <v>29</v>
      </c>
      <c r="H3059" t="s">
        <v>759</v>
      </c>
    </row>
    <row r="3060" spans="1:8" x14ac:dyDescent="0.25">
      <c r="A3060" t="s">
        <v>902</v>
      </c>
      <c r="B3060" t="s">
        <v>473</v>
      </c>
      <c r="C3060" s="5">
        <v>113422</v>
      </c>
      <c r="D3060" s="5">
        <v>3604</v>
      </c>
      <c r="E3060">
        <v>99996</v>
      </c>
      <c r="F3060" s="4" t="s">
        <v>615</v>
      </c>
      <c r="G3060" t="s">
        <v>29</v>
      </c>
      <c r="H3060" t="s">
        <v>616</v>
      </c>
    </row>
    <row r="3061" spans="1:8" x14ac:dyDescent="0.25">
      <c r="A3061" t="s">
        <v>902</v>
      </c>
      <c r="B3061" t="s">
        <v>476</v>
      </c>
      <c r="C3061" s="5">
        <v>42621</v>
      </c>
      <c r="D3061" s="5">
        <v>2542</v>
      </c>
      <c r="E3061">
        <v>11935</v>
      </c>
      <c r="F3061" s="4" t="s">
        <v>921</v>
      </c>
      <c r="G3061" t="s">
        <v>29</v>
      </c>
      <c r="H3061" t="s">
        <v>922</v>
      </c>
    </row>
    <row r="3062" spans="1:8" x14ac:dyDescent="0.25">
      <c r="A3062" t="s">
        <v>902</v>
      </c>
      <c r="B3062" t="s">
        <v>479</v>
      </c>
      <c r="C3062" s="5">
        <v>46396</v>
      </c>
      <c r="D3062" s="5">
        <v>1242</v>
      </c>
      <c r="E3062">
        <v>19960</v>
      </c>
      <c r="F3062" s="4" t="s">
        <v>480</v>
      </c>
      <c r="G3062" t="s">
        <v>29</v>
      </c>
      <c r="H3062" t="s">
        <v>481</v>
      </c>
    </row>
    <row r="3063" spans="1:8" x14ac:dyDescent="0.25">
      <c r="A3063" t="s">
        <v>902</v>
      </c>
      <c r="B3063" t="s">
        <v>482</v>
      </c>
      <c r="C3063" s="5">
        <v>5069</v>
      </c>
      <c r="D3063" s="5">
        <v>174</v>
      </c>
      <c r="E3063">
        <v>2313</v>
      </c>
      <c r="F3063" s="4" t="s">
        <v>252</v>
      </c>
      <c r="G3063" t="s">
        <v>29</v>
      </c>
      <c r="H3063" t="s">
        <v>253</v>
      </c>
    </row>
    <row r="3064" spans="1:8" x14ac:dyDescent="0.25">
      <c r="A3064" t="s">
        <v>902</v>
      </c>
      <c r="B3064" t="s">
        <v>483</v>
      </c>
      <c r="C3064" s="5">
        <v>26036</v>
      </c>
      <c r="D3064" s="5">
        <v>242</v>
      </c>
      <c r="E3064">
        <v>17062</v>
      </c>
      <c r="F3064" s="4" t="s">
        <v>484</v>
      </c>
      <c r="G3064" t="s">
        <v>29</v>
      </c>
      <c r="H3064" t="s">
        <v>485</v>
      </c>
    </row>
    <row r="3065" spans="1:8" x14ac:dyDescent="0.25">
      <c r="A3065" t="s">
        <v>902</v>
      </c>
      <c r="B3065" t="s">
        <v>486</v>
      </c>
      <c r="C3065" s="5">
        <v>1884973</v>
      </c>
      <c r="D3065" s="5">
        <v>19006</v>
      </c>
      <c r="E3065">
        <v>196105</v>
      </c>
      <c r="F3065" s="4" t="s">
        <v>559</v>
      </c>
      <c r="G3065" t="s">
        <v>29</v>
      </c>
      <c r="H3065" t="s">
        <v>560</v>
      </c>
    </row>
    <row r="3066" spans="1:8" x14ac:dyDescent="0.25">
      <c r="A3066" t="s">
        <v>902</v>
      </c>
      <c r="B3066" t="s">
        <v>487</v>
      </c>
      <c r="C3066" s="5">
        <v>17486</v>
      </c>
      <c r="D3066" s="5">
        <v>125</v>
      </c>
      <c r="E3066">
        <v>2410</v>
      </c>
      <c r="F3066" s="4" t="s">
        <v>488</v>
      </c>
      <c r="G3066" t="s">
        <v>29</v>
      </c>
      <c r="H3066" t="s">
        <v>489</v>
      </c>
    </row>
    <row r="3067" spans="1:8" x14ac:dyDescent="0.25">
      <c r="A3067" t="s">
        <v>902</v>
      </c>
      <c r="B3067" t="s">
        <v>490</v>
      </c>
      <c r="C3067" s="5">
        <v>19785</v>
      </c>
      <c r="D3067" s="5">
        <v>122</v>
      </c>
      <c r="E3067">
        <v>14478</v>
      </c>
      <c r="F3067" s="4" t="s">
        <v>491</v>
      </c>
      <c r="G3067" t="s">
        <v>29</v>
      </c>
      <c r="H3067" t="s">
        <v>492</v>
      </c>
    </row>
    <row r="3068" spans="1:8" x14ac:dyDescent="0.25">
      <c r="A3068" t="s">
        <v>902</v>
      </c>
      <c r="B3068" t="s">
        <v>493</v>
      </c>
      <c r="C3068" s="5">
        <v>712230</v>
      </c>
      <c r="D3068" s="5">
        <v>25227</v>
      </c>
      <c r="E3068">
        <v>424638</v>
      </c>
      <c r="F3068" s="4" t="s">
        <v>494</v>
      </c>
      <c r="G3068" t="s">
        <v>29</v>
      </c>
      <c r="H3068" t="s">
        <v>495</v>
      </c>
    </row>
    <row r="3069" spans="1:8" x14ac:dyDescent="0.25">
      <c r="A3069" t="s">
        <v>902</v>
      </c>
      <c r="B3069" t="s">
        <v>496</v>
      </c>
      <c r="C3069" s="5">
        <v>0</v>
      </c>
      <c r="D3069" s="5">
        <v>0</v>
      </c>
      <c r="E3069">
        <v>0</v>
      </c>
      <c r="F3069" s="4" t="s">
        <v>29</v>
      </c>
      <c r="G3069" t="s">
        <v>29</v>
      </c>
      <c r="H3069" t="s">
        <v>29</v>
      </c>
    </row>
    <row r="3070" spans="1:8" x14ac:dyDescent="0.25">
      <c r="A3070" t="s">
        <v>902</v>
      </c>
      <c r="B3070" t="s">
        <v>497</v>
      </c>
      <c r="C3070" s="5">
        <v>7961505</v>
      </c>
      <c r="D3070" s="5">
        <v>69998</v>
      </c>
      <c r="E3070">
        <v>877329</v>
      </c>
      <c r="F3070" s="4" t="s">
        <v>609</v>
      </c>
      <c r="G3070" t="s">
        <v>29</v>
      </c>
      <c r="H3070" t="s">
        <v>610</v>
      </c>
    </row>
    <row r="3071" spans="1:8" x14ac:dyDescent="0.25">
      <c r="A3071" t="s">
        <v>902</v>
      </c>
      <c r="B3071" t="s">
        <v>500</v>
      </c>
      <c r="C3071" s="5">
        <v>56546</v>
      </c>
      <c r="D3071" s="5">
        <v>1668</v>
      </c>
      <c r="E3071">
        <v>51910</v>
      </c>
      <c r="F3071" s="4" t="s">
        <v>884</v>
      </c>
      <c r="G3071" t="s">
        <v>29</v>
      </c>
      <c r="H3071" t="s">
        <v>885</v>
      </c>
    </row>
    <row r="3072" spans="1:8" x14ac:dyDescent="0.25">
      <c r="A3072" t="s">
        <v>902</v>
      </c>
      <c r="B3072" t="s">
        <v>503</v>
      </c>
      <c r="C3072" s="5">
        <v>16394</v>
      </c>
      <c r="D3072" s="5">
        <v>847</v>
      </c>
      <c r="E3072">
        <v>12459</v>
      </c>
      <c r="F3072" s="4" t="s">
        <v>923</v>
      </c>
      <c r="G3072" t="s">
        <v>29</v>
      </c>
      <c r="H3072" t="s">
        <v>924</v>
      </c>
    </row>
    <row r="3073" spans="1:8" x14ac:dyDescent="0.25">
      <c r="A3073" t="s">
        <v>902</v>
      </c>
      <c r="B3073" t="s">
        <v>506</v>
      </c>
      <c r="C3073" s="5">
        <v>26154</v>
      </c>
      <c r="D3073" s="5">
        <v>725</v>
      </c>
      <c r="E3073">
        <v>24992</v>
      </c>
      <c r="F3073" s="4" t="s">
        <v>507</v>
      </c>
      <c r="G3073" t="s">
        <v>29</v>
      </c>
      <c r="H3073" t="s">
        <v>508</v>
      </c>
    </row>
    <row r="3074" spans="1:8" x14ac:dyDescent="0.25">
      <c r="A3074" t="s">
        <v>902</v>
      </c>
      <c r="B3074" t="s">
        <v>509</v>
      </c>
      <c r="C3074" s="5">
        <v>2984456</v>
      </c>
      <c r="D3074" s="5">
        <v>70475</v>
      </c>
      <c r="E3074">
        <v>1483341</v>
      </c>
      <c r="F3074" s="4" t="s">
        <v>339</v>
      </c>
      <c r="G3074" t="s">
        <v>29</v>
      </c>
      <c r="H3074" t="s">
        <v>340</v>
      </c>
    </row>
    <row r="3075" spans="1:8" x14ac:dyDescent="0.25">
      <c r="A3075" t="s">
        <v>902</v>
      </c>
      <c r="B3075" t="s">
        <v>512</v>
      </c>
      <c r="C3075" s="5">
        <v>125920</v>
      </c>
      <c r="D3075" s="5">
        <v>3209</v>
      </c>
      <c r="E3075">
        <v>119200</v>
      </c>
      <c r="F3075" s="4" t="s">
        <v>513</v>
      </c>
      <c r="G3075" t="s">
        <v>29</v>
      </c>
      <c r="H3075" t="s">
        <v>514</v>
      </c>
    </row>
    <row r="3076" spans="1:8" x14ac:dyDescent="0.25">
      <c r="A3076" t="s">
        <v>902</v>
      </c>
      <c r="B3076" t="s">
        <v>515</v>
      </c>
      <c r="C3076" s="5">
        <v>45826523</v>
      </c>
      <c r="D3076" s="5">
        <v>743721</v>
      </c>
      <c r="E3076">
        <v>32516314</v>
      </c>
      <c r="F3076" s="4" t="s">
        <v>516</v>
      </c>
      <c r="G3076" t="s">
        <v>29</v>
      </c>
      <c r="H3076" t="s">
        <v>517</v>
      </c>
    </row>
    <row r="3077" spans="1:8" x14ac:dyDescent="0.25">
      <c r="A3077" t="s">
        <v>902</v>
      </c>
      <c r="B3077" t="s">
        <v>518</v>
      </c>
      <c r="C3077" s="5">
        <v>393139</v>
      </c>
      <c r="D3077" s="5">
        <v>6076</v>
      </c>
      <c r="E3077">
        <v>175906</v>
      </c>
      <c r="F3077" s="4" t="s">
        <v>333</v>
      </c>
      <c r="G3077" t="s">
        <v>29</v>
      </c>
      <c r="H3077" t="s">
        <v>334</v>
      </c>
    </row>
    <row r="3078" spans="1:8" x14ac:dyDescent="0.25">
      <c r="A3078" t="s">
        <v>902</v>
      </c>
      <c r="B3078" t="s">
        <v>521</v>
      </c>
      <c r="C3078" s="5">
        <v>184905</v>
      </c>
      <c r="D3078" s="5">
        <v>1316</v>
      </c>
      <c r="E3078">
        <v>5576</v>
      </c>
      <c r="F3078" s="4" t="s">
        <v>488</v>
      </c>
      <c r="G3078" t="s">
        <v>29</v>
      </c>
      <c r="H3078" t="s">
        <v>489</v>
      </c>
    </row>
    <row r="3079" spans="1:8" x14ac:dyDescent="0.25">
      <c r="A3079" t="s">
        <v>902</v>
      </c>
      <c r="B3079" t="s">
        <v>522</v>
      </c>
      <c r="C3079" s="5">
        <v>27</v>
      </c>
      <c r="D3079" s="5">
        <v>0</v>
      </c>
      <c r="E3079">
        <v>3</v>
      </c>
      <c r="F3079" s="4" t="s">
        <v>29</v>
      </c>
      <c r="G3079" t="s">
        <v>29</v>
      </c>
      <c r="H3079" t="s">
        <v>291</v>
      </c>
    </row>
    <row r="3080" spans="1:8" x14ac:dyDescent="0.25">
      <c r="A3080" t="s">
        <v>902</v>
      </c>
      <c r="B3080" t="s">
        <v>523</v>
      </c>
      <c r="C3080" s="5">
        <v>4941</v>
      </c>
      <c r="D3080" s="5">
        <v>65</v>
      </c>
      <c r="E3080">
        <v>2281</v>
      </c>
      <c r="F3080" s="4" t="s">
        <v>307</v>
      </c>
      <c r="G3080" t="s">
        <v>29</v>
      </c>
      <c r="H3080" t="s">
        <v>308</v>
      </c>
    </row>
    <row r="3081" spans="1:8" x14ac:dyDescent="0.25">
      <c r="A3081" t="s">
        <v>902</v>
      </c>
      <c r="B3081" t="s">
        <v>524</v>
      </c>
      <c r="C3081" s="5">
        <v>403318</v>
      </c>
      <c r="D3081" s="5">
        <v>4848</v>
      </c>
      <c r="E3081">
        <v>99333</v>
      </c>
      <c r="F3081" s="4" t="s">
        <v>525</v>
      </c>
      <c r="G3081" t="s">
        <v>29</v>
      </c>
      <c r="H3081" t="s">
        <v>526</v>
      </c>
    </row>
    <row r="3082" spans="1:8" x14ac:dyDescent="0.25">
      <c r="A3082" t="s">
        <v>902</v>
      </c>
      <c r="B3082" t="s">
        <v>527</v>
      </c>
      <c r="C3082" s="5">
        <v>905477</v>
      </c>
      <c r="D3082" s="5">
        <v>21910</v>
      </c>
      <c r="E3082">
        <v>555260</v>
      </c>
      <c r="F3082" s="4" t="s">
        <v>796</v>
      </c>
      <c r="G3082" t="s">
        <v>29</v>
      </c>
      <c r="H3082" t="s">
        <v>797</v>
      </c>
    </row>
    <row r="3083" spans="1:8" x14ac:dyDescent="0.25">
      <c r="A3083" t="s">
        <v>902</v>
      </c>
      <c r="B3083" t="s">
        <v>530</v>
      </c>
      <c r="C3083" s="5">
        <v>6</v>
      </c>
      <c r="D3083" s="5">
        <v>1</v>
      </c>
      <c r="E3083">
        <v>3</v>
      </c>
      <c r="F3083" s="4" t="s">
        <v>531</v>
      </c>
      <c r="G3083" t="s">
        <v>29</v>
      </c>
      <c r="H3083" t="s">
        <v>532</v>
      </c>
    </row>
    <row r="3084" spans="1:8" x14ac:dyDescent="0.25">
      <c r="A3084" t="s">
        <v>902</v>
      </c>
      <c r="B3084" t="s">
        <v>533</v>
      </c>
      <c r="C3084" s="5">
        <v>3</v>
      </c>
      <c r="D3084" s="5">
        <v>0</v>
      </c>
      <c r="E3084">
        <v>3</v>
      </c>
      <c r="F3084" s="4" t="s">
        <v>29</v>
      </c>
      <c r="G3084" t="s">
        <v>29</v>
      </c>
      <c r="H3084" t="s">
        <v>291</v>
      </c>
    </row>
    <row r="3085" spans="1:8" x14ac:dyDescent="0.25">
      <c r="A3085" t="s">
        <v>902</v>
      </c>
      <c r="B3085" t="s">
        <v>534</v>
      </c>
      <c r="C3085" s="5">
        <v>160696</v>
      </c>
      <c r="D3085" s="5">
        <v>2976</v>
      </c>
      <c r="E3085">
        <v>63356</v>
      </c>
      <c r="F3085" s="4" t="s">
        <v>535</v>
      </c>
      <c r="G3085" t="s">
        <v>29</v>
      </c>
      <c r="H3085" t="s">
        <v>536</v>
      </c>
    </row>
    <row r="3086" spans="1:8" x14ac:dyDescent="0.25">
      <c r="A3086" t="s">
        <v>902</v>
      </c>
      <c r="B3086" t="s">
        <v>537</v>
      </c>
      <c r="C3086" s="5">
        <v>9751</v>
      </c>
      <c r="D3086" s="5">
        <v>1874</v>
      </c>
      <c r="E3086">
        <v>7652</v>
      </c>
      <c r="F3086" s="4" t="s">
        <v>879</v>
      </c>
      <c r="G3086" t="s">
        <v>29</v>
      </c>
      <c r="H3086" t="s">
        <v>880</v>
      </c>
    </row>
    <row r="3087" spans="1:8" x14ac:dyDescent="0.25">
      <c r="A3087" t="s">
        <v>902</v>
      </c>
      <c r="B3087" t="s">
        <v>540</v>
      </c>
      <c r="C3087" s="5">
        <v>20497</v>
      </c>
      <c r="D3087" s="5">
        <v>182</v>
      </c>
      <c r="E3087">
        <v>11801</v>
      </c>
      <c r="F3087" s="4" t="s">
        <v>65</v>
      </c>
      <c r="G3087" t="s">
        <v>29</v>
      </c>
      <c r="H3087" t="s">
        <v>66</v>
      </c>
    </row>
    <row r="3088" spans="1:8" x14ac:dyDescent="0.25">
      <c r="A3088" t="s">
        <v>902</v>
      </c>
      <c r="B3088" t="s">
        <v>541</v>
      </c>
      <c r="C3088" s="5">
        <v>2921114</v>
      </c>
      <c r="D3088" s="5">
        <v>89104</v>
      </c>
      <c r="E3088">
        <v>1871776</v>
      </c>
      <c r="F3088" s="4" t="s">
        <v>698</v>
      </c>
      <c r="G3088" t="s">
        <v>29</v>
      </c>
      <c r="H3088" t="s">
        <v>699</v>
      </c>
    </row>
    <row r="3089" spans="1:8" x14ac:dyDescent="0.25">
      <c r="A3089" t="s">
        <v>902</v>
      </c>
      <c r="B3089" t="s">
        <v>544</v>
      </c>
      <c r="C3089" s="5">
        <v>209672</v>
      </c>
      <c r="D3089" s="5">
        <v>3660</v>
      </c>
      <c r="E3089">
        <v>134661</v>
      </c>
      <c r="F3089" s="4" t="s">
        <v>545</v>
      </c>
      <c r="G3089" t="s">
        <v>29</v>
      </c>
      <c r="H3089" t="s">
        <v>546</v>
      </c>
    </row>
    <row r="3090" spans="1:8" x14ac:dyDescent="0.25">
      <c r="A3090" t="s">
        <v>902</v>
      </c>
      <c r="B3090" t="s">
        <v>547</v>
      </c>
      <c r="C3090" s="5">
        <v>132880</v>
      </c>
      <c r="D3090" s="5">
        <v>4675</v>
      </c>
      <c r="E3090">
        <v>42659</v>
      </c>
      <c r="F3090" s="4" t="s">
        <v>353</v>
      </c>
      <c r="G3090" t="s">
        <v>29</v>
      </c>
      <c r="H3090" t="s">
        <v>354</v>
      </c>
    </row>
    <row r="3091" spans="1:8" x14ac:dyDescent="0.25">
      <c r="A3091" t="s">
        <v>902</v>
      </c>
      <c r="B3091" t="s">
        <v>548</v>
      </c>
      <c r="C3091" s="5">
        <v>721</v>
      </c>
      <c r="D3091" s="5">
        <v>15</v>
      </c>
      <c r="E3091">
        <v>641</v>
      </c>
      <c r="F3091" s="4" t="s">
        <v>549</v>
      </c>
      <c r="G3091" t="s">
        <v>29</v>
      </c>
      <c r="H3091" t="s">
        <v>550</v>
      </c>
    </row>
    <row r="3092" spans="1:8" x14ac:dyDescent="0.25">
      <c r="A3092" t="s">
        <v>925</v>
      </c>
      <c r="B3092" t="s">
        <v>548</v>
      </c>
      <c r="C3092" s="5">
        <v>721</v>
      </c>
      <c r="D3092" s="5">
        <v>15</v>
      </c>
      <c r="E3092">
        <v>445</v>
      </c>
      <c r="F3092" s="4" t="s">
        <v>549</v>
      </c>
      <c r="G3092" t="s">
        <v>29</v>
      </c>
      <c r="H3092" t="s">
        <v>550</v>
      </c>
    </row>
    <row r="3093" spans="1:8" x14ac:dyDescent="0.25">
      <c r="A3093" t="s">
        <v>925</v>
      </c>
      <c r="B3093" t="s">
        <v>547</v>
      </c>
      <c r="C3093" s="5">
        <v>132808</v>
      </c>
      <c r="D3093" s="5">
        <v>4675</v>
      </c>
      <c r="E3093">
        <v>125814</v>
      </c>
      <c r="F3093" s="4" t="s">
        <v>353</v>
      </c>
      <c r="G3093" t="s">
        <v>29</v>
      </c>
      <c r="H3093" t="s">
        <v>354</v>
      </c>
    </row>
    <row r="3094" spans="1:8" x14ac:dyDescent="0.25">
      <c r="A3094" t="s">
        <v>925</v>
      </c>
      <c r="B3094" t="s">
        <v>544</v>
      </c>
      <c r="C3094" s="5">
        <v>209657</v>
      </c>
      <c r="D3094" s="5">
        <v>3660</v>
      </c>
      <c r="E3094">
        <v>64768</v>
      </c>
      <c r="F3094" s="4" t="s">
        <v>545</v>
      </c>
      <c r="G3094" t="s">
        <v>29</v>
      </c>
      <c r="H3094" t="s">
        <v>546</v>
      </c>
    </row>
    <row r="3095" spans="1:8" x14ac:dyDescent="0.25">
      <c r="A3095" t="s">
        <v>925</v>
      </c>
      <c r="B3095" t="s">
        <v>541</v>
      </c>
      <c r="C3095" s="5">
        <v>2920581</v>
      </c>
      <c r="D3095" s="5">
        <v>89049</v>
      </c>
      <c r="E3095">
        <v>1724788</v>
      </c>
      <c r="F3095" s="4" t="s">
        <v>698</v>
      </c>
      <c r="G3095" t="s">
        <v>29</v>
      </c>
      <c r="H3095" t="s">
        <v>699</v>
      </c>
    </row>
    <row r="3096" spans="1:8" x14ac:dyDescent="0.25">
      <c r="A3096" t="s">
        <v>925</v>
      </c>
      <c r="B3096" t="s">
        <v>540</v>
      </c>
      <c r="C3096" s="5">
        <v>20497</v>
      </c>
      <c r="D3096" s="5">
        <v>182</v>
      </c>
      <c r="E3096">
        <v>10223</v>
      </c>
      <c r="F3096" s="4" t="s">
        <v>65</v>
      </c>
      <c r="G3096" t="s">
        <v>29</v>
      </c>
      <c r="H3096" t="s">
        <v>66</v>
      </c>
    </row>
    <row r="3097" spans="1:8" x14ac:dyDescent="0.25">
      <c r="A3097" t="s">
        <v>925</v>
      </c>
      <c r="B3097" t="s">
        <v>537</v>
      </c>
      <c r="C3097" s="5">
        <v>9728</v>
      </c>
      <c r="D3097" s="5">
        <v>1868</v>
      </c>
      <c r="E3097">
        <v>4822</v>
      </c>
      <c r="F3097" s="4" t="s">
        <v>926</v>
      </c>
      <c r="G3097" t="s">
        <v>29</v>
      </c>
      <c r="H3097" t="s">
        <v>927</v>
      </c>
    </row>
    <row r="3098" spans="1:8" x14ac:dyDescent="0.25">
      <c r="A3098" t="s">
        <v>925</v>
      </c>
      <c r="B3098" t="s">
        <v>534</v>
      </c>
      <c r="C3098" s="5">
        <v>160680</v>
      </c>
      <c r="D3098" s="5">
        <v>2976</v>
      </c>
      <c r="E3098">
        <v>136119</v>
      </c>
      <c r="F3098" s="4" t="s">
        <v>535</v>
      </c>
      <c r="G3098" t="s">
        <v>29</v>
      </c>
      <c r="H3098" t="s">
        <v>536</v>
      </c>
    </row>
    <row r="3099" spans="1:8" x14ac:dyDescent="0.25">
      <c r="A3099" t="s">
        <v>925</v>
      </c>
      <c r="B3099" t="s">
        <v>533</v>
      </c>
      <c r="C3099" s="5">
        <v>3</v>
      </c>
      <c r="D3099" s="5">
        <v>0</v>
      </c>
      <c r="E3099">
        <v>0</v>
      </c>
      <c r="F3099" s="4" t="s">
        <v>29</v>
      </c>
      <c r="G3099" t="s">
        <v>29</v>
      </c>
      <c r="H3099" t="s">
        <v>291</v>
      </c>
    </row>
    <row r="3100" spans="1:8" x14ac:dyDescent="0.25">
      <c r="A3100" t="s">
        <v>925</v>
      </c>
      <c r="B3100" t="s">
        <v>530</v>
      </c>
      <c r="C3100" s="5">
        <v>6</v>
      </c>
      <c r="D3100" s="5">
        <v>1</v>
      </c>
      <c r="E3100">
        <v>2</v>
      </c>
      <c r="F3100" s="4" t="s">
        <v>531</v>
      </c>
      <c r="G3100" t="s">
        <v>29</v>
      </c>
      <c r="H3100" t="s">
        <v>532</v>
      </c>
    </row>
    <row r="3101" spans="1:8" x14ac:dyDescent="0.25">
      <c r="A3101" t="s">
        <v>925</v>
      </c>
      <c r="B3101" t="s">
        <v>527</v>
      </c>
      <c r="C3101" s="5">
        <v>900585</v>
      </c>
      <c r="D3101" s="5">
        <v>21856</v>
      </c>
      <c r="E3101">
        <v>319333</v>
      </c>
      <c r="F3101" s="4" t="s">
        <v>917</v>
      </c>
      <c r="G3101" t="s">
        <v>29</v>
      </c>
      <c r="H3101" t="s">
        <v>918</v>
      </c>
    </row>
    <row r="3102" spans="1:8" x14ac:dyDescent="0.25">
      <c r="A3102" t="s">
        <v>925</v>
      </c>
      <c r="B3102" t="s">
        <v>524</v>
      </c>
      <c r="C3102" s="5">
        <v>402407</v>
      </c>
      <c r="D3102" s="5">
        <v>4836</v>
      </c>
      <c r="E3102">
        <v>15788</v>
      </c>
      <c r="F3102" s="4" t="s">
        <v>525</v>
      </c>
      <c r="G3102" t="s">
        <v>29</v>
      </c>
      <c r="H3102" t="s">
        <v>526</v>
      </c>
    </row>
    <row r="3103" spans="1:8" x14ac:dyDescent="0.25">
      <c r="A3103" t="s">
        <v>925</v>
      </c>
      <c r="B3103" t="s">
        <v>523</v>
      </c>
      <c r="C3103" s="5">
        <v>4905</v>
      </c>
      <c r="D3103" s="5">
        <v>64</v>
      </c>
      <c r="E3103">
        <v>2996</v>
      </c>
      <c r="F3103" s="4" t="s">
        <v>190</v>
      </c>
      <c r="G3103" t="s">
        <v>29</v>
      </c>
      <c r="H3103" t="s">
        <v>191</v>
      </c>
    </row>
    <row r="3104" spans="1:8" x14ac:dyDescent="0.25">
      <c r="A3104" t="s">
        <v>925</v>
      </c>
      <c r="B3104" t="s">
        <v>522</v>
      </c>
      <c r="C3104" s="5">
        <v>27</v>
      </c>
      <c r="D3104" s="5">
        <v>0</v>
      </c>
      <c r="E3104">
        <v>19</v>
      </c>
      <c r="F3104" s="4" t="s">
        <v>29</v>
      </c>
      <c r="G3104" t="s">
        <v>29</v>
      </c>
      <c r="H3104" t="s">
        <v>291</v>
      </c>
    </row>
    <row r="3105" spans="1:8" x14ac:dyDescent="0.25">
      <c r="A3105" t="s">
        <v>925</v>
      </c>
      <c r="B3105" t="s">
        <v>521</v>
      </c>
      <c r="C3105" s="5">
        <v>184563</v>
      </c>
      <c r="D3105" s="5">
        <v>1312</v>
      </c>
      <c r="E3105">
        <v>113177</v>
      </c>
      <c r="F3105" s="4" t="s">
        <v>488</v>
      </c>
      <c r="G3105" t="s">
        <v>29</v>
      </c>
      <c r="H3105" t="s">
        <v>489</v>
      </c>
    </row>
    <row r="3106" spans="1:8" x14ac:dyDescent="0.25">
      <c r="A3106" t="s">
        <v>925</v>
      </c>
      <c r="B3106" t="s">
        <v>518</v>
      </c>
      <c r="C3106" s="5">
        <v>392879</v>
      </c>
      <c r="D3106" s="5">
        <v>6076</v>
      </c>
      <c r="E3106">
        <v>335323</v>
      </c>
      <c r="F3106" s="4" t="s">
        <v>333</v>
      </c>
      <c r="G3106" t="s">
        <v>29</v>
      </c>
      <c r="H3106" t="s">
        <v>334</v>
      </c>
    </row>
    <row r="3107" spans="1:8" x14ac:dyDescent="0.25">
      <c r="A3107" t="s">
        <v>925</v>
      </c>
      <c r="B3107" t="s">
        <v>515</v>
      </c>
      <c r="C3107" s="5">
        <v>45748395</v>
      </c>
      <c r="D3107" s="5">
        <v>741945</v>
      </c>
      <c r="E3107">
        <v>41896404</v>
      </c>
      <c r="F3107" s="4" t="s">
        <v>516</v>
      </c>
      <c r="G3107" t="s">
        <v>29</v>
      </c>
      <c r="H3107" t="s">
        <v>517</v>
      </c>
    </row>
    <row r="3108" spans="1:8" x14ac:dyDescent="0.25">
      <c r="A3108" t="s">
        <v>925</v>
      </c>
      <c r="B3108" t="s">
        <v>512</v>
      </c>
      <c r="C3108" s="5">
        <v>125861</v>
      </c>
      <c r="D3108" s="5">
        <v>3204</v>
      </c>
      <c r="E3108">
        <v>66403</v>
      </c>
      <c r="F3108" s="4" t="s">
        <v>513</v>
      </c>
      <c r="G3108" t="s">
        <v>29</v>
      </c>
      <c r="H3108" t="s">
        <v>514</v>
      </c>
    </row>
    <row r="3109" spans="1:8" x14ac:dyDescent="0.25">
      <c r="A3109" t="s">
        <v>925</v>
      </c>
      <c r="B3109" t="s">
        <v>509</v>
      </c>
      <c r="C3109" s="5">
        <v>2957359</v>
      </c>
      <c r="D3109" s="5">
        <v>69854</v>
      </c>
      <c r="E3109">
        <v>903174</v>
      </c>
      <c r="F3109" s="4" t="s">
        <v>339</v>
      </c>
      <c r="G3109" t="s">
        <v>29</v>
      </c>
      <c r="H3109" t="s">
        <v>340</v>
      </c>
    </row>
    <row r="3110" spans="1:8" x14ac:dyDescent="0.25">
      <c r="A3110" t="s">
        <v>925</v>
      </c>
      <c r="B3110" t="s">
        <v>506</v>
      </c>
      <c r="C3110" s="5">
        <v>26154</v>
      </c>
      <c r="D3110" s="5">
        <v>725</v>
      </c>
      <c r="E3110">
        <v>13116</v>
      </c>
      <c r="F3110" s="4" t="s">
        <v>507</v>
      </c>
      <c r="G3110" t="s">
        <v>29</v>
      </c>
      <c r="H3110" t="s">
        <v>508</v>
      </c>
    </row>
    <row r="3111" spans="1:8" x14ac:dyDescent="0.25">
      <c r="A3111" t="s">
        <v>925</v>
      </c>
      <c r="B3111" t="s">
        <v>503</v>
      </c>
      <c r="C3111" s="5">
        <v>16388</v>
      </c>
      <c r="D3111" s="5">
        <v>847</v>
      </c>
      <c r="E3111">
        <v>8805</v>
      </c>
      <c r="F3111" s="4" t="s">
        <v>923</v>
      </c>
      <c r="G3111" t="s">
        <v>29</v>
      </c>
      <c r="H3111" t="s">
        <v>924</v>
      </c>
    </row>
    <row r="3112" spans="1:8" x14ac:dyDescent="0.25">
      <c r="A3112" t="s">
        <v>925</v>
      </c>
      <c r="B3112" t="s">
        <v>500</v>
      </c>
      <c r="C3112" s="5">
        <v>56160</v>
      </c>
      <c r="D3112" s="5">
        <v>1658</v>
      </c>
      <c r="E3112">
        <v>47558</v>
      </c>
      <c r="F3112" s="4" t="s">
        <v>884</v>
      </c>
      <c r="G3112" t="s">
        <v>29</v>
      </c>
      <c r="H3112" t="s">
        <v>885</v>
      </c>
    </row>
    <row r="3113" spans="1:8" x14ac:dyDescent="0.25">
      <c r="A3113" t="s">
        <v>925</v>
      </c>
      <c r="B3113" t="s">
        <v>497</v>
      </c>
      <c r="C3113" s="5">
        <v>7935977</v>
      </c>
      <c r="D3113" s="5">
        <v>69769</v>
      </c>
      <c r="E3113">
        <v>4897709</v>
      </c>
      <c r="F3113" s="4" t="s">
        <v>609</v>
      </c>
      <c r="G3113" t="s">
        <v>29</v>
      </c>
      <c r="H3113" t="s">
        <v>610</v>
      </c>
    </row>
    <row r="3114" spans="1:8" x14ac:dyDescent="0.25">
      <c r="A3114" t="s">
        <v>925</v>
      </c>
      <c r="B3114" t="s">
        <v>496</v>
      </c>
      <c r="C3114" s="5">
        <v>0</v>
      </c>
      <c r="D3114" s="5">
        <v>0</v>
      </c>
      <c r="E3114">
        <v>0</v>
      </c>
      <c r="F3114" s="4" t="s">
        <v>29</v>
      </c>
      <c r="G3114" t="s">
        <v>29</v>
      </c>
      <c r="H3114" t="s">
        <v>29</v>
      </c>
    </row>
    <row r="3115" spans="1:8" x14ac:dyDescent="0.25">
      <c r="A3115" t="s">
        <v>925</v>
      </c>
      <c r="B3115" t="s">
        <v>493</v>
      </c>
      <c r="C3115" s="5">
        <v>712139</v>
      </c>
      <c r="D3115" s="5">
        <v>25221</v>
      </c>
      <c r="E3115">
        <v>97026</v>
      </c>
      <c r="F3115" s="4" t="s">
        <v>494</v>
      </c>
      <c r="G3115" t="s">
        <v>29</v>
      </c>
      <c r="H3115" t="s">
        <v>495</v>
      </c>
    </row>
    <row r="3116" spans="1:8" x14ac:dyDescent="0.25">
      <c r="A3116" t="s">
        <v>925</v>
      </c>
      <c r="B3116" t="s">
        <v>490</v>
      </c>
      <c r="C3116" s="5">
        <v>19785</v>
      </c>
      <c r="D3116" s="5">
        <v>121</v>
      </c>
      <c r="E3116">
        <v>1951</v>
      </c>
      <c r="F3116" s="4" t="s">
        <v>261</v>
      </c>
      <c r="G3116" t="s">
        <v>29</v>
      </c>
      <c r="H3116" t="s">
        <v>262</v>
      </c>
    </row>
    <row r="3117" spans="1:8" x14ac:dyDescent="0.25">
      <c r="A3117" t="s">
        <v>925</v>
      </c>
      <c r="B3117" t="s">
        <v>487</v>
      </c>
      <c r="C3117" s="5">
        <v>17486</v>
      </c>
      <c r="D3117" s="5">
        <v>125</v>
      </c>
      <c r="E3117">
        <v>8302</v>
      </c>
      <c r="F3117" s="4" t="s">
        <v>488</v>
      </c>
      <c r="G3117" t="s">
        <v>29</v>
      </c>
      <c r="H3117" t="s">
        <v>489</v>
      </c>
    </row>
    <row r="3118" spans="1:8" x14ac:dyDescent="0.25">
      <c r="A3118" t="s">
        <v>925</v>
      </c>
      <c r="B3118" t="s">
        <v>486</v>
      </c>
      <c r="C3118" s="5">
        <v>1875315</v>
      </c>
      <c r="D3118" s="5">
        <v>18922</v>
      </c>
      <c r="E3118">
        <v>1010353</v>
      </c>
      <c r="F3118" s="4" t="s">
        <v>559</v>
      </c>
      <c r="G3118" t="s">
        <v>29</v>
      </c>
      <c r="H3118" t="s">
        <v>560</v>
      </c>
    </row>
    <row r="3119" spans="1:8" x14ac:dyDescent="0.25">
      <c r="A3119" t="s">
        <v>925</v>
      </c>
      <c r="B3119" t="s">
        <v>483</v>
      </c>
      <c r="C3119" s="5">
        <v>26024</v>
      </c>
      <c r="D3119" s="5">
        <v>242</v>
      </c>
      <c r="E3119">
        <v>4271</v>
      </c>
      <c r="F3119" s="4" t="s">
        <v>484</v>
      </c>
      <c r="G3119" t="s">
        <v>29</v>
      </c>
      <c r="H3119" t="s">
        <v>485</v>
      </c>
    </row>
    <row r="3120" spans="1:8" x14ac:dyDescent="0.25">
      <c r="A3120" t="s">
        <v>925</v>
      </c>
      <c r="B3120" t="s">
        <v>482</v>
      </c>
      <c r="C3120" s="5">
        <v>5069</v>
      </c>
      <c r="D3120" s="5">
        <v>174</v>
      </c>
      <c r="E3120">
        <v>2520</v>
      </c>
      <c r="F3120" s="4" t="s">
        <v>252</v>
      </c>
      <c r="G3120" t="s">
        <v>29</v>
      </c>
      <c r="H3120" t="s">
        <v>253</v>
      </c>
    </row>
    <row r="3121" spans="1:8" x14ac:dyDescent="0.25">
      <c r="A3121" t="s">
        <v>925</v>
      </c>
      <c r="B3121" t="s">
        <v>479</v>
      </c>
      <c r="C3121" s="5">
        <v>46393</v>
      </c>
      <c r="D3121" s="5">
        <v>1242</v>
      </c>
      <c r="E3121">
        <v>34913</v>
      </c>
      <c r="F3121" s="4" t="s">
        <v>480</v>
      </c>
      <c r="G3121" t="s">
        <v>29</v>
      </c>
      <c r="H3121" t="s">
        <v>481</v>
      </c>
    </row>
    <row r="3122" spans="1:8" x14ac:dyDescent="0.25">
      <c r="A3122" t="s">
        <v>925</v>
      </c>
      <c r="B3122" t="s">
        <v>476</v>
      </c>
      <c r="C3122" s="5">
        <v>42351</v>
      </c>
      <c r="D3122" s="5">
        <v>2534</v>
      </c>
      <c r="E3122">
        <v>23997</v>
      </c>
      <c r="F3122" s="4" t="s">
        <v>928</v>
      </c>
      <c r="G3122" t="s">
        <v>29</v>
      </c>
      <c r="H3122" t="s">
        <v>929</v>
      </c>
    </row>
    <row r="3123" spans="1:8" x14ac:dyDescent="0.25">
      <c r="A3123" t="s">
        <v>925</v>
      </c>
      <c r="B3123" t="s">
        <v>473</v>
      </c>
      <c r="C3123" s="5">
        <v>113422</v>
      </c>
      <c r="D3123" s="5">
        <v>3596</v>
      </c>
      <c r="E3123">
        <v>39263</v>
      </c>
      <c r="F3123" s="4" t="s">
        <v>628</v>
      </c>
      <c r="G3123" t="s">
        <v>29</v>
      </c>
      <c r="H3123" t="s">
        <v>629</v>
      </c>
    </row>
    <row r="3124" spans="1:8" x14ac:dyDescent="0.25">
      <c r="A3124" t="s">
        <v>925</v>
      </c>
      <c r="B3124" t="s">
        <v>471</v>
      </c>
      <c r="C3124" s="5">
        <v>12327</v>
      </c>
      <c r="D3124" s="5">
        <v>133</v>
      </c>
      <c r="E3124">
        <v>9188</v>
      </c>
      <c r="F3124" s="4" t="s">
        <v>758</v>
      </c>
      <c r="G3124" t="s">
        <v>29</v>
      </c>
      <c r="H3124" t="s">
        <v>759</v>
      </c>
    </row>
    <row r="3125" spans="1:8" x14ac:dyDescent="0.25">
      <c r="A3125" t="s">
        <v>925</v>
      </c>
      <c r="B3125" t="s">
        <v>472</v>
      </c>
      <c r="C3125" s="5">
        <v>3705</v>
      </c>
      <c r="D3125" s="5">
        <v>56</v>
      </c>
      <c r="E3125">
        <v>3546</v>
      </c>
      <c r="F3125" s="4" t="s">
        <v>202</v>
      </c>
      <c r="G3125" t="s">
        <v>29</v>
      </c>
      <c r="H3125" t="s">
        <v>203</v>
      </c>
    </row>
    <row r="3126" spans="1:8" x14ac:dyDescent="0.25">
      <c r="A3126" t="s">
        <v>925</v>
      </c>
      <c r="B3126" t="s">
        <v>468</v>
      </c>
      <c r="C3126" s="5">
        <v>48670</v>
      </c>
      <c r="D3126" s="5">
        <v>1074</v>
      </c>
      <c r="E3126">
        <v>4841</v>
      </c>
      <c r="F3126" s="4" t="s">
        <v>132</v>
      </c>
      <c r="G3126" t="s">
        <v>29</v>
      </c>
      <c r="H3126" t="s">
        <v>133</v>
      </c>
    </row>
    <row r="3127" spans="1:8" x14ac:dyDescent="0.25">
      <c r="A3127" t="s">
        <v>925</v>
      </c>
      <c r="B3127" t="s">
        <v>465</v>
      </c>
      <c r="C3127" s="5">
        <v>21998</v>
      </c>
      <c r="D3127" s="5">
        <v>1208</v>
      </c>
      <c r="E3127">
        <v>539</v>
      </c>
      <c r="F3127" s="4" t="s">
        <v>744</v>
      </c>
      <c r="G3127" t="s">
        <v>29</v>
      </c>
      <c r="H3127" t="s">
        <v>745</v>
      </c>
    </row>
    <row r="3128" spans="1:8" x14ac:dyDescent="0.25">
      <c r="A3128" t="s">
        <v>925</v>
      </c>
      <c r="B3128" t="s">
        <v>464</v>
      </c>
      <c r="C3128" s="5">
        <v>73902</v>
      </c>
      <c r="D3128" s="5">
        <v>1878</v>
      </c>
      <c r="E3128">
        <v>14564</v>
      </c>
      <c r="F3128" s="4" t="s">
        <v>141</v>
      </c>
      <c r="G3128" t="s">
        <v>29</v>
      </c>
      <c r="H3128" t="s">
        <v>142</v>
      </c>
    </row>
    <row r="3129" spans="1:8" x14ac:dyDescent="0.25">
      <c r="A3129" t="s">
        <v>925</v>
      </c>
      <c r="B3129" t="s">
        <v>463</v>
      </c>
      <c r="C3129" s="5">
        <v>5534</v>
      </c>
      <c r="D3129" s="5">
        <v>92</v>
      </c>
      <c r="E3129">
        <v>689</v>
      </c>
      <c r="F3129" s="4" t="s">
        <v>135</v>
      </c>
      <c r="G3129" t="s">
        <v>29</v>
      </c>
      <c r="H3129" t="s">
        <v>136</v>
      </c>
    </row>
    <row r="3130" spans="1:8" x14ac:dyDescent="0.25">
      <c r="A3130" t="s">
        <v>925</v>
      </c>
      <c r="B3130" t="s">
        <v>460</v>
      </c>
      <c r="C3130" s="5">
        <v>6397</v>
      </c>
      <c r="D3130" s="5">
        <v>121</v>
      </c>
      <c r="E3130">
        <v>4897</v>
      </c>
      <c r="F3130" s="4" t="s">
        <v>461</v>
      </c>
      <c r="G3130" t="s">
        <v>29</v>
      </c>
      <c r="H3130" t="s">
        <v>462</v>
      </c>
    </row>
    <row r="3131" spans="1:8" x14ac:dyDescent="0.25">
      <c r="A3131" t="s">
        <v>925</v>
      </c>
      <c r="B3131" t="s">
        <v>457</v>
      </c>
      <c r="C3131" s="5">
        <v>465027</v>
      </c>
      <c r="D3131" s="5">
        <v>12957</v>
      </c>
      <c r="E3131">
        <v>95471</v>
      </c>
      <c r="F3131" s="4" t="s">
        <v>662</v>
      </c>
      <c r="G3131" t="s">
        <v>29</v>
      </c>
      <c r="H3131" t="s">
        <v>663</v>
      </c>
    </row>
    <row r="3132" spans="1:8" x14ac:dyDescent="0.25">
      <c r="A3132" t="s">
        <v>925</v>
      </c>
      <c r="B3132" t="s">
        <v>456</v>
      </c>
      <c r="C3132" s="5">
        <v>326083</v>
      </c>
      <c r="D3132" s="5">
        <v>4713</v>
      </c>
      <c r="E3132">
        <v>253041</v>
      </c>
      <c r="F3132" s="4" t="s">
        <v>342</v>
      </c>
      <c r="G3132" t="s">
        <v>29</v>
      </c>
      <c r="H3132" t="s">
        <v>343</v>
      </c>
    </row>
    <row r="3133" spans="1:8" x14ac:dyDescent="0.25">
      <c r="A3133" t="s">
        <v>925</v>
      </c>
      <c r="B3133" t="s">
        <v>453</v>
      </c>
      <c r="C3133" s="5">
        <v>184419</v>
      </c>
      <c r="D3133" s="5">
        <v>349</v>
      </c>
      <c r="E3133">
        <v>52228</v>
      </c>
      <c r="F3133" s="4" t="s">
        <v>83</v>
      </c>
      <c r="G3133" t="s">
        <v>29</v>
      </c>
      <c r="H3133" t="s">
        <v>84</v>
      </c>
    </row>
    <row r="3134" spans="1:8" x14ac:dyDescent="0.25">
      <c r="A3134" t="s">
        <v>925</v>
      </c>
      <c r="B3134" t="s">
        <v>452</v>
      </c>
      <c r="C3134" s="5">
        <v>1169530</v>
      </c>
      <c r="D3134" s="5">
        <v>15016</v>
      </c>
      <c r="E3134">
        <v>256640</v>
      </c>
      <c r="F3134" s="4" t="s">
        <v>381</v>
      </c>
      <c r="G3134" t="s">
        <v>29</v>
      </c>
      <c r="H3134" t="s">
        <v>382</v>
      </c>
    </row>
    <row r="3135" spans="1:8" x14ac:dyDescent="0.25">
      <c r="A3135" t="s">
        <v>925</v>
      </c>
      <c r="B3135" t="s">
        <v>449</v>
      </c>
      <c r="C3135" s="5">
        <v>40433</v>
      </c>
      <c r="D3135" s="5">
        <v>3099</v>
      </c>
      <c r="E3135">
        <v>15324</v>
      </c>
      <c r="F3135" s="4" t="s">
        <v>632</v>
      </c>
      <c r="G3135" t="s">
        <v>29</v>
      </c>
      <c r="H3135" t="s">
        <v>633</v>
      </c>
    </row>
    <row r="3136" spans="1:8" x14ac:dyDescent="0.25">
      <c r="A3136" t="s">
        <v>925</v>
      </c>
      <c r="B3136" t="s">
        <v>446</v>
      </c>
      <c r="C3136" s="5">
        <v>22174</v>
      </c>
      <c r="D3136" s="5">
        <v>119</v>
      </c>
      <c r="E3136">
        <v>20526</v>
      </c>
      <c r="F3136" s="4" t="s">
        <v>919</v>
      </c>
      <c r="G3136" t="s">
        <v>29</v>
      </c>
      <c r="H3136" t="s">
        <v>920</v>
      </c>
    </row>
    <row r="3137" spans="1:8" x14ac:dyDescent="0.25">
      <c r="A3137" t="s">
        <v>925</v>
      </c>
      <c r="B3137" t="s">
        <v>445</v>
      </c>
      <c r="C3137" s="5">
        <v>20</v>
      </c>
      <c r="D3137" s="5">
        <v>0</v>
      </c>
      <c r="E3137">
        <v>14</v>
      </c>
      <c r="F3137" s="4" t="s">
        <v>29</v>
      </c>
      <c r="G3137" t="s">
        <v>29</v>
      </c>
      <c r="H3137" t="s">
        <v>291</v>
      </c>
    </row>
    <row r="3138" spans="1:8" x14ac:dyDescent="0.25">
      <c r="A3138" t="s">
        <v>925</v>
      </c>
      <c r="B3138" t="s">
        <v>444</v>
      </c>
      <c r="C3138" s="5">
        <v>548423</v>
      </c>
      <c r="D3138" s="5">
        <v>8785</v>
      </c>
      <c r="E3138">
        <v>459357</v>
      </c>
      <c r="F3138" s="4" t="s">
        <v>313</v>
      </c>
      <c r="G3138" t="s">
        <v>29</v>
      </c>
      <c r="H3138" t="s">
        <v>314</v>
      </c>
    </row>
    <row r="3139" spans="1:8" x14ac:dyDescent="0.25">
      <c r="A3139" t="s">
        <v>925</v>
      </c>
      <c r="B3139" t="s">
        <v>443</v>
      </c>
      <c r="C3139" s="5">
        <v>99514</v>
      </c>
      <c r="D3139" s="5">
        <v>1322</v>
      </c>
      <c r="E3139">
        <v>45413</v>
      </c>
      <c r="F3139" s="4" t="s">
        <v>59</v>
      </c>
      <c r="G3139" t="s">
        <v>29</v>
      </c>
      <c r="H3139" t="s">
        <v>60</v>
      </c>
    </row>
    <row r="3140" spans="1:8" x14ac:dyDescent="0.25">
      <c r="A3140" t="s">
        <v>925</v>
      </c>
      <c r="B3140" t="s">
        <v>440</v>
      </c>
      <c r="C3140" s="5">
        <v>8220975</v>
      </c>
      <c r="D3140" s="5">
        <v>229672</v>
      </c>
      <c r="E3140">
        <v>2146280</v>
      </c>
      <c r="F3140" s="4" t="s">
        <v>662</v>
      </c>
      <c r="G3140" t="s">
        <v>29</v>
      </c>
      <c r="H3140" t="s">
        <v>663</v>
      </c>
    </row>
    <row r="3141" spans="1:8" x14ac:dyDescent="0.25">
      <c r="A3141" t="s">
        <v>925</v>
      </c>
      <c r="B3141" t="s">
        <v>439</v>
      </c>
      <c r="C3141" s="5">
        <v>1118905</v>
      </c>
      <c r="D3141" s="5">
        <v>9698</v>
      </c>
      <c r="E3141">
        <v>502579</v>
      </c>
      <c r="F3141" s="4" t="s">
        <v>498</v>
      </c>
      <c r="G3141" t="s">
        <v>29</v>
      </c>
      <c r="H3141" t="s">
        <v>499</v>
      </c>
    </row>
    <row r="3142" spans="1:8" x14ac:dyDescent="0.25">
      <c r="A3142" t="s">
        <v>925</v>
      </c>
      <c r="B3142" t="s">
        <v>436</v>
      </c>
      <c r="C3142" s="5">
        <v>1602830</v>
      </c>
      <c r="D3142" s="5">
        <v>46015</v>
      </c>
      <c r="E3142">
        <v>529640</v>
      </c>
      <c r="F3142" s="4" t="s">
        <v>168</v>
      </c>
      <c r="G3142" t="s">
        <v>29</v>
      </c>
      <c r="H3142" t="s">
        <v>169</v>
      </c>
    </row>
    <row r="3143" spans="1:8" x14ac:dyDescent="0.25">
      <c r="A3143" t="s">
        <v>925</v>
      </c>
      <c r="B3143" t="s">
        <v>435</v>
      </c>
      <c r="C3143" s="5">
        <v>54668</v>
      </c>
      <c r="D3143" s="5">
        <v>374</v>
      </c>
      <c r="E3143">
        <v>6725</v>
      </c>
      <c r="F3143" s="4" t="s">
        <v>605</v>
      </c>
      <c r="G3143" t="s">
        <v>29</v>
      </c>
      <c r="H3143" t="s">
        <v>606</v>
      </c>
    </row>
    <row r="3144" spans="1:8" x14ac:dyDescent="0.25">
      <c r="A3144" t="s">
        <v>925</v>
      </c>
      <c r="B3144" t="s">
        <v>432</v>
      </c>
      <c r="C3144" s="5">
        <v>238845</v>
      </c>
      <c r="D3144" s="5">
        <v>609</v>
      </c>
      <c r="E3144">
        <v>107841</v>
      </c>
      <c r="F3144" s="4" t="s">
        <v>433</v>
      </c>
      <c r="G3144" t="s">
        <v>29</v>
      </c>
      <c r="H3144" t="s">
        <v>434</v>
      </c>
    </row>
    <row r="3145" spans="1:8" x14ac:dyDescent="0.25">
      <c r="A3145" t="s">
        <v>925</v>
      </c>
      <c r="B3145" t="s">
        <v>429</v>
      </c>
      <c r="C3145" s="5">
        <v>460894</v>
      </c>
      <c r="D3145" s="5">
        <v>16238</v>
      </c>
      <c r="E3145">
        <v>251092</v>
      </c>
      <c r="F3145" s="4" t="s">
        <v>353</v>
      </c>
      <c r="G3145" t="s">
        <v>29</v>
      </c>
      <c r="H3145" t="s">
        <v>354</v>
      </c>
    </row>
    <row r="3146" spans="1:8" x14ac:dyDescent="0.25">
      <c r="A3146" t="s">
        <v>925</v>
      </c>
      <c r="B3146" t="s">
        <v>428</v>
      </c>
      <c r="C3146" s="5">
        <v>8</v>
      </c>
      <c r="D3146" s="5">
        <v>0</v>
      </c>
      <c r="E3146">
        <v>6</v>
      </c>
      <c r="F3146" s="4" t="s">
        <v>29</v>
      </c>
      <c r="G3146" t="s">
        <v>29</v>
      </c>
      <c r="H3146" t="s">
        <v>291</v>
      </c>
    </row>
    <row r="3147" spans="1:8" x14ac:dyDescent="0.25">
      <c r="A3147" t="s">
        <v>925</v>
      </c>
      <c r="B3147" t="s">
        <v>427</v>
      </c>
      <c r="C3147" s="5">
        <v>1087245</v>
      </c>
      <c r="D3147" s="5">
        <v>18144</v>
      </c>
      <c r="E3147">
        <v>527379</v>
      </c>
      <c r="F3147" s="4" t="s">
        <v>827</v>
      </c>
      <c r="G3147" t="s">
        <v>29</v>
      </c>
      <c r="H3147" t="s">
        <v>828</v>
      </c>
    </row>
    <row r="3148" spans="1:8" x14ac:dyDescent="0.25">
      <c r="A3148" t="s">
        <v>925</v>
      </c>
      <c r="B3148" t="s">
        <v>426</v>
      </c>
      <c r="C3148" s="5">
        <v>452272</v>
      </c>
      <c r="D3148" s="5">
        <v>4651</v>
      </c>
      <c r="E3148">
        <v>132899</v>
      </c>
      <c r="F3148" s="4" t="s">
        <v>687</v>
      </c>
      <c r="G3148" t="s">
        <v>29</v>
      </c>
      <c r="H3148" t="s">
        <v>688</v>
      </c>
    </row>
    <row r="3149" spans="1:8" x14ac:dyDescent="0.25">
      <c r="A3149" t="s">
        <v>925</v>
      </c>
      <c r="B3149" t="s">
        <v>423</v>
      </c>
      <c r="C3149" s="5">
        <v>2990509</v>
      </c>
      <c r="D3149" s="5">
        <v>76672</v>
      </c>
      <c r="E3149">
        <v>1972698</v>
      </c>
      <c r="F3149" s="4" t="s">
        <v>38</v>
      </c>
      <c r="G3149" t="s">
        <v>29</v>
      </c>
      <c r="H3149" t="s">
        <v>39</v>
      </c>
    </row>
    <row r="3150" spans="1:8" x14ac:dyDescent="0.25">
      <c r="A3150" t="s">
        <v>925</v>
      </c>
      <c r="B3150" t="s">
        <v>420</v>
      </c>
      <c r="C3150" s="5">
        <v>1271027</v>
      </c>
      <c r="D3150" s="5">
        <v>28414</v>
      </c>
      <c r="E3150">
        <v>508255</v>
      </c>
      <c r="F3150" s="4" t="s">
        <v>603</v>
      </c>
      <c r="G3150" t="s">
        <v>29</v>
      </c>
      <c r="H3150" t="s">
        <v>604</v>
      </c>
    </row>
    <row r="3151" spans="1:8" x14ac:dyDescent="0.25">
      <c r="A3151" t="s">
        <v>925</v>
      </c>
      <c r="B3151" t="s">
        <v>419</v>
      </c>
      <c r="C3151" s="5">
        <v>2768849</v>
      </c>
      <c r="D3151" s="5">
        <v>42348</v>
      </c>
      <c r="E3151">
        <v>2348652</v>
      </c>
      <c r="F3151" s="4" t="s">
        <v>74</v>
      </c>
      <c r="G3151" t="s">
        <v>29</v>
      </c>
      <c r="H3151" t="s">
        <v>75</v>
      </c>
    </row>
    <row r="3152" spans="1:8" x14ac:dyDescent="0.25">
      <c r="A3152" t="s">
        <v>925</v>
      </c>
      <c r="B3152" t="s">
        <v>416</v>
      </c>
      <c r="C3152" s="5">
        <v>28487</v>
      </c>
      <c r="D3152" s="5">
        <v>335</v>
      </c>
      <c r="E3152">
        <v>2354</v>
      </c>
      <c r="F3152" s="4" t="s">
        <v>702</v>
      </c>
      <c r="G3152" t="s">
        <v>29</v>
      </c>
      <c r="H3152" t="s">
        <v>703</v>
      </c>
    </row>
    <row r="3153" spans="1:8" x14ac:dyDescent="0.25">
      <c r="A3153" t="s">
        <v>925</v>
      </c>
      <c r="B3153" t="s">
        <v>415</v>
      </c>
      <c r="C3153" s="5">
        <v>45506</v>
      </c>
      <c r="D3153" s="5">
        <v>636</v>
      </c>
      <c r="E3153">
        <v>30252</v>
      </c>
      <c r="F3153" s="4" t="s">
        <v>403</v>
      </c>
      <c r="G3153" t="s">
        <v>29</v>
      </c>
      <c r="H3153" t="s">
        <v>404</v>
      </c>
    </row>
    <row r="3154" spans="1:8" x14ac:dyDescent="0.25">
      <c r="A3154" t="s">
        <v>925</v>
      </c>
      <c r="B3154" t="s">
        <v>412</v>
      </c>
      <c r="C3154" s="5">
        <v>2198038</v>
      </c>
      <c r="D3154" s="5">
        <v>200149</v>
      </c>
      <c r="E3154">
        <v>67111</v>
      </c>
      <c r="F3154" s="4" t="s">
        <v>930</v>
      </c>
      <c r="G3154" t="s">
        <v>29</v>
      </c>
      <c r="H3154" t="s">
        <v>931</v>
      </c>
    </row>
    <row r="3155" spans="1:8" x14ac:dyDescent="0.25">
      <c r="A3155" t="s">
        <v>925</v>
      </c>
      <c r="B3155" t="s">
        <v>411</v>
      </c>
      <c r="C3155" s="5">
        <v>472057</v>
      </c>
      <c r="D3155" s="5">
        <v>7314</v>
      </c>
      <c r="E3155">
        <v>17507</v>
      </c>
      <c r="F3155" s="4" t="s">
        <v>333</v>
      </c>
      <c r="G3155" t="s">
        <v>29</v>
      </c>
      <c r="H3155" t="s">
        <v>334</v>
      </c>
    </row>
    <row r="3156" spans="1:8" x14ac:dyDescent="0.25">
      <c r="A3156" t="s">
        <v>925</v>
      </c>
      <c r="B3156" t="s">
        <v>408</v>
      </c>
      <c r="C3156" s="5">
        <v>304219</v>
      </c>
      <c r="D3156" s="5">
        <v>4111</v>
      </c>
      <c r="E3156">
        <v>212857</v>
      </c>
      <c r="F3156" s="4" t="s">
        <v>409</v>
      </c>
      <c r="G3156" t="s">
        <v>29</v>
      </c>
      <c r="H3156" t="s">
        <v>410</v>
      </c>
    </row>
    <row r="3157" spans="1:8" x14ac:dyDescent="0.25">
      <c r="A3157" t="s">
        <v>925</v>
      </c>
      <c r="B3157" t="s">
        <v>405</v>
      </c>
      <c r="C3157" s="5">
        <v>5996</v>
      </c>
      <c r="D3157" s="5">
        <v>28</v>
      </c>
      <c r="E3157">
        <v>5219</v>
      </c>
      <c r="F3157" s="4" t="s">
        <v>932</v>
      </c>
      <c r="G3157" t="s">
        <v>29</v>
      </c>
      <c r="H3157" t="s">
        <v>933</v>
      </c>
    </row>
    <row r="3158" spans="1:8" x14ac:dyDescent="0.25">
      <c r="A3158" t="s">
        <v>925</v>
      </c>
      <c r="B3158" t="s">
        <v>402</v>
      </c>
      <c r="C3158" s="5">
        <v>810880</v>
      </c>
      <c r="D3158" s="5">
        <v>11380</v>
      </c>
      <c r="E3158">
        <v>226995</v>
      </c>
      <c r="F3158" s="4" t="s">
        <v>403</v>
      </c>
      <c r="G3158" t="s">
        <v>29</v>
      </c>
      <c r="H3158" t="s">
        <v>404</v>
      </c>
    </row>
    <row r="3159" spans="1:8" x14ac:dyDescent="0.25">
      <c r="A3159" t="s">
        <v>925</v>
      </c>
      <c r="B3159" t="s">
        <v>399</v>
      </c>
      <c r="C3159" s="5">
        <v>203734</v>
      </c>
      <c r="D3159" s="5">
        <v>900</v>
      </c>
      <c r="E3159">
        <v>144338</v>
      </c>
      <c r="F3159" s="4" t="s">
        <v>871</v>
      </c>
      <c r="G3159" t="s">
        <v>29</v>
      </c>
      <c r="H3159" t="s">
        <v>872</v>
      </c>
    </row>
    <row r="3160" spans="1:8" x14ac:dyDescent="0.25">
      <c r="A3160" t="s">
        <v>925</v>
      </c>
      <c r="B3160" t="s">
        <v>396</v>
      </c>
      <c r="C3160" s="5">
        <v>2140671</v>
      </c>
      <c r="D3160" s="5">
        <v>18795</v>
      </c>
      <c r="E3160">
        <v>1105093</v>
      </c>
      <c r="F3160" s="4" t="s">
        <v>609</v>
      </c>
      <c r="G3160" t="s">
        <v>29</v>
      </c>
      <c r="H3160" t="s">
        <v>610</v>
      </c>
    </row>
    <row r="3161" spans="1:8" x14ac:dyDescent="0.25">
      <c r="A3161" t="s">
        <v>925</v>
      </c>
      <c r="B3161" t="s">
        <v>393</v>
      </c>
      <c r="C3161" s="5">
        <v>16422</v>
      </c>
      <c r="D3161" s="5">
        <v>208</v>
      </c>
      <c r="E3161">
        <v>10321</v>
      </c>
      <c r="F3161" s="4" t="s">
        <v>53</v>
      </c>
      <c r="G3161" t="s">
        <v>29</v>
      </c>
      <c r="H3161" t="s">
        <v>54</v>
      </c>
    </row>
    <row r="3162" spans="1:8" x14ac:dyDescent="0.25">
      <c r="A3162" t="s">
        <v>925</v>
      </c>
      <c r="B3162" t="s">
        <v>390</v>
      </c>
      <c r="C3162" s="5">
        <v>211496</v>
      </c>
      <c r="D3162" s="5">
        <v>2886</v>
      </c>
      <c r="E3162">
        <v>40405</v>
      </c>
      <c r="F3162" s="4" t="s">
        <v>630</v>
      </c>
      <c r="G3162" t="s">
        <v>29</v>
      </c>
      <c r="H3162" t="s">
        <v>631</v>
      </c>
    </row>
    <row r="3163" spans="1:8" x14ac:dyDescent="0.25">
      <c r="A3163" t="s">
        <v>925</v>
      </c>
      <c r="B3163" t="s">
        <v>387</v>
      </c>
      <c r="C3163" s="5">
        <v>6300</v>
      </c>
      <c r="D3163" s="5">
        <v>211</v>
      </c>
      <c r="E3163">
        <v>623</v>
      </c>
      <c r="F3163" s="4" t="s">
        <v>831</v>
      </c>
      <c r="G3163" t="s">
        <v>29</v>
      </c>
      <c r="H3163" t="s">
        <v>832</v>
      </c>
    </row>
    <row r="3164" spans="1:8" x14ac:dyDescent="0.25">
      <c r="A3164" t="s">
        <v>925</v>
      </c>
      <c r="B3164" t="s">
        <v>386</v>
      </c>
      <c r="C3164" s="5">
        <v>10768</v>
      </c>
      <c r="D3164" s="5">
        <v>263</v>
      </c>
      <c r="E3164">
        <v>3214</v>
      </c>
      <c r="F3164" s="4" t="s">
        <v>934</v>
      </c>
      <c r="G3164" t="s">
        <v>29</v>
      </c>
      <c r="H3164" t="s">
        <v>935</v>
      </c>
    </row>
    <row r="3165" spans="1:8" x14ac:dyDescent="0.25">
      <c r="A3165" t="s">
        <v>925</v>
      </c>
      <c r="B3165" t="s">
        <v>383</v>
      </c>
      <c r="C3165" s="5">
        <v>128868</v>
      </c>
      <c r="D3165" s="5">
        <v>3550</v>
      </c>
      <c r="E3165">
        <v>39316</v>
      </c>
      <c r="F3165" s="4" t="s">
        <v>276</v>
      </c>
      <c r="G3165" t="s">
        <v>29</v>
      </c>
      <c r="H3165" t="s">
        <v>277</v>
      </c>
    </row>
    <row r="3166" spans="1:8" x14ac:dyDescent="0.25">
      <c r="A3166" t="s">
        <v>925</v>
      </c>
      <c r="B3166" t="s">
        <v>380</v>
      </c>
      <c r="C3166" s="5">
        <v>151253</v>
      </c>
      <c r="D3166" s="5">
        <v>1929</v>
      </c>
      <c r="E3166">
        <v>83495</v>
      </c>
      <c r="F3166" s="4" t="s">
        <v>381</v>
      </c>
      <c r="G3166" t="s">
        <v>29</v>
      </c>
      <c r="H3166" t="s">
        <v>382</v>
      </c>
    </row>
    <row r="3167" spans="1:8" x14ac:dyDescent="0.25">
      <c r="A3167" t="s">
        <v>925</v>
      </c>
      <c r="B3167" t="s">
        <v>377</v>
      </c>
      <c r="C3167" s="5">
        <v>2448372</v>
      </c>
      <c r="D3167" s="5">
        <v>28674</v>
      </c>
      <c r="E3167">
        <v>1127272</v>
      </c>
      <c r="F3167" s="4" t="s">
        <v>378</v>
      </c>
      <c r="G3167" t="s">
        <v>29</v>
      </c>
      <c r="H3167" t="s">
        <v>379</v>
      </c>
    </row>
    <row r="3168" spans="1:8" x14ac:dyDescent="0.25">
      <c r="A3168" t="s">
        <v>925</v>
      </c>
      <c r="B3168" t="s">
        <v>374</v>
      </c>
      <c r="C3168" s="5">
        <v>3788986</v>
      </c>
      <c r="D3168" s="5">
        <v>286888</v>
      </c>
      <c r="E3168">
        <v>2062041</v>
      </c>
      <c r="F3168" s="4" t="s">
        <v>375</v>
      </c>
      <c r="G3168" t="s">
        <v>29</v>
      </c>
      <c r="H3168" t="s">
        <v>376</v>
      </c>
    </row>
    <row r="3169" spans="1:8" x14ac:dyDescent="0.25">
      <c r="A3169" t="s">
        <v>925</v>
      </c>
      <c r="B3169" t="s">
        <v>371</v>
      </c>
      <c r="C3169" s="5">
        <v>61774</v>
      </c>
      <c r="D3169" s="5">
        <v>2297</v>
      </c>
      <c r="E3169">
        <v>24291</v>
      </c>
      <c r="F3169" s="4" t="s">
        <v>372</v>
      </c>
      <c r="G3169" t="s">
        <v>29</v>
      </c>
      <c r="H3169" t="s">
        <v>373</v>
      </c>
    </row>
    <row r="3170" spans="1:8" x14ac:dyDescent="0.25">
      <c r="A3170" t="s">
        <v>925</v>
      </c>
      <c r="B3170" t="s">
        <v>368</v>
      </c>
      <c r="C3170" s="5">
        <v>87359</v>
      </c>
      <c r="D3170" s="5">
        <v>242</v>
      </c>
      <c r="E3170">
        <v>43263</v>
      </c>
      <c r="F3170" s="4" t="s">
        <v>369</v>
      </c>
      <c r="G3170" t="s">
        <v>29</v>
      </c>
      <c r="H3170" t="s">
        <v>370</v>
      </c>
    </row>
    <row r="3171" spans="1:8" x14ac:dyDescent="0.25">
      <c r="A3171" t="s">
        <v>925</v>
      </c>
      <c r="B3171" t="s">
        <v>367</v>
      </c>
      <c r="C3171" s="5">
        <v>17416</v>
      </c>
      <c r="D3171" s="5">
        <v>160</v>
      </c>
      <c r="E3171">
        <v>12669</v>
      </c>
      <c r="F3171" s="4" t="s">
        <v>214</v>
      </c>
      <c r="G3171" t="s">
        <v>29</v>
      </c>
      <c r="H3171" t="s">
        <v>215</v>
      </c>
    </row>
    <row r="3172" spans="1:8" x14ac:dyDescent="0.25">
      <c r="A3172" t="s">
        <v>925</v>
      </c>
      <c r="B3172" t="s">
        <v>364</v>
      </c>
      <c r="C3172" s="5">
        <v>37595</v>
      </c>
      <c r="D3172" s="5">
        <v>460</v>
      </c>
      <c r="E3172">
        <v>20373</v>
      </c>
      <c r="F3172" s="4" t="s">
        <v>365</v>
      </c>
      <c r="G3172" t="s">
        <v>29</v>
      </c>
      <c r="H3172" t="s">
        <v>366</v>
      </c>
    </row>
    <row r="3173" spans="1:8" x14ac:dyDescent="0.25">
      <c r="A3173" t="s">
        <v>925</v>
      </c>
      <c r="B3173" t="s">
        <v>363</v>
      </c>
      <c r="C3173" s="5">
        <v>37094</v>
      </c>
      <c r="D3173" s="5">
        <v>792</v>
      </c>
      <c r="E3173">
        <v>17231</v>
      </c>
      <c r="F3173" s="4" t="s">
        <v>823</v>
      </c>
      <c r="G3173" t="s">
        <v>29</v>
      </c>
      <c r="H3173" t="s">
        <v>824</v>
      </c>
    </row>
    <row r="3174" spans="1:8" x14ac:dyDescent="0.25">
      <c r="A3174" t="s">
        <v>925</v>
      </c>
      <c r="B3174" t="s">
        <v>360</v>
      </c>
      <c r="C3174" s="5">
        <v>43022</v>
      </c>
      <c r="D3174" s="5">
        <v>675</v>
      </c>
      <c r="E3174">
        <v>35752</v>
      </c>
      <c r="F3174" s="4" t="s">
        <v>217</v>
      </c>
      <c r="G3174" t="s">
        <v>29</v>
      </c>
      <c r="H3174" t="s">
        <v>218</v>
      </c>
    </row>
    <row r="3175" spans="1:8" x14ac:dyDescent="0.25">
      <c r="A3175" t="s">
        <v>925</v>
      </c>
      <c r="B3175" t="s">
        <v>359</v>
      </c>
      <c r="C3175" s="5">
        <v>77</v>
      </c>
      <c r="D3175" s="5">
        <v>0</v>
      </c>
      <c r="E3175">
        <v>7</v>
      </c>
      <c r="F3175" s="4" t="s">
        <v>29</v>
      </c>
      <c r="G3175" t="s">
        <v>29</v>
      </c>
      <c r="H3175" t="s">
        <v>291</v>
      </c>
    </row>
    <row r="3176" spans="1:8" x14ac:dyDescent="0.25">
      <c r="A3176" t="s">
        <v>925</v>
      </c>
      <c r="B3176" t="s">
        <v>358</v>
      </c>
      <c r="C3176" s="5">
        <v>355129</v>
      </c>
      <c r="D3176" s="5">
        <v>1699</v>
      </c>
      <c r="E3176">
        <v>324674</v>
      </c>
      <c r="F3176" s="4" t="s">
        <v>848</v>
      </c>
      <c r="G3176" t="s">
        <v>29</v>
      </c>
      <c r="H3176" t="s">
        <v>849</v>
      </c>
    </row>
    <row r="3177" spans="1:8" x14ac:dyDescent="0.25">
      <c r="A3177" t="s">
        <v>925</v>
      </c>
      <c r="B3177" t="s">
        <v>355</v>
      </c>
      <c r="C3177" s="5">
        <v>496901</v>
      </c>
      <c r="D3177" s="5">
        <v>18603</v>
      </c>
      <c r="E3177">
        <v>408313</v>
      </c>
      <c r="F3177" s="4" t="s">
        <v>829</v>
      </c>
      <c r="G3177" t="s">
        <v>29</v>
      </c>
      <c r="H3177" t="s">
        <v>830</v>
      </c>
    </row>
    <row r="3178" spans="1:8" x14ac:dyDescent="0.25">
      <c r="A3178" t="s">
        <v>925</v>
      </c>
      <c r="B3178" t="s">
        <v>352</v>
      </c>
      <c r="C3178" s="5">
        <v>15924</v>
      </c>
      <c r="D3178" s="5">
        <v>561</v>
      </c>
      <c r="E3178">
        <v>2017</v>
      </c>
      <c r="F3178" s="4" t="s">
        <v>353</v>
      </c>
      <c r="G3178" t="s">
        <v>29</v>
      </c>
      <c r="H3178" t="s">
        <v>354</v>
      </c>
    </row>
    <row r="3179" spans="1:8" x14ac:dyDescent="0.25">
      <c r="A3179" t="s">
        <v>925</v>
      </c>
      <c r="B3179" t="s">
        <v>349</v>
      </c>
      <c r="C3179" s="5">
        <v>200856</v>
      </c>
      <c r="D3179" s="5">
        <v>7087</v>
      </c>
      <c r="E3179">
        <v>13071</v>
      </c>
      <c r="F3179" s="4" t="s">
        <v>430</v>
      </c>
      <c r="G3179" t="s">
        <v>29</v>
      </c>
      <c r="H3179" t="s">
        <v>431</v>
      </c>
    </row>
    <row r="3180" spans="1:8" x14ac:dyDescent="0.25">
      <c r="A3180" t="s">
        <v>925</v>
      </c>
      <c r="B3180" t="s">
        <v>348</v>
      </c>
      <c r="C3180" s="5">
        <v>4</v>
      </c>
      <c r="D3180" s="5">
        <v>0</v>
      </c>
      <c r="E3180">
        <v>1</v>
      </c>
      <c r="F3180" s="4" t="s">
        <v>29</v>
      </c>
      <c r="G3180" t="s">
        <v>29</v>
      </c>
      <c r="H3180" t="s">
        <v>291</v>
      </c>
    </row>
    <row r="3181" spans="1:8" x14ac:dyDescent="0.25">
      <c r="A3181" t="s">
        <v>925</v>
      </c>
      <c r="B3181" t="s">
        <v>347</v>
      </c>
      <c r="C3181" s="5">
        <v>43626</v>
      </c>
      <c r="D3181" s="5">
        <v>963</v>
      </c>
      <c r="E3181">
        <v>12080</v>
      </c>
      <c r="F3181" s="4" t="s">
        <v>132</v>
      </c>
      <c r="G3181" t="s">
        <v>29</v>
      </c>
      <c r="H3181" t="s">
        <v>133</v>
      </c>
    </row>
    <row r="3182" spans="1:8" x14ac:dyDescent="0.25">
      <c r="A3182" t="s">
        <v>925</v>
      </c>
      <c r="B3182" t="s">
        <v>344</v>
      </c>
      <c r="C3182" s="5">
        <v>3920</v>
      </c>
      <c r="D3182" s="5">
        <v>55</v>
      </c>
      <c r="E3182">
        <v>2564</v>
      </c>
      <c r="F3182" s="4" t="s">
        <v>403</v>
      </c>
      <c r="G3182" t="s">
        <v>29</v>
      </c>
      <c r="H3182" t="s">
        <v>404</v>
      </c>
    </row>
    <row r="3183" spans="1:8" x14ac:dyDescent="0.25">
      <c r="A3183" t="s">
        <v>925</v>
      </c>
      <c r="B3183" t="s">
        <v>341</v>
      </c>
      <c r="C3183" s="5">
        <v>142308</v>
      </c>
      <c r="D3183" s="5">
        <v>2082</v>
      </c>
      <c r="E3183">
        <v>131182</v>
      </c>
      <c r="F3183" s="4" t="s">
        <v>565</v>
      </c>
      <c r="G3183" t="s">
        <v>29</v>
      </c>
      <c r="H3183" t="s">
        <v>566</v>
      </c>
    </row>
    <row r="3184" spans="1:8" x14ac:dyDescent="0.25">
      <c r="A3184" t="s">
        <v>925</v>
      </c>
      <c r="B3184" t="s">
        <v>338</v>
      </c>
      <c r="C3184" s="5">
        <v>332625</v>
      </c>
      <c r="D3184" s="5">
        <v>7619</v>
      </c>
      <c r="E3184">
        <v>103568</v>
      </c>
      <c r="F3184" s="4" t="s">
        <v>528</v>
      </c>
      <c r="G3184" t="s">
        <v>29</v>
      </c>
      <c r="H3184" t="s">
        <v>529</v>
      </c>
    </row>
    <row r="3185" spans="1:8" x14ac:dyDescent="0.25">
      <c r="A3185" t="s">
        <v>925</v>
      </c>
      <c r="B3185" t="s">
        <v>335</v>
      </c>
      <c r="C3185" s="5">
        <v>3399</v>
      </c>
      <c r="D3185" s="5">
        <v>36</v>
      </c>
      <c r="E3185">
        <v>3257</v>
      </c>
      <c r="F3185" s="4" t="s">
        <v>165</v>
      </c>
      <c r="G3185" t="s">
        <v>29</v>
      </c>
      <c r="H3185" t="s">
        <v>166</v>
      </c>
    </row>
    <row r="3186" spans="1:8" x14ac:dyDescent="0.25">
      <c r="A3186" t="s">
        <v>925</v>
      </c>
      <c r="B3186" t="s">
        <v>332</v>
      </c>
      <c r="C3186" s="5">
        <v>945201</v>
      </c>
      <c r="D3186" s="5">
        <v>14647</v>
      </c>
      <c r="E3186">
        <v>771577</v>
      </c>
      <c r="F3186" s="4" t="s">
        <v>333</v>
      </c>
      <c r="G3186" t="s">
        <v>29</v>
      </c>
      <c r="H3186" t="s">
        <v>334</v>
      </c>
    </row>
    <row r="3187" spans="1:8" x14ac:dyDescent="0.25">
      <c r="A3187" t="s">
        <v>925</v>
      </c>
      <c r="B3187" t="s">
        <v>329</v>
      </c>
      <c r="C3187" s="5">
        <v>355490</v>
      </c>
      <c r="D3187" s="5">
        <v>5048</v>
      </c>
      <c r="E3187">
        <v>70912</v>
      </c>
      <c r="F3187" s="4" t="s">
        <v>640</v>
      </c>
      <c r="G3187" t="s">
        <v>29</v>
      </c>
      <c r="H3187" t="s">
        <v>641</v>
      </c>
    </row>
    <row r="3188" spans="1:8" x14ac:dyDescent="0.25">
      <c r="A3188" t="s">
        <v>925</v>
      </c>
      <c r="B3188" t="s">
        <v>328</v>
      </c>
      <c r="C3188" s="5">
        <v>208783</v>
      </c>
      <c r="D3188" s="5">
        <v>3109</v>
      </c>
      <c r="E3188">
        <v>202688</v>
      </c>
      <c r="F3188" s="4" t="s">
        <v>800</v>
      </c>
      <c r="G3188" t="s">
        <v>29</v>
      </c>
      <c r="H3188" t="s">
        <v>801</v>
      </c>
    </row>
    <row r="3189" spans="1:8" x14ac:dyDescent="0.25">
      <c r="A3189" t="s">
        <v>925</v>
      </c>
      <c r="B3189" t="s">
        <v>325</v>
      </c>
      <c r="C3189" s="5">
        <v>81363</v>
      </c>
      <c r="D3189" s="5">
        <v>843</v>
      </c>
      <c r="E3189">
        <v>33041</v>
      </c>
      <c r="F3189" s="4" t="s">
        <v>336</v>
      </c>
      <c r="G3189" t="s">
        <v>29</v>
      </c>
      <c r="H3189" t="s">
        <v>337</v>
      </c>
    </row>
    <row r="3190" spans="1:8" x14ac:dyDescent="0.25">
      <c r="A3190" t="s">
        <v>925</v>
      </c>
      <c r="B3190" t="s">
        <v>322</v>
      </c>
      <c r="C3190" s="5">
        <v>396047</v>
      </c>
      <c r="D3190" s="5">
        <v>5720</v>
      </c>
      <c r="E3190">
        <v>322772</v>
      </c>
      <c r="F3190" s="4" t="s">
        <v>330</v>
      </c>
      <c r="G3190" t="s">
        <v>29</v>
      </c>
      <c r="H3190" t="s">
        <v>331</v>
      </c>
    </row>
    <row r="3191" spans="1:8" x14ac:dyDescent="0.25">
      <c r="A3191" t="s">
        <v>925</v>
      </c>
      <c r="B3191" t="s">
        <v>319</v>
      </c>
      <c r="C3191" s="5">
        <v>21600</v>
      </c>
      <c r="D3191" s="5">
        <v>657</v>
      </c>
      <c r="E3191">
        <v>8213</v>
      </c>
      <c r="F3191" s="4" t="s">
        <v>320</v>
      </c>
      <c r="G3191" t="s">
        <v>29</v>
      </c>
      <c r="H3191" t="s">
        <v>321</v>
      </c>
    </row>
    <row r="3192" spans="1:8" x14ac:dyDescent="0.25">
      <c r="A3192" t="s">
        <v>925</v>
      </c>
      <c r="B3192" t="s">
        <v>316</v>
      </c>
      <c r="C3192" s="5">
        <v>5812</v>
      </c>
      <c r="D3192" s="5">
        <v>287</v>
      </c>
      <c r="E3192">
        <v>3865</v>
      </c>
      <c r="F3192" s="4" t="s">
        <v>644</v>
      </c>
      <c r="G3192" t="s">
        <v>29</v>
      </c>
      <c r="H3192" t="s">
        <v>645</v>
      </c>
    </row>
    <row r="3193" spans="1:8" x14ac:dyDescent="0.25">
      <c r="A3193" t="s">
        <v>925</v>
      </c>
      <c r="B3193" t="s">
        <v>315</v>
      </c>
      <c r="C3193" s="5">
        <v>538320</v>
      </c>
      <c r="D3193" s="5">
        <v>13674</v>
      </c>
      <c r="E3193">
        <v>462642</v>
      </c>
      <c r="F3193" s="4" t="s">
        <v>141</v>
      </c>
      <c r="G3193" t="s">
        <v>29</v>
      </c>
      <c r="H3193" t="s">
        <v>142</v>
      </c>
    </row>
    <row r="3194" spans="1:8" x14ac:dyDescent="0.25">
      <c r="A3194" t="s">
        <v>925</v>
      </c>
      <c r="B3194" t="s">
        <v>312</v>
      </c>
      <c r="C3194" s="5">
        <v>3652</v>
      </c>
      <c r="D3194" s="5">
        <v>61</v>
      </c>
      <c r="E3194">
        <v>2662</v>
      </c>
      <c r="F3194" s="4" t="s">
        <v>827</v>
      </c>
      <c r="G3194" t="s">
        <v>29</v>
      </c>
      <c r="H3194" t="s">
        <v>828</v>
      </c>
    </row>
    <row r="3195" spans="1:8" x14ac:dyDescent="0.25">
      <c r="A3195" t="s">
        <v>925</v>
      </c>
      <c r="B3195" t="s">
        <v>309</v>
      </c>
      <c r="C3195" s="5">
        <v>12486</v>
      </c>
      <c r="D3195" s="5">
        <v>253</v>
      </c>
      <c r="E3195">
        <v>3550</v>
      </c>
      <c r="F3195" s="4" t="s">
        <v>713</v>
      </c>
      <c r="G3195" t="s">
        <v>29</v>
      </c>
      <c r="H3195" t="s">
        <v>714</v>
      </c>
    </row>
    <row r="3196" spans="1:8" x14ac:dyDescent="0.25">
      <c r="A3196" t="s">
        <v>925</v>
      </c>
      <c r="B3196" t="s">
        <v>306</v>
      </c>
      <c r="C3196" s="5">
        <v>639332</v>
      </c>
      <c r="D3196" s="5">
        <v>8472</v>
      </c>
      <c r="E3196">
        <v>371800</v>
      </c>
      <c r="F3196" s="4" t="s">
        <v>59</v>
      </c>
      <c r="G3196" t="s">
        <v>29</v>
      </c>
      <c r="H3196" t="s">
        <v>60</v>
      </c>
    </row>
    <row r="3197" spans="1:8" x14ac:dyDescent="0.25">
      <c r="A3197" t="s">
        <v>925</v>
      </c>
      <c r="B3197" t="s">
        <v>303</v>
      </c>
      <c r="C3197" s="5">
        <v>37751</v>
      </c>
      <c r="D3197" s="5">
        <v>59</v>
      </c>
      <c r="E3197">
        <v>16099</v>
      </c>
      <c r="F3197" s="4" t="s">
        <v>825</v>
      </c>
      <c r="G3197" t="s">
        <v>29</v>
      </c>
      <c r="H3197" t="s">
        <v>826</v>
      </c>
    </row>
    <row r="3198" spans="1:8" x14ac:dyDescent="0.25">
      <c r="A3198" t="s">
        <v>925</v>
      </c>
      <c r="B3198" t="s">
        <v>302</v>
      </c>
      <c r="C3198" s="5">
        <v>1013503</v>
      </c>
      <c r="D3198" s="5">
        <v>17021</v>
      </c>
      <c r="E3198">
        <v>92898</v>
      </c>
      <c r="F3198" s="4" t="s">
        <v>116</v>
      </c>
      <c r="G3198" t="s">
        <v>29</v>
      </c>
      <c r="H3198" t="s">
        <v>117</v>
      </c>
    </row>
    <row r="3199" spans="1:8" x14ac:dyDescent="0.25">
      <c r="A3199" t="s">
        <v>925</v>
      </c>
      <c r="B3199" t="s">
        <v>299</v>
      </c>
      <c r="C3199" s="5">
        <v>412594</v>
      </c>
      <c r="D3199" s="5">
        <v>2461</v>
      </c>
      <c r="E3199">
        <v>394022</v>
      </c>
      <c r="F3199" s="4" t="s">
        <v>300</v>
      </c>
      <c r="G3199" t="s">
        <v>29</v>
      </c>
      <c r="H3199" t="s">
        <v>301</v>
      </c>
    </row>
    <row r="3200" spans="1:8" x14ac:dyDescent="0.25">
      <c r="A3200" t="s">
        <v>925</v>
      </c>
      <c r="B3200" t="s">
        <v>296</v>
      </c>
      <c r="C3200" s="5">
        <v>358412</v>
      </c>
      <c r="D3200" s="5">
        <v>2808</v>
      </c>
      <c r="E3200">
        <v>21863</v>
      </c>
      <c r="F3200" s="4" t="s">
        <v>297</v>
      </c>
      <c r="G3200" t="s">
        <v>29</v>
      </c>
      <c r="H3200" t="s">
        <v>298</v>
      </c>
    </row>
    <row r="3201" spans="1:8" x14ac:dyDescent="0.25">
      <c r="A3201" t="s">
        <v>925</v>
      </c>
      <c r="B3201" t="s">
        <v>293</v>
      </c>
      <c r="C3201" s="5">
        <v>2657</v>
      </c>
      <c r="D3201" s="5">
        <v>21</v>
      </c>
      <c r="E3201">
        <v>2443</v>
      </c>
      <c r="F3201" s="4" t="s">
        <v>174</v>
      </c>
      <c r="G3201" t="s">
        <v>29</v>
      </c>
      <c r="H3201" t="s">
        <v>175</v>
      </c>
    </row>
    <row r="3202" spans="1:8" x14ac:dyDescent="0.25">
      <c r="A3202" t="s">
        <v>925</v>
      </c>
      <c r="B3202" t="s">
        <v>292</v>
      </c>
      <c r="C3202" s="5">
        <v>4233</v>
      </c>
      <c r="D3202" s="5">
        <v>147</v>
      </c>
      <c r="E3202">
        <v>3167</v>
      </c>
      <c r="F3202" s="4" t="s">
        <v>867</v>
      </c>
      <c r="G3202" t="s">
        <v>29</v>
      </c>
      <c r="H3202" t="s">
        <v>868</v>
      </c>
    </row>
    <row r="3203" spans="1:8" x14ac:dyDescent="0.25">
      <c r="A3203" t="s">
        <v>925</v>
      </c>
      <c r="B3203" t="s">
        <v>287</v>
      </c>
      <c r="C3203" s="5">
        <v>118111</v>
      </c>
      <c r="D3203" s="5">
        <v>2758</v>
      </c>
      <c r="E3203">
        <v>17950</v>
      </c>
      <c r="F3203" s="4" t="s">
        <v>681</v>
      </c>
      <c r="G3203" t="s">
        <v>29</v>
      </c>
      <c r="H3203" t="s">
        <v>682</v>
      </c>
    </row>
    <row r="3204" spans="1:8" x14ac:dyDescent="0.25">
      <c r="A3204" t="s">
        <v>925</v>
      </c>
      <c r="B3204" t="s">
        <v>290</v>
      </c>
      <c r="C3204" s="5">
        <v>2</v>
      </c>
      <c r="D3204" s="5">
        <v>0</v>
      </c>
      <c r="E3204">
        <v>2</v>
      </c>
      <c r="F3204" s="4" t="s">
        <v>29</v>
      </c>
      <c r="G3204" t="s">
        <v>29</v>
      </c>
      <c r="H3204" t="s">
        <v>291</v>
      </c>
    </row>
    <row r="3205" spans="1:8" x14ac:dyDescent="0.25">
      <c r="A3205" t="s">
        <v>925</v>
      </c>
      <c r="B3205" t="s">
        <v>284</v>
      </c>
      <c r="C3205" s="5">
        <v>180865</v>
      </c>
      <c r="D3205" s="5">
        <v>2661</v>
      </c>
      <c r="E3205">
        <v>15645</v>
      </c>
      <c r="F3205" s="4" t="s">
        <v>777</v>
      </c>
      <c r="G3205" t="s">
        <v>29</v>
      </c>
      <c r="H3205" t="s">
        <v>778</v>
      </c>
    </row>
    <row r="3206" spans="1:8" x14ac:dyDescent="0.25">
      <c r="A3206" t="s">
        <v>925</v>
      </c>
      <c r="B3206" t="s">
        <v>281</v>
      </c>
      <c r="C3206" s="5">
        <v>252938</v>
      </c>
      <c r="D3206" s="5">
        <v>5266</v>
      </c>
      <c r="E3206">
        <v>226365</v>
      </c>
      <c r="F3206" s="4" t="s">
        <v>549</v>
      </c>
      <c r="G3206" t="s">
        <v>29</v>
      </c>
      <c r="H3206" t="s">
        <v>550</v>
      </c>
    </row>
    <row r="3207" spans="1:8" x14ac:dyDescent="0.25">
      <c r="A3207" t="s">
        <v>925</v>
      </c>
      <c r="B3207" t="s">
        <v>280</v>
      </c>
      <c r="C3207" s="5">
        <v>1718486</v>
      </c>
      <c r="D3207" s="5">
        <v>18236</v>
      </c>
      <c r="E3207">
        <v>167023</v>
      </c>
      <c r="F3207" s="4" t="s">
        <v>165</v>
      </c>
      <c r="G3207" t="s">
        <v>29</v>
      </c>
      <c r="H3207" t="s">
        <v>166</v>
      </c>
    </row>
    <row r="3208" spans="1:8" x14ac:dyDescent="0.25">
      <c r="A3208" t="s">
        <v>925</v>
      </c>
      <c r="B3208" t="s">
        <v>279</v>
      </c>
      <c r="C3208" s="5">
        <v>856450</v>
      </c>
      <c r="D3208" s="5">
        <v>10983</v>
      </c>
      <c r="E3208">
        <v>206408</v>
      </c>
      <c r="F3208" s="4" t="s">
        <v>381</v>
      </c>
      <c r="G3208" t="s">
        <v>29</v>
      </c>
      <c r="H3208" t="s">
        <v>382</v>
      </c>
    </row>
    <row r="3209" spans="1:8" x14ac:dyDescent="0.25">
      <c r="A3209" t="s">
        <v>925</v>
      </c>
      <c r="B3209" t="s">
        <v>278</v>
      </c>
      <c r="C3209" s="5">
        <v>88530</v>
      </c>
      <c r="D3209" s="5">
        <v>2192</v>
      </c>
      <c r="E3209">
        <v>14827</v>
      </c>
      <c r="F3209" s="4" t="s">
        <v>913</v>
      </c>
      <c r="G3209" t="s">
        <v>29</v>
      </c>
      <c r="H3209" t="s">
        <v>914</v>
      </c>
    </row>
    <row r="3210" spans="1:8" x14ac:dyDescent="0.25">
      <c r="A3210" t="s">
        <v>925</v>
      </c>
      <c r="B3210" t="s">
        <v>275</v>
      </c>
      <c r="C3210" s="5">
        <v>4752368</v>
      </c>
      <c r="D3210" s="5">
        <v>131954</v>
      </c>
      <c r="E3210">
        <v>4364141</v>
      </c>
      <c r="F3210" s="4" t="s">
        <v>98</v>
      </c>
      <c r="G3210" t="s">
        <v>29</v>
      </c>
      <c r="H3210" t="s">
        <v>99</v>
      </c>
    </row>
    <row r="3211" spans="1:8" x14ac:dyDescent="0.25">
      <c r="A3211" t="s">
        <v>925</v>
      </c>
      <c r="B3211" t="s">
        <v>272</v>
      </c>
      <c r="C3211" s="5">
        <v>13313</v>
      </c>
      <c r="D3211" s="5">
        <v>33</v>
      </c>
      <c r="E3211">
        <v>6913</v>
      </c>
      <c r="F3211" s="4" t="s">
        <v>433</v>
      </c>
      <c r="G3211" t="s">
        <v>29</v>
      </c>
      <c r="H3211" t="s">
        <v>434</v>
      </c>
    </row>
    <row r="3212" spans="1:8" x14ac:dyDescent="0.25">
      <c r="A3212" t="s">
        <v>925</v>
      </c>
      <c r="B3212" t="s">
        <v>269</v>
      </c>
      <c r="C3212" s="5">
        <v>5888100</v>
      </c>
      <c r="D3212" s="5">
        <v>125716</v>
      </c>
      <c r="E3212">
        <v>3771441</v>
      </c>
      <c r="F3212" s="4" t="s">
        <v>823</v>
      </c>
      <c r="G3212" t="s">
        <v>29</v>
      </c>
      <c r="H3212" t="s">
        <v>824</v>
      </c>
    </row>
    <row r="3213" spans="1:8" x14ac:dyDescent="0.25">
      <c r="A3213" t="s">
        <v>925</v>
      </c>
      <c r="B3213" t="s">
        <v>266</v>
      </c>
      <c r="C3213" s="5">
        <v>2050652</v>
      </c>
      <c r="D3213" s="5">
        <v>23061</v>
      </c>
      <c r="E3213">
        <v>621987</v>
      </c>
      <c r="F3213" s="4" t="s">
        <v>911</v>
      </c>
      <c r="G3213" t="s">
        <v>29</v>
      </c>
      <c r="H3213" t="s">
        <v>912</v>
      </c>
    </row>
    <row r="3214" spans="1:8" x14ac:dyDescent="0.25">
      <c r="A3214" t="s">
        <v>925</v>
      </c>
      <c r="B3214" t="s">
        <v>263</v>
      </c>
      <c r="C3214" s="5">
        <v>34231809</v>
      </c>
      <c r="D3214" s="5">
        <v>456386</v>
      </c>
      <c r="E3214">
        <v>16858032</v>
      </c>
      <c r="F3214" s="4" t="s">
        <v>59</v>
      </c>
      <c r="G3214" t="s">
        <v>29</v>
      </c>
      <c r="H3214" t="s">
        <v>60</v>
      </c>
    </row>
    <row r="3215" spans="1:8" x14ac:dyDescent="0.25">
      <c r="A3215" t="s">
        <v>925</v>
      </c>
      <c r="B3215" t="s">
        <v>260</v>
      </c>
      <c r="C3215" s="5">
        <v>1325496</v>
      </c>
      <c r="D3215" s="5">
        <v>8073</v>
      </c>
      <c r="E3215">
        <v>291104</v>
      </c>
      <c r="F3215" s="4" t="s">
        <v>261</v>
      </c>
      <c r="G3215" t="s">
        <v>29</v>
      </c>
      <c r="H3215" t="s">
        <v>262</v>
      </c>
    </row>
    <row r="3216" spans="1:8" x14ac:dyDescent="0.25">
      <c r="A3216" t="s">
        <v>925</v>
      </c>
      <c r="B3216" t="s">
        <v>257</v>
      </c>
      <c r="C3216" s="5">
        <v>435526</v>
      </c>
      <c r="D3216" s="5">
        <v>5436</v>
      </c>
      <c r="E3216">
        <v>44286</v>
      </c>
      <c r="F3216" s="4" t="s">
        <v>107</v>
      </c>
      <c r="G3216" t="s">
        <v>29</v>
      </c>
      <c r="H3216" t="s">
        <v>108</v>
      </c>
    </row>
    <row r="3217" spans="1:8" x14ac:dyDescent="0.25">
      <c r="A3217" t="s">
        <v>925</v>
      </c>
      <c r="B3217" t="s">
        <v>254</v>
      </c>
      <c r="C3217" s="5">
        <v>4241809</v>
      </c>
      <c r="D3217" s="5">
        <v>143299</v>
      </c>
      <c r="E3217">
        <v>3131784</v>
      </c>
      <c r="F3217" s="4" t="s">
        <v>255</v>
      </c>
      <c r="G3217" t="s">
        <v>29</v>
      </c>
      <c r="H3217" t="s">
        <v>256</v>
      </c>
    </row>
    <row r="3218" spans="1:8" x14ac:dyDescent="0.25">
      <c r="A3218" t="s">
        <v>925</v>
      </c>
      <c r="B3218" t="s">
        <v>251</v>
      </c>
      <c r="C3218" s="5">
        <v>855339</v>
      </c>
      <c r="D3218" s="5">
        <v>30647</v>
      </c>
      <c r="E3218">
        <v>422429</v>
      </c>
      <c r="F3218" s="4" t="s">
        <v>936</v>
      </c>
      <c r="G3218" t="s">
        <v>29</v>
      </c>
      <c r="H3218" t="s">
        <v>937</v>
      </c>
    </row>
    <row r="3219" spans="1:8" x14ac:dyDescent="0.25">
      <c r="A3219" t="s">
        <v>925</v>
      </c>
      <c r="B3219" t="s">
        <v>248</v>
      </c>
      <c r="C3219" s="5">
        <v>23773</v>
      </c>
      <c r="D3219" s="5">
        <v>662</v>
      </c>
      <c r="E3219">
        <v>16206</v>
      </c>
      <c r="F3219" s="4" t="s">
        <v>98</v>
      </c>
      <c r="G3219" t="s">
        <v>29</v>
      </c>
      <c r="H3219" t="s">
        <v>99</v>
      </c>
    </row>
    <row r="3220" spans="1:8" x14ac:dyDescent="0.25">
      <c r="A3220" t="s">
        <v>925</v>
      </c>
      <c r="B3220" t="s">
        <v>245</v>
      </c>
      <c r="C3220" s="5">
        <v>453936</v>
      </c>
      <c r="D3220" s="5">
        <v>9116</v>
      </c>
      <c r="E3220">
        <v>195337</v>
      </c>
      <c r="F3220" s="4" t="s">
        <v>656</v>
      </c>
      <c r="G3220" t="s">
        <v>29</v>
      </c>
      <c r="H3220" t="s">
        <v>657</v>
      </c>
    </row>
    <row r="3221" spans="1:8" x14ac:dyDescent="0.25">
      <c r="A3221" t="s">
        <v>925</v>
      </c>
      <c r="B3221" t="s">
        <v>242</v>
      </c>
      <c r="C3221" s="5">
        <v>374783</v>
      </c>
      <c r="D3221" s="5">
        <v>10210</v>
      </c>
      <c r="E3221">
        <v>141302</v>
      </c>
      <c r="F3221" s="4" t="s">
        <v>938</v>
      </c>
      <c r="G3221" t="s">
        <v>29</v>
      </c>
      <c r="H3221" t="s">
        <v>939</v>
      </c>
    </row>
    <row r="3222" spans="1:8" x14ac:dyDescent="0.25">
      <c r="A3222" t="s">
        <v>925</v>
      </c>
      <c r="B3222" t="s">
        <v>239</v>
      </c>
      <c r="C3222" s="5">
        <v>12335</v>
      </c>
      <c r="D3222" s="5">
        <v>213</v>
      </c>
      <c r="E3222">
        <v>5339</v>
      </c>
      <c r="F3222" s="4" t="s">
        <v>765</v>
      </c>
      <c r="G3222" t="s">
        <v>29</v>
      </c>
      <c r="H3222" t="s">
        <v>766</v>
      </c>
    </row>
    <row r="3223" spans="1:8" x14ac:dyDescent="0.25">
      <c r="A3223" t="s">
        <v>925</v>
      </c>
      <c r="B3223" t="s">
        <v>236</v>
      </c>
      <c r="C3223" s="5">
        <v>35252</v>
      </c>
      <c r="D3223" s="5">
        <v>900</v>
      </c>
      <c r="E3223">
        <v>25962</v>
      </c>
      <c r="F3223" s="4" t="s">
        <v>513</v>
      </c>
      <c r="G3223" t="s">
        <v>29</v>
      </c>
      <c r="H3223" t="s">
        <v>514</v>
      </c>
    </row>
    <row r="3224" spans="1:8" x14ac:dyDescent="0.25">
      <c r="A3224" t="s">
        <v>925</v>
      </c>
      <c r="B3224" t="s">
        <v>233</v>
      </c>
      <c r="C3224" s="5">
        <v>6133</v>
      </c>
      <c r="D3224" s="5">
        <v>141</v>
      </c>
      <c r="E3224">
        <v>1824</v>
      </c>
      <c r="F3224" s="4" t="s">
        <v>619</v>
      </c>
      <c r="G3224" t="s">
        <v>29</v>
      </c>
      <c r="H3224" t="s">
        <v>620</v>
      </c>
    </row>
    <row r="3225" spans="1:8" x14ac:dyDescent="0.25">
      <c r="A3225" t="s">
        <v>925</v>
      </c>
      <c r="B3225" t="s">
        <v>232</v>
      </c>
      <c r="C3225" s="5">
        <v>597768</v>
      </c>
      <c r="D3225" s="5">
        <v>14862</v>
      </c>
      <c r="E3225">
        <v>33781</v>
      </c>
      <c r="F3225" s="4" t="s">
        <v>424</v>
      </c>
      <c r="G3225" t="s">
        <v>29</v>
      </c>
      <c r="H3225" t="s">
        <v>425</v>
      </c>
    </row>
    <row r="3226" spans="1:8" x14ac:dyDescent="0.25">
      <c r="A3226" t="s">
        <v>925</v>
      </c>
      <c r="B3226" t="s">
        <v>229</v>
      </c>
      <c r="C3226" s="5">
        <v>728210</v>
      </c>
      <c r="D3226" s="5">
        <v>15770</v>
      </c>
      <c r="E3226">
        <v>553759</v>
      </c>
      <c r="F3226" s="4" t="s">
        <v>940</v>
      </c>
      <c r="G3226" t="s">
        <v>29</v>
      </c>
      <c r="H3226" t="s">
        <v>941</v>
      </c>
    </row>
    <row r="3227" spans="1:8" x14ac:dyDescent="0.25">
      <c r="A3227" t="s">
        <v>925</v>
      </c>
      <c r="B3227" t="s">
        <v>228</v>
      </c>
      <c r="C3227" s="5">
        <v>13236</v>
      </c>
      <c r="D3227" s="5">
        <v>163</v>
      </c>
      <c r="E3227">
        <v>12472</v>
      </c>
      <c r="F3227" s="4" t="s">
        <v>798</v>
      </c>
      <c r="G3227" t="s">
        <v>29</v>
      </c>
      <c r="H3227" t="s">
        <v>799</v>
      </c>
    </row>
    <row r="3228" spans="1:8" x14ac:dyDescent="0.25">
      <c r="A3228" t="s">
        <v>925</v>
      </c>
      <c r="B3228" t="s">
        <v>225</v>
      </c>
      <c r="C3228" s="5">
        <v>54288</v>
      </c>
      <c r="D3228" s="5">
        <v>815</v>
      </c>
      <c r="E3228">
        <v>38436</v>
      </c>
      <c r="F3228" s="4" t="s">
        <v>226</v>
      </c>
      <c r="G3228" t="s">
        <v>29</v>
      </c>
      <c r="H3228" t="s">
        <v>227</v>
      </c>
    </row>
    <row r="3229" spans="1:8" x14ac:dyDescent="0.25">
      <c r="A3229" t="s">
        <v>925</v>
      </c>
      <c r="B3229" t="s">
        <v>219</v>
      </c>
      <c r="C3229" s="5">
        <v>9963</v>
      </c>
      <c r="D3229" s="5">
        <v>340</v>
      </c>
      <c r="E3229">
        <v>5430</v>
      </c>
      <c r="F3229" s="4" t="s">
        <v>205</v>
      </c>
      <c r="G3229" t="s">
        <v>29</v>
      </c>
      <c r="H3229" t="s">
        <v>206</v>
      </c>
    </row>
    <row r="3230" spans="1:8" x14ac:dyDescent="0.25">
      <c r="A3230" t="s">
        <v>925</v>
      </c>
      <c r="B3230" t="s">
        <v>222</v>
      </c>
      <c r="C3230" s="5">
        <v>30647</v>
      </c>
      <c r="D3230" s="5">
        <v>385</v>
      </c>
      <c r="E3230">
        <v>17158</v>
      </c>
      <c r="F3230" s="4" t="s">
        <v>223</v>
      </c>
      <c r="G3230" t="s">
        <v>29</v>
      </c>
      <c r="H3230" t="s">
        <v>224</v>
      </c>
    </row>
    <row r="3231" spans="1:8" x14ac:dyDescent="0.25">
      <c r="A3231" t="s">
        <v>925</v>
      </c>
      <c r="B3231" t="s">
        <v>216</v>
      </c>
      <c r="C3231" s="5">
        <v>5919</v>
      </c>
      <c r="D3231" s="5">
        <v>98</v>
      </c>
      <c r="E3231">
        <v>1254</v>
      </c>
      <c r="F3231" s="4" t="s">
        <v>135</v>
      </c>
      <c r="G3231" t="s">
        <v>29</v>
      </c>
      <c r="H3231" t="s">
        <v>136</v>
      </c>
    </row>
    <row r="3232" spans="1:8" x14ac:dyDescent="0.25">
      <c r="A3232" t="s">
        <v>925</v>
      </c>
      <c r="B3232" t="s">
        <v>213</v>
      </c>
      <c r="C3232" s="5">
        <v>130041</v>
      </c>
      <c r="D3232" s="5">
        <v>1174</v>
      </c>
      <c r="E3232">
        <v>6277</v>
      </c>
      <c r="F3232" s="4" t="s">
        <v>667</v>
      </c>
      <c r="G3232" t="s">
        <v>29</v>
      </c>
      <c r="H3232" t="s">
        <v>668</v>
      </c>
    </row>
    <row r="3233" spans="1:8" x14ac:dyDescent="0.25">
      <c r="A3233" t="s">
        <v>925</v>
      </c>
      <c r="B3233" t="s">
        <v>210</v>
      </c>
      <c r="C3233" s="5">
        <v>44347</v>
      </c>
      <c r="D3233" s="5">
        <v>302</v>
      </c>
      <c r="E3233">
        <v>12671</v>
      </c>
      <c r="F3233" s="4" t="s">
        <v>605</v>
      </c>
      <c r="G3233" t="s">
        <v>29</v>
      </c>
      <c r="H3233" t="s">
        <v>606</v>
      </c>
    </row>
    <row r="3234" spans="1:8" x14ac:dyDescent="0.25">
      <c r="A3234" t="s">
        <v>925</v>
      </c>
      <c r="B3234" t="s">
        <v>204</v>
      </c>
      <c r="C3234" s="5">
        <v>5830</v>
      </c>
      <c r="D3234" s="5">
        <v>197</v>
      </c>
      <c r="E3234">
        <v>3217</v>
      </c>
      <c r="F3234" s="4" t="s">
        <v>255</v>
      </c>
      <c r="G3234" t="s">
        <v>29</v>
      </c>
      <c r="H3234" t="s">
        <v>256</v>
      </c>
    </row>
    <row r="3235" spans="1:8" x14ac:dyDescent="0.25">
      <c r="A3235" t="s">
        <v>925</v>
      </c>
      <c r="B3235" t="s">
        <v>207</v>
      </c>
      <c r="C3235" s="5">
        <v>703281</v>
      </c>
      <c r="D3235" s="5">
        <v>9873</v>
      </c>
      <c r="E3235">
        <v>619690</v>
      </c>
      <c r="F3235" s="4" t="s">
        <v>403</v>
      </c>
      <c r="G3235" t="s">
        <v>29</v>
      </c>
      <c r="H3235" t="s">
        <v>404</v>
      </c>
    </row>
    <row r="3236" spans="1:8" x14ac:dyDescent="0.25">
      <c r="A3236" t="s">
        <v>925</v>
      </c>
      <c r="B3236" t="s">
        <v>201</v>
      </c>
      <c r="C3236" s="5">
        <v>8933046</v>
      </c>
      <c r="D3236" s="5">
        <v>140364</v>
      </c>
      <c r="E3236">
        <v>1181468</v>
      </c>
      <c r="F3236" s="4" t="s">
        <v>217</v>
      </c>
      <c r="G3236" t="s">
        <v>29</v>
      </c>
      <c r="H3236" t="s">
        <v>218</v>
      </c>
    </row>
    <row r="3237" spans="1:8" x14ac:dyDescent="0.25">
      <c r="A3237" t="s">
        <v>925</v>
      </c>
      <c r="B3237" t="s">
        <v>198</v>
      </c>
      <c r="C3237" s="5">
        <v>35252</v>
      </c>
      <c r="D3237" s="5">
        <v>235</v>
      </c>
      <c r="E3237">
        <v>7338</v>
      </c>
      <c r="F3237" s="4" t="s">
        <v>92</v>
      </c>
      <c r="G3237" t="s">
        <v>29</v>
      </c>
      <c r="H3237" t="s">
        <v>93</v>
      </c>
    </row>
    <row r="3238" spans="1:8" x14ac:dyDescent="0.25">
      <c r="A3238" t="s">
        <v>925</v>
      </c>
      <c r="B3238" t="s">
        <v>195</v>
      </c>
      <c r="C3238" s="5">
        <v>6963505</v>
      </c>
      <c r="D3238" s="5">
        <v>115222</v>
      </c>
      <c r="E3238">
        <v>660935</v>
      </c>
      <c r="F3238" s="4" t="s">
        <v>691</v>
      </c>
      <c r="G3238" t="s">
        <v>29</v>
      </c>
      <c r="H3238" t="s">
        <v>692</v>
      </c>
    </row>
    <row r="3239" spans="1:8" x14ac:dyDescent="0.25">
      <c r="A3239" t="s">
        <v>925</v>
      </c>
      <c r="B3239" t="s">
        <v>192</v>
      </c>
      <c r="C3239" s="5">
        <v>1778</v>
      </c>
      <c r="D3239" s="5">
        <v>2</v>
      </c>
      <c r="E3239">
        <v>51</v>
      </c>
      <c r="F3239" s="4" t="s">
        <v>104</v>
      </c>
      <c r="G3239" t="s">
        <v>29</v>
      </c>
      <c r="H3239" t="s">
        <v>105</v>
      </c>
    </row>
    <row r="3240" spans="1:8" x14ac:dyDescent="0.25">
      <c r="A3240" t="s">
        <v>925</v>
      </c>
      <c r="B3240" t="s">
        <v>189</v>
      </c>
      <c r="C3240" s="5">
        <v>52079</v>
      </c>
      <c r="D3240" s="5">
        <v>673</v>
      </c>
      <c r="E3240">
        <v>47777</v>
      </c>
      <c r="F3240" s="4" t="s">
        <v>417</v>
      </c>
      <c r="G3240" t="s">
        <v>29</v>
      </c>
      <c r="H3240" t="s">
        <v>418</v>
      </c>
    </row>
    <row r="3241" spans="1:8" x14ac:dyDescent="0.25">
      <c r="A3241" t="s">
        <v>925</v>
      </c>
      <c r="B3241" t="s">
        <v>186</v>
      </c>
      <c r="C3241" s="5">
        <v>156286</v>
      </c>
      <c r="D3241" s="5">
        <v>1150</v>
      </c>
      <c r="E3241">
        <v>49826</v>
      </c>
      <c r="F3241" s="4" t="s">
        <v>819</v>
      </c>
      <c r="G3241" t="s">
        <v>29</v>
      </c>
      <c r="H3241" t="s">
        <v>820</v>
      </c>
    </row>
    <row r="3242" spans="1:8" x14ac:dyDescent="0.25">
      <c r="A3242" t="s">
        <v>925</v>
      </c>
      <c r="B3242" t="s">
        <v>185</v>
      </c>
      <c r="C3242" s="5">
        <v>363712</v>
      </c>
      <c r="D3242" s="5">
        <v>6412</v>
      </c>
      <c r="E3242">
        <v>177798</v>
      </c>
      <c r="F3242" s="4" t="s">
        <v>907</v>
      </c>
      <c r="G3242" t="s">
        <v>29</v>
      </c>
      <c r="H3242" t="s">
        <v>908</v>
      </c>
    </row>
    <row r="3243" spans="1:8" x14ac:dyDescent="0.25">
      <c r="A3243" t="s">
        <v>925</v>
      </c>
      <c r="B3243" t="s">
        <v>182</v>
      </c>
      <c r="C3243" s="5">
        <v>5006675</v>
      </c>
      <c r="D3243" s="5">
        <v>87289</v>
      </c>
      <c r="E3243">
        <v>30216</v>
      </c>
      <c r="F3243" s="4" t="s">
        <v>183</v>
      </c>
      <c r="G3243" t="s">
        <v>29</v>
      </c>
      <c r="H3243" t="s">
        <v>184</v>
      </c>
    </row>
    <row r="3244" spans="1:8" x14ac:dyDescent="0.25">
      <c r="A3244" t="s">
        <v>925</v>
      </c>
      <c r="B3244" t="s">
        <v>179</v>
      </c>
      <c r="C3244" s="5">
        <v>6800</v>
      </c>
      <c r="D3244" s="5">
        <v>45</v>
      </c>
      <c r="E3244">
        <v>136</v>
      </c>
      <c r="F3244" s="4" t="s">
        <v>162</v>
      </c>
      <c r="G3244" t="s">
        <v>29</v>
      </c>
      <c r="H3244" t="s">
        <v>163</v>
      </c>
    </row>
    <row r="3245" spans="1:8" x14ac:dyDescent="0.25">
      <c r="A3245" t="s">
        <v>925</v>
      </c>
      <c r="B3245" t="s">
        <v>176</v>
      </c>
      <c r="C3245" s="5">
        <v>327286</v>
      </c>
      <c r="D3245" s="5">
        <v>18428</v>
      </c>
      <c r="E3245">
        <v>263132</v>
      </c>
      <c r="F3245" s="4" t="s">
        <v>856</v>
      </c>
      <c r="G3245" t="s">
        <v>29</v>
      </c>
      <c r="H3245" t="s">
        <v>857</v>
      </c>
    </row>
    <row r="3246" spans="1:8" x14ac:dyDescent="0.25">
      <c r="A3246" t="s">
        <v>925</v>
      </c>
      <c r="B3246" t="s">
        <v>173</v>
      </c>
      <c r="C3246" s="5">
        <v>186530</v>
      </c>
      <c r="D3246" s="5">
        <v>1483</v>
      </c>
      <c r="E3246">
        <v>116949</v>
      </c>
      <c r="F3246" s="4" t="s">
        <v>942</v>
      </c>
      <c r="G3246" t="s">
        <v>29</v>
      </c>
      <c r="H3246" t="s">
        <v>943</v>
      </c>
    </row>
    <row r="3247" spans="1:8" x14ac:dyDescent="0.25">
      <c r="A3247" t="s">
        <v>925</v>
      </c>
      <c r="B3247" t="s">
        <v>170</v>
      </c>
      <c r="C3247" s="5">
        <v>515859</v>
      </c>
      <c r="D3247" s="5">
        <v>32958</v>
      </c>
      <c r="E3247">
        <v>200001</v>
      </c>
      <c r="F3247" s="4" t="s">
        <v>767</v>
      </c>
      <c r="G3247" t="s">
        <v>29</v>
      </c>
      <c r="H3247" t="s">
        <v>768</v>
      </c>
    </row>
    <row r="3248" spans="1:8" x14ac:dyDescent="0.25">
      <c r="A3248" t="s">
        <v>925</v>
      </c>
      <c r="B3248" t="s">
        <v>167</v>
      </c>
      <c r="C3248" s="5">
        <v>206069</v>
      </c>
      <c r="D3248" s="5">
        <v>5904</v>
      </c>
      <c r="E3248">
        <v>98922</v>
      </c>
      <c r="F3248" s="4" t="s">
        <v>168</v>
      </c>
      <c r="G3248" t="s">
        <v>29</v>
      </c>
      <c r="H3248" t="s">
        <v>169</v>
      </c>
    </row>
    <row r="3249" spans="1:8" x14ac:dyDescent="0.25">
      <c r="A3249" t="s">
        <v>925</v>
      </c>
      <c r="B3249" t="s">
        <v>164</v>
      </c>
      <c r="C3249" s="5">
        <v>378234</v>
      </c>
      <c r="D3249" s="5">
        <v>4118</v>
      </c>
      <c r="E3249">
        <v>186337</v>
      </c>
      <c r="F3249" s="4" t="s">
        <v>683</v>
      </c>
      <c r="G3249" t="s">
        <v>29</v>
      </c>
      <c r="H3249" t="s">
        <v>684</v>
      </c>
    </row>
    <row r="3250" spans="1:8" x14ac:dyDescent="0.25">
      <c r="A3250" t="s">
        <v>925</v>
      </c>
      <c r="B3250" t="s">
        <v>161</v>
      </c>
      <c r="C3250" s="5">
        <v>4691</v>
      </c>
      <c r="D3250" s="5">
        <v>31</v>
      </c>
      <c r="E3250">
        <v>2400</v>
      </c>
      <c r="F3250" s="4" t="s">
        <v>162</v>
      </c>
      <c r="G3250" t="s">
        <v>29</v>
      </c>
      <c r="H3250" t="s">
        <v>163</v>
      </c>
    </row>
    <row r="3251" spans="1:8" x14ac:dyDescent="0.25">
      <c r="A3251" t="s">
        <v>925</v>
      </c>
      <c r="B3251" t="s">
        <v>160</v>
      </c>
      <c r="C3251" s="5">
        <v>381728</v>
      </c>
      <c r="D3251" s="5">
        <v>2708</v>
      </c>
      <c r="E3251">
        <v>299100</v>
      </c>
      <c r="F3251" s="4" t="s">
        <v>488</v>
      </c>
      <c r="G3251" t="s">
        <v>29</v>
      </c>
      <c r="H3251" t="s">
        <v>489</v>
      </c>
    </row>
    <row r="3252" spans="1:8" x14ac:dyDescent="0.25">
      <c r="A3252" t="s">
        <v>925</v>
      </c>
      <c r="B3252" t="s">
        <v>157</v>
      </c>
      <c r="C3252" s="5">
        <v>13461</v>
      </c>
      <c r="D3252" s="5">
        <v>181</v>
      </c>
      <c r="E3252">
        <v>1332</v>
      </c>
      <c r="F3252" s="4" t="s">
        <v>264</v>
      </c>
      <c r="G3252" t="s">
        <v>29</v>
      </c>
      <c r="H3252" t="s">
        <v>265</v>
      </c>
    </row>
    <row r="3253" spans="1:8" x14ac:dyDescent="0.25">
      <c r="A3253" t="s">
        <v>925</v>
      </c>
      <c r="B3253" t="s">
        <v>154</v>
      </c>
      <c r="C3253" s="5">
        <v>4545665</v>
      </c>
      <c r="D3253" s="5">
        <v>95489</v>
      </c>
      <c r="E3253">
        <v>3276119</v>
      </c>
      <c r="F3253" s="4" t="s">
        <v>557</v>
      </c>
      <c r="G3253" t="s">
        <v>29</v>
      </c>
      <c r="H3253" t="s">
        <v>558</v>
      </c>
    </row>
    <row r="3254" spans="1:8" x14ac:dyDescent="0.25">
      <c r="A3254" t="s">
        <v>925</v>
      </c>
      <c r="B3254" t="s">
        <v>151</v>
      </c>
      <c r="C3254" s="5">
        <v>1741859</v>
      </c>
      <c r="D3254" s="5">
        <v>30667</v>
      </c>
      <c r="E3254">
        <v>1164559</v>
      </c>
      <c r="F3254" s="4" t="s">
        <v>907</v>
      </c>
      <c r="G3254" t="s">
        <v>29</v>
      </c>
      <c r="H3254" t="s">
        <v>908</v>
      </c>
    </row>
    <row r="3255" spans="1:8" x14ac:dyDescent="0.25">
      <c r="A3255" t="s">
        <v>925</v>
      </c>
      <c r="B3255" t="s">
        <v>148</v>
      </c>
      <c r="C3255" s="5">
        <v>123708</v>
      </c>
      <c r="D3255" s="5">
        <v>572</v>
      </c>
      <c r="E3255">
        <v>24707</v>
      </c>
      <c r="F3255" s="4" t="s">
        <v>149</v>
      </c>
      <c r="G3255" t="s">
        <v>29</v>
      </c>
      <c r="H3255" t="s">
        <v>150</v>
      </c>
    </row>
    <row r="3256" spans="1:8" x14ac:dyDescent="0.25">
      <c r="A3256" t="s">
        <v>925</v>
      </c>
      <c r="B3256" t="s">
        <v>145</v>
      </c>
      <c r="C3256" s="5">
        <v>38169</v>
      </c>
      <c r="D3256" s="5">
        <v>349</v>
      </c>
      <c r="E3256">
        <v>24149</v>
      </c>
      <c r="F3256" s="4" t="s">
        <v>146</v>
      </c>
      <c r="G3256" t="s">
        <v>29</v>
      </c>
      <c r="H3256" t="s">
        <v>147</v>
      </c>
    </row>
    <row r="3257" spans="1:8" x14ac:dyDescent="0.25">
      <c r="A3257" t="s">
        <v>925</v>
      </c>
      <c r="B3257" t="s">
        <v>144</v>
      </c>
      <c r="C3257" s="5">
        <v>948847</v>
      </c>
      <c r="D3257" s="5">
        <v>8210</v>
      </c>
      <c r="E3257">
        <v>470374</v>
      </c>
      <c r="F3257" s="4" t="s">
        <v>498</v>
      </c>
      <c r="G3257" t="s">
        <v>29</v>
      </c>
      <c r="H3257" t="s">
        <v>499</v>
      </c>
    </row>
    <row r="3258" spans="1:8" x14ac:dyDescent="0.25">
      <c r="A3258" t="s">
        <v>925</v>
      </c>
      <c r="B3258" t="s">
        <v>143</v>
      </c>
      <c r="C3258" s="5">
        <v>558654</v>
      </c>
      <c r="D3258" s="5">
        <v>7008</v>
      </c>
      <c r="E3258">
        <v>157758</v>
      </c>
      <c r="F3258" s="4" t="s">
        <v>107</v>
      </c>
      <c r="G3258" t="s">
        <v>29</v>
      </c>
      <c r="H3258" t="s">
        <v>108</v>
      </c>
    </row>
    <row r="3259" spans="1:8" x14ac:dyDescent="0.25">
      <c r="A3259" t="s">
        <v>925</v>
      </c>
      <c r="B3259" t="s">
        <v>140</v>
      </c>
      <c r="C3259" s="5">
        <v>4995694</v>
      </c>
      <c r="D3259" s="5">
        <v>127159</v>
      </c>
      <c r="E3259">
        <v>1958473</v>
      </c>
      <c r="F3259" s="4" t="s">
        <v>513</v>
      </c>
      <c r="G3259" t="s">
        <v>29</v>
      </c>
      <c r="H3259" t="s">
        <v>514</v>
      </c>
    </row>
    <row r="3260" spans="1:8" x14ac:dyDescent="0.25">
      <c r="A3260" t="s">
        <v>925</v>
      </c>
      <c r="B3260" t="s">
        <v>137</v>
      </c>
      <c r="C3260" s="5">
        <v>96938</v>
      </c>
      <c r="D3260" s="5">
        <v>4636</v>
      </c>
      <c r="E3260">
        <v>79861</v>
      </c>
      <c r="F3260" s="4" t="s">
        <v>896</v>
      </c>
      <c r="G3260" t="s">
        <v>29</v>
      </c>
      <c r="H3260" t="s">
        <v>897</v>
      </c>
    </row>
    <row r="3261" spans="1:8" x14ac:dyDescent="0.25">
      <c r="A3261" t="s">
        <v>925</v>
      </c>
      <c r="B3261" t="s">
        <v>134</v>
      </c>
      <c r="C3261" s="5">
        <v>102499</v>
      </c>
      <c r="D3261" s="5">
        <v>1686</v>
      </c>
      <c r="E3261">
        <v>36413</v>
      </c>
      <c r="F3261" s="4" t="s">
        <v>196</v>
      </c>
      <c r="G3261" t="s">
        <v>29</v>
      </c>
      <c r="H3261" t="s">
        <v>197</v>
      </c>
    </row>
    <row r="3262" spans="1:8" x14ac:dyDescent="0.25">
      <c r="A3262" t="s">
        <v>925</v>
      </c>
      <c r="B3262" t="s">
        <v>131</v>
      </c>
      <c r="C3262" s="5">
        <v>1686318</v>
      </c>
      <c r="D3262" s="5">
        <v>37697</v>
      </c>
      <c r="E3262">
        <v>294362</v>
      </c>
      <c r="F3262" s="4" t="s">
        <v>603</v>
      </c>
      <c r="G3262" t="s">
        <v>29</v>
      </c>
      <c r="H3262" t="s">
        <v>604</v>
      </c>
    </row>
    <row r="3263" spans="1:8" x14ac:dyDescent="0.25">
      <c r="A3263" t="s">
        <v>925</v>
      </c>
      <c r="B3263" t="s">
        <v>128</v>
      </c>
      <c r="C3263" s="5">
        <v>61252</v>
      </c>
      <c r="D3263" s="5">
        <v>691</v>
      </c>
      <c r="E3263">
        <v>11700</v>
      </c>
      <c r="F3263" s="4" t="s">
        <v>267</v>
      </c>
      <c r="G3263" t="s">
        <v>29</v>
      </c>
      <c r="H3263" t="s">
        <v>268</v>
      </c>
    </row>
    <row r="3264" spans="1:8" x14ac:dyDescent="0.25">
      <c r="A3264" t="s">
        <v>925</v>
      </c>
      <c r="B3264" t="s">
        <v>127</v>
      </c>
      <c r="C3264" s="5">
        <v>869044</v>
      </c>
      <c r="D3264" s="5">
        <v>11207</v>
      </c>
      <c r="E3264">
        <v>605179</v>
      </c>
      <c r="F3264" s="4" t="s">
        <v>417</v>
      </c>
      <c r="G3264" t="s">
        <v>29</v>
      </c>
      <c r="H3264" t="s">
        <v>418</v>
      </c>
    </row>
    <row r="3265" spans="1:8" x14ac:dyDescent="0.25">
      <c r="A3265" t="s">
        <v>925</v>
      </c>
      <c r="B3265" t="s">
        <v>124</v>
      </c>
      <c r="C3265" s="5">
        <v>16868</v>
      </c>
      <c r="D3265" s="5">
        <v>249</v>
      </c>
      <c r="E3265">
        <v>6776</v>
      </c>
      <c r="F3265" s="4" t="s">
        <v>285</v>
      </c>
      <c r="G3265" t="s">
        <v>29</v>
      </c>
      <c r="H3265" t="s">
        <v>286</v>
      </c>
    </row>
    <row r="3266" spans="1:8" x14ac:dyDescent="0.25">
      <c r="A3266" t="s">
        <v>925</v>
      </c>
      <c r="B3266" t="s">
        <v>121</v>
      </c>
      <c r="C3266" s="5">
        <v>11518</v>
      </c>
      <c r="D3266" s="5">
        <v>100</v>
      </c>
      <c r="E3266">
        <v>622</v>
      </c>
      <c r="F3266" s="4" t="s">
        <v>498</v>
      </c>
      <c r="G3266" t="s">
        <v>29</v>
      </c>
      <c r="H3266" t="s">
        <v>499</v>
      </c>
    </row>
    <row r="3267" spans="1:8" x14ac:dyDescent="0.25">
      <c r="A3267" t="s">
        <v>925</v>
      </c>
      <c r="B3267" t="s">
        <v>118</v>
      </c>
      <c r="C3267" s="5">
        <v>57470</v>
      </c>
      <c r="D3267" s="5">
        <v>1091</v>
      </c>
      <c r="E3267">
        <v>17359</v>
      </c>
      <c r="F3267" s="4" t="s">
        <v>652</v>
      </c>
      <c r="G3267" t="s">
        <v>29</v>
      </c>
      <c r="H3267" t="s">
        <v>653</v>
      </c>
    </row>
    <row r="3268" spans="1:8" x14ac:dyDescent="0.25">
      <c r="A3268" t="s">
        <v>925</v>
      </c>
      <c r="B3268" t="s">
        <v>115</v>
      </c>
      <c r="C3268" s="5">
        <v>1715122</v>
      </c>
      <c r="D3268" s="5">
        <v>28934</v>
      </c>
      <c r="E3268">
        <v>1315980</v>
      </c>
      <c r="F3268" s="4" t="s">
        <v>152</v>
      </c>
      <c r="G3268" t="s">
        <v>29</v>
      </c>
      <c r="H3268" t="s">
        <v>153</v>
      </c>
    </row>
    <row r="3269" spans="1:8" x14ac:dyDescent="0.25">
      <c r="A3269" t="s">
        <v>925</v>
      </c>
      <c r="B3269" t="s">
        <v>112</v>
      </c>
      <c r="C3269" s="5">
        <v>26426</v>
      </c>
      <c r="D3269" s="5">
        <v>489</v>
      </c>
      <c r="E3269">
        <v>15360</v>
      </c>
      <c r="F3269" s="4" t="s">
        <v>535</v>
      </c>
      <c r="G3269" t="s">
        <v>29</v>
      </c>
      <c r="H3269" t="s">
        <v>536</v>
      </c>
    </row>
    <row r="3270" spans="1:8" x14ac:dyDescent="0.25">
      <c r="A3270" t="s">
        <v>925</v>
      </c>
      <c r="B3270" t="s">
        <v>109</v>
      </c>
      <c r="C3270" s="5">
        <v>592224</v>
      </c>
      <c r="D3270" s="5">
        <v>4563</v>
      </c>
      <c r="E3270">
        <v>51258</v>
      </c>
      <c r="F3270" s="4" t="s">
        <v>110</v>
      </c>
      <c r="G3270" t="s">
        <v>29</v>
      </c>
      <c r="H3270" t="s">
        <v>111</v>
      </c>
    </row>
    <row r="3271" spans="1:8" x14ac:dyDescent="0.25">
      <c r="A3271" t="s">
        <v>925</v>
      </c>
      <c r="B3271" t="s">
        <v>106</v>
      </c>
      <c r="C3271" s="5">
        <v>185985</v>
      </c>
      <c r="D3271" s="5">
        <v>2402</v>
      </c>
      <c r="E3271">
        <v>68634</v>
      </c>
      <c r="F3271" s="4" t="s">
        <v>417</v>
      </c>
      <c r="G3271" t="s">
        <v>29</v>
      </c>
      <c r="H3271" t="s">
        <v>418</v>
      </c>
    </row>
    <row r="3272" spans="1:8" x14ac:dyDescent="0.25">
      <c r="A3272" t="s">
        <v>925</v>
      </c>
      <c r="B3272" t="s">
        <v>103</v>
      </c>
      <c r="C3272" s="5">
        <v>2620</v>
      </c>
      <c r="D3272" s="5">
        <v>3</v>
      </c>
      <c r="E3272">
        <v>1807</v>
      </c>
      <c r="F3272" s="4" t="s">
        <v>104</v>
      </c>
      <c r="G3272" t="s">
        <v>29</v>
      </c>
      <c r="H3272" t="s">
        <v>105</v>
      </c>
    </row>
    <row r="3273" spans="1:8" x14ac:dyDescent="0.25">
      <c r="A3273" t="s">
        <v>925</v>
      </c>
      <c r="B3273" t="s">
        <v>100</v>
      </c>
      <c r="C3273" s="5">
        <v>22259</v>
      </c>
      <c r="D3273" s="5">
        <v>642</v>
      </c>
      <c r="E3273">
        <v>15200</v>
      </c>
      <c r="F3273" s="4" t="s">
        <v>860</v>
      </c>
      <c r="G3273" t="s">
        <v>29</v>
      </c>
      <c r="H3273" t="s">
        <v>861</v>
      </c>
    </row>
    <row r="3274" spans="1:8" x14ac:dyDescent="0.25">
      <c r="A3274" t="s">
        <v>925</v>
      </c>
      <c r="B3274" t="s">
        <v>97</v>
      </c>
      <c r="C3274" s="5">
        <v>21766168</v>
      </c>
      <c r="D3274" s="5">
        <v>606679</v>
      </c>
      <c r="E3274">
        <v>19092095</v>
      </c>
      <c r="F3274" s="4" t="s">
        <v>662</v>
      </c>
      <c r="G3274" t="s">
        <v>29</v>
      </c>
      <c r="H3274" t="s">
        <v>663</v>
      </c>
    </row>
    <row r="3275" spans="1:8" x14ac:dyDescent="0.25">
      <c r="A3275" t="s">
        <v>925</v>
      </c>
      <c r="B3275" t="s">
        <v>94</v>
      </c>
      <c r="C3275" s="5">
        <v>511854</v>
      </c>
      <c r="D3275" s="5">
        <v>18911</v>
      </c>
      <c r="E3275">
        <v>192538</v>
      </c>
      <c r="F3275" s="4" t="s">
        <v>898</v>
      </c>
      <c r="G3275" t="s">
        <v>29</v>
      </c>
      <c r="H3275" t="s">
        <v>899</v>
      </c>
    </row>
    <row r="3276" spans="1:8" x14ac:dyDescent="0.25">
      <c r="A3276" t="s">
        <v>925</v>
      </c>
      <c r="B3276" t="s">
        <v>91</v>
      </c>
      <c r="C3276" s="5">
        <v>12710</v>
      </c>
      <c r="D3276" s="5">
        <v>82</v>
      </c>
      <c r="E3276">
        <v>9099</v>
      </c>
      <c r="F3276" s="4" t="s">
        <v>86</v>
      </c>
      <c r="G3276" t="s">
        <v>29</v>
      </c>
      <c r="H3276" t="s">
        <v>87</v>
      </c>
    </row>
    <row r="3277" spans="1:8" x14ac:dyDescent="0.25">
      <c r="A3277" t="s">
        <v>925</v>
      </c>
      <c r="B3277" t="s">
        <v>88</v>
      </c>
      <c r="C3277" s="5">
        <v>1659</v>
      </c>
      <c r="D3277" s="5">
        <v>6</v>
      </c>
      <c r="E3277">
        <v>564</v>
      </c>
      <c r="F3277" s="4" t="s">
        <v>89</v>
      </c>
      <c r="G3277" t="s">
        <v>29</v>
      </c>
      <c r="H3277" t="s">
        <v>90</v>
      </c>
    </row>
    <row r="3278" spans="1:8" x14ac:dyDescent="0.25">
      <c r="A3278" t="s">
        <v>925</v>
      </c>
      <c r="B3278" t="s">
        <v>85</v>
      </c>
      <c r="C3278" s="5">
        <v>24749</v>
      </c>
      <c r="D3278" s="5">
        <v>161</v>
      </c>
      <c r="E3278">
        <v>4660</v>
      </c>
      <c r="F3278" s="4" t="s">
        <v>86</v>
      </c>
      <c r="G3278" t="s">
        <v>29</v>
      </c>
      <c r="H3278" t="s">
        <v>87</v>
      </c>
    </row>
    <row r="3279" spans="1:8" x14ac:dyDescent="0.25">
      <c r="A3279" t="s">
        <v>925</v>
      </c>
      <c r="B3279" t="s">
        <v>82</v>
      </c>
      <c r="C3279" s="5">
        <v>19988</v>
      </c>
      <c r="D3279" s="5">
        <v>38</v>
      </c>
      <c r="E3279">
        <v>1971</v>
      </c>
      <c r="F3279" s="4" t="s">
        <v>83</v>
      </c>
      <c r="G3279" t="s">
        <v>29</v>
      </c>
      <c r="H3279" t="s">
        <v>84</v>
      </c>
    </row>
    <row r="3280" spans="1:8" x14ac:dyDescent="0.25">
      <c r="A3280" t="s">
        <v>925</v>
      </c>
      <c r="B3280" t="s">
        <v>79</v>
      </c>
      <c r="C3280" s="5">
        <v>276685</v>
      </c>
      <c r="D3280" s="5">
        <v>1393</v>
      </c>
      <c r="E3280">
        <v>94723</v>
      </c>
      <c r="F3280" s="4" t="s">
        <v>80</v>
      </c>
      <c r="G3280" t="s">
        <v>29</v>
      </c>
      <c r="H3280" t="s">
        <v>81</v>
      </c>
    </row>
    <row r="3281" spans="1:8" x14ac:dyDescent="0.25">
      <c r="A3281" t="s">
        <v>925</v>
      </c>
      <c r="B3281" t="s">
        <v>76</v>
      </c>
      <c r="C3281" s="5">
        <v>587765</v>
      </c>
      <c r="D3281" s="5">
        <v>23594</v>
      </c>
      <c r="E3281">
        <v>322361</v>
      </c>
      <c r="F3281" s="4" t="s">
        <v>944</v>
      </c>
      <c r="G3281" t="s">
        <v>29</v>
      </c>
      <c r="H3281" t="s">
        <v>945</v>
      </c>
    </row>
    <row r="3282" spans="1:8" x14ac:dyDescent="0.25">
      <c r="A3282" t="s">
        <v>925</v>
      </c>
      <c r="B3282" t="s">
        <v>73</v>
      </c>
      <c r="C3282" s="5">
        <v>14793</v>
      </c>
      <c r="D3282" s="5">
        <v>214</v>
      </c>
      <c r="E3282">
        <v>7062</v>
      </c>
      <c r="F3282" s="4" t="s">
        <v>342</v>
      </c>
      <c r="G3282" t="s">
        <v>29</v>
      </c>
      <c r="H3282" t="s">
        <v>343</v>
      </c>
    </row>
    <row r="3283" spans="1:8" x14ac:dyDescent="0.25">
      <c r="A3283" t="s">
        <v>925</v>
      </c>
      <c r="B3283" t="s">
        <v>70</v>
      </c>
      <c r="C3283" s="5">
        <v>1342718</v>
      </c>
      <c r="D3283" s="5">
        <v>25946</v>
      </c>
      <c r="E3283">
        <v>972358</v>
      </c>
      <c r="F3283" s="4" t="s">
        <v>946</v>
      </c>
      <c r="G3283" t="s">
        <v>29</v>
      </c>
      <c r="H3283" t="s">
        <v>947</v>
      </c>
    </row>
    <row r="3284" spans="1:8" x14ac:dyDescent="0.25">
      <c r="A3284" t="s">
        <v>925</v>
      </c>
      <c r="B3284" t="s">
        <v>67</v>
      </c>
      <c r="C3284" s="5">
        <v>1568563</v>
      </c>
      <c r="D3284" s="5">
        <v>27841</v>
      </c>
      <c r="E3284">
        <v>315271</v>
      </c>
      <c r="F3284" s="4" t="s">
        <v>769</v>
      </c>
      <c r="G3284" t="s">
        <v>29</v>
      </c>
      <c r="H3284" t="s">
        <v>770</v>
      </c>
    </row>
    <row r="3285" spans="1:8" x14ac:dyDescent="0.25">
      <c r="A3285" t="s">
        <v>925</v>
      </c>
      <c r="B3285" t="s">
        <v>64</v>
      </c>
      <c r="C3285" s="5">
        <v>16424</v>
      </c>
      <c r="D3285" s="5">
        <v>149</v>
      </c>
      <c r="E3285">
        <v>1008</v>
      </c>
      <c r="F3285" s="4" t="s">
        <v>146</v>
      </c>
      <c r="G3285" t="s">
        <v>29</v>
      </c>
      <c r="H3285" t="s">
        <v>147</v>
      </c>
    </row>
    <row r="3286" spans="1:8" x14ac:dyDescent="0.25">
      <c r="A3286" t="s">
        <v>925</v>
      </c>
      <c r="B3286" t="s">
        <v>61</v>
      </c>
      <c r="C3286" s="5">
        <v>251264</v>
      </c>
      <c r="D3286" s="5">
        <v>11450</v>
      </c>
      <c r="E3286">
        <v>126074</v>
      </c>
      <c r="F3286" s="4" t="s">
        <v>664</v>
      </c>
      <c r="G3286" t="s">
        <v>29</v>
      </c>
      <c r="H3286" t="s">
        <v>665</v>
      </c>
    </row>
    <row r="3287" spans="1:8" x14ac:dyDescent="0.25">
      <c r="A3287" t="s">
        <v>925</v>
      </c>
      <c r="B3287" t="s">
        <v>58</v>
      </c>
      <c r="C3287" s="5">
        <v>522368</v>
      </c>
      <c r="D3287" s="5">
        <v>6966</v>
      </c>
      <c r="E3287">
        <v>471161</v>
      </c>
      <c r="F3287" s="4" t="s">
        <v>59</v>
      </c>
      <c r="G3287" t="s">
        <v>29</v>
      </c>
      <c r="H3287" t="s">
        <v>60</v>
      </c>
    </row>
    <row r="3288" spans="1:8" x14ac:dyDescent="0.25">
      <c r="A3288" t="s">
        <v>925</v>
      </c>
      <c r="B3288" t="s">
        <v>55</v>
      </c>
      <c r="C3288" s="5">
        <v>165904</v>
      </c>
      <c r="D3288" s="5">
        <v>1696</v>
      </c>
      <c r="E3288">
        <v>53657</v>
      </c>
      <c r="F3288" s="4" t="s">
        <v>326</v>
      </c>
      <c r="G3288" t="s">
        <v>29</v>
      </c>
      <c r="H3288" t="s">
        <v>327</v>
      </c>
    </row>
    <row r="3289" spans="1:8" x14ac:dyDescent="0.25">
      <c r="A3289" t="s">
        <v>925</v>
      </c>
      <c r="B3289" t="s">
        <v>52</v>
      </c>
      <c r="C3289" s="5">
        <v>809086</v>
      </c>
      <c r="D3289" s="5">
        <v>11289</v>
      </c>
      <c r="E3289">
        <v>397244</v>
      </c>
      <c r="F3289" s="4" t="s">
        <v>403</v>
      </c>
      <c r="G3289" t="s">
        <v>29</v>
      </c>
      <c r="H3289" t="s">
        <v>404</v>
      </c>
    </row>
    <row r="3290" spans="1:8" x14ac:dyDescent="0.25">
      <c r="A3290" t="s">
        <v>925</v>
      </c>
      <c r="B3290" t="s">
        <v>49</v>
      </c>
      <c r="C3290" s="5">
        <v>5284485</v>
      </c>
      <c r="D3290" s="5">
        <v>115889</v>
      </c>
      <c r="E3290">
        <v>2503158</v>
      </c>
      <c r="F3290" s="4" t="s">
        <v>50</v>
      </c>
      <c r="G3290" t="s">
        <v>29</v>
      </c>
      <c r="H3290" t="s">
        <v>51</v>
      </c>
    </row>
    <row r="3291" spans="1:8" x14ac:dyDescent="0.25">
      <c r="A3291" t="s">
        <v>925</v>
      </c>
      <c r="B3291" t="s">
        <v>46</v>
      </c>
      <c r="C3291" s="5">
        <v>64126</v>
      </c>
      <c r="D3291" s="5">
        <v>1703</v>
      </c>
      <c r="E3291">
        <v>52613</v>
      </c>
      <c r="F3291" s="4" t="s">
        <v>47</v>
      </c>
      <c r="G3291" t="s">
        <v>29</v>
      </c>
      <c r="H3291" t="s">
        <v>48</v>
      </c>
    </row>
    <row r="3292" spans="1:8" x14ac:dyDescent="0.25">
      <c r="A3292" t="s">
        <v>925</v>
      </c>
      <c r="B3292" t="s">
        <v>43</v>
      </c>
      <c r="C3292" s="5">
        <v>300143</v>
      </c>
      <c r="D3292" s="5">
        <v>6151</v>
      </c>
      <c r="E3292">
        <v>149875</v>
      </c>
      <c r="F3292" s="4" t="s">
        <v>579</v>
      </c>
      <c r="G3292" t="s">
        <v>29</v>
      </c>
      <c r="H3292" t="s">
        <v>580</v>
      </c>
    </row>
    <row r="3293" spans="1:8" x14ac:dyDescent="0.25">
      <c r="A3293" t="s">
        <v>925</v>
      </c>
      <c r="B3293" t="s">
        <v>40</v>
      </c>
      <c r="C3293" s="5">
        <v>183282</v>
      </c>
      <c r="D3293" s="5">
        <v>2893</v>
      </c>
      <c r="E3293">
        <v>118318</v>
      </c>
      <c r="F3293" s="4" t="s">
        <v>577</v>
      </c>
      <c r="G3293" t="s">
        <v>29</v>
      </c>
      <c r="H3293" t="s">
        <v>578</v>
      </c>
    </row>
    <row r="3294" spans="1:8" x14ac:dyDescent="0.25">
      <c r="A3294" t="s">
        <v>925</v>
      </c>
      <c r="B3294" t="s">
        <v>37</v>
      </c>
      <c r="C3294" s="5">
        <v>4036</v>
      </c>
      <c r="D3294" s="5">
        <v>102</v>
      </c>
      <c r="E3294">
        <v>540</v>
      </c>
      <c r="F3294" s="4" t="s">
        <v>611</v>
      </c>
      <c r="G3294" t="s">
        <v>29</v>
      </c>
      <c r="H3294" t="s">
        <v>612</v>
      </c>
    </row>
    <row r="3295" spans="1:8" x14ac:dyDescent="0.25">
      <c r="A3295" t="s">
        <v>925</v>
      </c>
      <c r="B3295" t="s">
        <v>34</v>
      </c>
      <c r="C3295" s="5">
        <v>156124</v>
      </c>
      <c r="D3295" s="5">
        <v>7266</v>
      </c>
      <c r="E3295">
        <v>147958</v>
      </c>
      <c r="F3295" s="4" t="s">
        <v>900</v>
      </c>
      <c r="G3295" t="s">
        <v>29</v>
      </c>
      <c r="H3295" t="s">
        <v>901</v>
      </c>
    </row>
    <row r="3296" spans="1:8" x14ac:dyDescent="0.25">
      <c r="A3296" t="s">
        <v>925</v>
      </c>
      <c r="B3296" t="s">
        <v>31</v>
      </c>
      <c r="C3296" s="5">
        <v>739566</v>
      </c>
      <c r="D3296" s="5">
        <v>2135</v>
      </c>
      <c r="E3296">
        <v>198824</v>
      </c>
      <c r="F3296" s="4" t="s">
        <v>32</v>
      </c>
      <c r="G3296" t="s">
        <v>29</v>
      </c>
      <c r="H3296" t="s">
        <v>33</v>
      </c>
    </row>
    <row r="3297" spans="1:8" x14ac:dyDescent="0.25">
      <c r="A3297" t="s">
        <v>925</v>
      </c>
      <c r="B3297" t="s">
        <v>27</v>
      </c>
      <c r="C3297" s="5">
        <v>15462</v>
      </c>
      <c r="D3297" s="5">
        <v>130</v>
      </c>
      <c r="E3297">
        <v>5006</v>
      </c>
      <c r="F3297" s="4" t="s">
        <v>397</v>
      </c>
      <c r="G3297" t="s">
        <v>29</v>
      </c>
      <c r="H3297" t="s">
        <v>398</v>
      </c>
    </row>
    <row r="3298" spans="1:8" x14ac:dyDescent="0.25">
      <c r="A3298" t="s">
        <v>948</v>
      </c>
      <c r="B3298" t="s">
        <v>27</v>
      </c>
      <c r="C3298" s="5">
        <v>15425</v>
      </c>
      <c r="D3298" s="5">
        <v>130</v>
      </c>
      <c r="E3298">
        <v>7725</v>
      </c>
      <c r="F3298" s="4" t="s">
        <v>397</v>
      </c>
      <c r="G3298" t="s">
        <v>29</v>
      </c>
      <c r="H3298" t="s">
        <v>398</v>
      </c>
    </row>
    <row r="3299" spans="1:8" x14ac:dyDescent="0.25">
      <c r="A3299" t="s">
        <v>948</v>
      </c>
      <c r="B3299" t="s">
        <v>31</v>
      </c>
      <c r="C3299" s="5">
        <v>739471</v>
      </c>
      <c r="D3299" s="5">
        <v>2134</v>
      </c>
      <c r="E3299">
        <v>195174</v>
      </c>
      <c r="F3299" s="4" t="s">
        <v>32</v>
      </c>
      <c r="G3299" t="s">
        <v>29</v>
      </c>
      <c r="H3299" t="s">
        <v>33</v>
      </c>
    </row>
    <row r="3300" spans="1:8" x14ac:dyDescent="0.25">
      <c r="A3300" t="s">
        <v>948</v>
      </c>
      <c r="B3300" t="s">
        <v>34</v>
      </c>
      <c r="C3300" s="5">
        <v>156071</v>
      </c>
      <c r="D3300" s="5">
        <v>7262</v>
      </c>
      <c r="E3300">
        <v>148465</v>
      </c>
      <c r="F3300" s="4" t="s">
        <v>900</v>
      </c>
      <c r="G3300" t="s">
        <v>29</v>
      </c>
      <c r="H3300" t="s">
        <v>901</v>
      </c>
    </row>
    <row r="3301" spans="1:8" x14ac:dyDescent="0.25">
      <c r="A3301" t="s">
        <v>948</v>
      </c>
      <c r="B3301" t="s">
        <v>37</v>
      </c>
      <c r="C3301" s="5">
        <v>4031</v>
      </c>
      <c r="D3301" s="5">
        <v>99</v>
      </c>
      <c r="E3301">
        <v>3637</v>
      </c>
      <c r="F3301" s="4" t="s">
        <v>949</v>
      </c>
      <c r="G3301" t="s">
        <v>29</v>
      </c>
      <c r="H3301" t="s">
        <v>950</v>
      </c>
    </row>
    <row r="3302" spans="1:8" x14ac:dyDescent="0.25">
      <c r="A3302" t="s">
        <v>948</v>
      </c>
      <c r="B3302" t="s">
        <v>40</v>
      </c>
      <c r="C3302" s="5">
        <v>182610</v>
      </c>
      <c r="D3302" s="5">
        <v>2888</v>
      </c>
      <c r="E3302">
        <v>62916</v>
      </c>
      <c r="F3302" s="4" t="s">
        <v>577</v>
      </c>
      <c r="G3302" t="s">
        <v>29</v>
      </c>
      <c r="H3302" t="s">
        <v>578</v>
      </c>
    </row>
    <row r="3303" spans="1:8" x14ac:dyDescent="0.25">
      <c r="A3303" t="s">
        <v>948</v>
      </c>
      <c r="B3303" t="s">
        <v>43</v>
      </c>
      <c r="C3303" s="5">
        <v>298069</v>
      </c>
      <c r="D3303" s="5">
        <v>6112</v>
      </c>
      <c r="E3303">
        <v>35504</v>
      </c>
      <c r="F3303" s="4" t="s">
        <v>579</v>
      </c>
      <c r="G3303" t="s">
        <v>29</v>
      </c>
      <c r="H3303" t="s">
        <v>580</v>
      </c>
    </row>
    <row r="3304" spans="1:8" x14ac:dyDescent="0.25">
      <c r="A3304" t="s">
        <v>948</v>
      </c>
      <c r="B3304" t="s">
        <v>46</v>
      </c>
      <c r="C3304" s="5">
        <v>64033</v>
      </c>
      <c r="D3304" s="5">
        <v>1702</v>
      </c>
      <c r="E3304">
        <v>22126</v>
      </c>
      <c r="F3304" s="4" t="s">
        <v>47</v>
      </c>
      <c r="G3304" t="s">
        <v>29</v>
      </c>
      <c r="H3304" t="s">
        <v>48</v>
      </c>
    </row>
    <row r="3305" spans="1:8" x14ac:dyDescent="0.25">
      <c r="A3305" t="s">
        <v>948</v>
      </c>
      <c r="B3305" t="s">
        <v>49</v>
      </c>
      <c r="C3305" s="5">
        <v>5283000</v>
      </c>
      <c r="D3305" s="5">
        <v>115866</v>
      </c>
      <c r="E3305">
        <v>4251520</v>
      </c>
      <c r="F3305" s="4" t="s">
        <v>50</v>
      </c>
      <c r="G3305" t="s">
        <v>29</v>
      </c>
      <c r="H3305" t="s">
        <v>51</v>
      </c>
    </row>
    <row r="3306" spans="1:8" x14ac:dyDescent="0.25">
      <c r="A3306" t="s">
        <v>948</v>
      </c>
      <c r="B3306" t="s">
        <v>52</v>
      </c>
      <c r="C3306" s="5">
        <v>804825</v>
      </c>
      <c r="D3306" s="5">
        <v>11279</v>
      </c>
      <c r="E3306">
        <v>575868</v>
      </c>
      <c r="F3306" s="4" t="s">
        <v>403</v>
      </c>
      <c r="G3306" t="s">
        <v>29</v>
      </c>
      <c r="H3306" t="s">
        <v>404</v>
      </c>
    </row>
    <row r="3307" spans="1:8" x14ac:dyDescent="0.25">
      <c r="A3307" t="s">
        <v>948</v>
      </c>
      <c r="B3307" t="s">
        <v>55</v>
      </c>
      <c r="C3307" s="5">
        <v>163866</v>
      </c>
      <c r="D3307" s="5">
        <v>1669</v>
      </c>
      <c r="E3307">
        <v>17479</v>
      </c>
      <c r="F3307" s="4" t="s">
        <v>326</v>
      </c>
      <c r="G3307" t="s">
        <v>29</v>
      </c>
      <c r="H3307" t="s">
        <v>327</v>
      </c>
    </row>
    <row r="3308" spans="1:8" x14ac:dyDescent="0.25">
      <c r="A3308" t="s">
        <v>948</v>
      </c>
      <c r="B3308" t="s">
        <v>58</v>
      </c>
      <c r="C3308" s="5">
        <v>520068</v>
      </c>
      <c r="D3308" s="5">
        <v>6939</v>
      </c>
      <c r="E3308">
        <v>455270</v>
      </c>
      <c r="F3308" s="4" t="s">
        <v>59</v>
      </c>
      <c r="G3308" t="s">
        <v>29</v>
      </c>
      <c r="H3308" t="s">
        <v>60</v>
      </c>
    </row>
    <row r="3309" spans="1:8" x14ac:dyDescent="0.25">
      <c r="A3309" t="s">
        <v>948</v>
      </c>
      <c r="B3309" t="s">
        <v>61</v>
      </c>
      <c r="C3309" s="5">
        <v>250165</v>
      </c>
      <c r="D3309" s="5">
        <v>11423</v>
      </c>
      <c r="E3309">
        <v>86216</v>
      </c>
      <c r="F3309" s="4" t="s">
        <v>814</v>
      </c>
      <c r="G3309" t="s">
        <v>29</v>
      </c>
      <c r="H3309" t="s">
        <v>815</v>
      </c>
    </row>
    <row r="3310" spans="1:8" x14ac:dyDescent="0.25">
      <c r="A3310" t="s">
        <v>948</v>
      </c>
      <c r="B3310" t="s">
        <v>64</v>
      </c>
      <c r="C3310" s="5">
        <v>16033</v>
      </c>
      <c r="D3310" s="5">
        <v>143</v>
      </c>
      <c r="E3310">
        <v>15054</v>
      </c>
      <c r="F3310" s="4" t="s">
        <v>65</v>
      </c>
      <c r="G3310" t="s">
        <v>29</v>
      </c>
      <c r="H3310" t="s">
        <v>66</v>
      </c>
    </row>
    <row r="3311" spans="1:8" x14ac:dyDescent="0.25">
      <c r="A3311" t="s">
        <v>948</v>
      </c>
      <c r="B3311" t="s">
        <v>67</v>
      </c>
      <c r="C3311" s="5">
        <v>1568257</v>
      </c>
      <c r="D3311" s="5">
        <v>27834</v>
      </c>
      <c r="E3311">
        <v>177151</v>
      </c>
      <c r="F3311" s="4" t="s">
        <v>769</v>
      </c>
      <c r="G3311" t="s">
        <v>29</v>
      </c>
      <c r="H3311" t="s">
        <v>770</v>
      </c>
    </row>
    <row r="3312" spans="1:8" x14ac:dyDescent="0.25">
      <c r="A3312" t="s">
        <v>948</v>
      </c>
      <c r="B3312" t="s">
        <v>70</v>
      </c>
      <c r="C3312" s="5">
        <v>1333947</v>
      </c>
      <c r="D3312" s="5">
        <v>25914</v>
      </c>
      <c r="E3312">
        <v>406145</v>
      </c>
      <c r="F3312" s="4" t="s">
        <v>754</v>
      </c>
      <c r="G3312" t="s">
        <v>29</v>
      </c>
      <c r="H3312" t="s">
        <v>755</v>
      </c>
    </row>
    <row r="3313" spans="1:8" x14ac:dyDescent="0.25">
      <c r="A3313" t="s">
        <v>948</v>
      </c>
      <c r="B3313" t="s">
        <v>73</v>
      </c>
      <c r="C3313" s="5">
        <v>14793</v>
      </c>
      <c r="D3313" s="5">
        <v>214</v>
      </c>
      <c r="E3313">
        <v>2497</v>
      </c>
      <c r="F3313" s="4" t="s">
        <v>342</v>
      </c>
      <c r="G3313" t="s">
        <v>29</v>
      </c>
      <c r="H3313" t="s">
        <v>343</v>
      </c>
    </row>
    <row r="3314" spans="1:8" x14ac:dyDescent="0.25">
      <c r="A3314" t="s">
        <v>948</v>
      </c>
      <c r="B3314" t="s">
        <v>76</v>
      </c>
      <c r="C3314" s="5">
        <v>582122</v>
      </c>
      <c r="D3314" s="5">
        <v>23440</v>
      </c>
      <c r="E3314">
        <v>507600</v>
      </c>
      <c r="F3314" s="4" t="s">
        <v>951</v>
      </c>
      <c r="G3314" t="s">
        <v>29</v>
      </c>
      <c r="H3314" t="s">
        <v>952</v>
      </c>
    </row>
    <row r="3315" spans="1:8" x14ac:dyDescent="0.25">
      <c r="A3315" t="s">
        <v>948</v>
      </c>
      <c r="B3315" t="s">
        <v>79</v>
      </c>
      <c r="C3315" s="5">
        <v>276635</v>
      </c>
      <c r="D3315" s="5">
        <v>1393</v>
      </c>
      <c r="E3315">
        <v>243403</v>
      </c>
      <c r="F3315" s="4" t="s">
        <v>80</v>
      </c>
      <c r="G3315" t="s">
        <v>29</v>
      </c>
      <c r="H3315" t="s">
        <v>81</v>
      </c>
    </row>
    <row r="3316" spans="1:8" x14ac:dyDescent="0.25">
      <c r="A3316" t="s">
        <v>948</v>
      </c>
      <c r="B3316" t="s">
        <v>82</v>
      </c>
      <c r="C3316" s="5">
        <v>19954</v>
      </c>
      <c r="D3316" s="5">
        <v>38</v>
      </c>
      <c r="E3316">
        <v>7653</v>
      </c>
      <c r="F3316" s="4" t="s">
        <v>83</v>
      </c>
      <c r="G3316" t="s">
        <v>29</v>
      </c>
      <c r="H3316" t="s">
        <v>84</v>
      </c>
    </row>
    <row r="3317" spans="1:8" x14ac:dyDescent="0.25">
      <c r="A3317" t="s">
        <v>948</v>
      </c>
      <c r="B3317" t="s">
        <v>85</v>
      </c>
      <c r="C3317" s="5">
        <v>24678</v>
      </c>
      <c r="D3317" s="5">
        <v>161</v>
      </c>
      <c r="E3317">
        <v>16337</v>
      </c>
      <c r="F3317" s="4" t="s">
        <v>86</v>
      </c>
      <c r="G3317" t="s">
        <v>29</v>
      </c>
      <c r="H3317" t="s">
        <v>87</v>
      </c>
    </row>
    <row r="3318" spans="1:8" x14ac:dyDescent="0.25">
      <c r="A3318" t="s">
        <v>948</v>
      </c>
      <c r="B3318" t="s">
        <v>88</v>
      </c>
      <c r="C3318" s="5">
        <v>1659</v>
      </c>
      <c r="D3318" s="5">
        <v>6</v>
      </c>
      <c r="E3318">
        <v>1565</v>
      </c>
      <c r="F3318" s="4" t="s">
        <v>89</v>
      </c>
      <c r="G3318" t="s">
        <v>29</v>
      </c>
      <c r="H3318" t="s">
        <v>90</v>
      </c>
    </row>
    <row r="3319" spans="1:8" x14ac:dyDescent="0.25">
      <c r="A3319" t="s">
        <v>948</v>
      </c>
      <c r="B3319" t="s">
        <v>91</v>
      </c>
      <c r="C3319" s="5">
        <v>12595</v>
      </c>
      <c r="D3319" s="5">
        <v>82</v>
      </c>
      <c r="E3319">
        <v>6804</v>
      </c>
      <c r="F3319" s="4" t="s">
        <v>86</v>
      </c>
      <c r="G3319" t="s">
        <v>29</v>
      </c>
      <c r="H3319" t="s">
        <v>87</v>
      </c>
    </row>
    <row r="3320" spans="1:8" x14ac:dyDescent="0.25">
      <c r="A3320" t="s">
        <v>948</v>
      </c>
      <c r="B3320" t="s">
        <v>94</v>
      </c>
      <c r="C3320" s="5">
        <v>510470</v>
      </c>
      <c r="D3320" s="5">
        <v>18903</v>
      </c>
      <c r="E3320">
        <v>427300</v>
      </c>
      <c r="F3320" s="4" t="s">
        <v>356</v>
      </c>
      <c r="G3320" t="s">
        <v>29</v>
      </c>
      <c r="H3320" t="s">
        <v>357</v>
      </c>
    </row>
    <row r="3321" spans="1:8" x14ac:dyDescent="0.25">
      <c r="A3321" t="s">
        <v>948</v>
      </c>
      <c r="B3321" t="s">
        <v>97</v>
      </c>
      <c r="C3321" s="5">
        <v>21748984</v>
      </c>
      <c r="D3321" s="5">
        <v>606246</v>
      </c>
      <c r="E3321">
        <v>2531171</v>
      </c>
      <c r="F3321" s="4" t="s">
        <v>662</v>
      </c>
      <c r="G3321" t="s">
        <v>29</v>
      </c>
      <c r="H3321" t="s">
        <v>663</v>
      </c>
    </row>
    <row r="3322" spans="1:8" x14ac:dyDescent="0.25">
      <c r="A3322" t="s">
        <v>948</v>
      </c>
      <c r="B3322" t="s">
        <v>100</v>
      </c>
      <c r="C3322" s="5">
        <v>22259</v>
      </c>
      <c r="D3322" s="5">
        <v>642</v>
      </c>
      <c r="E3322">
        <v>3157</v>
      </c>
      <c r="F3322" s="4" t="s">
        <v>860</v>
      </c>
      <c r="G3322" t="s">
        <v>29</v>
      </c>
      <c r="H3322" t="s">
        <v>861</v>
      </c>
    </row>
    <row r="3323" spans="1:8" x14ac:dyDescent="0.25">
      <c r="A3323" t="s">
        <v>948</v>
      </c>
      <c r="B3323" t="s">
        <v>103</v>
      </c>
      <c r="C3323" s="5">
        <v>2617</v>
      </c>
      <c r="D3323" s="5">
        <v>3</v>
      </c>
      <c r="E3323">
        <v>513</v>
      </c>
      <c r="F3323" s="4" t="s">
        <v>104</v>
      </c>
      <c r="G3323" t="s">
        <v>29</v>
      </c>
      <c r="H3323" t="s">
        <v>105</v>
      </c>
    </row>
    <row r="3324" spans="1:8" x14ac:dyDescent="0.25">
      <c r="A3324" t="s">
        <v>948</v>
      </c>
      <c r="B3324" t="s">
        <v>106</v>
      </c>
      <c r="C3324" s="5">
        <v>185985</v>
      </c>
      <c r="D3324" s="5">
        <v>2402</v>
      </c>
      <c r="E3324">
        <v>9888</v>
      </c>
      <c r="F3324" s="4" t="s">
        <v>417</v>
      </c>
      <c r="G3324" t="s">
        <v>29</v>
      </c>
      <c r="H3324" t="s">
        <v>418</v>
      </c>
    </row>
    <row r="3325" spans="1:8" x14ac:dyDescent="0.25">
      <c r="A3325" t="s">
        <v>948</v>
      </c>
      <c r="B3325" t="s">
        <v>109</v>
      </c>
      <c r="C3325" s="5">
        <v>590226</v>
      </c>
      <c r="D3325" s="5">
        <v>4546</v>
      </c>
      <c r="E3325">
        <v>283089</v>
      </c>
      <c r="F3325" s="4" t="s">
        <v>110</v>
      </c>
      <c r="G3325" t="s">
        <v>29</v>
      </c>
      <c r="H3325" t="s">
        <v>111</v>
      </c>
    </row>
    <row r="3326" spans="1:8" x14ac:dyDescent="0.25">
      <c r="A3326" t="s">
        <v>948</v>
      </c>
      <c r="B3326" t="s">
        <v>112</v>
      </c>
      <c r="C3326" s="5">
        <v>26152</v>
      </c>
      <c r="D3326" s="5">
        <v>482</v>
      </c>
      <c r="E3326">
        <v>2087</v>
      </c>
      <c r="F3326" s="4" t="s">
        <v>905</v>
      </c>
      <c r="G3326" t="s">
        <v>29</v>
      </c>
      <c r="H3326" t="s">
        <v>906</v>
      </c>
    </row>
    <row r="3327" spans="1:8" x14ac:dyDescent="0.25">
      <c r="A3327" t="s">
        <v>948</v>
      </c>
      <c r="B3327" t="s">
        <v>115</v>
      </c>
      <c r="C3327" s="5">
        <v>1712581</v>
      </c>
      <c r="D3327" s="5">
        <v>28894</v>
      </c>
      <c r="E3327">
        <v>378517</v>
      </c>
      <c r="F3327" s="4" t="s">
        <v>152</v>
      </c>
      <c r="G3327" t="s">
        <v>29</v>
      </c>
      <c r="H3327" t="s">
        <v>153</v>
      </c>
    </row>
    <row r="3328" spans="1:8" x14ac:dyDescent="0.25">
      <c r="A3328" t="s">
        <v>948</v>
      </c>
      <c r="B3328" t="s">
        <v>118</v>
      </c>
      <c r="C3328" s="5">
        <v>57453</v>
      </c>
      <c r="D3328" s="5">
        <v>1091</v>
      </c>
      <c r="E3328">
        <v>47803</v>
      </c>
      <c r="F3328" s="4" t="s">
        <v>652</v>
      </c>
      <c r="G3328" t="s">
        <v>29</v>
      </c>
      <c r="H3328" t="s">
        <v>653</v>
      </c>
    </row>
    <row r="3329" spans="1:8" x14ac:dyDescent="0.25">
      <c r="A3329" t="s">
        <v>948</v>
      </c>
      <c r="B3329" t="s">
        <v>121</v>
      </c>
      <c r="C3329" s="5">
        <v>11518</v>
      </c>
      <c r="D3329" s="5">
        <v>100</v>
      </c>
      <c r="E3329">
        <v>1388</v>
      </c>
      <c r="F3329" s="4" t="s">
        <v>498</v>
      </c>
      <c r="G3329" t="s">
        <v>29</v>
      </c>
      <c r="H3329" t="s">
        <v>499</v>
      </c>
    </row>
    <row r="3330" spans="1:8" x14ac:dyDescent="0.25">
      <c r="A3330" t="s">
        <v>948</v>
      </c>
      <c r="B3330" t="s">
        <v>124</v>
      </c>
      <c r="C3330" s="5">
        <v>16868</v>
      </c>
      <c r="D3330" s="5">
        <v>249</v>
      </c>
      <c r="E3330">
        <v>10132</v>
      </c>
      <c r="F3330" s="4" t="s">
        <v>285</v>
      </c>
      <c r="G3330" t="s">
        <v>29</v>
      </c>
      <c r="H3330" t="s">
        <v>286</v>
      </c>
    </row>
    <row r="3331" spans="1:8" x14ac:dyDescent="0.25">
      <c r="A3331" t="s">
        <v>948</v>
      </c>
      <c r="B3331" t="s">
        <v>127</v>
      </c>
      <c r="C3331" s="5">
        <v>865708</v>
      </c>
      <c r="D3331" s="5">
        <v>11204</v>
      </c>
      <c r="E3331">
        <v>642192</v>
      </c>
      <c r="F3331" s="4" t="s">
        <v>417</v>
      </c>
      <c r="G3331" t="s">
        <v>29</v>
      </c>
      <c r="H3331" t="s">
        <v>418</v>
      </c>
    </row>
    <row r="3332" spans="1:8" x14ac:dyDescent="0.25">
      <c r="A3332" t="s">
        <v>948</v>
      </c>
      <c r="B3332" t="s">
        <v>128</v>
      </c>
      <c r="C3332" s="5">
        <v>61221</v>
      </c>
      <c r="D3332" s="5">
        <v>691</v>
      </c>
      <c r="E3332">
        <v>24055</v>
      </c>
      <c r="F3332" s="4" t="s">
        <v>267</v>
      </c>
      <c r="G3332" t="s">
        <v>29</v>
      </c>
      <c r="H3332" t="s">
        <v>268</v>
      </c>
    </row>
    <row r="3333" spans="1:8" x14ac:dyDescent="0.25">
      <c r="A3333" t="s">
        <v>948</v>
      </c>
      <c r="B3333" t="s">
        <v>131</v>
      </c>
      <c r="C3333" s="5">
        <v>1684608</v>
      </c>
      <c r="D3333" s="5">
        <v>37691</v>
      </c>
      <c r="E3333">
        <v>470097</v>
      </c>
      <c r="F3333" s="4" t="s">
        <v>603</v>
      </c>
      <c r="G3333" t="s">
        <v>29</v>
      </c>
      <c r="H3333" t="s">
        <v>604</v>
      </c>
    </row>
    <row r="3334" spans="1:8" x14ac:dyDescent="0.25">
      <c r="A3334" t="s">
        <v>948</v>
      </c>
      <c r="B3334" t="s">
        <v>134</v>
      </c>
      <c r="C3334" s="5">
        <v>100289</v>
      </c>
      <c r="D3334" s="5">
        <v>1600</v>
      </c>
      <c r="E3334">
        <v>59084</v>
      </c>
      <c r="F3334" s="4" t="s">
        <v>313</v>
      </c>
      <c r="G3334" t="s">
        <v>29</v>
      </c>
      <c r="H3334" t="s">
        <v>314</v>
      </c>
    </row>
    <row r="3335" spans="1:8" x14ac:dyDescent="0.25">
      <c r="A3335" t="s">
        <v>948</v>
      </c>
      <c r="B3335" t="s">
        <v>137</v>
      </c>
      <c r="C3335" s="5">
        <v>96899</v>
      </c>
      <c r="D3335" s="5">
        <v>4636</v>
      </c>
      <c r="E3335">
        <v>6722</v>
      </c>
      <c r="F3335" s="4" t="s">
        <v>896</v>
      </c>
      <c r="G3335" t="s">
        <v>29</v>
      </c>
      <c r="H3335" t="s">
        <v>897</v>
      </c>
    </row>
    <row r="3336" spans="1:8" x14ac:dyDescent="0.25">
      <c r="A3336" t="s">
        <v>948</v>
      </c>
      <c r="B3336" t="s">
        <v>140</v>
      </c>
      <c r="C3336" s="5">
        <v>4994014</v>
      </c>
      <c r="D3336" s="5">
        <v>127133</v>
      </c>
      <c r="E3336">
        <v>4308203</v>
      </c>
      <c r="F3336" s="4" t="s">
        <v>513</v>
      </c>
      <c r="G3336" t="s">
        <v>29</v>
      </c>
      <c r="H3336" t="s">
        <v>514</v>
      </c>
    </row>
    <row r="3337" spans="1:8" x14ac:dyDescent="0.25">
      <c r="A3337" t="s">
        <v>948</v>
      </c>
      <c r="B3337" t="s">
        <v>143</v>
      </c>
      <c r="C3337" s="5">
        <v>557922</v>
      </c>
      <c r="D3337" s="5">
        <v>6997</v>
      </c>
      <c r="E3337">
        <v>107377</v>
      </c>
      <c r="F3337" s="4" t="s">
        <v>107</v>
      </c>
      <c r="G3337" t="s">
        <v>29</v>
      </c>
      <c r="H3337" t="s">
        <v>108</v>
      </c>
    </row>
    <row r="3338" spans="1:8" x14ac:dyDescent="0.25">
      <c r="A3338" t="s">
        <v>948</v>
      </c>
      <c r="B3338" t="s">
        <v>144</v>
      </c>
      <c r="C3338" s="5">
        <v>947935</v>
      </c>
      <c r="D3338" s="5">
        <v>8201</v>
      </c>
      <c r="E3338">
        <v>855740</v>
      </c>
      <c r="F3338" s="4" t="s">
        <v>498</v>
      </c>
      <c r="G3338" t="s">
        <v>29</v>
      </c>
      <c r="H3338" t="s">
        <v>499</v>
      </c>
    </row>
    <row r="3339" spans="1:8" x14ac:dyDescent="0.25">
      <c r="A3339" t="s">
        <v>948</v>
      </c>
      <c r="B3339" t="s">
        <v>145</v>
      </c>
      <c r="C3339" s="5">
        <v>38151</v>
      </c>
      <c r="D3339" s="5">
        <v>349</v>
      </c>
      <c r="E3339">
        <v>33397</v>
      </c>
      <c r="F3339" s="4" t="s">
        <v>146</v>
      </c>
      <c r="G3339" t="s">
        <v>29</v>
      </c>
      <c r="H3339" t="s">
        <v>147</v>
      </c>
    </row>
    <row r="3340" spans="1:8" x14ac:dyDescent="0.25">
      <c r="A3340" t="s">
        <v>948</v>
      </c>
      <c r="B3340" t="s">
        <v>148</v>
      </c>
      <c r="C3340" s="5">
        <v>123546</v>
      </c>
      <c r="D3340" s="5">
        <v>571</v>
      </c>
      <c r="E3340">
        <v>75433</v>
      </c>
      <c r="F3340" s="4" t="s">
        <v>149</v>
      </c>
      <c r="G3340" t="s">
        <v>29</v>
      </c>
      <c r="H3340" t="s">
        <v>150</v>
      </c>
    </row>
    <row r="3341" spans="1:8" x14ac:dyDescent="0.25">
      <c r="A3341" t="s">
        <v>948</v>
      </c>
      <c r="B3341" t="s">
        <v>151</v>
      </c>
      <c r="C3341" s="5">
        <v>1735552</v>
      </c>
      <c r="D3341" s="5">
        <v>30648</v>
      </c>
      <c r="E3341">
        <v>255222</v>
      </c>
      <c r="F3341" s="4" t="s">
        <v>769</v>
      </c>
      <c r="G3341" t="s">
        <v>29</v>
      </c>
      <c r="H3341" t="s">
        <v>770</v>
      </c>
    </row>
    <row r="3342" spans="1:8" x14ac:dyDescent="0.25">
      <c r="A3342" t="s">
        <v>948</v>
      </c>
      <c r="B3342" t="s">
        <v>154</v>
      </c>
      <c r="C3342" s="5">
        <v>4516839</v>
      </c>
      <c r="D3342" s="5">
        <v>95365</v>
      </c>
      <c r="E3342">
        <v>1252140</v>
      </c>
      <c r="F3342" s="4" t="s">
        <v>44</v>
      </c>
      <c r="G3342" t="s">
        <v>29</v>
      </c>
      <c r="H3342" t="s">
        <v>45</v>
      </c>
    </row>
    <row r="3343" spans="1:8" x14ac:dyDescent="0.25">
      <c r="A3343" t="s">
        <v>948</v>
      </c>
      <c r="B3343" t="s">
        <v>157</v>
      </c>
      <c r="C3343" s="5">
        <v>13461</v>
      </c>
      <c r="D3343" s="5">
        <v>181</v>
      </c>
      <c r="E3343">
        <v>211</v>
      </c>
      <c r="F3343" s="4" t="s">
        <v>264</v>
      </c>
      <c r="G3343" t="s">
        <v>29</v>
      </c>
      <c r="H3343" t="s">
        <v>265</v>
      </c>
    </row>
    <row r="3344" spans="1:8" x14ac:dyDescent="0.25">
      <c r="A3344" t="s">
        <v>948</v>
      </c>
      <c r="B3344" t="s">
        <v>160</v>
      </c>
      <c r="C3344" s="5">
        <v>379850</v>
      </c>
      <c r="D3344" s="5">
        <v>2703</v>
      </c>
      <c r="E3344">
        <v>219159</v>
      </c>
      <c r="F3344" s="4" t="s">
        <v>488</v>
      </c>
      <c r="G3344" t="s">
        <v>29</v>
      </c>
      <c r="H3344" t="s">
        <v>489</v>
      </c>
    </row>
    <row r="3345" spans="1:8" x14ac:dyDescent="0.25">
      <c r="A3345" t="s">
        <v>948</v>
      </c>
      <c r="B3345" t="s">
        <v>161</v>
      </c>
      <c r="C3345" s="5">
        <v>4659</v>
      </c>
      <c r="D3345" s="5">
        <v>30</v>
      </c>
      <c r="E3345">
        <v>4090</v>
      </c>
      <c r="F3345" s="4" t="s">
        <v>953</v>
      </c>
      <c r="G3345" t="s">
        <v>29</v>
      </c>
      <c r="H3345" t="s">
        <v>954</v>
      </c>
    </row>
    <row r="3346" spans="1:8" x14ac:dyDescent="0.25">
      <c r="A3346" t="s">
        <v>948</v>
      </c>
      <c r="B3346" t="s">
        <v>164</v>
      </c>
      <c r="C3346" s="5">
        <v>377385</v>
      </c>
      <c r="D3346" s="5">
        <v>4114</v>
      </c>
      <c r="E3346">
        <v>120634</v>
      </c>
      <c r="F3346" s="4" t="s">
        <v>683</v>
      </c>
      <c r="G3346" t="s">
        <v>29</v>
      </c>
      <c r="H3346" t="s">
        <v>684</v>
      </c>
    </row>
    <row r="3347" spans="1:8" x14ac:dyDescent="0.25">
      <c r="A3347" t="s">
        <v>948</v>
      </c>
      <c r="B3347" t="s">
        <v>167</v>
      </c>
      <c r="C3347" s="5">
        <v>205990</v>
      </c>
      <c r="D3347" s="5">
        <v>5899</v>
      </c>
      <c r="E3347">
        <v>162290</v>
      </c>
      <c r="F3347" s="4" t="s">
        <v>955</v>
      </c>
      <c r="G3347" t="s">
        <v>29</v>
      </c>
      <c r="H3347" t="s">
        <v>956</v>
      </c>
    </row>
    <row r="3348" spans="1:8" x14ac:dyDescent="0.25">
      <c r="A3348" t="s">
        <v>948</v>
      </c>
      <c r="B3348" t="s">
        <v>170</v>
      </c>
      <c r="C3348" s="5">
        <v>515659</v>
      </c>
      <c r="D3348" s="5">
        <v>32953</v>
      </c>
      <c r="E3348">
        <v>154932</v>
      </c>
      <c r="F3348" s="4" t="s">
        <v>767</v>
      </c>
      <c r="G3348" t="s">
        <v>29</v>
      </c>
      <c r="H3348" t="s">
        <v>768</v>
      </c>
    </row>
    <row r="3349" spans="1:8" x14ac:dyDescent="0.25">
      <c r="A3349" t="s">
        <v>948</v>
      </c>
      <c r="B3349" t="s">
        <v>173</v>
      </c>
      <c r="C3349" s="5">
        <v>184509</v>
      </c>
      <c r="D3349" s="5">
        <v>1477</v>
      </c>
      <c r="E3349">
        <v>71349</v>
      </c>
      <c r="F3349" s="4" t="s">
        <v>942</v>
      </c>
      <c r="G3349" t="s">
        <v>29</v>
      </c>
      <c r="H3349" t="s">
        <v>943</v>
      </c>
    </row>
    <row r="3350" spans="1:8" x14ac:dyDescent="0.25">
      <c r="A3350" t="s">
        <v>948</v>
      </c>
      <c r="B3350" t="s">
        <v>176</v>
      </c>
      <c r="C3350" s="5">
        <v>326379</v>
      </c>
      <c r="D3350" s="5">
        <v>18375</v>
      </c>
      <c r="E3350">
        <v>26381</v>
      </c>
      <c r="F3350" s="4" t="s">
        <v>856</v>
      </c>
      <c r="G3350" t="s">
        <v>29</v>
      </c>
      <c r="H3350" t="s">
        <v>857</v>
      </c>
    </row>
    <row r="3351" spans="1:8" x14ac:dyDescent="0.25">
      <c r="A3351" t="s">
        <v>948</v>
      </c>
      <c r="B3351" t="s">
        <v>179</v>
      </c>
      <c r="C3351" s="5">
        <v>6798</v>
      </c>
      <c r="D3351" s="5">
        <v>45</v>
      </c>
      <c r="E3351">
        <v>5210</v>
      </c>
      <c r="F3351" s="4" t="s">
        <v>162</v>
      </c>
      <c r="G3351" t="s">
        <v>29</v>
      </c>
      <c r="H3351" t="s">
        <v>163</v>
      </c>
    </row>
    <row r="3352" spans="1:8" x14ac:dyDescent="0.25">
      <c r="A3352" t="s">
        <v>948</v>
      </c>
      <c r="B3352" t="s">
        <v>182</v>
      </c>
      <c r="C3352" s="5">
        <v>5004143</v>
      </c>
      <c r="D3352" s="5">
        <v>87238</v>
      </c>
      <c r="E3352">
        <v>3760151</v>
      </c>
      <c r="F3352" s="4" t="s">
        <v>183</v>
      </c>
      <c r="G3352" t="s">
        <v>29</v>
      </c>
      <c r="H3352" t="s">
        <v>184</v>
      </c>
    </row>
    <row r="3353" spans="1:8" x14ac:dyDescent="0.25">
      <c r="A3353" t="s">
        <v>948</v>
      </c>
      <c r="B3353" t="s">
        <v>185</v>
      </c>
      <c r="C3353" s="5">
        <v>363240</v>
      </c>
      <c r="D3353" s="5">
        <v>6393</v>
      </c>
      <c r="E3353">
        <v>204081</v>
      </c>
      <c r="F3353" s="4" t="s">
        <v>907</v>
      </c>
      <c r="G3353" t="s">
        <v>29</v>
      </c>
      <c r="H3353" t="s">
        <v>908</v>
      </c>
    </row>
    <row r="3354" spans="1:8" x14ac:dyDescent="0.25">
      <c r="A3354" t="s">
        <v>948</v>
      </c>
      <c r="B3354" t="s">
        <v>186</v>
      </c>
      <c r="C3354" s="5">
        <v>155547</v>
      </c>
      <c r="D3354" s="5">
        <v>1149</v>
      </c>
      <c r="E3354">
        <v>19444</v>
      </c>
      <c r="F3354" s="4" t="s">
        <v>819</v>
      </c>
      <c r="G3354" t="s">
        <v>29</v>
      </c>
      <c r="H3354" t="s">
        <v>820</v>
      </c>
    </row>
    <row r="3355" spans="1:8" x14ac:dyDescent="0.25">
      <c r="A3355" t="s">
        <v>948</v>
      </c>
      <c r="B3355" t="s">
        <v>189</v>
      </c>
      <c r="C3355" s="5">
        <v>52028</v>
      </c>
      <c r="D3355" s="5">
        <v>673</v>
      </c>
      <c r="E3355">
        <v>13893</v>
      </c>
      <c r="F3355" s="4" t="s">
        <v>417</v>
      </c>
      <c r="G3355" t="s">
        <v>29</v>
      </c>
      <c r="H3355" t="s">
        <v>418</v>
      </c>
    </row>
    <row r="3356" spans="1:8" x14ac:dyDescent="0.25">
      <c r="A3356" t="s">
        <v>948</v>
      </c>
      <c r="B3356" t="s">
        <v>192</v>
      </c>
      <c r="C3356" s="5">
        <v>1714</v>
      </c>
      <c r="D3356" s="5">
        <v>2</v>
      </c>
      <c r="E3356">
        <v>69</v>
      </c>
      <c r="F3356" s="4" t="s">
        <v>957</v>
      </c>
      <c r="G3356" t="s">
        <v>29</v>
      </c>
      <c r="H3356" t="s">
        <v>958</v>
      </c>
    </row>
    <row r="3357" spans="1:8" x14ac:dyDescent="0.25">
      <c r="A3357" t="s">
        <v>948</v>
      </c>
      <c r="B3357" t="s">
        <v>195</v>
      </c>
      <c r="C3357" s="5">
        <v>6956977</v>
      </c>
      <c r="D3357" s="5">
        <v>115189</v>
      </c>
      <c r="E3357">
        <v>3761911</v>
      </c>
      <c r="F3357" s="4" t="s">
        <v>135</v>
      </c>
      <c r="G3357" t="s">
        <v>29</v>
      </c>
      <c r="H3357" t="s">
        <v>136</v>
      </c>
    </row>
    <row r="3358" spans="1:8" x14ac:dyDescent="0.25">
      <c r="A3358" t="s">
        <v>948</v>
      </c>
      <c r="B3358" t="s">
        <v>198</v>
      </c>
      <c r="C3358" s="5">
        <v>34898</v>
      </c>
      <c r="D3358" s="5">
        <v>230</v>
      </c>
      <c r="E3358">
        <v>25194</v>
      </c>
      <c r="F3358" s="4" t="s">
        <v>162</v>
      </c>
      <c r="G3358" t="s">
        <v>29</v>
      </c>
      <c r="H3358" t="s">
        <v>163</v>
      </c>
    </row>
    <row r="3359" spans="1:8" x14ac:dyDescent="0.25">
      <c r="A3359" t="s">
        <v>948</v>
      </c>
      <c r="B3359" t="s">
        <v>201</v>
      </c>
      <c r="C3359" s="5">
        <v>8888939</v>
      </c>
      <c r="D3359" s="5">
        <v>140155</v>
      </c>
      <c r="E3359">
        <v>7724529</v>
      </c>
      <c r="F3359" s="4" t="s">
        <v>577</v>
      </c>
      <c r="G3359" t="s">
        <v>29</v>
      </c>
      <c r="H3359" t="s">
        <v>578</v>
      </c>
    </row>
    <row r="3360" spans="1:8" x14ac:dyDescent="0.25">
      <c r="A3360" t="s">
        <v>948</v>
      </c>
      <c r="B3360" t="s">
        <v>207</v>
      </c>
      <c r="C3360" s="5">
        <v>698944</v>
      </c>
      <c r="D3360" s="5">
        <v>9831</v>
      </c>
      <c r="E3360">
        <v>545357</v>
      </c>
      <c r="F3360" s="4" t="s">
        <v>345</v>
      </c>
      <c r="G3360" t="s">
        <v>29</v>
      </c>
      <c r="H3360" t="s">
        <v>346</v>
      </c>
    </row>
    <row r="3361" spans="1:8" x14ac:dyDescent="0.25">
      <c r="A3361" t="s">
        <v>948</v>
      </c>
      <c r="B3361" t="s">
        <v>204</v>
      </c>
      <c r="C3361" s="5">
        <v>5824</v>
      </c>
      <c r="D3361" s="5">
        <v>197</v>
      </c>
      <c r="E3361">
        <v>4050</v>
      </c>
      <c r="F3361" s="4" t="s">
        <v>255</v>
      </c>
      <c r="G3361" t="s">
        <v>29</v>
      </c>
      <c r="H3361" t="s">
        <v>256</v>
      </c>
    </row>
    <row r="3362" spans="1:8" x14ac:dyDescent="0.25">
      <c r="A3362" t="s">
        <v>948</v>
      </c>
      <c r="B3362" t="s">
        <v>210</v>
      </c>
      <c r="C3362" s="5">
        <v>44225</v>
      </c>
      <c r="D3362" s="5">
        <v>302</v>
      </c>
      <c r="E3362">
        <v>39356</v>
      </c>
      <c r="F3362" s="4" t="s">
        <v>605</v>
      </c>
      <c r="G3362" t="s">
        <v>29</v>
      </c>
      <c r="H3362" t="s">
        <v>606</v>
      </c>
    </row>
    <row r="3363" spans="1:8" x14ac:dyDescent="0.25">
      <c r="A3363" t="s">
        <v>948</v>
      </c>
      <c r="B3363" t="s">
        <v>213</v>
      </c>
      <c r="C3363" s="5">
        <v>130008</v>
      </c>
      <c r="D3363" s="5">
        <v>1174</v>
      </c>
      <c r="E3363">
        <v>13196</v>
      </c>
      <c r="F3363" s="4" t="s">
        <v>667</v>
      </c>
      <c r="G3363" t="s">
        <v>29</v>
      </c>
      <c r="H3363" t="s">
        <v>668</v>
      </c>
    </row>
    <row r="3364" spans="1:8" x14ac:dyDescent="0.25">
      <c r="A3364" t="s">
        <v>948</v>
      </c>
      <c r="B3364" t="s">
        <v>216</v>
      </c>
      <c r="C3364" s="5">
        <v>5904</v>
      </c>
      <c r="D3364" s="5">
        <v>98</v>
      </c>
      <c r="E3364">
        <v>1029</v>
      </c>
      <c r="F3364" s="4" t="s">
        <v>135</v>
      </c>
      <c r="G3364" t="s">
        <v>29</v>
      </c>
      <c r="H3364" t="s">
        <v>136</v>
      </c>
    </row>
    <row r="3365" spans="1:8" x14ac:dyDescent="0.25">
      <c r="A3365" t="s">
        <v>948</v>
      </c>
      <c r="B3365" t="s">
        <v>222</v>
      </c>
      <c r="C3365" s="5">
        <v>30645</v>
      </c>
      <c r="D3365" s="5">
        <v>385</v>
      </c>
      <c r="E3365">
        <v>16602</v>
      </c>
      <c r="F3365" s="4" t="s">
        <v>223</v>
      </c>
      <c r="G3365" t="s">
        <v>29</v>
      </c>
      <c r="H3365" t="s">
        <v>224</v>
      </c>
    </row>
    <row r="3366" spans="1:8" x14ac:dyDescent="0.25">
      <c r="A3366" t="s">
        <v>948</v>
      </c>
      <c r="B3366" t="s">
        <v>219</v>
      </c>
      <c r="C3366" s="5">
        <v>9959</v>
      </c>
      <c r="D3366" s="5">
        <v>340</v>
      </c>
      <c r="E3366">
        <v>5932</v>
      </c>
      <c r="F3366" s="4" t="s">
        <v>205</v>
      </c>
      <c r="G3366" t="s">
        <v>29</v>
      </c>
      <c r="H3366" t="s">
        <v>206</v>
      </c>
    </row>
    <row r="3367" spans="1:8" x14ac:dyDescent="0.25">
      <c r="A3367" t="s">
        <v>948</v>
      </c>
      <c r="B3367" t="s">
        <v>225</v>
      </c>
      <c r="C3367" s="5">
        <v>54288</v>
      </c>
      <c r="D3367" s="5">
        <v>815</v>
      </c>
      <c r="E3367">
        <v>42082</v>
      </c>
      <c r="F3367" s="4" t="s">
        <v>226</v>
      </c>
      <c r="G3367" t="s">
        <v>29</v>
      </c>
      <c r="H3367" t="s">
        <v>227</v>
      </c>
    </row>
    <row r="3368" spans="1:8" x14ac:dyDescent="0.25">
      <c r="A3368" t="s">
        <v>948</v>
      </c>
      <c r="B3368" t="s">
        <v>228</v>
      </c>
      <c r="C3368" s="5">
        <v>13236</v>
      </c>
      <c r="D3368" s="5">
        <v>163</v>
      </c>
      <c r="E3368">
        <v>8627</v>
      </c>
      <c r="F3368" s="4" t="s">
        <v>798</v>
      </c>
      <c r="G3368" t="s">
        <v>29</v>
      </c>
      <c r="H3368" t="s">
        <v>799</v>
      </c>
    </row>
    <row r="3369" spans="1:8" x14ac:dyDescent="0.25">
      <c r="A3369" t="s">
        <v>948</v>
      </c>
      <c r="B3369" t="s">
        <v>229</v>
      </c>
      <c r="C3369" s="5">
        <v>724571</v>
      </c>
      <c r="D3369" s="5">
        <v>15707</v>
      </c>
      <c r="E3369">
        <v>489939</v>
      </c>
      <c r="F3369" s="4" t="s">
        <v>940</v>
      </c>
      <c r="G3369" t="s">
        <v>29</v>
      </c>
      <c r="H3369" t="s">
        <v>941</v>
      </c>
    </row>
    <row r="3370" spans="1:8" x14ac:dyDescent="0.25">
      <c r="A3370" t="s">
        <v>948</v>
      </c>
      <c r="B3370" t="s">
        <v>232</v>
      </c>
      <c r="C3370" s="5">
        <v>596417</v>
      </c>
      <c r="D3370" s="5">
        <v>14797</v>
      </c>
      <c r="E3370">
        <v>424662</v>
      </c>
      <c r="F3370" s="4" t="s">
        <v>913</v>
      </c>
      <c r="G3370" t="s">
        <v>29</v>
      </c>
      <c r="H3370" t="s">
        <v>914</v>
      </c>
    </row>
    <row r="3371" spans="1:8" x14ac:dyDescent="0.25">
      <c r="A3371" t="s">
        <v>948</v>
      </c>
      <c r="B3371" t="s">
        <v>233</v>
      </c>
      <c r="C3371" s="5">
        <v>6133</v>
      </c>
      <c r="D3371" s="5">
        <v>141</v>
      </c>
      <c r="E3371">
        <v>2337</v>
      </c>
      <c r="F3371" s="4" t="s">
        <v>619</v>
      </c>
      <c r="G3371" t="s">
        <v>29</v>
      </c>
      <c r="H3371" t="s">
        <v>620</v>
      </c>
    </row>
    <row r="3372" spans="1:8" x14ac:dyDescent="0.25">
      <c r="A3372" t="s">
        <v>948</v>
      </c>
      <c r="B3372" t="s">
        <v>236</v>
      </c>
      <c r="C3372" s="5">
        <v>35170</v>
      </c>
      <c r="D3372" s="5">
        <v>899</v>
      </c>
      <c r="E3372">
        <v>23492</v>
      </c>
      <c r="F3372" s="4" t="s">
        <v>38</v>
      </c>
      <c r="G3372" t="s">
        <v>29</v>
      </c>
      <c r="H3372" t="s">
        <v>39</v>
      </c>
    </row>
    <row r="3373" spans="1:8" x14ac:dyDescent="0.25">
      <c r="A3373" t="s">
        <v>948</v>
      </c>
      <c r="B3373" t="s">
        <v>239</v>
      </c>
      <c r="C3373" s="5">
        <v>12330</v>
      </c>
      <c r="D3373" s="5">
        <v>213</v>
      </c>
      <c r="E3373">
        <v>293</v>
      </c>
      <c r="F3373" s="4" t="s">
        <v>765</v>
      </c>
      <c r="G3373" t="s">
        <v>29</v>
      </c>
      <c r="H3373" t="s">
        <v>766</v>
      </c>
    </row>
    <row r="3374" spans="1:8" x14ac:dyDescent="0.25">
      <c r="A3374" t="s">
        <v>948</v>
      </c>
      <c r="B3374" t="s">
        <v>242</v>
      </c>
      <c r="C3374" s="5">
        <v>374783</v>
      </c>
      <c r="D3374" s="5">
        <v>10210</v>
      </c>
      <c r="E3374">
        <v>313086</v>
      </c>
      <c r="F3374" s="4" t="s">
        <v>938</v>
      </c>
      <c r="G3374" t="s">
        <v>29</v>
      </c>
      <c r="H3374" t="s">
        <v>939</v>
      </c>
    </row>
    <row r="3375" spans="1:8" x14ac:dyDescent="0.25">
      <c r="A3375" t="s">
        <v>948</v>
      </c>
      <c r="B3375" t="s">
        <v>245</v>
      </c>
      <c r="C3375" s="5">
        <v>449365</v>
      </c>
      <c r="D3375" s="5">
        <v>9090</v>
      </c>
      <c r="E3375">
        <v>128928</v>
      </c>
      <c r="F3375" s="4" t="s">
        <v>704</v>
      </c>
      <c r="G3375" t="s">
        <v>29</v>
      </c>
      <c r="H3375" t="s">
        <v>705</v>
      </c>
    </row>
    <row r="3376" spans="1:8" x14ac:dyDescent="0.25">
      <c r="A3376" t="s">
        <v>948</v>
      </c>
      <c r="B3376" t="s">
        <v>248</v>
      </c>
      <c r="C3376" s="5">
        <v>23619</v>
      </c>
      <c r="D3376" s="5">
        <v>662</v>
      </c>
      <c r="E3376">
        <v>4248</v>
      </c>
      <c r="F3376" s="4" t="s">
        <v>441</v>
      </c>
      <c r="G3376" t="s">
        <v>29</v>
      </c>
      <c r="H3376" t="s">
        <v>442</v>
      </c>
    </row>
    <row r="3377" spans="1:8" x14ac:dyDescent="0.25">
      <c r="A3377" t="s">
        <v>948</v>
      </c>
      <c r="B3377" t="s">
        <v>251</v>
      </c>
      <c r="C3377" s="5">
        <v>852214</v>
      </c>
      <c r="D3377" s="5">
        <v>30611</v>
      </c>
      <c r="E3377">
        <v>430240</v>
      </c>
      <c r="F3377" s="4" t="s">
        <v>959</v>
      </c>
      <c r="G3377" t="s">
        <v>29</v>
      </c>
      <c r="H3377" t="s">
        <v>960</v>
      </c>
    </row>
    <row r="3378" spans="1:8" x14ac:dyDescent="0.25">
      <c r="A3378" t="s">
        <v>948</v>
      </c>
      <c r="B3378" t="s">
        <v>254</v>
      </c>
      <c r="C3378" s="5">
        <v>4241090</v>
      </c>
      <c r="D3378" s="5">
        <v>143270</v>
      </c>
      <c r="E3378">
        <v>412583</v>
      </c>
      <c r="F3378" s="4" t="s">
        <v>255</v>
      </c>
      <c r="G3378" t="s">
        <v>29</v>
      </c>
      <c r="H3378" t="s">
        <v>256</v>
      </c>
    </row>
    <row r="3379" spans="1:8" x14ac:dyDescent="0.25">
      <c r="A3379" t="s">
        <v>948</v>
      </c>
      <c r="B3379" t="s">
        <v>257</v>
      </c>
      <c r="C3379" s="5">
        <v>433902</v>
      </c>
      <c r="D3379" s="5">
        <v>5369</v>
      </c>
      <c r="E3379">
        <v>144747</v>
      </c>
      <c r="F3379" s="4" t="s">
        <v>394</v>
      </c>
      <c r="G3379" t="s">
        <v>29</v>
      </c>
      <c r="H3379" t="s">
        <v>395</v>
      </c>
    </row>
    <row r="3380" spans="1:8" x14ac:dyDescent="0.25">
      <c r="A3380" t="s">
        <v>948</v>
      </c>
      <c r="B3380" t="s">
        <v>260</v>
      </c>
      <c r="C3380" s="5">
        <v>1324897</v>
      </c>
      <c r="D3380" s="5">
        <v>8063</v>
      </c>
      <c r="E3380">
        <v>1183207</v>
      </c>
      <c r="F3380" s="4" t="s">
        <v>261</v>
      </c>
      <c r="G3380" t="s">
        <v>29</v>
      </c>
      <c r="H3380" t="s">
        <v>262</v>
      </c>
    </row>
    <row r="3381" spans="1:8" x14ac:dyDescent="0.25">
      <c r="A3381" t="s">
        <v>948</v>
      </c>
      <c r="B3381" t="s">
        <v>263</v>
      </c>
      <c r="C3381" s="5">
        <v>34215653</v>
      </c>
      <c r="D3381" s="5">
        <v>455653</v>
      </c>
      <c r="E3381">
        <v>30372689</v>
      </c>
      <c r="F3381" s="4" t="s">
        <v>59</v>
      </c>
      <c r="G3381" t="s">
        <v>29</v>
      </c>
      <c r="H3381" t="s">
        <v>60</v>
      </c>
    </row>
    <row r="3382" spans="1:8" x14ac:dyDescent="0.25">
      <c r="A3382" t="s">
        <v>948</v>
      </c>
      <c r="B3382" t="s">
        <v>266</v>
      </c>
      <c r="C3382" s="5">
        <v>2049240</v>
      </c>
      <c r="D3382" s="5">
        <v>23024</v>
      </c>
      <c r="E3382">
        <v>1016524</v>
      </c>
      <c r="F3382" s="4" t="s">
        <v>911</v>
      </c>
      <c r="G3382" t="s">
        <v>29</v>
      </c>
      <c r="H3382" t="s">
        <v>912</v>
      </c>
    </row>
    <row r="3383" spans="1:8" x14ac:dyDescent="0.25">
      <c r="A3383" t="s">
        <v>948</v>
      </c>
      <c r="B3383" t="s">
        <v>269</v>
      </c>
      <c r="C3383" s="5">
        <v>5877456</v>
      </c>
      <c r="D3383" s="5">
        <v>125519</v>
      </c>
      <c r="E3383">
        <v>3931839</v>
      </c>
      <c r="F3383" s="4" t="s">
        <v>823</v>
      </c>
      <c r="G3383" t="s">
        <v>29</v>
      </c>
      <c r="H3383" t="s">
        <v>824</v>
      </c>
    </row>
    <row r="3384" spans="1:8" x14ac:dyDescent="0.25">
      <c r="A3384" t="s">
        <v>948</v>
      </c>
      <c r="B3384" t="s">
        <v>272</v>
      </c>
      <c r="C3384" s="5">
        <v>13236</v>
      </c>
      <c r="D3384" s="5">
        <v>33</v>
      </c>
      <c r="E3384">
        <v>12672</v>
      </c>
      <c r="F3384" s="4" t="s">
        <v>433</v>
      </c>
      <c r="G3384" t="s">
        <v>29</v>
      </c>
      <c r="H3384" t="s">
        <v>434</v>
      </c>
    </row>
    <row r="3385" spans="1:8" x14ac:dyDescent="0.25">
      <c r="A3385" t="s">
        <v>948</v>
      </c>
      <c r="B3385" t="s">
        <v>275</v>
      </c>
      <c r="C3385" s="5">
        <v>4747773</v>
      </c>
      <c r="D3385" s="5">
        <v>131904</v>
      </c>
      <c r="E3385">
        <v>2848060</v>
      </c>
      <c r="F3385" s="4" t="s">
        <v>98</v>
      </c>
      <c r="G3385" t="s">
        <v>29</v>
      </c>
      <c r="H3385" t="s">
        <v>99</v>
      </c>
    </row>
    <row r="3386" spans="1:8" x14ac:dyDescent="0.25">
      <c r="A3386" t="s">
        <v>948</v>
      </c>
      <c r="B3386" t="s">
        <v>278</v>
      </c>
      <c r="C3386" s="5">
        <v>88480</v>
      </c>
      <c r="D3386" s="5">
        <v>2184</v>
      </c>
      <c r="E3386">
        <v>32839</v>
      </c>
      <c r="F3386" s="4" t="s">
        <v>961</v>
      </c>
      <c r="G3386" t="s">
        <v>29</v>
      </c>
      <c r="H3386" t="s">
        <v>962</v>
      </c>
    </row>
    <row r="3387" spans="1:8" x14ac:dyDescent="0.25">
      <c r="A3387" t="s">
        <v>948</v>
      </c>
      <c r="B3387" t="s">
        <v>279</v>
      </c>
      <c r="C3387" s="5">
        <v>854758</v>
      </c>
      <c r="D3387" s="5">
        <v>10976</v>
      </c>
      <c r="E3387">
        <v>564411</v>
      </c>
      <c r="F3387" s="4" t="s">
        <v>381</v>
      </c>
      <c r="G3387" t="s">
        <v>29</v>
      </c>
      <c r="H3387" t="s">
        <v>382</v>
      </c>
    </row>
    <row r="3388" spans="1:8" x14ac:dyDescent="0.25">
      <c r="A3388" t="s">
        <v>948</v>
      </c>
      <c r="B3388" t="s">
        <v>280</v>
      </c>
      <c r="C3388" s="5">
        <v>1718165</v>
      </c>
      <c r="D3388" s="5">
        <v>18229</v>
      </c>
      <c r="E3388">
        <v>1379770</v>
      </c>
      <c r="F3388" s="4" t="s">
        <v>165</v>
      </c>
      <c r="G3388" t="s">
        <v>29</v>
      </c>
      <c r="H3388" t="s">
        <v>166</v>
      </c>
    </row>
    <row r="3389" spans="1:8" x14ac:dyDescent="0.25">
      <c r="A3389" t="s">
        <v>948</v>
      </c>
      <c r="B3389" t="s">
        <v>281</v>
      </c>
      <c r="C3389" s="5">
        <v>252839</v>
      </c>
      <c r="D3389" s="5">
        <v>5263</v>
      </c>
      <c r="E3389">
        <v>199789</v>
      </c>
      <c r="F3389" s="4" t="s">
        <v>549</v>
      </c>
      <c r="G3389" t="s">
        <v>29</v>
      </c>
      <c r="H3389" t="s">
        <v>550</v>
      </c>
    </row>
    <row r="3390" spans="1:8" x14ac:dyDescent="0.25">
      <c r="A3390" t="s">
        <v>948</v>
      </c>
      <c r="B3390" t="s">
        <v>284</v>
      </c>
      <c r="C3390" s="5">
        <v>180741</v>
      </c>
      <c r="D3390" s="5">
        <v>2658</v>
      </c>
      <c r="E3390">
        <v>160624</v>
      </c>
      <c r="F3390" s="4" t="s">
        <v>777</v>
      </c>
      <c r="G3390" t="s">
        <v>29</v>
      </c>
      <c r="H3390" t="s">
        <v>778</v>
      </c>
    </row>
    <row r="3391" spans="1:8" x14ac:dyDescent="0.25">
      <c r="A3391" t="s">
        <v>948</v>
      </c>
      <c r="B3391" t="s">
        <v>290</v>
      </c>
      <c r="C3391" s="5">
        <v>2</v>
      </c>
      <c r="D3391" s="5">
        <v>0</v>
      </c>
      <c r="E3391">
        <v>0</v>
      </c>
      <c r="F3391" s="4" t="s">
        <v>29</v>
      </c>
      <c r="G3391" t="s">
        <v>29</v>
      </c>
      <c r="H3391" t="s">
        <v>291</v>
      </c>
    </row>
    <row r="3392" spans="1:8" x14ac:dyDescent="0.25">
      <c r="A3392" t="s">
        <v>948</v>
      </c>
      <c r="B3392" t="s">
        <v>287</v>
      </c>
      <c r="C3392" s="5">
        <v>118000</v>
      </c>
      <c r="D3392" s="5">
        <v>2751</v>
      </c>
      <c r="E3392">
        <v>113347</v>
      </c>
      <c r="F3392" s="4" t="s">
        <v>581</v>
      </c>
      <c r="G3392" t="s">
        <v>29</v>
      </c>
      <c r="H3392" t="s">
        <v>582</v>
      </c>
    </row>
    <row r="3393" spans="1:8" x14ac:dyDescent="0.25">
      <c r="A3393" t="s">
        <v>948</v>
      </c>
      <c r="B3393" t="s">
        <v>292</v>
      </c>
      <c r="C3393" s="5">
        <v>4233</v>
      </c>
      <c r="D3393" s="5">
        <v>147</v>
      </c>
      <c r="E3393">
        <v>987</v>
      </c>
      <c r="F3393" s="4" t="s">
        <v>867</v>
      </c>
      <c r="G3393" t="s">
        <v>29</v>
      </c>
      <c r="H3393" t="s">
        <v>868</v>
      </c>
    </row>
    <row r="3394" spans="1:8" x14ac:dyDescent="0.25">
      <c r="A3394" t="s">
        <v>948</v>
      </c>
      <c r="B3394" t="s">
        <v>293</v>
      </c>
      <c r="C3394" s="5">
        <v>2637</v>
      </c>
      <c r="D3394" s="5">
        <v>21</v>
      </c>
      <c r="E3394">
        <v>2019</v>
      </c>
      <c r="F3394" s="4" t="s">
        <v>942</v>
      </c>
      <c r="G3394" t="s">
        <v>29</v>
      </c>
      <c r="H3394" t="s">
        <v>943</v>
      </c>
    </row>
    <row r="3395" spans="1:8" x14ac:dyDescent="0.25">
      <c r="A3395" t="s">
        <v>948</v>
      </c>
      <c r="B3395" t="s">
        <v>296</v>
      </c>
      <c r="C3395" s="5">
        <v>356305</v>
      </c>
      <c r="D3395" s="5">
        <v>2797</v>
      </c>
      <c r="E3395">
        <v>150581</v>
      </c>
      <c r="F3395" s="4" t="s">
        <v>174</v>
      </c>
      <c r="G3395" t="s">
        <v>29</v>
      </c>
      <c r="H3395" t="s">
        <v>175</v>
      </c>
    </row>
    <row r="3396" spans="1:8" x14ac:dyDescent="0.25">
      <c r="A3396" t="s">
        <v>948</v>
      </c>
      <c r="B3396" t="s">
        <v>299</v>
      </c>
      <c r="C3396" s="5">
        <v>412578</v>
      </c>
      <c r="D3396" s="5">
        <v>2461</v>
      </c>
      <c r="E3396">
        <v>4861</v>
      </c>
      <c r="F3396" s="4" t="s">
        <v>300</v>
      </c>
      <c r="G3396" t="s">
        <v>29</v>
      </c>
      <c r="H3396" t="s">
        <v>301</v>
      </c>
    </row>
    <row r="3397" spans="1:8" x14ac:dyDescent="0.25">
      <c r="A3397" t="s">
        <v>948</v>
      </c>
      <c r="B3397" t="s">
        <v>302</v>
      </c>
      <c r="C3397" s="5">
        <v>1011656</v>
      </c>
      <c r="D3397" s="5">
        <v>16991</v>
      </c>
      <c r="E3397">
        <v>79188</v>
      </c>
      <c r="F3397" s="4" t="s">
        <v>116</v>
      </c>
      <c r="G3397" t="s">
        <v>29</v>
      </c>
      <c r="H3397" t="s">
        <v>117</v>
      </c>
    </row>
    <row r="3398" spans="1:8" x14ac:dyDescent="0.25">
      <c r="A3398" t="s">
        <v>948</v>
      </c>
      <c r="B3398" t="s">
        <v>303</v>
      </c>
      <c r="C3398" s="5">
        <v>37018</v>
      </c>
      <c r="D3398" s="5">
        <v>56</v>
      </c>
      <c r="E3398">
        <v>14173</v>
      </c>
      <c r="F3398" s="4" t="s">
        <v>915</v>
      </c>
      <c r="G3398" t="s">
        <v>29</v>
      </c>
      <c r="H3398" t="s">
        <v>916</v>
      </c>
    </row>
    <row r="3399" spans="1:8" x14ac:dyDescent="0.25">
      <c r="A3399" t="s">
        <v>948</v>
      </c>
      <c r="B3399" t="s">
        <v>306</v>
      </c>
      <c r="C3399" s="5">
        <v>638581</v>
      </c>
      <c r="D3399" s="5">
        <v>8465</v>
      </c>
      <c r="E3399">
        <v>184898</v>
      </c>
      <c r="F3399" s="4" t="s">
        <v>59</v>
      </c>
      <c r="G3399" t="s">
        <v>29</v>
      </c>
      <c r="H3399" t="s">
        <v>60</v>
      </c>
    </row>
    <row r="3400" spans="1:8" x14ac:dyDescent="0.25">
      <c r="A3400" t="s">
        <v>948</v>
      </c>
      <c r="B3400" t="s">
        <v>309</v>
      </c>
      <c r="C3400" s="5">
        <v>12465</v>
      </c>
      <c r="D3400" s="5">
        <v>250</v>
      </c>
      <c r="E3400">
        <v>84</v>
      </c>
      <c r="F3400" s="4" t="s">
        <v>656</v>
      </c>
      <c r="G3400" t="s">
        <v>29</v>
      </c>
      <c r="H3400" t="s">
        <v>657</v>
      </c>
    </row>
    <row r="3401" spans="1:8" x14ac:dyDescent="0.25">
      <c r="A3401" t="s">
        <v>948</v>
      </c>
      <c r="B3401" t="s">
        <v>312</v>
      </c>
      <c r="C3401" s="5">
        <v>3645</v>
      </c>
      <c r="D3401" s="5">
        <v>61</v>
      </c>
      <c r="E3401">
        <v>2933</v>
      </c>
      <c r="F3401" s="4" t="s">
        <v>827</v>
      </c>
      <c r="G3401" t="s">
        <v>29</v>
      </c>
      <c r="H3401" t="s">
        <v>828</v>
      </c>
    </row>
    <row r="3402" spans="1:8" x14ac:dyDescent="0.25">
      <c r="A3402" t="s">
        <v>948</v>
      </c>
      <c r="B3402" t="s">
        <v>315</v>
      </c>
      <c r="C3402" s="5">
        <v>537201</v>
      </c>
      <c r="D3402" s="5">
        <v>13654</v>
      </c>
      <c r="E3402">
        <v>496259</v>
      </c>
      <c r="F3402" s="4" t="s">
        <v>141</v>
      </c>
      <c r="G3402" t="s">
        <v>29</v>
      </c>
      <c r="H3402" t="s">
        <v>142</v>
      </c>
    </row>
    <row r="3403" spans="1:8" x14ac:dyDescent="0.25">
      <c r="A3403" t="s">
        <v>948</v>
      </c>
      <c r="B3403" t="s">
        <v>316</v>
      </c>
      <c r="C3403" s="5">
        <v>5812</v>
      </c>
      <c r="D3403" s="5">
        <v>287</v>
      </c>
      <c r="E3403">
        <v>5104</v>
      </c>
      <c r="F3403" s="4" t="s">
        <v>644</v>
      </c>
      <c r="G3403" t="s">
        <v>29</v>
      </c>
      <c r="H3403" t="s">
        <v>645</v>
      </c>
    </row>
    <row r="3404" spans="1:8" x14ac:dyDescent="0.25">
      <c r="A3404" t="s">
        <v>948</v>
      </c>
      <c r="B3404" t="s">
        <v>319</v>
      </c>
      <c r="C3404" s="5">
        <v>21598</v>
      </c>
      <c r="D3404" s="5">
        <v>657</v>
      </c>
      <c r="E3404">
        <v>19008</v>
      </c>
      <c r="F3404" s="4" t="s">
        <v>320</v>
      </c>
      <c r="G3404" t="s">
        <v>29</v>
      </c>
      <c r="H3404" t="s">
        <v>321</v>
      </c>
    </row>
    <row r="3405" spans="1:8" x14ac:dyDescent="0.25">
      <c r="A3405" t="s">
        <v>948</v>
      </c>
      <c r="B3405" t="s">
        <v>322</v>
      </c>
      <c r="C3405" s="5">
        <v>392425</v>
      </c>
      <c r="D3405" s="5">
        <v>5693</v>
      </c>
      <c r="E3405">
        <v>182350</v>
      </c>
      <c r="F3405" s="4" t="s">
        <v>342</v>
      </c>
      <c r="G3405" t="s">
        <v>29</v>
      </c>
      <c r="H3405" t="s">
        <v>343</v>
      </c>
    </row>
    <row r="3406" spans="1:8" x14ac:dyDescent="0.25">
      <c r="A3406" t="s">
        <v>948</v>
      </c>
      <c r="B3406" t="s">
        <v>325</v>
      </c>
      <c r="C3406" s="5">
        <v>81124</v>
      </c>
      <c r="D3406" s="5">
        <v>842</v>
      </c>
      <c r="E3406">
        <v>64161</v>
      </c>
      <c r="F3406" s="4" t="s">
        <v>336</v>
      </c>
      <c r="G3406" t="s">
        <v>29</v>
      </c>
      <c r="H3406" t="s">
        <v>337</v>
      </c>
    </row>
    <row r="3407" spans="1:8" x14ac:dyDescent="0.25">
      <c r="A3407" t="s">
        <v>948</v>
      </c>
      <c r="B3407" t="s">
        <v>328</v>
      </c>
      <c r="C3407" s="5">
        <v>205577</v>
      </c>
      <c r="D3407" s="5">
        <v>3076</v>
      </c>
      <c r="E3407">
        <v>98271</v>
      </c>
      <c r="F3407" s="4" t="s">
        <v>226</v>
      </c>
      <c r="G3407" t="s">
        <v>29</v>
      </c>
      <c r="H3407" t="s">
        <v>227</v>
      </c>
    </row>
    <row r="3408" spans="1:8" x14ac:dyDescent="0.25">
      <c r="A3408" t="s">
        <v>948</v>
      </c>
      <c r="B3408" t="s">
        <v>329</v>
      </c>
      <c r="C3408" s="5">
        <v>354866</v>
      </c>
      <c r="D3408" s="5">
        <v>5033</v>
      </c>
      <c r="E3408">
        <v>233634</v>
      </c>
      <c r="F3408" s="4" t="s">
        <v>640</v>
      </c>
      <c r="G3408" t="s">
        <v>29</v>
      </c>
      <c r="H3408" t="s">
        <v>641</v>
      </c>
    </row>
    <row r="3409" spans="1:8" x14ac:dyDescent="0.25">
      <c r="A3409" t="s">
        <v>948</v>
      </c>
      <c r="B3409" t="s">
        <v>332</v>
      </c>
      <c r="C3409" s="5">
        <v>944803</v>
      </c>
      <c r="D3409" s="5">
        <v>14636</v>
      </c>
      <c r="E3409">
        <v>901575</v>
      </c>
      <c r="F3409" s="4" t="s">
        <v>333</v>
      </c>
      <c r="G3409" t="s">
        <v>29</v>
      </c>
      <c r="H3409" t="s">
        <v>334</v>
      </c>
    </row>
    <row r="3410" spans="1:8" x14ac:dyDescent="0.25">
      <c r="A3410" t="s">
        <v>948</v>
      </c>
      <c r="B3410" t="s">
        <v>335</v>
      </c>
      <c r="C3410" s="5">
        <v>3399</v>
      </c>
      <c r="D3410" s="5">
        <v>36</v>
      </c>
      <c r="E3410">
        <v>2799</v>
      </c>
      <c r="F3410" s="4" t="s">
        <v>165</v>
      </c>
      <c r="G3410" t="s">
        <v>29</v>
      </c>
      <c r="H3410" t="s">
        <v>166</v>
      </c>
    </row>
    <row r="3411" spans="1:8" x14ac:dyDescent="0.25">
      <c r="A3411" t="s">
        <v>948</v>
      </c>
      <c r="B3411" t="s">
        <v>338</v>
      </c>
      <c r="C3411" s="5">
        <v>330799</v>
      </c>
      <c r="D3411" s="5">
        <v>7576</v>
      </c>
      <c r="E3411">
        <v>103848</v>
      </c>
      <c r="F3411" s="4" t="s">
        <v>528</v>
      </c>
      <c r="G3411" t="s">
        <v>29</v>
      </c>
      <c r="H3411" t="s">
        <v>529</v>
      </c>
    </row>
    <row r="3412" spans="1:8" x14ac:dyDescent="0.25">
      <c r="A3412" t="s">
        <v>948</v>
      </c>
      <c r="B3412" t="s">
        <v>341</v>
      </c>
      <c r="C3412" s="5">
        <v>141834</v>
      </c>
      <c r="D3412" s="5">
        <v>2075</v>
      </c>
      <c r="E3412">
        <v>4341</v>
      </c>
      <c r="F3412" s="4" t="s">
        <v>565</v>
      </c>
      <c r="G3412" t="s">
        <v>29</v>
      </c>
      <c r="H3412" t="s">
        <v>566</v>
      </c>
    </row>
    <row r="3413" spans="1:8" x14ac:dyDescent="0.25">
      <c r="A3413" t="s">
        <v>948</v>
      </c>
      <c r="B3413" t="s">
        <v>344</v>
      </c>
      <c r="C3413" s="5">
        <v>3920</v>
      </c>
      <c r="D3413" s="5">
        <v>55</v>
      </c>
      <c r="E3413">
        <v>1726</v>
      </c>
      <c r="F3413" s="4" t="s">
        <v>403</v>
      </c>
      <c r="G3413" t="s">
        <v>29</v>
      </c>
      <c r="H3413" t="s">
        <v>404</v>
      </c>
    </row>
    <row r="3414" spans="1:8" x14ac:dyDescent="0.25">
      <c r="A3414" t="s">
        <v>948</v>
      </c>
      <c r="B3414" t="s">
        <v>347</v>
      </c>
      <c r="C3414" s="5">
        <v>43626</v>
      </c>
      <c r="D3414" s="5">
        <v>963</v>
      </c>
      <c r="E3414">
        <v>33892</v>
      </c>
      <c r="F3414" s="4" t="s">
        <v>132</v>
      </c>
      <c r="G3414" t="s">
        <v>29</v>
      </c>
      <c r="H3414" t="s">
        <v>133</v>
      </c>
    </row>
    <row r="3415" spans="1:8" x14ac:dyDescent="0.25">
      <c r="A3415" t="s">
        <v>948</v>
      </c>
      <c r="B3415" t="s">
        <v>348</v>
      </c>
      <c r="C3415" s="5">
        <v>4</v>
      </c>
      <c r="D3415" s="5">
        <v>0</v>
      </c>
      <c r="E3415">
        <v>0</v>
      </c>
      <c r="F3415" s="4" t="s">
        <v>29</v>
      </c>
      <c r="G3415" t="s">
        <v>29</v>
      </c>
      <c r="H3415" t="s">
        <v>291</v>
      </c>
    </row>
    <row r="3416" spans="1:8" x14ac:dyDescent="0.25">
      <c r="A3416" t="s">
        <v>948</v>
      </c>
      <c r="B3416" t="s">
        <v>349</v>
      </c>
      <c r="C3416" s="5">
        <v>200412</v>
      </c>
      <c r="D3416" s="5">
        <v>7072</v>
      </c>
      <c r="E3416">
        <v>71199</v>
      </c>
      <c r="F3416" s="4" t="s">
        <v>430</v>
      </c>
      <c r="G3416" t="s">
        <v>29</v>
      </c>
      <c r="H3416" t="s">
        <v>431</v>
      </c>
    </row>
    <row r="3417" spans="1:8" x14ac:dyDescent="0.25">
      <c r="A3417" t="s">
        <v>948</v>
      </c>
      <c r="B3417" t="s">
        <v>352</v>
      </c>
      <c r="C3417" s="5">
        <v>15879</v>
      </c>
      <c r="D3417" s="5">
        <v>559</v>
      </c>
      <c r="E3417">
        <v>10395</v>
      </c>
      <c r="F3417" s="4" t="s">
        <v>353</v>
      </c>
      <c r="G3417" t="s">
        <v>29</v>
      </c>
      <c r="H3417" t="s">
        <v>354</v>
      </c>
    </row>
    <row r="3418" spans="1:8" x14ac:dyDescent="0.25">
      <c r="A3418" t="s">
        <v>948</v>
      </c>
      <c r="B3418" t="s">
        <v>355</v>
      </c>
      <c r="C3418" s="5">
        <v>495898</v>
      </c>
      <c r="D3418" s="5">
        <v>18582</v>
      </c>
      <c r="E3418">
        <v>445949</v>
      </c>
      <c r="F3418" s="4" t="s">
        <v>963</v>
      </c>
      <c r="G3418" t="s">
        <v>29</v>
      </c>
      <c r="H3418" t="s">
        <v>964</v>
      </c>
    </row>
    <row r="3419" spans="1:8" x14ac:dyDescent="0.25">
      <c r="A3419" t="s">
        <v>948</v>
      </c>
      <c r="B3419" t="s">
        <v>358</v>
      </c>
      <c r="C3419" s="5">
        <v>353504</v>
      </c>
      <c r="D3419" s="5">
        <v>1689</v>
      </c>
      <c r="E3419">
        <v>307401</v>
      </c>
      <c r="F3419" s="4" t="s">
        <v>848</v>
      </c>
      <c r="G3419" t="s">
        <v>29</v>
      </c>
      <c r="H3419" t="s">
        <v>849</v>
      </c>
    </row>
    <row r="3420" spans="1:8" x14ac:dyDescent="0.25">
      <c r="A3420" t="s">
        <v>948</v>
      </c>
      <c r="B3420" t="s">
        <v>359</v>
      </c>
      <c r="C3420" s="5">
        <v>77</v>
      </c>
      <c r="D3420" s="5">
        <v>0</v>
      </c>
      <c r="E3420">
        <v>27</v>
      </c>
      <c r="F3420" s="4" t="s">
        <v>29</v>
      </c>
      <c r="G3420" t="s">
        <v>29</v>
      </c>
      <c r="H3420" t="s">
        <v>291</v>
      </c>
    </row>
    <row r="3421" spans="1:8" x14ac:dyDescent="0.25">
      <c r="A3421" t="s">
        <v>948</v>
      </c>
      <c r="B3421" t="s">
        <v>360</v>
      </c>
      <c r="C3421" s="5">
        <v>42903</v>
      </c>
      <c r="D3421" s="5">
        <v>673</v>
      </c>
      <c r="E3421">
        <v>9736</v>
      </c>
      <c r="F3421" s="4" t="s">
        <v>217</v>
      </c>
      <c r="G3421" t="s">
        <v>29</v>
      </c>
      <c r="H3421" t="s">
        <v>218</v>
      </c>
    </row>
    <row r="3422" spans="1:8" x14ac:dyDescent="0.25">
      <c r="A3422" t="s">
        <v>948</v>
      </c>
      <c r="B3422" t="s">
        <v>363</v>
      </c>
      <c r="C3422" s="5">
        <v>37032</v>
      </c>
      <c r="D3422" s="5">
        <v>792</v>
      </c>
      <c r="E3422">
        <v>24602</v>
      </c>
      <c r="F3422" s="4" t="s">
        <v>823</v>
      </c>
      <c r="G3422" t="s">
        <v>29</v>
      </c>
      <c r="H3422" t="s">
        <v>824</v>
      </c>
    </row>
    <row r="3423" spans="1:8" x14ac:dyDescent="0.25">
      <c r="A3423" t="s">
        <v>948</v>
      </c>
      <c r="B3423" t="s">
        <v>364</v>
      </c>
      <c r="C3423" s="5">
        <v>37580</v>
      </c>
      <c r="D3423" s="5">
        <v>460</v>
      </c>
      <c r="E3423">
        <v>4930</v>
      </c>
      <c r="F3423" s="4" t="s">
        <v>365</v>
      </c>
      <c r="G3423" t="s">
        <v>29</v>
      </c>
      <c r="H3423" t="s">
        <v>366</v>
      </c>
    </row>
    <row r="3424" spans="1:8" x14ac:dyDescent="0.25">
      <c r="A3424" t="s">
        <v>948</v>
      </c>
      <c r="B3424" t="s">
        <v>367</v>
      </c>
      <c r="C3424" s="5">
        <v>17416</v>
      </c>
      <c r="D3424" s="5">
        <v>160</v>
      </c>
      <c r="E3424">
        <v>1144</v>
      </c>
      <c r="F3424" s="4" t="s">
        <v>214</v>
      </c>
      <c r="G3424" t="s">
        <v>29</v>
      </c>
      <c r="H3424" t="s">
        <v>215</v>
      </c>
    </row>
    <row r="3425" spans="1:8" x14ac:dyDescent="0.25">
      <c r="A3425" t="s">
        <v>948</v>
      </c>
      <c r="B3425" t="s">
        <v>368</v>
      </c>
      <c r="C3425" s="5">
        <v>87186</v>
      </c>
      <c r="D3425" s="5">
        <v>242</v>
      </c>
      <c r="E3425">
        <v>32381</v>
      </c>
      <c r="F3425" s="4" t="s">
        <v>369</v>
      </c>
      <c r="G3425" t="s">
        <v>29</v>
      </c>
      <c r="H3425" t="s">
        <v>370</v>
      </c>
    </row>
    <row r="3426" spans="1:8" x14ac:dyDescent="0.25">
      <c r="A3426" t="s">
        <v>948</v>
      </c>
      <c r="B3426" t="s">
        <v>371</v>
      </c>
      <c r="C3426" s="5">
        <v>61766</v>
      </c>
      <c r="D3426" s="5">
        <v>2296</v>
      </c>
      <c r="E3426">
        <v>49858</v>
      </c>
      <c r="F3426" s="4" t="s">
        <v>372</v>
      </c>
      <c r="G3426" t="s">
        <v>29</v>
      </c>
      <c r="H3426" t="s">
        <v>373</v>
      </c>
    </row>
    <row r="3427" spans="1:8" x14ac:dyDescent="0.25">
      <c r="A3427" t="s">
        <v>948</v>
      </c>
      <c r="B3427" t="s">
        <v>374</v>
      </c>
      <c r="C3427" s="5">
        <v>3784448</v>
      </c>
      <c r="D3427" s="5">
        <v>286496</v>
      </c>
      <c r="E3427">
        <v>3387350</v>
      </c>
      <c r="F3427" s="4" t="s">
        <v>375</v>
      </c>
      <c r="G3427" t="s">
        <v>29</v>
      </c>
      <c r="H3427" t="s">
        <v>376</v>
      </c>
    </row>
    <row r="3428" spans="1:8" x14ac:dyDescent="0.25">
      <c r="A3428" t="s">
        <v>948</v>
      </c>
      <c r="B3428" t="s">
        <v>377</v>
      </c>
      <c r="C3428" s="5">
        <v>2442224</v>
      </c>
      <c r="D3428" s="5">
        <v>28576</v>
      </c>
      <c r="E3428">
        <v>308974</v>
      </c>
      <c r="F3428" s="4" t="s">
        <v>378</v>
      </c>
      <c r="G3428" t="s">
        <v>29</v>
      </c>
      <c r="H3428" t="s">
        <v>379</v>
      </c>
    </row>
    <row r="3429" spans="1:8" x14ac:dyDescent="0.25">
      <c r="A3429" t="s">
        <v>948</v>
      </c>
      <c r="B3429" t="s">
        <v>380</v>
      </c>
      <c r="C3429" s="5">
        <v>151243</v>
      </c>
      <c r="D3429" s="5">
        <v>1929</v>
      </c>
      <c r="E3429">
        <v>83055</v>
      </c>
      <c r="F3429" s="4" t="s">
        <v>381</v>
      </c>
      <c r="G3429" t="s">
        <v>29</v>
      </c>
      <c r="H3429" t="s">
        <v>382</v>
      </c>
    </row>
    <row r="3430" spans="1:8" x14ac:dyDescent="0.25">
      <c r="A3430" t="s">
        <v>948</v>
      </c>
      <c r="B3430" t="s">
        <v>383</v>
      </c>
      <c r="C3430" s="5">
        <v>128859</v>
      </c>
      <c r="D3430" s="5">
        <v>3550</v>
      </c>
      <c r="E3430">
        <v>48121</v>
      </c>
      <c r="F3430" s="4" t="s">
        <v>276</v>
      </c>
      <c r="G3430" t="s">
        <v>29</v>
      </c>
      <c r="H3430" t="s">
        <v>277</v>
      </c>
    </row>
    <row r="3431" spans="1:8" x14ac:dyDescent="0.25">
      <c r="A3431" t="s">
        <v>948</v>
      </c>
      <c r="B3431" t="s">
        <v>386</v>
      </c>
      <c r="C3431" s="5">
        <v>10687</v>
      </c>
      <c r="D3431" s="5">
        <v>261</v>
      </c>
      <c r="E3431">
        <v>8198</v>
      </c>
      <c r="F3431" s="4" t="s">
        <v>934</v>
      </c>
      <c r="G3431" t="s">
        <v>29</v>
      </c>
      <c r="H3431" t="s">
        <v>935</v>
      </c>
    </row>
    <row r="3432" spans="1:8" x14ac:dyDescent="0.25">
      <c r="A3432" t="s">
        <v>948</v>
      </c>
      <c r="B3432" t="s">
        <v>387</v>
      </c>
      <c r="C3432" s="5">
        <v>6260</v>
      </c>
      <c r="D3432" s="5">
        <v>208</v>
      </c>
      <c r="E3432">
        <v>4225</v>
      </c>
      <c r="F3432" s="4" t="s">
        <v>965</v>
      </c>
      <c r="G3432" t="s">
        <v>29</v>
      </c>
      <c r="H3432" t="s">
        <v>966</v>
      </c>
    </row>
    <row r="3433" spans="1:8" x14ac:dyDescent="0.25">
      <c r="A3433" t="s">
        <v>948</v>
      </c>
      <c r="B3433" t="s">
        <v>390</v>
      </c>
      <c r="C3433" s="5">
        <v>211330</v>
      </c>
      <c r="D3433" s="5">
        <v>2884</v>
      </c>
      <c r="E3433">
        <v>47603</v>
      </c>
      <c r="F3433" s="4" t="s">
        <v>630</v>
      </c>
      <c r="G3433" t="s">
        <v>29</v>
      </c>
      <c r="H3433" t="s">
        <v>631</v>
      </c>
    </row>
    <row r="3434" spans="1:8" x14ac:dyDescent="0.25">
      <c r="A3434" t="s">
        <v>948</v>
      </c>
      <c r="B3434" t="s">
        <v>393</v>
      </c>
      <c r="C3434" s="5">
        <v>16422</v>
      </c>
      <c r="D3434" s="5">
        <v>207</v>
      </c>
      <c r="E3434">
        <v>11019</v>
      </c>
      <c r="F3434" s="4" t="s">
        <v>223</v>
      </c>
      <c r="G3434" t="s">
        <v>29</v>
      </c>
      <c r="H3434" t="s">
        <v>224</v>
      </c>
    </row>
    <row r="3435" spans="1:8" x14ac:dyDescent="0.25">
      <c r="A3435" t="s">
        <v>948</v>
      </c>
      <c r="B3435" t="s">
        <v>396</v>
      </c>
      <c r="C3435" s="5">
        <v>2133367</v>
      </c>
      <c r="D3435" s="5">
        <v>18778</v>
      </c>
      <c r="E3435">
        <v>80305</v>
      </c>
      <c r="F3435" s="4" t="s">
        <v>609</v>
      </c>
      <c r="G3435" t="s">
        <v>29</v>
      </c>
      <c r="H3435" t="s">
        <v>610</v>
      </c>
    </row>
    <row r="3436" spans="1:8" x14ac:dyDescent="0.25">
      <c r="A3436" t="s">
        <v>948</v>
      </c>
      <c r="B3436" t="s">
        <v>399</v>
      </c>
      <c r="C3436" s="5">
        <v>202554</v>
      </c>
      <c r="D3436" s="5">
        <v>895</v>
      </c>
      <c r="E3436">
        <v>107367</v>
      </c>
      <c r="F3436" s="4" t="s">
        <v>871</v>
      </c>
      <c r="G3436" t="s">
        <v>29</v>
      </c>
      <c r="H3436" t="s">
        <v>872</v>
      </c>
    </row>
    <row r="3437" spans="1:8" x14ac:dyDescent="0.25">
      <c r="A3437" t="s">
        <v>948</v>
      </c>
      <c r="B3437" t="s">
        <v>402</v>
      </c>
      <c r="C3437" s="5">
        <v>810298</v>
      </c>
      <c r="D3437" s="5">
        <v>11372</v>
      </c>
      <c r="E3437">
        <v>135114</v>
      </c>
      <c r="F3437" s="4" t="s">
        <v>403</v>
      </c>
      <c r="G3437" t="s">
        <v>29</v>
      </c>
      <c r="H3437" t="s">
        <v>404</v>
      </c>
    </row>
    <row r="3438" spans="1:8" x14ac:dyDescent="0.25">
      <c r="A3438" t="s">
        <v>948</v>
      </c>
      <c r="B3438" t="s">
        <v>405</v>
      </c>
      <c r="C3438" s="5">
        <v>5900</v>
      </c>
      <c r="D3438" s="5">
        <v>28</v>
      </c>
      <c r="E3438">
        <v>2195</v>
      </c>
      <c r="F3438" s="4" t="s">
        <v>932</v>
      </c>
      <c r="G3438" t="s">
        <v>29</v>
      </c>
      <c r="H3438" t="s">
        <v>933</v>
      </c>
    </row>
    <row r="3439" spans="1:8" x14ac:dyDescent="0.25">
      <c r="A3439" t="s">
        <v>948</v>
      </c>
      <c r="B3439" t="s">
        <v>408</v>
      </c>
      <c r="C3439" s="5">
        <v>304205</v>
      </c>
      <c r="D3439" s="5">
        <v>4111</v>
      </c>
      <c r="E3439">
        <v>225786</v>
      </c>
      <c r="F3439" s="4" t="s">
        <v>409</v>
      </c>
      <c r="G3439" t="s">
        <v>29</v>
      </c>
      <c r="H3439" t="s">
        <v>410</v>
      </c>
    </row>
    <row r="3440" spans="1:8" x14ac:dyDescent="0.25">
      <c r="A3440" t="s">
        <v>948</v>
      </c>
      <c r="B3440" t="s">
        <v>411</v>
      </c>
      <c r="C3440" s="5">
        <v>471884</v>
      </c>
      <c r="D3440" s="5">
        <v>7314</v>
      </c>
      <c r="E3440">
        <v>377338</v>
      </c>
      <c r="F3440" s="4" t="s">
        <v>333</v>
      </c>
      <c r="G3440" t="s">
        <v>29</v>
      </c>
      <c r="H3440" t="s">
        <v>334</v>
      </c>
    </row>
    <row r="3441" spans="1:8" x14ac:dyDescent="0.25">
      <c r="A3441" t="s">
        <v>948</v>
      </c>
      <c r="B3441" t="s">
        <v>412</v>
      </c>
      <c r="C3441" s="5">
        <v>2197052</v>
      </c>
      <c r="D3441" s="5">
        <v>200118</v>
      </c>
      <c r="E3441">
        <v>43723</v>
      </c>
      <c r="F3441" s="4" t="s">
        <v>930</v>
      </c>
      <c r="G3441" t="s">
        <v>29</v>
      </c>
      <c r="H3441" t="s">
        <v>931</v>
      </c>
    </row>
    <row r="3442" spans="1:8" x14ac:dyDescent="0.25">
      <c r="A3442" t="s">
        <v>948</v>
      </c>
      <c r="B3442" t="s">
        <v>415</v>
      </c>
      <c r="C3442" s="5">
        <v>45506</v>
      </c>
      <c r="D3442" s="5">
        <v>635</v>
      </c>
      <c r="E3442">
        <v>18278</v>
      </c>
      <c r="F3442" s="4" t="s">
        <v>403</v>
      </c>
      <c r="G3442" t="s">
        <v>29</v>
      </c>
      <c r="H3442" t="s">
        <v>404</v>
      </c>
    </row>
    <row r="3443" spans="1:8" x14ac:dyDescent="0.25">
      <c r="A3443" t="s">
        <v>948</v>
      </c>
      <c r="B3443" t="s">
        <v>416</v>
      </c>
      <c r="C3443" s="5">
        <v>28209</v>
      </c>
      <c r="D3443" s="5">
        <v>335</v>
      </c>
      <c r="E3443">
        <v>24074</v>
      </c>
      <c r="F3443" s="4" t="s">
        <v>723</v>
      </c>
      <c r="G3443" t="s">
        <v>29</v>
      </c>
      <c r="H3443" t="s">
        <v>724</v>
      </c>
    </row>
    <row r="3444" spans="1:8" x14ac:dyDescent="0.25">
      <c r="A3444" t="s">
        <v>948</v>
      </c>
      <c r="B3444" t="s">
        <v>419</v>
      </c>
      <c r="C3444" s="5">
        <v>2765672</v>
      </c>
      <c r="D3444" s="5">
        <v>42077</v>
      </c>
      <c r="E3444">
        <v>2261755</v>
      </c>
      <c r="F3444" s="4" t="s">
        <v>589</v>
      </c>
      <c r="G3444" t="s">
        <v>29</v>
      </c>
      <c r="H3444" t="s">
        <v>590</v>
      </c>
    </row>
    <row r="3445" spans="1:8" x14ac:dyDescent="0.25">
      <c r="A3445" t="s">
        <v>948</v>
      </c>
      <c r="B3445" t="s">
        <v>420</v>
      </c>
      <c r="C3445" s="5">
        <v>1270322</v>
      </c>
      <c r="D3445" s="5">
        <v>28405</v>
      </c>
      <c r="E3445">
        <v>67553</v>
      </c>
      <c r="F3445" s="4" t="s">
        <v>603</v>
      </c>
      <c r="G3445" t="s">
        <v>29</v>
      </c>
      <c r="H3445" t="s">
        <v>604</v>
      </c>
    </row>
    <row r="3446" spans="1:8" x14ac:dyDescent="0.25">
      <c r="A3446" t="s">
        <v>948</v>
      </c>
      <c r="B3446" t="s">
        <v>423</v>
      </c>
      <c r="C3446" s="5">
        <v>2982143</v>
      </c>
      <c r="D3446" s="5">
        <v>76540</v>
      </c>
      <c r="E3446">
        <v>353093</v>
      </c>
      <c r="F3446" s="4" t="s">
        <v>555</v>
      </c>
      <c r="G3446" t="s">
        <v>29</v>
      </c>
      <c r="H3446" t="s">
        <v>556</v>
      </c>
    </row>
    <row r="3447" spans="1:8" x14ac:dyDescent="0.25">
      <c r="A3447" t="s">
        <v>948</v>
      </c>
      <c r="B3447" t="s">
        <v>426</v>
      </c>
      <c r="C3447" s="5">
        <v>451897</v>
      </c>
      <c r="D3447" s="5">
        <v>4644</v>
      </c>
      <c r="E3447">
        <v>87331</v>
      </c>
      <c r="F3447" s="4" t="s">
        <v>687</v>
      </c>
      <c r="G3447" t="s">
        <v>29</v>
      </c>
      <c r="H3447" t="s">
        <v>688</v>
      </c>
    </row>
    <row r="3448" spans="1:8" x14ac:dyDescent="0.25">
      <c r="A3448" t="s">
        <v>948</v>
      </c>
      <c r="B3448" t="s">
        <v>427</v>
      </c>
      <c r="C3448" s="5">
        <v>1086280</v>
      </c>
      <c r="D3448" s="5">
        <v>18141</v>
      </c>
      <c r="E3448">
        <v>84728</v>
      </c>
      <c r="F3448" s="4" t="s">
        <v>827</v>
      </c>
      <c r="G3448" t="s">
        <v>29</v>
      </c>
      <c r="H3448" t="s">
        <v>828</v>
      </c>
    </row>
    <row r="3449" spans="1:8" x14ac:dyDescent="0.25">
      <c r="A3449" t="s">
        <v>948</v>
      </c>
      <c r="B3449" t="s">
        <v>428</v>
      </c>
      <c r="C3449" s="5">
        <v>8</v>
      </c>
      <c r="D3449" s="5">
        <v>0</v>
      </c>
      <c r="E3449">
        <v>8</v>
      </c>
      <c r="F3449" s="4" t="s">
        <v>29</v>
      </c>
      <c r="G3449" t="s">
        <v>29</v>
      </c>
      <c r="H3449" t="s">
        <v>291</v>
      </c>
    </row>
    <row r="3450" spans="1:8" x14ac:dyDescent="0.25">
      <c r="A3450" t="s">
        <v>948</v>
      </c>
      <c r="B3450" t="s">
        <v>429</v>
      </c>
      <c r="C3450" s="5">
        <v>460815</v>
      </c>
      <c r="D3450" s="5">
        <v>16233</v>
      </c>
      <c r="E3450">
        <v>325845</v>
      </c>
      <c r="F3450" s="4" t="s">
        <v>353</v>
      </c>
      <c r="G3450" t="s">
        <v>29</v>
      </c>
      <c r="H3450" t="s">
        <v>354</v>
      </c>
    </row>
    <row r="3451" spans="1:8" x14ac:dyDescent="0.25">
      <c r="A3451" t="s">
        <v>948</v>
      </c>
      <c r="B3451" t="s">
        <v>432</v>
      </c>
      <c r="C3451" s="5">
        <v>238742</v>
      </c>
      <c r="D3451" s="5">
        <v>609</v>
      </c>
      <c r="E3451">
        <v>75627</v>
      </c>
      <c r="F3451" s="4" t="s">
        <v>794</v>
      </c>
      <c r="G3451" t="s">
        <v>29</v>
      </c>
      <c r="H3451" t="s">
        <v>795</v>
      </c>
    </row>
    <row r="3452" spans="1:8" x14ac:dyDescent="0.25">
      <c r="A3452" t="s">
        <v>948</v>
      </c>
      <c r="B3452" t="s">
        <v>435</v>
      </c>
      <c r="C3452" s="5">
        <v>54438</v>
      </c>
      <c r="D3452" s="5">
        <v>372</v>
      </c>
      <c r="E3452">
        <v>35383</v>
      </c>
      <c r="F3452" s="4" t="s">
        <v>605</v>
      </c>
      <c r="G3452" t="s">
        <v>29</v>
      </c>
      <c r="H3452" t="s">
        <v>606</v>
      </c>
    </row>
    <row r="3453" spans="1:8" x14ac:dyDescent="0.25">
      <c r="A3453" t="s">
        <v>948</v>
      </c>
      <c r="B3453" t="s">
        <v>436</v>
      </c>
      <c r="C3453" s="5">
        <v>1587880</v>
      </c>
      <c r="D3453" s="5">
        <v>45503</v>
      </c>
      <c r="E3453">
        <v>1154738</v>
      </c>
      <c r="F3453" s="4" t="s">
        <v>168</v>
      </c>
      <c r="G3453" t="s">
        <v>29</v>
      </c>
      <c r="H3453" t="s">
        <v>169</v>
      </c>
    </row>
    <row r="3454" spans="1:8" x14ac:dyDescent="0.25">
      <c r="A3454" t="s">
        <v>948</v>
      </c>
      <c r="B3454" t="s">
        <v>439</v>
      </c>
      <c r="C3454" s="5">
        <v>1111957</v>
      </c>
      <c r="D3454" s="5">
        <v>9634</v>
      </c>
      <c r="E3454">
        <v>499556</v>
      </c>
      <c r="F3454" s="4" t="s">
        <v>498</v>
      </c>
      <c r="G3454" t="s">
        <v>29</v>
      </c>
      <c r="H3454" t="s">
        <v>499</v>
      </c>
    </row>
    <row r="3455" spans="1:8" x14ac:dyDescent="0.25">
      <c r="A3455" t="s">
        <v>948</v>
      </c>
      <c r="B3455" t="s">
        <v>440</v>
      </c>
      <c r="C3455" s="5">
        <v>8185400</v>
      </c>
      <c r="D3455" s="5">
        <v>228581</v>
      </c>
      <c r="E3455">
        <v>1442102</v>
      </c>
      <c r="F3455" s="4" t="s">
        <v>662</v>
      </c>
      <c r="G3455" t="s">
        <v>29</v>
      </c>
      <c r="H3455" t="s">
        <v>663</v>
      </c>
    </row>
    <row r="3456" spans="1:8" x14ac:dyDescent="0.25">
      <c r="A3456" t="s">
        <v>948</v>
      </c>
      <c r="B3456" t="s">
        <v>443</v>
      </c>
      <c r="C3456" s="5">
        <v>99474</v>
      </c>
      <c r="D3456" s="5">
        <v>1321</v>
      </c>
      <c r="E3456">
        <v>96296</v>
      </c>
      <c r="F3456" s="4" t="s">
        <v>59</v>
      </c>
      <c r="G3456" t="s">
        <v>29</v>
      </c>
      <c r="H3456" t="s">
        <v>60</v>
      </c>
    </row>
    <row r="3457" spans="1:8" x14ac:dyDescent="0.25">
      <c r="A3457" t="s">
        <v>948</v>
      </c>
      <c r="B3457" t="s">
        <v>444</v>
      </c>
      <c r="C3457" s="5">
        <v>548368</v>
      </c>
      <c r="D3457" s="5">
        <v>8782</v>
      </c>
      <c r="E3457">
        <v>239886</v>
      </c>
      <c r="F3457" s="4" t="s">
        <v>313</v>
      </c>
      <c r="G3457" t="s">
        <v>29</v>
      </c>
      <c r="H3457" t="s">
        <v>314</v>
      </c>
    </row>
    <row r="3458" spans="1:8" x14ac:dyDescent="0.25">
      <c r="A3458" t="s">
        <v>948</v>
      </c>
      <c r="B3458" t="s">
        <v>445</v>
      </c>
      <c r="C3458" s="5">
        <v>20</v>
      </c>
      <c r="D3458" s="5">
        <v>0</v>
      </c>
      <c r="E3458">
        <v>6</v>
      </c>
      <c r="F3458" s="4" t="s">
        <v>29</v>
      </c>
      <c r="G3458" t="s">
        <v>29</v>
      </c>
      <c r="H3458" t="s">
        <v>291</v>
      </c>
    </row>
    <row r="3459" spans="1:8" x14ac:dyDescent="0.25">
      <c r="A3459" t="s">
        <v>948</v>
      </c>
      <c r="B3459" t="s">
        <v>446</v>
      </c>
      <c r="C3459" s="5">
        <v>22150</v>
      </c>
      <c r="D3459" s="5">
        <v>119</v>
      </c>
      <c r="E3459">
        <v>15535</v>
      </c>
      <c r="F3459" s="4" t="s">
        <v>919</v>
      </c>
      <c r="G3459" t="s">
        <v>29</v>
      </c>
      <c r="H3459" t="s">
        <v>920</v>
      </c>
    </row>
    <row r="3460" spans="1:8" x14ac:dyDescent="0.25">
      <c r="A3460" t="s">
        <v>948</v>
      </c>
      <c r="B3460" t="s">
        <v>449</v>
      </c>
      <c r="C3460" s="5">
        <v>40433</v>
      </c>
      <c r="D3460" s="5">
        <v>3099</v>
      </c>
      <c r="E3460">
        <v>1189</v>
      </c>
      <c r="F3460" s="4" t="s">
        <v>632</v>
      </c>
      <c r="G3460" t="s">
        <v>29</v>
      </c>
      <c r="H3460" t="s">
        <v>633</v>
      </c>
    </row>
    <row r="3461" spans="1:8" x14ac:dyDescent="0.25">
      <c r="A3461" t="s">
        <v>948</v>
      </c>
      <c r="B3461" t="s">
        <v>452</v>
      </c>
      <c r="C3461" s="5">
        <v>1168271</v>
      </c>
      <c r="D3461" s="5">
        <v>15002</v>
      </c>
      <c r="E3461">
        <v>476608</v>
      </c>
      <c r="F3461" s="4" t="s">
        <v>381</v>
      </c>
      <c r="G3461" t="s">
        <v>29</v>
      </c>
      <c r="H3461" t="s">
        <v>382</v>
      </c>
    </row>
    <row r="3462" spans="1:8" x14ac:dyDescent="0.25">
      <c r="A3462" t="s">
        <v>948</v>
      </c>
      <c r="B3462" t="s">
        <v>453</v>
      </c>
      <c r="C3462" s="5">
        <v>179095</v>
      </c>
      <c r="D3462" s="5">
        <v>339</v>
      </c>
      <c r="E3462">
        <v>138938</v>
      </c>
      <c r="F3462" s="4" t="s">
        <v>83</v>
      </c>
      <c r="G3462" t="s">
        <v>29</v>
      </c>
      <c r="H3462" t="s">
        <v>84</v>
      </c>
    </row>
    <row r="3463" spans="1:8" x14ac:dyDescent="0.25">
      <c r="A3463" t="s">
        <v>948</v>
      </c>
      <c r="B3463" t="s">
        <v>456</v>
      </c>
      <c r="C3463" s="5">
        <v>322914</v>
      </c>
      <c r="D3463" s="5">
        <v>4704</v>
      </c>
      <c r="E3463">
        <v>191492</v>
      </c>
      <c r="F3463" s="4" t="s">
        <v>565</v>
      </c>
      <c r="G3463" t="s">
        <v>29</v>
      </c>
      <c r="H3463" t="s">
        <v>566</v>
      </c>
    </row>
    <row r="3464" spans="1:8" x14ac:dyDescent="0.25">
      <c r="A3464" t="s">
        <v>948</v>
      </c>
      <c r="B3464" t="s">
        <v>457</v>
      </c>
      <c r="C3464" s="5">
        <v>460281</v>
      </c>
      <c r="D3464" s="5">
        <v>12935</v>
      </c>
      <c r="E3464">
        <v>21367</v>
      </c>
      <c r="F3464" s="4" t="s">
        <v>967</v>
      </c>
      <c r="G3464" t="s">
        <v>29</v>
      </c>
      <c r="H3464" t="s">
        <v>968</v>
      </c>
    </row>
    <row r="3465" spans="1:8" x14ac:dyDescent="0.25">
      <c r="A3465" t="s">
        <v>948</v>
      </c>
      <c r="B3465" t="s">
        <v>460</v>
      </c>
      <c r="C3465" s="5">
        <v>6397</v>
      </c>
      <c r="D3465" s="5">
        <v>121</v>
      </c>
      <c r="E3465">
        <v>6269</v>
      </c>
      <c r="F3465" s="4" t="s">
        <v>461</v>
      </c>
      <c r="G3465" t="s">
        <v>29</v>
      </c>
      <c r="H3465" t="s">
        <v>462</v>
      </c>
    </row>
    <row r="3466" spans="1:8" x14ac:dyDescent="0.25">
      <c r="A3466" t="s">
        <v>948</v>
      </c>
      <c r="B3466" t="s">
        <v>463</v>
      </c>
      <c r="C3466" s="5">
        <v>5521</v>
      </c>
      <c r="D3466" s="5">
        <v>92</v>
      </c>
      <c r="E3466">
        <v>3645</v>
      </c>
      <c r="F3466" s="4" t="s">
        <v>827</v>
      </c>
      <c r="G3466" t="s">
        <v>29</v>
      </c>
      <c r="H3466" t="s">
        <v>828</v>
      </c>
    </row>
    <row r="3467" spans="1:8" x14ac:dyDescent="0.25">
      <c r="A3467" t="s">
        <v>948</v>
      </c>
      <c r="B3467" t="s">
        <v>464</v>
      </c>
      <c r="C3467" s="5">
        <v>73897</v>
      </c>
      <c r="D3467" s="5">
        <v>1878</v>
      </c>
      <c r="E3467">
        <v>62274</v>
      </c>
      <c r="F3467" s="4" t="s">
        <v>141</v>
      </c>
      <c r="G3467" t="s">
        <v>29</v>
      </c>
      <c r="H3467" t="s">
        <v>142</v>
      </c>
    </row>
    <row r="3468" spans="1:8" x14ac:dyDescent="0.25">
      <c r="A3468" t="s">
        <v>948</v>
      </c>
      <c r="B3468" t="s">
        <v>465</v>
      </c>
      <c r="C3468" s="5">
        <v>21998</v>
      </c>
      <c r="D3468" s="5">
        <v>1208</v>
      </c>
      <c r="E3468">
        <v>2399</v>
      </c>
      <c r="F3468" s="4" t="s">
        <v>744</v>
      </c>
      <c r="G3468" t="s">
        <v>29</v>
      </c>
      <c r="H3468" t="s">
        <v>745</v>
      </c>
    </row>
    <row r="3469" spans="1:8" x14ac:dyDescent="0.25">
      <c r="A3469" t="s">
        <v>948</v>
      </c>
      <c r="B3469" t="s">
        <v>468</v>
      </c>
      <c r="C3469" s="5">
        <v>48548</v>
      </c>
      <c r="D3469" s="5">
        <v>1069</v>
      </c>
      <c r="E3469">
        <v>12093</v>
      </c>
      <c r="F3469" s="4" t="s">
        <v>969</v>
      </c>
      <c r="G3469" t="s">
        <v>29</v>
      </c>
      <c r="H3469" t="s">
        <v>970</v>
      </c>
    </row>
    <row r="3470" spans="1:8" x14ac:dyDescent="0.25">
      <c r="A3470" t="s">
        <v>948</v>
      </c>
      <c r="B3470" t="s">
        <v>472</v>
      </c>
      <c r="C3470" s="5">
        <v>3705</v>
      </c>
      <c r="D3470" s="5">
        <v>56</v>
      </c>
      <c r="E3470">
        <v>3405</v>
      </c>
      <c r="F3470" s="4" t="s">
        <v>202</v>
      </c>
      <c r="G3470" t="s">
        <v>29</v>
      </c>
      <c r="H3470" t="s">
        <v>203</v>
      </c>
    </row>
    <row r="3471" spans="1:8" x14ac:dyDescent="0.25">
      <c r="A3471" t="s">
        <v>948</v>
      </c>
      <c r="B3471" t="s">
        <v>471</v>
      </c>
      <c r="C3471" s="5">
        <v>12299</v>
      </c>
      <c r="D3471" s="5">
        <v>133</v>
      </c>
      <c r="E3471">
        <v>11703</v>
      </c>
      <c r="F3471" s="4" t="s">
        <v>758</v>
      </c>
      <c r="G3471" t="s">
        <v>29</v>
      </c>
      <c r="H3471" t="s">
        <v>759</v>
      </c>
    </row>
    <row r="3472" spans="1:8" x14ac:dyDescent="0.25">
      <c r="A3472" t="s">
        <v>948</v>
      </c>
      <c r="B3472" t="s">
        <v>473</v>
      </c>
      <c r="C3472" s="5">
        <v>113422</v>
      </c>
      <c r="D3472" s="5">
        <v>3586</v>
      </c>
      <c r="E3472">
        <v>94072</v>
      </c>
      <c r="F3472" s="4" t="s">
        <v>474</v>
      </c>
      <c r="G3472" t="s">
        <v>29</v>
      </c>
      <c r="H3472" t="s">
        <v>475</v>
      </c>
    </row>
    <row r="3473" spans="1:8" x14ac:dyDescent="0.25">
      <c r="A3473" t="s">
        <v>948</v>
      </c>
      <c r="B3473" t="s">
        <v>476</v>
      </c>
      <c r="C3473" s="5">
        <v>42076</v>
      </c>
      <c r="D3473" s="5">
        <v>2526</v>
      </c>
      <c r="E3473">
        <v>5010</v>
      </c>
      <c r="F3473" s="4" t="s">
        <v>971</v>
      </c>
      <c r="G3473" t="s">
        <v>29</v>
      </c>
      <c r="H3473" t="s">
        <v>972</v>
      </c>
    </row>
    <row r="3474" spans="1:8" x14ac:dyDescent="0.25">
      <c r="A3474" t="s">
        <v>948</v>
      </c>
      <c r="B3474" t="s">
        <v>479</v>
      </c>
      <c r="C3474" s="5">
        <v>46390</v>
      </c>
      <c r="D3474" s="5">
        <v>1242</v>
      </c>
      <c r="E3474">
        <v>41414</v>
      </c>
      <c r="F3474" s="4" t="s">
        <v>480</v>
      </c>
      <c r="G3474" t="s">
        <v>29</v>
      </c>
      <c r="H3474" t="s">
        <v>481</v>
      </c>
    </row>
    <row r="3475" spans="1:8" x14ac:dyDescent="0.25">
      <c r="A3475" t="s">
        <v>948</v>
      </c>
      <c r="B3475" t="s">
        <v>482</v>
      </c>
      <c r="C3475" s="5">
        <v>5069</v>
      </c>
      <c r="D3475" s="5">
        <v>174</v>
      </c>
      <c r="E3475">
        <v>1664</v>
      </c>
      <c r="F3475" s="4" t="s">
        <v>252</v>
      </c>
      <c r="G3475" t="s">
        <v>29</v>
      </c>
      <c r="H3475" t="s">
        <v>253</v>
      </c>
    </row>
    <row r="3476" spans="1:8" x14ac:dyDescent="0.25">
      <c r="A3476" t="s">
        <v>948</v>
      </c>
      <c r="B3476" t="s">
        <v>483</v>
      </c>
      <c r="C3476" s="5">
        <v>26011</v>
      </c>
      <c r="D3476" s="5">
        <v>242</v>
      </c>
      <c r="E3476">
        <v>23818</v>
      </c>
      <c r="F3476" s="4" t="s">
        <v>484</v>
      </c>
      <c r="G3476" t="s">
        <v>29</v>
      </c>
      <c r="H3476" t="s">
        <v>485</v>
      </c>
    </row>
    <row r="3477" spans="1:8" x14ac:dyDescent="0.25">
      <c r="A3477" t="s">
        <v>948</v>
      </c>
      <c r="B3477" t="s">
        <v>486</v>
      </c>
      <c r="C3477" s="5">
        <v>1866863</v>
      </c>
      <c r="D3477" s="5">
        <v>18865</v>
      </c>
      <c r="E3477">
        <v>1347992</v>
      </c>
      <c r="F3477" s="4" t="s">
        <v>559</v>
      </c>
      <c r="G3477" t="s">
        <v>29</v>
      </c>
      <c r="H3477" t="s">
        <v>560</v>
      </c>
    </row>
    <row r="3478" spans="1:8" x14ac:dyDescent="0.25">
      <c r="A3478" t="s">
        <v>948</v>
      </c>
      <c r="B3478" t="s">
        <v>487</v>
      </c>
      <c r="C3478" s="5">
        <v>17486</v>
      </c>
      <c r="D3478" s="5">
        <v>125</v>
      </c>
      <c r="E3478">
        <v>6778</v>
      </c>
      <c r="F3478" s="4" t="s">
        <v>488</v>
      </c>
      <c r="G3478" t="s">
        <v>29</v>
      </c>
      <c r="H3478" t="s">
        <v>489</v>
      </c>
    </row>
    <row r="3479" spans="1:8" x14ac:dyDescent="0.25">
      <c r="A3479" t="s">
        <v>948</v>
      </c>
      <c r="B3479" t="s">
        <v>490</v>
      </c>
      <c r="C3479" s="5">
        <v>19778</v>
      </c>
      <c r="D3479" s="5">
        <v>121</v>
      </c>
      <c r="E3479">
        <v>13273</v>
      </c>
      <c r="F3479" s="4" t="s">
        <v>261</v>
      </c>
      <c r="G3479" t="s">
        <v>29</v>
      </c>
      <c r="H3479" t="s">
        <v>262</v>
      </c>
    </row>
    <row r="3480" spans="1:8" x14ac:dyDescent="0.25">
      <c r="A3480" t="s">
        <v>948</v>
      </c>
      <c r="B3480" t="s">
        <v>493</v>
      </c>
      <c r="C3480" s="5">
        <v>712013</v>
      </c>
      <c r="D3480" s="5">
        <v>25213</v>
      </c>
      <c r="E3480">
        <v>168105</v>
      </c>
      <c r="F3480" s="4" t="s">
        <v>494</v>
      </c>
      <c r="G3480" t="s">
        <v>29</v>
      </c>
      <c r="H3480" t="s">
        <v>495</v>
      </c>
    </row>
    <row r="3481" spans="1:8" x14ac:dyDescent="0.25">
      <c r="A3481" t="s">
        <v>948</v>
      </c>
      <c r="B3481" t="s">
        <v>496</v>
      </c>
      <c r="C3481" s="5">
        <v>0</v>
      </c>
      <c r="D3481" s="5">
        <v>0</v>
      </c>
      <c r="E3481">
        <v>0</v>
      </c>
      <c r="F3481" s="4" t="s">
        <v>29</v>
      </c>
      <c r="G3481" t="s">
        <v>29</v>
      </c>
      <c r="H3481" t="s">
        <v>29</v>
      </c>
    </row>
    <row r="3482" spans="1:8" x14ac:dyDescent="0.25">
      <c r="A3482" t="s">
        <v>948</v>
      </c>
      <c r="B3482" t="s">
        <v>497</v>
      </c>
      <c r="C3482" s="5">
        <v>7909081</v>
      </c>
      <c r="D3482" s="5">
        <v>69559</v>
      </c>
      <c r="E3482">
        <v>617564</v>
      </c>
      <c r="F3482" s="4" t="s">
        <v>609</v>
      </c>
      <c r="G3482" t="s">
        <v>29</v>
      </c>
      <c r="H3482" t="s">
        <v>610</v>
      </c>
    </row>
    <row r="3483" spans="1:8" x14ac:dyDescent="0.25">
      <c r="A3483" t="s">
        <v>948</v>
      </c>
      <c r="B3483" t="s">
        <v>500</v>
      </c>
      <c r="C3483" s="5">
        <v>56013</v>
      </c>
      <c r="D3483" s="5">
        <v>1655</v>
      </c>
      <c r="E3483">
        <v>14741</v>
      </c>
      <c r="F3483" s="4" t="s">
        <v>884</v>
      </c>
      <c r="G3483" t="s">
        <v>29</v>
      </c>
      <c r="H3483" t="s">
        <v>885</v>
      </c>
    </row>
    <row r="3484" spans="1:8" x14ac:dyDescent="0.25">
      <c r="A3484" t="s">
        <v>948</v>
      </c>
      <c r="B3484" t="s">
        <v>503</v>
      </c>
      <c r="C3484" s="5">
        <v>16380</v>
      </c>
      <c r="D3484" s="5">
        <v>847</v>
      </c>
      <c r="E3484">
        <v>11634</v>
      </c>
      <c r="F3484" s="4" t="s">
        <v>923</v>
      </c>
      <c r="G3484" t="s">
        <v>29</v>
      </c>
      <c r="H3484" t="s">
        <v>924</v>
      </c>
    </row>
    <row r="3485" spans="1:8" x14ac:dyDescent="0.25">
      <c r="A3485" t="s">
        <v>948</v>
      </c>
      <c r="B3485" t="s">
        <v>506</v>
      </c>
      <c r="C3485" s="5">
        <v>26115</v>
      </c>
      <c r="D3485" s="5">
        <v>725</v>
      </c>
      <c r="E3485">
        <v>7871</v>
      </c>
      <c r="F3485" s="4" t="s">
        <v>98</v>
      </c>
      <c r="G3485" t="s">
        <v>29</v>
      </c>
      <c r="H3485" t="s">
        <v>99</v>
      </c>
    </row>
    <row r="3486" spans="1:8" x14ac:dyDescent="0.25">
      <c r="A3486" t="s">
        <v>948</v>
      </c>
      <c r="B3486" t="s">
        <v>509</v>
      </c>
      <c r="C3486" s="5">
        <v>2933778</v>
      </c>
      <c r="D3486" s="5">
        <v>69130</v>
      </c>
      <c r="E3486">
        <v>97870</v>
      </c>
      <c r="F3486" s="4" t="s">
        <v>339</v>
      </c>
      <c r="G3486" t="s">
        <v>29</v>
      </c>
      <c r="H3486" t="s">
        <v>340</v>
      </c>
    </row>
    <row r="3487" spans="1:8" x14ac:dyDescent="0.25">
      <c r="A3487" t="s">
        <v>948</v>
      </c>
      <c r="B3487" t="s">
        <v>512</v>
      </c>
      <c r="C3487" s="5">
        <v>125788</v>
      </c>
      <c r="D3487" s="5">
        <v>3200</v>
      </c>
      <c r="E3487">
        <v>55282</v>
      </c>
      <c r="F3487" s="4" t="s">
        <v>141</v>
      </c>
      <c r="G3487" t="s">
        <v>29</v>
      </c>
      <c r="H3487" t="s">
        <v>142</v>
      </c>
    </row>
    <row r="3488" spans="1:8" x14ac:dyDescent="0.25">
      <c r="A3488" t="s">
        <v>948</v>
      </c>
      <c r="B3488" t="s">
        <v>515</v>
      </c>
      <c r="C3488" s="5">
        <v>45648701</v>
      </c>
      <c r="D3488" s="5">
        <v>739453</v>
      </c>
      <c r="E3488">
        <v>13852028</v>
      </c>
      <c r="F3488" s="4" t="s">
        <v>516</v>
      </c>
      <c r="G3488" t="s">
        <v>29</v>
      </c>
      <c r="H3488" t="s">
        <v>517</v>
      </c>
    </row>
    <row r="3489" spans="1:8" x14ac:dyDescent="0.25">
      <c r="A3489" t="s">
        <v>948</v>
      </c>
      <c r="B3489" t="s">
        <v>518</v>
      </c>
      <c r="C3489" s="5">
        <v>392585</v>
      </c>
      <c r="D3489" s="5">
        <v>6074</v>
      </c>
      <c r="E3489">
        <v>178630</v>
      </c>
      <c r="F3489" s="4" t="s">
        <v>333</v>
      </c>
      <c r="G3489" t="s">
        <v>29</v>
      </c>
      <c r="H3489" t="s">
        <v>334</v>
      </c>
    </row>
    <row r="3490" spans="1:8" x14ac:dyDescent="0.25">
      <c r="A3490" t="s">
        <v>948</v>
      </c>
      <c r="B3490" t="s">
        <v>521</v>
      </c>
      <c r="C3490" s="5">
        <v>184233</v>
      </c>
      <c r="D3490" s="5">
        <v>1309</v>
      </c>
      <c r="E3490">
        <v>22625</v>
      </c>
      <c r="F3490" s="4" t="s">
        <v>488</v>
      </c>
      <c r="G3490" t="s">
        <v>29</v>
      </c>
      <c r="H3490" t="s">
        <v>489</v>
      </c>
    </row>
    <row r="3491" spans="1:8" x14ac:dyDescent="0.25">
      <c r="A3491" t="s">
        <v>948</v>
      </c>
      <c r="B3491" t="s">
        <v>522</v>
      </c>
      <c r="C3491" s="5">
        <v>27</v>
      </c>
      <c r="D3491" s="5">
        <v>0</v>
      </c>
      <c r="E3491">
        <v>26</v>
      </c>
      <c r="F3491" s="4" t="s">
        <v>29</v>
      </c>
      <c r="G3491" t="s">
        <v>29</v>
      </c>
      <c r="H3491" t="s">
        <v>291</v>
      </c>
    </row>
    <row r="3492" spans="1:8" x14ac:dyDescent="0.25">
      <c r="A3492" t="s">
        <v>948</v>
      </c>
      <c r="B3492" t="s">
        <v>523</v>
      </c>
      <c r="C3492" s="5">
        <v>4860</v>
      </c>
      <c r="D3492" s="5">
        <v>63</v>
      </c>
      <c r="E3492">
        <v>3428</v>
      </c>
      <c r="F3492" s="4" t="s">
        <v>190</v>
      </c>
      <c r="G3492" t="s">
        <v>29</v>
      </c>
      <c r="H3492" t="s">
        <v>191</v>
      </c>
    </row>
    <row r="3493" spans="1:8" x14ac:dyDescent="0.25">
      <c r="A3493" t="s">
        <v>948</v>
      </c>
      <c r="B3493" t="s">
        <v>524</v>
      </c>
      <c r="C3493" s="5">
        <v>401259</v>
      </c>
      <c r="D3493" s="5">
        <v>4822</v>
      </c>
      <c r="E3493">
        <v>325492</v>
      </c>
      <c r="F3493" s="4" t="s">
        <v>525</v>
      </c>
      <c r="G3493" t="s">
        <v>29</v>
      </c>
      <c r="H3493" t="s">
        <v>526</v>
      </c>
    </row>
    <row r="3494" spans="1:8" x14ac:dyDescent="0.25">
      <c r="A3494" t="s">
        <v>948</v>
      </c>
      <c r="B3494" t="s">
        <v>527</v>
      </c>
      <c r="C3494" s="5">
        <v>896174</v>
      </c>
      <c r="D3494" s="5">
        <v>21802</v>
      </c>
      <c r="E3494">
        <v>146661</v>
      </c>
      <c r="F3494" s="4" t="s">
        <v>917</v>
      </c>
      <c r="G3494" t="s">
        <v>29</v>
      </c>
      <c r="H3494" t="s">
        <v>918</v>
      </c>
    </row>
    <row r="3495" spans="1:8" x14ac:dyDescent="0.25">
      <c r="A3495" t="s">
        <v>948</v>
      </c>
      <c r="B3495" t="s">
        <v>530</v>
      </c>
      <c r="C3495" s="5">
        <v>4</v>
      </c>
      <c r="D3495" s="5">
        <v>1</v>
      </c>
      <c r="E3495">
        <v>0</v>
      </c>
      <c r="F3495" s="4" t="s">
        <v>973</v>
      </c>
      <c r="G3495" t="s">
        <v>29</v>
      </c>
      <c r="H3495" t="s">
        <v>974</v>
      </c>
    </row>
    <row r="3496" spans="1:8" x14ac:dyDescent="0.25">
      <c r="A3496" t="s">
        <v>948</v>
      </c>
      <c r="B3496" t="s">
        <v>533</v>
      </c>
      <c r="C3496" s="5">
        <v>3</v>
      </c>
      <c r="D3496" s="5">
        <v>0</v>
      </c>
      <c r="E3496">
        <v>1</v>
      </c>
      <c r="F3496" s="4" t="s">
        <v>29</v>
      </c>
      <c r="G3496" t="s">
        <v>29</v>
      </c>
      <c r="H3496" t="s">
        <v>291</v>
      </c>
    </row>
    <row r="3497" spans="1:8" x14ac:dyDescent="0.25">
      <c r="A3497" t="s">
        <v>948</v>
      </c>
      <c r="B3497" t="s">
        <v>534</v>
      </c>
      <c r="C3497" s="5">
        <v>160658</v>
      </c>
      <c r="D3497" s="5">
        <v>2975</v>
      </c>
      <c r="E3497">
        <v>144486</v>
      </c>
      <c r="F3497" s="4" t="s">
        <v>535</v>
      </c>
      <c r="G3497" t="s">
        <v>29</v>
      </c>
      <c r="H3497" t="s">
        <v>536</v>
      </c>
    </row>
    <row r="3498" spans="1:8" x14ac:dyDescent="0.25">
      <c r="A3498" t="s">
        <v>948</v>
      </c>
      <c r="B3498" t="s">
        <v>537</v>
      </c>
      <c r="C3498" s="5">
        <v>9711</v>
      </c>
      <c r="D3498" s="5">
        <v>1858</v>
      </c>
      <c r="E3498">
        <v>3303</v>
      </c>
      <c r="F3498" s="4" t="s">
        <v>975</v>
      </c>
      <c r="G3498" t="s">
        <v>29</v>
      </c>
      <c r="H3498" t="s">
        <v>976</v>
      </c>
    </row>
    <row r="3499" spans="1:8" x14ac:dyDescent="0.25">
      <c r="A3499" t="s">
        <v>948</v>
      </c>
      <c r="B3499" t="s">
        <v>540</v>
      </c>
      <c r="C3499" s="5">
        <v>20497</v>
      </c>
      <c r="D3499" s="5">
        <v>182</v>
      </c>
      <c r="E3499">
        <v>15424</v>
      </c>
      <c r="F3499" s="4" t="s">
        <v>65</v>
      </c>
      <c r="G3499" t="s">
        <v>29</v>
      </c>
      <c r="H3499" t="s">
        <v>66</v>
      </c>
    </row>
    <row r="3500" spans="1:8" x14ac:dyDescent="0.25">
      <c r="A3500" t="s">
        <v>948</v>
      </c>
      <c r="B3500" t="s">
        <v>541</v>
      </c>
      <c r="C3500" s="5">
        <v>2920109</v>
      </c>
      <c r="D3500" s="5">
        <v>88987</v>
      </c>
      <c r="E3500">
        <v>602459</v>
      </c>
      <c r="F3500" s="4" t="s">
        <v>698</v>
      </c>
      <c r="G3500" t="s">
        <v>29</v>
      </c>
      <c r="H3500" t="s">
        <v>699</v>
      </c>
    </row>
    <row r="3501" spans="1:8" x14ac:dyDescent="0.25">
      <c r="A3501" t="s">
        <v>948</v>
      </c>
      <c r="B3501" t="s">
        <v>544</v>
      </c>
      <c r="C3501" s="5">
        <v>209648</v>
      </c>
      <c r="D3501" s="5">
        <v>3660</v>
      </c>
      <c r="E3501">
        <v>87706</v>
      </c>
      <c r="F3501" s="4" t="s">
        <v>545</v>
      </c>
      <c r="G3501" t="s">
        <v>29</v>
      </c>
      <c r="H3501" t="s">
        <v>546</v>
      </c>
    </row>
    <row r="3502" spans="1:8" x14ac:dyDescent="0.25">
      <c r="A3502" t="s">
        <v>948</v>
      </c>
      <c r="B3502" t="s">
        <v>547</v>
      </c>
      <c r="C3502" s="5">
        <v>132724</v>
      </c>
      <c r="D3502" s="5">
        <v>4674</v>
      </c>
      <c r="E3502">
        <v>59871</v>
      </c>
      <c r="F3502" s="4" t="s">
        <v>353</v>
      </c>
      <c r="G3502" t="s">
        <v>29</v>
      </c>
      <c r="H3502" t="s">
        <v>354</v>
      </c>
    </row>
    <row r="3503" spans="1:8" x14ac:dyDescent="0.25">
      <c r="A3503" t="s">
        <v>948</v>
      </c>
      <c r="B3503" t="s">
        <v>548</v>
      </c>
      <c r="C3503" s="5">
        <v>721</v>
      </c>
      <c r="D3503" s="5">
        <v>15</v>
      </c>
      <c r="E3503">
        <v>589</v>
      </c>
      <c r="F3503" s="4" t="s">
        <v>549</v>
      </c>
      <c r="G3503" t="s">
        <v>29</v>
      </c>
      <c r="H3503" t="s">
        <v>550</v>
      </c>
    </row>
    <row r="3504" spans="1:8" x14ac:dyDescent="0.25">
      <c r="A3504" t="s">
        <v>977</v>
      </c>
      <c r="B3504" t="s">
        <v>548</v>
      </c>
      <c r="C3504" s="5">
        <v>721</v>
      </c>
      <c r="D3504" s="5">
        <v>15</v>
      </c>
      <c r="E3504">
        <v>246</v>
      </c>
      <c r="F3504" s="4" t="s">
        <v>549</v>
      </c>
      <c r="G3504" t="s">
        <v>29</v>
      </c>
      <c r="H3504" t="s">
        <v>550</v>
      </c>
    </row>
    <row r="3505" spans="1:8" x14ac:dyDescent="0.25">
      <c r="A3505" t="s">
        <v>977</v>
      </c>
      <c r="B3505" t="s">
        <v>547</v>
      </c>
      <c r="C3505" s="5">
        <v>132688</v>
      </c>
      <c r="D3505" s="5">
        <v>4673</v>
      </c>
      <c r="E3505">
        <v>78306</v>
      </c>
      <c r="F3505" s="4" t="s">
        <v>353</v>
      </c>
      <c r="G3505" t="s">
        <v>29</v>
      </c>
      <c r="H3505" t="s">
        <v>354</v>
      </c>
    </row>
    <row r="3506" spans="1:8" x14ac:dyDescent="0.25">
      <c r="A3506" t="s">
        <v>977</v>
      </c>
      <c r="B3506" t="s">
        <v>544</v>
      </c>
      <c r="C3506" s="5">
        <v>209639</v>
      </c>
      <c r="D3506" s="5">
        <v>3659</v>
      </c>
      <c r="E3506">
        <v>41165</v>
      </c>
      <c r="F3506" s="4" t="s">
        <v>545</v>
      </c>
      <c r="G3506" t="s">
        <v>29</v>
      </c>
      <c r="H3506" t="s">
        <v>546</v>
      </c>
    </row>
    <row r="3507" spans="1:8" x14ac:dyDescent="0.25">
      <c r="A3507" t="s">
        <v>977</v>
      </c>
      <c r="B3507" t="s">
        <v>541</v>
      </c>
      <c r="C3507" s="5">
        <v>2919778</v>
      </c>
      <c r="D3507" s="5">
        <v>88934</v>
      </c>
      <c r="E3507">
        <v>2565275</v>
      </c>
      <c r="F3507" s="4" t="s">
        <v>698</v>
      </c>
      <c r="G3507" t="s">
        <v>29</v>
      </c>
      <c r="H3507" t="s">
        <v>699</v>
      </c>
    </row>
    <row r="3508" spans="1:8" x14ac:dyDescent="0.25">
      <c r="A3508" t="s">
        <v>977</v>
      </c>
      <c r="B3508" t="s">
        <v>540</v>
      </c>
      <c r="C3508" s="5">
        <v>20497</v>
      </c>
      <c r="D3508" s="5">
        <v>182</v>
      </c>
      <c r="E3508">
        <v>4358</v>
      </c>
      <c r="F3508" s="4" t="s">
        <v>65</v>
      </c>
      <c r="G3508" t="s">
        <v>29</v>
      </c>
      <c r="H3508" t="s">
        <v>66</v>
      </c>
    </row>
    <row r="3509" spans="1:8" x14ac:dyDescent="0.25">
      <c r="A3509" t="s">
        <v>977</v>
      </c>
      <c r="B3509" t="s">
        <v>537</v>
      </c>
      <c r="C3509" s="5">
        <v>9694</v>
      </c>
      <c r="D3509" s="5">
        <v>1850</v>
      </c>
      <c r="E3509">
        <v>2244</v>
      </c>
      <c r="F3509" s="4" t="s">
        <v>978</v>
      </c>
      <c r="G3509" t="s">
        <v>29</v>
      </c>
      <c r="H3509" t="s">
        <v>979</v>
      </c>
    </row>
    <row r="3510" spans="1:8" x14ac:dyDescent="0.25">
      <c r="A3510" t="s">
        <v>977</v>
      </c>
      <c r="B3510" t="s">
        <v>534</v>
      </c>
      <c r="C3510" s="5">
        <v>160638</v>
      </c>
      <c r="D3510" s="5">
        <v>2975</v>
      </c>
      <c r="E3510">
        <v>46183</v>
      </c>
      <c r="F3510" s="4" t="s">
        <v>535</v>
      </c>
      <c r="G3510" t="s">
        <v>29</v>
      </c>
      <c r="H3510" t="s">
        <v>536</v>
      </c>
    </row>
    <row r="3511" spans="1:8" x14ac:dyDescent="0.25">
      <c r="A3511" t="s">
        <v>977</v>
      </c>
      <c r="B3511" t="s">
        <v>533</v>
      </c>
      <c r="C3511" s="5">
        <v>3</v>
      </c>
      <c r="D3511" s="5">
        <v>0</v>
      </c>
      <c r="E3511">
        <v>2</v>
      </c>
      <c r="F3511" s="4" t="s">
        <v>29</v>
      </c>
      <c r="G3511" t="s">
        <v>29</v>
      </c>
      <c r="H3511" t="s">
        <v>291</v>
      </c>
    </row>
    <row r="3512" spans="1:8" x14ac:dyDescent="0.25">
      <c r="A3512" t="s">
        <v>977</v>
      </c>
      <c r="B3512" t="s">
        <v>530</v>
      </c>
      <c r="C3512" s="5">
        <v>4</v>
      </c>
      <c r="D3512" s="5">
        <v>1</v>
      </c>
      <c r="E3512">
        <v>1</v>
      </c>
      <c r="F3512" s="4" t="s">
        <v>973</v>
      </c>
      <c r="G3512" t="s">
        <v>29</v>
      </c>
      <c r="H3512" t="s">
        <v>974</v>
      </c>
    </row>
    <row r="3513" spans="1:8" x14ac:dyDescent="0.25">
      <c r="A3513" t="s">
        <v>977</v>
      </c>
      <c r="B3513" t="s">
        <v>527</v>
      </c>
      <c r="C3513" s="5">
        <v>892579</v>
      </c>
      <c r="D3513" s="5">
        <v>21738</v>
      </c>
      <c r="E3513">
        <v>704911</v>
      </c>
      <c r="F3513" s="4" t="s">
        <v>934</v>
      </c>
      <c r="G3513" t="s">
        <v>29</v>
      </c>
      <c r="H3513" t="s">
        <v>935</v>
      </c>
    </row>
    <row r="3514" spans="1:8" x14ac:dyDescent="0.25">
      <c r="A3514" t="s">
        <v>977</v>
      </c>
      <c r="B3514" t="s">
        <v>524</v>
      </c>
      <c r="C3514" s="5">
        <v>401259</v>
      </c>
      <c r="D3514" s="5">
        <v>4822</v>
      </c>
      <c r="E3514">
        <v>176424</v>
      </c>
      <c r="F3514" s="4" t="s">
        <v>525</v>
      </c>
      <c r="G3514" t="s">
        <v>29</v>
      </c>
      <c r="H3514" t="s">
        <v>526</v>
      </c>
    </row>
    <row r="3515" spans="1:8" x14ac:dyDescent="0.25">
      <c r="A3515" t="s">
        <v>977</v>
      </c>
      <c r="B3515" t="s">
        <v>522</v>
      </c>
      <c r="C3515" s="5">
        <v>27</v>
      </c>
      <c r="D3515" s="5">
        <v>0</v>
      </c>
      <c r="E3515">
        <v>7</v>
      </c>
      <c r="F3515" s="4" t="s">
        <v>29</v>
      </c>
      <c r="G3515" t="s">
        <v>29</v>
      </c>
      <c r="H3515" t="s">
        <v>291</v>
      </c>
    </row>
    <row r="3516" spans="1:8" x14ac:dyDescent="0.25">
      <c r="A3516" t="s">
        <v>977</v>
      </c>
      <c r="B3516" t="s">
        <v>523</v>
      </c>
      <c r="C3516" s="5">
        <v>4860</v>
      </c>
      <c r="D3516" s="5">
        <v>63</v>
      </c>
      <c r="E3516">
        <v>4102</v>
      </c>
      <c r="F3516" s="4" t="s">
        <v>190</v>
      </c>
      <c r="G3516" t="s">
        <v>29</v>
      </c>
      <c r="H3516" t="s">
        <v>191</v>
      </c>
    </row>
    <row r="3517" spans="1:8" x14ac:dyDescent="0.25">
      <c r="A3517" t="s">
        <v>977</v>
      </c>
      <c r="B3517" t="s">
        <v>521</v>
      </c>
      <c r="C3517" s="5">
        <v>183928</v>
      </c>
      <c r="D3517" s="5">
        <v>1306</v>
      </c>
      <c r="E3517">
        <v>142580</v>
      </c>
      <c r="F3517" s="4" t="s">
        <v>488</v>
      </c>
      <c r="G3517" t="s">
        <v>29</v>
      </c>
      <c r="H3517" t="s">
        <v>489</v>
      </c>
    </row>
    <row r="3518" spans="1:8" x14ac:dyDescent="0.25">
      <c r="A3518" t="s">
        <v>977</v>
      </c>
      <c r="B3518" t="s">
        <v>518</v>
      </c>
      <c r="C3518" s="5">
        <v>392319</v>
      </c>
      <c r="D3518" s="5">
        <v>6073</v>
      </c>
      <c r="E3518">
        <v>142215</v>
      </c>
      <c r="F3518" s="4" t="s">
        <v>333</v>
      </c>
      <c r="G3518" t="s">
        <v>29</v>
      </c>
      <c r="H3518" t="s">
        <v>334</v>
      </c>
    </row>
    <row r="3519" spans="1:8" x14ac:dyDescent="0.25">
      <c r="A3519" t="s">
        <v>977</v>
      </c>
      <c r="B3519" t="s">
        <v>515</v>
      </c>
      <c r="C3519" s="5">
        <v>45568730</v>
      </c>
      <c r="D3519" s="5">
        <v>737914</v>
      </c>
      <c r="E3519">
        <v>29755544</v>
      </c>
      <c r="F3519" s="4" t="s">
        <v>516</v>
      </c>
      <c r="G3519" t="s">
        <v>29</v>
      </c>
      <c r="H3519" t="s">
        <v>517</v>
      </c>
    </row>
    <row r="3520" spans="1:8" x14ac:dyDescent="0.25">
      <c r="A3520" t="s">
        <v>977</v>
      </c>
      <c r="B3520" t="s">
        <v>512</v>
      </c>
      <c r="C3520" s="5">
        <v>125758</v>
      </c>
      <c r="D3520" s="5">
        <v>3200</v>
      </c>
      <c r="E3520">
        <v>4967</v>
      </c>
      <c r="F3520" s="4" t="s">
        <v>141</v>
      </c>
      <c r="G3520" t="s">
        <v>29</v>
      </c>
      <c r="H3520" t="s">
        <v>142</v>
      </c>
    </row>
    <row r="3521" spans="1:8" x14ac:dyDescent="0.25">
      <c r="A3521" t="s">
        <v>977</v>
      </c>
      <c r="B3521" t="s">
        <v>509</v>
      </c>
      <c r="C3521" s="5">
        <v>2913666</v>
      </c>
      <c r="D3521" s="5">
        <v>68365</v>
      </c>
      <c r="E3521">
        <v>2746538</v>
      </c>
      <c r="F3521" s="4" t="s">
        <v>591</v>
      </c>
      <c r="G3521" t="s">
        <v>29</v>
      </c>
      <c r="H3521" t="s">
        <v>592</v>
      </c>
    </row>
    <row r="3522" spans="1:8" x14ac:dyDescent="0.25">
      <c r="A3522" t="s">
        <v>977</v>
      </c>
      <c r="B3522" t="s">
        <v>506</v>
      </c>
      <c r="C3522" s="5">
        <v>26115</v>
      </c>
      <c r="D3522" s="5">
        <v>725</v>
      </c>
      <c r="E3522">
        <v>3796</v>
      </c>
      <c r="F3522" s="4" t="s">
        <v>98</v>
      </c>
      <c r="G3522" t="s">
        <v>29</v>
      </c>
      <c r="H3522" t="s">
        <v>99</v>
      </c>
    </row>
    <row r="3523" spans="1:8" x14ac:dyDescent="0.25">
      <c r="A3523" t="s">
        <v>977</v>
      </c>
      <c r="B3523" t="s">
        <v>503</v>
      </c>
      <c r="C3523" s="5">
        <v>16376</v>
      </c>
      <c r="D3523" s="5">
        <v>847</v>
      </c>
      <c r="E3523">
        <v>236</v>
      </c>
      <c r="F3523" s="4" t="s">
        <v>923</v>
      </c>
      <c r="G3523" t="s">
        <v>29</v>
      </c>
      <c r="H3523" t="s">
        <v>924</v>
      </c>
    </row>
    <row r="3524" spans="1:8" x14ac:dyDescent="0.25">
      <c r="A3524" t="s">
        <v>977</v>
      </c>
      <c r="B3524" t="s">
        <v>500</v>
      </c>
      <c r="C3524" s="5">
        <v>55798</v>
      </c>
      <c r="D3524" s="5">
        <v>1650</v>
      </c>
      <c r="E3524">
        <v>21238</v>
      </c>
      <c r="F3524" s="4" t="s">
        <v>731</v>
      </c>
      <c r="G3524" t="s">
        <v>29</v>
      </c>
      <c r="H3524" t="s">
        <v>732</v>
      </c>
    </row>
    <row r="3525" spans="1:8" x14ac:dyDescent="0.25">
      <c r="A3525" t="s">
        <v>977</v>
      </c>
      <c r="B3525" t="s">
        <v>497</v>
      </c>
      <c r="C3525" s="5">
        <v>7879438</v>
      </c>
      <c r="D3525" s="5">
        <v>69344</v>
      </c>
      <c r="E3525">
        <v>4435168</v>
      </c>
      <c r="F3525" s="4" t="s">
        <v>609</v>
      </c>
      <c r="G3525" t="s">
        <v>29</v>
      </c>
      <c r="H3525" t="s">
        <v>610</v>
      </c>
    </row>
    <row r="3526" spans="1:8" x14ac:dyDescent="0.25">
      <c r="A3526" t="s">
        <v>977</v>
      </c>
      <c r="B3526" t="s">
        <v>493</v>
      </c>
      <c r="C3526" s="5">
        <v>711821</v>
      </c>
      <c r="D3526" s="5">
        <v>25155</v>
      </c>
      <c r="E3526">
        <v>360060</v>
      </c>
      <c r="F3526" s="4" t="s">
        <v>430</v>
      </c>
      <c r="G3526" t="s">
        <v>29</v>
      </c>
      <c r="H3526" t="s">
        <v>431</v>
      </c>
    </row>
    <row r="3527" spans="1:8" x14ac:dyDescent="0.25">
      <c r="A3527" t="s">
        <v>977</v>
      </c>
      <c r="B3527" t="s">
        <v>490</v>
      </c>
      <c r="C3527" s="5">
        <v>19774</v>
      </c>
      <c r="D3527" s="5">
        <v>121</v>
      </c>
      <c r="E3527">
        <v>2772</v>
      </c>
      <c r="F3527" s="4" t="s">
        <v>261</v>
      </c>
      <c r="G3527" t="s">
        <v>29</v>
      </c>
      <c r="H3527" t="s">
        <v>262</v>
      </c>
    </row>
    <row r="3528" spans="1:8" x14ac:dyDescent="0.25">
      <c r="A3528" t="s">
        <v>977</v>
      </c>
      <c r="B3528" t="s">
        <v>487</v>
      </c>
      <c r="C3528" s="5">
        <v>17486</v>
      </c>
      <c r="D3528" s="5">
        <v>125</v>
      </c>
      <c r="E3528">
        <v>375</v>
      </c>
      <c r="F3528" s="4" t="s">
        <v>488</v>
      </c>
      <c r="G3528" t="s">
        <v>29</v>
      </c>
      <c r="H3528" t="s">
        <v>489</v>
      </c>
    </row>
    <row r="3529" spans="1:8" x14ac:dyDescent="0.25">
      <c r="A3529" t="s">
        <v>977</v>
      </c>
      <c r="B3529" t="s">
        <v>486</v>
      </c>
      <c r="C3529" s="5">
        <v>1859157</v>
      </c>
      <c r="D3529" s="5">
        <v>18799</v>
      </c>
      <c r="E3529">
        <v>1822598</v>
      </c>
      <c r="F3529" s="4" t="s">
        <v>559</v>
      </c>
      <c r="G3529" t="s">
        <v>29</v>
      </c>
      <c r="H3529" t="s">
        <v>560</v>
      </c>
    </row>
    <row r="3530" spans="1:8" x14ac:dyDescent="0.25">
      <c r="A3530" t="s">
        <v>977</v>
      </c>
      <c r="B3530" t="s">
        <v>483</v>
      </c>
      <c r="C3530" s="5">
        <v>26000</v>
      </c>
      <c r="D3530" s="5">
        <v>242</v>
      </c>
      <c r="E3530">
        <v>13559</v>
      </c>
      <c r="F3530" s="4" t="s">
        <v>484</v>
      </c>
      <c r="G3530" t="s">
        <v>29</v>
      </c>
      <c r="H3530" t="s">
        <v>485</v>
      </c>
    </row>
    <row r="3531" spans="1:8" x14ac:dyDescent="0.25">
      <c r="A3531" t="s">
        <v>977</v>
      </c>
      <c r="B3531" t="s">
        <v>482</v>
      </c>
      <c r="C3531" s="5">
        <v>5069</v>
      </c>
      <c r="D3531" s="5">
        <v>174</v>
      </c>
      <c r="E3531">
        <v>1495</v>
      </c>
      <c r="F3531" s="4" t="s">
        <v>252</v>
      </c>
      <c r="G3531" t="s">
        <v>29</v>
      </c>
      <c r="H3531" t="s">
        <v>253</v>
      </c>
    </row>
    <row r="3532" spans="1:8" x14ac:dyDescent="0.25">
      <c r="A3532" t="s">
        <v>977</v>
      </c>
      <c r="B3532" t="s">
        <v>479</v>
      </c>
      <c r="C3532" s="5">
        <v>46387</v>
      </c>
      <c r="D3532" s="5">
        <v>1242</v>
      </c>
      <c r="E3532">
        <v>12266</v>
      </c>
      <c r="F3532" s="4" t="s">
        <v>480</v>
      </c>
      <c r="G3532" t="s">
        <v>29</v>
      </c>
      <c r="H3532" t="s">
        <v>481</v>
      </c>
    </row>
    <row r="3533" spans="1:8" x14ac:dyDescent="0.25">
      <c r="A3533" t="s">
        <v>977</v>
      </c>
      <c r="B3533" t="s">
        <v>476</v>
      </c>
      <c r="C3533" s="5">
        <v>41799</v>
      </c>
      <c r="D3533" s="5">
        <v>2517</v>
      </c>
      <c r="E3533">
        <v>33131</v>
      </c>
      <c r="F3533" s="4" t="s">
        <v>980</v>
      </c>
      <c r="G3533" t="s">
        <v>29</v>
      </c>
      <c r="H3533" t="s">
        <v>981</v>
      </c>
    </row>
    <row r="3534" spans="1:8" x14ac:dyDescent="0.25">
      <c r="A3534" t="s">
        <v>977</v>
      </c>
      <c r="B3534" t="s">
        <v>473</v>
      </c>
      <c r="C3534" s="5">
        <v>112290</v>
      </c>
      <c r="D3534" s="5">
        <v>3575</v>
      </c>
      <c r="E3534">
        <v>98180</v>
      </c>
      <c r="F3534" s="4" t="s">
        <v>615</v>
      </c>
      <c r="G3534" t="s">
        <v>29</v>
      </c>
      <c r="H3534" t="s">
        <v>616</v>
      </c>
    </row>
    <row r="3535" spans="1:8" x14ac:dyDescent="0.25">
      <c r="A3535" t="s">
        <v>977</v>
      </c>
      <c r="B3535" t="s">
        <v>471</v>
      </c>
      <c r="C3535" s="5">
        <v>12293</v>
      </c>
      <c r="D3535" s="5">
        <v>133</v>
      </c>
      <c r="E3535">
        <v>918</v>
      </c>
      <c r="F3535" s="4" t="s">
        <v>758</v>
      </c>
      <c r="G3535" t="s">
        <v>29</v>
      </c>
      <c r="H3535" t="s">
        <v>759</v>
      </c>
    </row>
    <row r="3536" spans="1:8" x14ac:dyDescent="0.25">
      <c r="A3536" t="s">
        <v>977</v>
      </c>
      <c r="B3536" t="s">
        <v>472</v>
      </c>
      <c r="C3536" s="5">
        <v>3697</v>
      </c>
      <c r="D3536" s="5">
        <v>56</v>
      </c>
      <c r="E3536">
        <v>2285</v>
      </c>
      <c r="F3536" s="4" t="s">
        <v>202</v>
      </c>
      <c r="G3536" t="s">
        <v>29</v>
      </c>
      <c r="H3536" t="s">
        <v>203</v>
      </c>
    </row>
    <row r="3537" spans="1:8" x14ac:dyDescent="0.25">
      <c r="A3537" t="s">
        <v>977</v>
      </c>
      <c r="B3537" t="s">
        <v>468</v>
      </c>
      <c r="C3537" s="5">
        <v>48334</v>
      </c>
      <c r="D3537" s="5">
        <v>1064</v>
      </c>
      <c r="E3537">
        <v>31755</v>
      </c>
      <c r="F3537" s="4" t="s">
        <v>969</v>
      </c>
      <c r="G3537" t="s">
        <v>29</v>
      </c>
      <c r="H3537" t="s">
        <v>970</v>
      </c>
    </row>
    <row r="3538" spans="1:8" x14ac:dyDescent="0.25">
      <c r="A3538" t="s">
        <v>977</v>
      </c>
      <c r="B3538" t="s">
        <v>465</v>
      </c>
      <c r="C3538" s="5">
        <v>21998</v>
      </c>
      <c r="D3538" s="5">
        <v>1208</v>
      </c>
      <c r="E3538">
        <v>20442</v>
      </c>
      <c r="F3538" s="4" t="s">
        <v>744</v>
      </c>
      <c r="G3538" t="s">
        <v>29</v>
      </c>
      <c r="H3538" t="s">
        <v>745</v>
      </c>
    </row>
    <row r="3539" spans="1:8" x14ac:dyDescent="0.25">
      <c r="A3539" t="s">
        <v>977</v>
      </c>
      <c r="B3539" t="s">
        <v>464</v>
      </c>
      <c r="C3539" s="5">
        <v>73896</v>
      </c>
      <c r="D3539" s="5">
        <v>1878</v>
      </c>
      <c r="E3539">
        <v>19519</v>
      </c>
      <c r="F3539" s="4" t="s">
        <v>141</v>
      </c>
      <c r="G3539" t="s">
        <v>29</v>
      </c>
      <c r="H3539" t="s">
        <v>142</v>
      </c>
    </row>
    <row r="3540" spans="1:8" x14ac:dyDescent="0.25">
      <c r="A3540" t="s">
        <v>977</v>
      </c>
      <c r="B3540" t="s">
        <v>463</v>
      </c>
      <c r="C3540" s="5">
        <v>5509</v>
      </c>
      <c r="D3540" s="5">
        <v>92</v>
      </c>
      <c r="E3540">
        <v>259</v>
      </c>
      <c r="F3540" s="4" t="s">
        <v>827</v>
      </c>
      <c r="G3540" t="s">
        <v>29</v>
      </c>
      <c r="H3540" t="s">
        <v>828</v>
      </c>
    </row>
    <row r="3541" spans="1:8" x14ac:dyDescent="0.25">
      <c r="A3541" t="s">
        <v>977</v>
      </c>
      <c r="B3541" t="s">
        <v>460</v>
      </c>
      <c r="C3541" s="5">
        <v>6397</v>
      </c>
      <c r="D3541" s="5">
        <v>121</v>
      </c>
      <c r="E3541">
        <v>4948</v>
      </c>
      <c r="F3541" s="4" t="s">
        <v>461</v>
      </c>
      <c r="G3541" t="s">
        <v>29</v>
      </c>
      <c r="H3541" t="s">
        <v>462</v>
      </c>
    </row>
    <row r="3542" spans="1:8" x14ac:dyDescent="0.25">
      <c r="A3542" t="s">
        <v>977</v>
      </c>
      <c r="B3542" t="s">
        <v>457</v>
      </c>
      <c r="C3542" s="5">
        <v>457431</v>
      </c>
      <c r="D3542" s="5">
        <v>12917</v>
      </c>
      <c r="E3542">
        <v>254863</v>
      </c>
      <c r="F3542" s="4" t="s">
        <v>773</v>
      </c>
      <c r="G3542" t="s">
        <v>29</v>
      </c>
      <c r="H3542" t="s">
        <v>774</v>
      </c>
    </row>
    <row r="3543" spans="1:8" x14ac:dyDescent="0.25">
      <c r="A3543" t="s">
        <v>977</v>
      </c>
      <c r="B3543" t="s">
        <v>456</v>
      </c>
      <c r="C3543" s="5">
        <v>320620</v>
      </c>
      <c r="D3543" s="5">
        <v>4693</v>
      </c>
      <c r="E3543">
        <v>194621</v>
      </c>
      <c r="F3543" s="4" t="s">
        <v>565</v>
      </c>
      <c r="G3543" t="s">
        <v>29</v>
      </c>
      <c r="H3543" t="s">
        <v>566</v>
      </c>
    </row>
    <row r="3544" spans="1:8" x14ac:dyDescent="0.25">
      <c r="A3544" t="s">
        <v>977</v>
      </c>
      <c r="B3544" t="s">
        <v>453</v>
      </c>
      <c r="C3544" s="5">
        <v>175818</v>
      </c>
      <c r="D3544" s="5">
        <v>329</v>
      </c>
      <c r="E3544">
        <v>151745</v>
      </c>
      <c r="F3544" s="4" t="s">
        <v>83</v>
      </c>
      <c r="G3544" t="s">
        <v>29</v>
      </c>
      <c r="H3544" t="s">
        <v>84</v>
      </c>
    </row>
    <row r="3545" spans="1:8" x14ac:dyDescent="0.25">
      <c r="A3545" t="s">
        <v>977</v>
      </c>
      <c r="B3545" t="s">
        <v>452</v>
      </c>
      <c r="C3545" s="5">
        <v>1165996</v>
      </c>
      <c r="D3545" s="5">
        <v>14993</v>
      </c>
      <c r="E3545">
        <v>919920</v>
      </c>
      <c r="F3545" s="4" t="s">
        <v>417</v>
      </c>
      <c r="G3545" t="s">
        <v>29</v>
      </c>
      <c r="H3545" t="s">
        <v>418</v>
      </c>
    </row>
    <row r="3546" spans="1:8" x14ac:dyDescent="0.25">
      <c r="A3546" t="s">
        <v>977</v>
      </c>
      <c r="B3546" t="s">
        <v>449</v>
      </c>
      <c r="C3546" s="5">
        <v>40433</v>
      </c>
      <c r="D3546" s="5">
        <v>3099</v>
      </c>
      <c r="E3546">
        <v>19013</v>
      </c>
      <c r="F3546" s="4" t="s">
        <v>632</v>
      </c>
      <c r="G3546" t="s">
        <v>29</v>
      </c>
      <c r="H3546" t="s">
        <v>633</v>
      </c>
    </row>
    <row r="3547" spans="1:8" x14ac:dyDescent="0.25">
      <c r="A3547" t="s">
        <v>977</v>
      </c>
      <c r="B3547" t="s">
        <v>446</v>
      </c>
      <c r="C3547" s="5">
        <v>22135</v>
      </c>
      <c r="D3547" s="5">
        <v>119</v>
      </c>
      <c r="E3547">
        <v>20721</v>
      </c>
      <c r="F3547" s="4" t="s">
        <v>919</v>
      </c>
      <c r="G3547" t="s">
        <v>29</v>
      </c>
      <c r="H3547" t="s">
        <v>920</v>
      </c>
    </row>
    <row r="3548" spans="1:8" x14ac:dyDescent="0.25">
      <c r="A3548" t="s">
        <v>977</v>
      </c>
      <c r="B3548" t="s">
        <v>445</v>
      </c>
      <c r="C3548" s="5">
        <v>20</v>
      </c>
      <c r="D3548" s="5">
        <v>0</v>
      </c>
      <c r="E3548">
        <v>5</v>
      </c>
      <c r="F3548" s="4" t="s">
        <v>29</v>
      </c>
      <c r="G3548" t="s">
        <v>29</v>
      </c>
      <c r="H3548" t="s">
        <v>291</v>
      </c>
    </row>
    <row r="3549" spans="1:8" x14ac:dyDescent="0.25">
      <c r="A3549" t="s">
        <v>977</v>
      </c>
      <c r="B3549" t="s">
        <v>444</v>
      </c>
      <c r="C3549" s="5">
        <v>548303</v>
      </c>
      <c r="D3549" s="5">
        <v>8780</v>
      </c>
      <c r="E3549">
        <v>226490</v>
      </c>
      <c r="F3549" s="4" t="s">
        <v>313</v>
      </c>
      <c r="G3549" t="s">
        <v>29</v>
      </c>
      <c r="H3549" t="s">
        <v>314</v>
      </c>
    </row>
    <row r="3550" spans="1:8" x14ac:dyDescent="0.25">
      <c r="A3550" t="s">
        <v>977</v>
      </c>
      <c r="B3550" t="s">
        <v>443</v>
      </c>
      <c r="C3550" s="5">
        <v>99431</v>
      </c>
      <c r="D3550" s="5">
        <v>1320</v>
      </c>
      <c r="E3550">
        <v>82609</v>
      </c>
      <c r="F3550" s="4" t="s">
        <v>59</v>
      </c>
      <c r="G3550" t="s">
        <v>29</v>
      </c>
      <c r="H3550" t="s">
        <v>60</v>
      </c>
    </row>
    <row r="3551" spans="1:8" x14ac:dyDescent="0.25">
      <c r="A3551" t="s">
        <v>977</v>
      </c>
      <c r="B3551" t="s">
        <v>440</v>
      </c>
      <c r="C3551" s="5">
        <v>8149946</v>
      </c>
      <c r="D3551" s="5">
        <v>227506</v>
      </c>
      <c r="E3551">
        <v>1229602</v>
      </c>
      <c r="F3551" s="4" t="s">
        <v>662</v>
      </c>
      <c r="G3551" t="s">
        <v>29</v>
      </c>
      <c r="H3551" t="s">
        <v>663</v>
      </c>
    </row>
    <row r="3552" spans="1:8" x14ac:dyDescent="0.25">
      <c r="A3552" t="s">
        <v>977</v>
      </c>
      <c r="B3552" t="s">
        <v>439</v>
      </c>
      <c r="C3552" s="5">
        <v>1104117</v>
      </c>
      <c r="D3552" s="5">
        <v>9571</v>
      </c>
      <c r="E3552">
        <v>805454</v>
      </c>
      <c r="F3552" s="4" t="s">
        <v>498</v>
      </c>
      <c r="G3552" t="s">
        <v>29</v>
      </c>
      <c r="H3552" t="s">
        <v>499</v>
      </c>
    </row>
    <row r="3553" spans="1:8" x14ac:dyDescent="0.25">
      <c r="A3553" t="s">
        <v>977</v>
      </c>
      <c r="B3553" t="s">
        <v>436</v>
      </c>
      <c r="C3553" s="5">
        <v>1571115</v>
      </c>
      <c r="D3553" s="5">
        <v>44980</v>
      </c>
      <c r="E3553">
        <v>578952</v>
      </c>
      <c r="F3553" s="4" t="s">
        <v>955</v>
      </c>
      <c r="G3553" t="s">
        <v>29</v>
      </c>
      <c r="H3553" t="s">
        <v>956</v>
      </c>
    </row>
    <row r="3554" spans="1:8" x14ac:dyDescent="0.25">
      <c r="A3554" t="s">
        <v>977</v>
      </c>
      <c r="B3554" t="s">
        <v>435</v>
      </c>
      <c r="C3554" s="5">
        <v>54438</v>
      </c>
      <c r="D3554" s="5">
        <v>372</v>
      </c>
      <c r="E3554">
        <v>31478</v>
      </c>
      <c r="F3554" s="4" t="s">
        <v>605</v>
      </c>
      <c r="G3554" t="s">
        <v>29</v>
      </c>
      <c r="H3554" t="s">
        <v>606</v>
      </c>
    </row>
    <row r="3555" spans="1:8" x14ac:dyDescent="0.25">
      <c r="A3555" t="s">
        <v>977</v>
      </c>
      <c r="B3555" t="s">
        <v>432</v>
      </c>
      <c r="C3555" s="5">
        <v>238640</v>
      </c>
      <c r="D3555" s="5">
        <v>609</v>
      </c>
      <c r="E3555">
        <v>120771</v>
      </c>
      <c r="F3555" s="4" t="s">
        <v>794</v>
      </c>
      <c r="G3555" t="s">
        <v>29</v>
      </c>
      <c r="H3555" t="s">
        <v>795</v>
      </c>
    </row>
    <row r="3556" spans="1:8" x14ac:dyDescent="0.25">
      <c r="A3556" t="s">
        <v>977</v>
      </c>
      <c r="B3556" t="s">
        <v>429</v>
      </c>
      <c r="C3556" s="5">
        <v>460754</v>
      </c>
      <c r="D3556" s="5">
        <v>16232</v>
      </c>
      <c r="E3556">
        <v>360009</v>
      </c>
      <c r="F3556" s="4" t="s">
        <v>353</v>
      </c>
      <c r="G3556" t="s">
        <v>29</v>
      </c>
      <c r="H3556" t="s">
        <v>354</v>
      </c>
    </row>
    <row r="3557" spans="1:8" x14ac:dyDescent="0.25">
      <c r="A3557" t="s">
        <v>977</v>
      </c>
      <c r="B3557" t="s">
        <v>428</v>
      </c>
      <c r="C3557" s="5">
        <v>8</v>
      </c>
      <c r="D3557" s="5">
        <v>0</v>
      </c>
      <c r="E3557">
        <v>8</v>
      </c>
      <c r="F3557" s="4" t="s">
        <v>29</v>
      </c>
      <c r="G3557" t="s">
        <v>29</v>
      </c>
      <c r="H3557" t="s">
        <v>291</v>
      </c>
    </row>
    <row r="3558" spans="1:8" x14ac:dyDescent="0.25">
      <c r="A3558" t="s">
        <v>977</v>
      </c>
      <c r="B3558" t="s">
        <v>427</v>
      </c>
      <c r="C3558" s="5">
        <v>1085451</v>
      </c>
      <c r="D3558" s="5">
        <v>18138</v>
      </c>
      <c r="E3558">
        <v>244284</v>
      </c>
      <c r="F3558" s="4" t="s">
        <v>827</v>
      </c>
      <c r="G3558" t="s">
        <v>29</v>
      </c>
      <c r="H3558" t="s">
        <v>828</v>
      </c>
    </row>
    <row r="3559" spans="1:8" x14ac:dyDescent="0.25">
      <c r="A3559" t="s">
        <v>977</v>
      </c>
      <c r="B3559" t="s">
        <v>426</v>
      </c>
      <c r="C3559" s="5">
        <v>451459</v>
      </c>
      <c r="D3559" s="5">
        <v>4636</v>
      </c>
      <c r="E3559">
        <v>328049</v>
      </c>
      <c r="F3559" s="4" t="s">
        <v>687</v>
      </c>
      <c r="G3559" t="s">
        <v>29</v>
      </c>
      <c r="H3559" t="s">
        <v>688</v>
      </c>
    </row>
    <row r="3560" spans="1:8" x14ac:dyDescent="0.25">
      <c r="A3560" t="s">
        <v>977</v>
      </c>
      <c r="B3560" t="s">
        <v>423</v>
      </c>
      <c r="C3560" s="5">
        <v>2975880</v>
      </c>
      <c r="D3560" s="5">
        <v>76447</v>
      </c>
      <c r="E3560">
        <v>1466856</v>
      </c>
      <c r="F3560" s="4" t="s">
        <v>555</v>
      </c>
      <c r="G3560" t="s">
        <v>29</v>
      </c>
      <c r="H3560" t="s">
        <v>556</v>
      </c>
    </row>
    <row r="3561" spans="1:8" x14ac:dyDescent="0.25">
      <c r="A3561" t="s">
        <v>977</v>
      </c>
      <c r="B3561" t="s">
        <v>420</v>
      </c>
      <c r="C3561" s="5">
        <v>1269806</v>
      </c>
      <c r="D3561" s="5">
        <v>28392</v>
      </c>
      <c r="E3561">
        <v>572792</v>
      </c>
      <c r="F3561" s="4" t="s">
        <v>603</v>
      </c>
      <c r="G3561" t="s">
        <v>29</v>
      </c>
      <c r="H3561" t="s">
        <v>604</v>
      </c>
    </row>
    <row r="3562" spans="1:8" x14ac:dyDescent="0.25">
      <c r="A3562" t="s">
        <v>977</v>
      </c>
      <c r="B3562" t="s">
        <v>419</v>
      </c>
      <c r="C3562" s="5">
        <v>2761307</v>
      </c>
      <c r="D3562" s="5">
        <v>41942</v>
      </c>
      <c r="E3562">
        <v>716455</v>
      </c>
      <c r="F3562" s="4" t="s">
        <v>589</v>
      </c>
      <c r="G3562" t="s">
        <v>29</v>
      </c>
      <c r="H3562" t="s">
        <v>590</v>
      </c>
    </row>
    <row r="3563" spans="1:8" x14ac:dyDescent="0.25">
      <c r="A3563" t="s">
        <v>977</v>
      </c>
      <c r="B3563" t="s">
        <v>416</v>
      </c>
      <c r="C3563" s="5">
        <v>27895</v>
      </c>
      <c r="D3563" s="5">
        <v>335</v>
      </c>
      <c r="E3563">
        <v>85</v>
      </c>
      <c r="F3563" s="4" t="s">
        <v>525</v>
      </c>
      <c r="G3563" t="s">
        <v>29</v>
      </c>
      <c r="H3563" t="s">
        <v>526</v>
      </c>
    </row>
    <row r="3564" spans="1:8" x14ac:dyDescent="0.25">
      <c r="A3564" t="s">
        <v>977</v>
      </c>
      <c r="B3564" t="s">
        <v>415</v>
      </c>
      <c r="C3564" s="5">
        <v>45506</v>
      </c>
      <c r="D3564" s="5">
        <v>635</v>
      </c>
      <c r="E3564">
        <v>22027</v>
      </c>
      <c r="F3564" s="4" t="s">
        <v>403</v>
      </c>
      <c r="G3564" t="s">
        <v>29</v>
      </c>
      <c r="H3564" t="s">
        <v>404</v>
      </c>
    </row>
    <row r="3565" spans="1:8" x14ac:dyDescent="0.25">
      <c r="A3565" t="s">
        <v>977</v>
      </c>
      <c r="B3565" t="s">
        <v>412</v>
      </c>
      <c r="C3565" s="5">
        <v>2196259</v>
      </c>
      <c r="D3565" s="5">
        <v>200083</v>
      </c>
      <c r="E3565">
        <v>1680094</v>
      </c>
      <c r="F3565" s="4" t="s">
        <v>930</v>
      </c>
      <c r="G3565" t="s">
        <v>29</v>
      </c>
      <c r="H3565" t="s">
        <v>931</v>
      </c>
    </row>
    <row r="3566" spans="1:8" x14ac:dyDescent="0.25">
      <c r="A3566" t="s">
        <v>977</v>
      </c>
      <c r="B3566" t="s">
        <v>411</v>
      </c>
      <c r="C3566" s="5">
        <v>471669</v>
      </c>
      <c r="D3566" s="5">
        <v>7310</v>
      </c>
      <c r="E3566">
        <v>459477</v>
      </c>
      <c r="F3566" s="4" t="s">
        <v>333</v>
      </c>
      <c r="G3566" t="s">
        <v>29</v>
      </c>
      <c r="H3566" t="s">
        <v>334</v>
      </c>
    </row>
    <row r="3567" spans="1:8" x14ac:dyDescent="0.25">
      <c r="A3567" t="s">
        <v>977</v>
      </c>
      <c r="B3567" t="s">
        <v>408</v>
      </c>
      <c r="C3567" s="5">
        <v>304183</v>
      </c>
      <c r="D3567" s="5">
        <v>4110</v>
      </c>
      <c r="E3567">
        <v>17413</v>
      </c>
      <c r="F3567" s="4" t="s">
        <v>409</v>
      </c>
      <c r="G3567" t="s">
        <v>29</v>
      </c>
      <c r="H3567" t="s">
        <v>410</v>
      </c>
    </row>
    <row r="3568" spans="1:8" x14ac:dyDescent="0.25">
      <c r="A3568" t="s">
        <v>977</v>
      </c>
      <c r="B3568" t="s">
        <v>405</v>
      </c>
      <c r="C3568" s="5">
        <v>5823</v>
      </c>
      <c r="D3568" s="5">
        <v>28</v>
      </c>
      <c r="E3568">
        <v>984</v>
      </c>
      <c r="F3568" s="4" t="s">
        <v>848</v>
      </c>
      <c r="G3568" t="s">
        <v>29</v>
      </c>
      <c r="H3568" t="s">
        <v>849</v>
      </c>
    </row>
    <row r="3569" spans="1:8" x14ac:dyDescent="0.25">
      <c r="A3569" t="s">
        <v>977</v>
      </c>
      <c r="B3569" t="s">
        <v>402</v>
      </c>
      <c r="C3569" s="5">
        <v>809729</v>
      </c>
      <c r="D3569" s="5">
        <v>11361</v>
      </c>
      <c r="E3569">
        <v>92123</v>
      </c>
      <c r="F3569" s="4" t="s">
        <v>403</v>
      </c>
      <c r="G3569" t="s">
        <v>29</v>
      </c>
      <c r="H3569" t="s">
        <v>404</v>
      </c>
    </row>
    <row r="3570" spans="1:8" x14ac:dyDescent="0.25">
      <c r="A3570" t="s">
        <v>977</v>
      </c>
      <c r="B3570" t="s">
        <v>399</v>
      </c>
      <c r="C3570" s="5">
        <v>201410</v>
      </c>
      <c r="D3570" s="5">
        <v>894</v>
      </c>
      <c r="E3570">
        <v>128573</v>
      </c>
      <c r="F3570" s="4" t="s">
        <v>871</v>
      </c>
      <c r="G3570" t="s">
        <v>29</v>
      </c>
      <c r="H3570" t="s">
        <v>872</v>
      </c>
    </row>
    <row r="3571" spans="1:8" x14ac:dyDescent="0.25">
      <c r="A3571" t="s">
        <v>977</v>
      </c>
      <c r="B3571" t="s">
        <v>396</v>
      </c>
      <c r="C3571" s="5">
        <v>2127556</v>
      </c>
      <c r="D3571" s="5">
        <v>18758</v>
      </c>
      <c r="E3571">
        <v>1578559</v>
      </c>
      <c r="F3571" s="4" t="s">
        <v>609</v>
      </c>
      <c r="G3571" t="s">
        <v>29</v>
      </c>
      <c r="H3571" t="s">
        <v>610</v>
      </c>
    </row>
    <row r="3572" spans="1:8" x14ac:dyDescent="0.25">
      <c r="A3572" t="s">
        <v>977</v>
      </c>
      <c r="B3572" t="s">
        <v>393</v>
      </c>
      <c r="C3572" s="5">
        <v>16241</v>
      </c>
      <c r="D3572" s="5">
        <v>207</v>
      </c>
      <c r="E3572">
        <v>6408</v>
      </c>
      <c r="F3572" s="4" t="s">
        <v>53</v>
      </c>
      <c r="G3572" t="s">
        <v>29</v>
      </c>
      <c r="H3572" t="s">
        <v>54</v>
      </c>
    </row>
    <row r="3573" spans="1:8" x14ac:dyDescent="0.25">
      <c r="A3573" t="s">
        <v>977</v>
      </c>
      <c r="B3573" t="s">
        <v>390</v>
      </c>
      <c r="C3573" s="5">
        <v>211171</v>
      </c>
      <c r="D3573" s="5">
        <v>2884</v>
      </c>
      <c r="E3573">
        <v>56179</v>
      </c>
      <c r="F3573" s="4" t="s">
        <v>391</v>
      </c>
      <c r="G3573" t="s">
        <v>29</v>
      </c>
      <c r="H3573" t="s">
        <v>392</v>
      </c>
    </row>
    <row r="3574" spans="1:8" x14ac:dyDescent="0.25">
      <c r="A3574" t="s">
        <v>977</v>
      </c>
      <c r="B3574" t="s">
        <v>387</v>
      </c>
      <c r="C3574" s="5">
        <v>6260</v>
      </c>
      <c r="D3574" s="5">
        <v>208</v>
      </c>
      <c r="E3574">
        <v>5734</v>
      </c>
      <c r="F3574" s="4" t="s">
        <v>965</v>
      </c>
      <c r="G3574" t="s">
        <v>29</v>
      </c>
      <c r="H3574" t="s">
        <v>966</v>
      </c>
    </row>
    <row r="3575" spans="1:8" x14ac:dyDescent="0.25">
      <c r="A3575" t="s">
        <v>977</v>
      </c>
      <c r="B3575" t="s">
        <v>386</v>
      </c>
      <c r="C3575" s="5">
        <v>10553</v>
      </c>
      <c r="D3575" s="5">
        <v>261</v>
      </c>
      <c r="E3575">
        <v>6413</v>
      </c>
      <c r="F3575" s="4" t="s">
        <v>961</v>
      </c>
      <c r="G3575" t="s">
        <v>29</v>
      </c>
      <c r="H3575" t="s">
        <v>962</v>
      </c>
    </row>
    <row r="3576" spans="1:8" x14ac:dyDescent="0.25">
      <c r="A3576" t="s">
        <v>977</v>
      </c>
      <c r="B3576" t="s">
        <v>383</v>
      </c>
      <c r="C3576" s="5">
        <v>128849</v>
      </c>
      <c r="D3576" s="5">
        <v>3550</v>
      </c>
      <c r="E3576">
        <v>38864</v>
      </c>
      <c r="F3576" s="4" t="s">
        <v>384</v>
      </c>
      <c r="G3576" t="s">
        <v>29</v>
      </c>
      <c r="H3576" t="s">
        <v>385</v>
      </c>
    </row>
    <row r="3577" spans="1:8" x14ac:dyDescent="0.25">
      <c r="A3577" t="s">
        <v>977</v>
      </c>
      <c r="B3577" t="s">
        <v>380</v>
      </c>
      <c r="C3577" s="5">
        <v>151226</v>
      </c>
      <c r="D3577" s="5">
        <v>1928</v>
      </c>
      <c r="E3577">
        <v>12031</v>
      </c>
      <c r="F3577" s="4" t="s">
        <v>53</v>
      </c>
      <c r="G3577" t="s">
        <v>29</v>
      </c>
      <c r="H3577" t="s">
        <v>54</v>
      </c>
    </row>
    <row r="3578" spans="1:8" x14ac:dyDescent="0.25">
      <c r="A3578" t="s">
        <v>977</v>
      </c>
      <c r="B3578" t="s">
        <v>377</v>
      </c>
      <c r="C3578" s="5">
        <v>2436498</v>
      </c>
      <c r="D3578" s="5">
        <v>28492</v>
      </c>
      <c r="E3578">
        <v>232991</v>
      </c>
      <c r="F3578" s="4" t="s">
        <v>378</v>
      </c>
      <c r="G3578" t="s">
        <v>29</v>
      </c>
      <c r="H3578" t="s">
        <v>379</v>
      </c>
    </row>
    <row r="3579" spans="1:8" x14ac:dyDescent="0.25">
      <c r="A3579" t="s">
        <v>977</v>
      </c>
      <c r="B3579" t="s">
        <v>374</v>
      </c>
      <c r="C3579" s="5">
        <v>3784448</v>
      </c>
      <c r="D3579" s="5">
        <v>286496</v>
      </c>
      <c r="E3579">
        <v>873237</v>
      </c>
      <c r="F3579" s="4" t="s">
        <v>375</v>
      </c>
      <c r="G3579" t="s">
        <v>29</v>
      </c>
      <c r="H3579" t="s">
        <v>376</v>
      </c>
    </row>
    <row r="3580" spans="1:8" x14ac:dyDescent="0.25">
      <c r="A3580" t="s">
        <v>977</v>
      </c>
      <c r="B3580" t="s">
        <v>371</v>
      </c>
      <c r="C3580" s="5">
        <v>61765</v>
      </c>
      <c r="D3580" s="5">
        <v>2296</v>
      </c>
      <c r="E3580">
        <v>37059</v>
      </c>
      <c r="F3580" s="4" t="s">
        <v>372</v>
      </c>
      <c r="G3580" t="s">
        <v>29</v>
      </c>
      <c r="H3580" t="s">
        <v>373</v>
      </c>
    </row>
    <row r="3581" spans="1:8" x14ac:dyDescent="0.25">
      <c r="A3581" t="s">
        <v>977</v>
      </c>
      <c r="B3581" t="s">
        <v>368</v>
      </c>
      <c r="C3581" s="5">
        <v>87071</v>
      </c>
      <c r="D3581" s="5">
        <v>240</v>
      </c>
      <c r="E3581">
        <v>38886</v>
      </c>
      <c r="F3581" s="4" t="s">
        <v>369</v>
      </c>
      <c r="G3581" t="s">
        <v>29</v>
      </c>
      <c r="H3581" t="s">
        <v>370</v>
      </c>
    </row>
    <row r="3582" spans="1:8" x14ac:dyDescent="0.25">
      <c r="A3582" t="s">
        <v>977</v>
      </c>
      <c r="B3582" t="s">
        <v>367</v>
      </c>
      <c r="C3582" s="5">
        <v>17143</v>
      </c>
      <c r="D3582" s="5">
        <v>153</v>
      </c>
      <c r="E3582">
        <v>1179</v>
      </c>
      <c r="F3582" s="4" t="s">
        <v>65</v>
      </c>
      <c r="G3582" t="s">
        <v>29</v>
      </c>
      <c r="H3582" t="s">
        <v>66</v>
      </c>
    </row>
    <row r="3583" spans="1:8" x14ac:dyDescent="0.25">
      <c r="A3583" t="s">
        <v>977</v>
      </c>
      <c r="B3583" t="s">
        <v>364</v>
      </c>
      <c r="C3583" s="5">
        <v>37564</v>
      </c>
      <c r="D3583" s="5">
        <v>460</v>
      </c>
      <c r="E3583">
        <v>24619</v>
      </c>
      <c r="F3583" s="4" t="s">
        <v>365</v>
      </c>
      <c r="G3583" t="s">
        <v>29</v>
      </c>
      <c r="H3583" t="s">
        <v>366</v>
      </c>
    </row>
    <row r="3584" spans="1:8" x14ac:dyDescent="0.25">
      <c r="A3584" t="s">
        <v>977</v>
      </c>
      <c r="B3584" t="s">
        <v>363</v>
      </c>
      <c r="C3584" s="5">
        <v>36989</v>
      </c>
      <c r="D3584" s="5">
        <v>792</v>
      </c>
      <c r="E3584">
        <v>14720</v>
      </c>
      <c r="F3584" s="4" t="s">
        <v>823</v>
      </c>
      <c r="G3584" t="s">
        <v>29</v>
      </c>
      <c r="H3584" t="s">
        <v>824</v>
      </c>
    </row>
    <row r="3585" spans="1:8" x14ac:dyDescent="0.25">
      <c r="A3585" t="s">
        <v>977</v>
      </c>
      <c r="B3585" t="s">
        <v>360</v>
      </c>
      <c r="C3585" s="5">
        <v>42820</v>
      </c>
      <c r="D3585" s="5">
        <v>673</v>
      </c>
      <c r="E3585">
        <v>32760</v>
      </c>
      <c r="F3585" s="4" t="s">
        <v>217</v>
      </c>
      <c r="G3585" t="s">
        <v>29</v>
      </c>
      <c r="H3585" t="s">
        <v>218</v>
      </c>
    </row>
    <row r="3586" spans="1:8" x14ac:dyDescent="0.25">
      <c r="A3586" t="s">
        <v>977</v>
      </c>
      <c r="B3586" t="s">
        <v>359</v>
      </c>
      <c r="C3586" s="5">
        <v>77</v>
      </c>
      <c r="D3586" s="5">
        <v>0</v>
      </c>
      <c r="E3586">
        <v>17</v>
      </c>
      <c r="F3586" s="4" t="s">
        <v>29</v>
      </c>
      <c r="G3586" t="s">
        <v>29</v>
      </c>
      <c r="H3586" t="s">
        <v>291</v>
      </c>
    </row>
    <row r="3587" spans="1:8" x14ac:dyDescent="0.25">
      <c r="A3587" t="s">
        <v>977</v>
      </c>
      <c r="B3587" t="s">
        <v>358</v>
      </c>
      <c r="C3587" s="5">
        <v>351835</v>
      </c>
      <c r="D3587" s="5">
        <v>1677</v>
      </c>
      <c r="E3587">
        <v>194085</v>
      </c>
      <c r="F3587" s="4" t="s">
        <v>848</v>
      </c>
      <c r="G3587" t="s">
        <v>29</v>
      </c>
      <c r="H3587" t="s">
        <v>849</v>
      </c>
    </row>
    <row r="3588" spans="1:8" x14ac:dyDescent="0.25">
      <c r="A3588" t="s">
        <v>977</v>
      </c>
      <c r="B3588" t="s">
        <v>355</v>
      </c>
      <c r="C3588" s="5">
        <v>494974</v>
      </c>
      <c r="D3588" s="5">
        <v>18560</v>
      </c>
      <c r="E3588">
        <v>253187</v>
      </c>
      <c r="F3588" s="4" t="s">
        <v>963</v>
      </c>
      <c r="G3588" t="s">
        <v>29</v>
      </c>
      <c r="H3588" t="s">
        <v>964</v>
      </c>
    </row>
    <row r="3589" spans="1:8" x14ac:dyDescent="0.25">
      <c r="A3589" t="s">
        <v>977</v>
      </c>
      <c r="B3589" t="s">
        <v>352</v>
      </c>
      <c r="C3589" s="5">
        <v>15866</v>
      </c>
      <c r="D3589" s="5">
        <v>559</v>
      </c>
      <c r="E3589">
        <v>10806</v>
      </c>
      <c r="F3589" s="4" t="s">
        <v>353</v>
      </c>
      <c r="G3589" t="s">
        <v>29</v>
      </c>
      <c r="H3589" t="s">
        <v>354</v>
      </c>
    </row>
    <row r="3590" spans="1:8" x14ac:dyDescent="0.25">
      <c r="A3590" t="s">
        <v>977</v>
      </c>
      <c r="B3590" t="s">
        <v>349</v>
      </c>
      <c r="C3590" s="5">
        <v>199901</v>
      </c>
      <c r="D3590" s="5">
        <v>7062</v>
      </c>
      <c r="E3590">
        <v>107805</v>
      </c>
      <c r="F3590" s="4" t="s">
        <v>430</v>
      </c>
      <c r="G3590" t="s">
        <v>29</v>
      </c>
      <c r="H3590" t="s">
        <v>431</v>
      </c>
    </row>
    <row r="3591" spans="1:8" x14ac:dyDescent="0.25">
      <c r="A3591" t="s">
        <v>977</v>
      </c>
      <c r="B3591" t="s">
        <v>348</v>
      </c>
      <c r="C3591" s="5">
        <v>4</v>
      </c>
      <c r="D3591" s="5">
        <v>0</v>
      </c>
      <c r="E3591">
        <v>1</v>
      </c>
      <c r="F3591" s="4" t="s">
        <v>29</v>
      </c>
      <c r="G3591" t="s">
        <v>29</v>
      </c>
      <c r="H3591" t="s">
        <v>291</v>
      </c>
    </row>
    <row r="3592" spans="1:8" x14ac:dyDescent="0.25">
      <c r="A3592" t="s">
        <v>977</v>
      </c>
      <c r="B3592" t="s">
        <v>347</v>
      </c>
      <c r="C3592" s="5">
        <v>43622</v>
      </c>
      <c r="D3592" s="5">
        <v>960</v>
      </c>
      <c r="E3592">
        <v>32928</v>
      </c>
      <c r="F3592" s="4" t="s">
        <v>969</v>
      </c>
      <c r="G3592" t="s">
        <v>29</v>
      </c>
      <c r="H3592" t="s">
        <v>970</v>
      </c>
    </row>
    <row r="3593" spans="1:8" x14ac:dyDescent="0.25">
      <c r="A3593" t="s">
        <v>977</v>
      </c>
      <c r="B3593" t="s">
        <v>344</v>
      </c>
      <c r="C3593" s="5">
        <v>3888</v>
      </c>
      <c r="D3593" s="5">
        <v>55</v>
      </c>
      <c r="E3593">
        <v>372</v>
      </c>
      <c r="F3593" s="4" t="s">
        <v>345</v>
      </c>
      <c r="G3593" t="s">
        <v>29</v>
      </c>
      <c r="H3593" t="s">
        <v>346</v>
      </c>
    </row>
    <row r="3594" spans="1:8" x14ac:dyDescent="0.25">
      <c r="A3594" t="s">
        <v>977</v>
      </c>
      <c r="B3594" t="s">
        <v>341</v>
      </c>
      <c r="C3594" s="5">
        <v>141292</v>
      </c>
      <c r="D3594" s="5">
        <v>2071</v>
      </c>
      <c r="E3594">
        <v>14653</v>
      </c>
      <c r="F3594" s="4" t="s">
        <v>777</v>
      </c>
      <c r="G3594" t="s">
        <v>29</v>
      </c>
      <c r="H3594" t="s">
        <v>778</v>
      </c>
    </row>
    <row r="3595" spans="1:8" x14ac:dyDescent="0.25">
      <c r="A3595" t="s">
        <v>977</v>
      </c>
      <c r="B3595" t="s">
        <v>338</v>
      </c>
      <c r="C3595" s="5">
        <v>329294</v>
      </c>
      <c r="D3595" s="5">
        <v>7535</v>
      </c>
      <c r="E3595">
        <v>232599</v>
      </c>
      <c r="F3595" s="4" t="s">
        <v>528</v>
      </c>
      <c r="G3595" t="s">
        <v>29</v>
      </c>
      <c r="H3595" t="s">
        <v>529</v>
      </c>
    </row>
    <row r="3596" spans="1:8" x14ac:dyDescent="0.25">
      <c r="A3596" t="s">
        <v>977</v>
      </c>
      <c r="B3596" t="s">
        <v>335</v>
      </c>
      <c r="C3596" s="5">
        <v>3394</v>
      </c>
      <c r="D3596" s="5">
        <v>36</v>
      </c>
      <c r="E3596">
        <v>401</v>
      </c>
      <c r="F3596" s="4" t="s">
        <v>165</v>
      </c>
      <c r="G3596" t="s">
        <v>29</v>
      </c>
      <c r="H3596" t="s">
        <v>166</v>
      </c>
    </row>
    <row r="3597" spans="1:8" x14ac:dyDescent="0.25">
      <c r="A3597" t="s">
        <v>977</v>
      </c>
      <c r="B3597" t="s">
        <v>332</v>
      </c>
      <c r="C3597" s="5">
        <v>944378</v>
      </c>
      <c r="D3597" s="5">
        <v>14621</v>
      </c>
      <c r="E3597">
        <v>383863</v>
      </c>
      <c r="F3597" s="4" t="s">
        <v>333</v>
      </c>
      <c r="G3597" t="s">
        <v>29</v>
      </c>
      <c r="H3597" t="s">
        <v>334</v>
      </c>
    </row>
    <row r="3598" spans="1:8" x14ac:dyDescent="0.25">
      <c r="A3598" t="s">
        <v>977</v>
      </c>
      <c r="B3598" t="s">
        <v>329</v>
      </c>
      <c r="C3598" s="5">
        <v>354215</v>
      </c>
      <c r="D3598" s="5">
        <v>5028</v>
      </c>
      <c r="E3598">
        <v>163425</v>
      </c>
      <c r="F3598" s="4" t="s">
        <v>640</v>
      </c>
      <c r="G3598" t="s">
        <v>29</v>
      </c>
      <c r="H3598" t="s">
        <v>641</v>
      </c>
    </row>
    <row r="3599" spans="1:8" x14ac:dyDescent="0.25">
      <c r="A3599" t="s">
        <v>977</v>
      </c>
      <c r="B3599" t="s">
        <v>328</v>
      </c>
      <c r="C3599" s="5">
        <v>203460</v>
      </c>
      <c r="D3599" s="5">
        <v>3049</v>
      </c>
      <c r="E3599">
        <v>21489</v>
      </c>
      <c r="F3599" s="4" t="s">
        <v>226</v>
      </c>
      <c r="G3599" t="s">
        <v>29</v>
      </c>
      <c r="H3599" t="s">
        <v>227</v>
      </c>
    </row>
    <row r="3600" spans="1:8" x14ac:dyDescent="0.25">
      <c r="A3600" t="s">
        <v>977</v>
      </c>
      <c r="B3600" t="s">
        <v>325</v>
      </c>
      <c r="C3600" s="5">
        <v>80603</v>
      </c>
      <c r="D3600" s="5">
        <v>842</v>
      </c>
      <c r="E3600">
        <v>47311</v>
      </c>
      <c r="F3600" s="4" t="s">
        <v>336</v>
      </c>
      <c r="G3600" t="s">
        <v>29</v>
      </c>
      <c r="H3600" t="s">
        <v>337</v>
      </c>
    </row>
    <row r="3601" spans="1:8" x14ac:dyDescent="0.25">
      <c r="A3601" t="s">
        <v>977</v>
      </c>
      <c r="B3601" t="s">
        <v>322</v>
      </c>
      <c r="C3601" s="5">
        <v>390031</v>
      </c>
      <c r="D3601" s="5">
        <v>5661</v>
      </c>
      <c r="E3601">
        <v>260464</v>
      </c>
      <c r="F3601" s="4" t="s">
        <v>342</v>
      </c>
      <c r="G3601" t="s">
        <v>29</v>
      </c>
      <c r="H3601" t="s">
        <v>343</v>
      </c>
    </row>
    <row r="3602" spans="1:8" x14ac:dyDescent="0.25">
      <c r="A3602" t="s">
        <v>977</v>
      </c>
      <c r="B3602" t="s">
        <v>319</v>
      </c>
      <c r="C3602" s="5">
        <v>21587</v>
      </c>
      <c r="D3602" s="5">
        <v>656</v>
      </c>
      <c r="E3602">
        <v>20789</v>
      </c>
      <c r="F3602" s="4" t="s">
        <v>320</v>
      </c>
      <c r="G3602" t="s">
        <v>29</v>
      </c>
      <c r="H3602" t="s">
        <v>321</v>
      </c>
    </row>
    <row r="3603" spans="1:8" x14ac:dyDescent="0.25">
      <c r="A3603" t="s">
        <v>977</v>
      </c>
      <c r="B3603" t="s">
        <v>316</v>
      </c>
      <c r="C3603" s="5">
        <v>5811</v>
      </c>
      <c r="D3603" s="5">
        <v>287</v>
      </c>
      <c r="E3603">
        <v>1894</v>
      </c>
      <c r="F3603" s="4" t="s">
        <v>644</v>
      </c>
      <c r="G3603" t="s">
        <v>29</v>
      </c>
      <c r="H3603" t="s">
        <v>645</v>
      </c>
    </row>
    <row r="3604" spans="1:8" x14ac:dyDescent="0.25">
      <c r="A3604" t="s">
        <v>977</v>
      </c>
      <c r="B3604" t="s">
        <v>315</v>
      </c>
      <c r="C3604" s="5">
        <v>536645</v>
      </c>
      <c r="D3604" s="5">
        <v>13640</v>
      </c>
      <c r="E3604">
        <v>302692</v>
      </c>
      <c r="F3604" s="4" t="s">
        <v>141</v>
      </c>
      <c r="G3604" t="s">
        <v>29</v>
      </c>
      <c r="H3604" t="s">
        <v>142</v>
      </c>
    </row>
    <row r="3605" spans="1:8" x14ac:dyDescent="0.25">
      <c r="A3605" t="s">
        <v>977</v>
      </c>
      <c r="B3605" t="s">
        <v>312</v>
      </c>
      <c r="C3605" s="5">
        <v>3629</v>
      </c>
      <c r="D3605" s="5">
        <v>60</v>
      </c>
      <c r="E3605">
        <v>2584</v>
      </c>
      <c r="F3605" s="4" t="s">
        <v>691</v>
      </c>
      <c r="G3605" t="s">
        <v>29</v>
      </c>
      <c r="H3605" t="s">
        <v>692</v>
      </c>
    </row>
    <row r="3606" spans="1:8" x14ac:dyDescent="0.25">
      <c r="A3606" t="s">
        <v>977</v>
      </c>
      <c r="B3606" t="s">
        <v>309</v>
      </c>
      <c r="C3606" s="5">
        <v>12433</v>
      </c>
      <c r="D3606" s="5">
        <v>250</v>
      </c>
      <c r="E3606">
        <v>12138</v>
      </c>
      <c r="F3606" s="4" t="s">
        <v>656</v>
      </c>
      <c r="G3606" t="s">
        <v>29</v>
      </c>
      <c r="H3606" t="s">
        <v>657</v>
      </c>
    </row>
    <row r="3607" spans="1:8" x14ac:dyDescent="0.25">
      <c r="A3607" t="s">
        <v>977</v>
      </c>
      <c r="B3607" t="s">
        <v>306</v>
      </c>
      <c r="C3607" s="5">
        <v>638054</v>
      </c>
      <c r="D3607" s="5">
        <v>8459</v>
      </c>
      <c r="E3607">
        <v>180731</v>
      </c>
      <c r="F3607" s="4" t="s">
        <v>59</v>
      </c>
      <c r="G3607" t="s">
        <v>29</v>
      </c>
      <c r="H3607" t="s">
        <v>60</v>
      </c>
    </row>
    <row r="3608" spans="1:8" x14ac:dyDescent="0.25">
      <c r="A3608" t="s">
        <v>977</v>
      </c>
      <c r="B3608" t="s">
        <v>303</v>
      </c>
      <c r="C3608" s="5">
        <v>36248</v>
      </c>
      <c r="D3608" s="5">
        <v>53</v>
      </c>
      <c r="E3608">
        <v>20086</v>
      </c>
      <c r="F3608" s="4" t="s">
        <v>915</v>
      </c>
      <c r="G3608" t="s">
        <v>29</v>
      </c>
      <c r="H3608" t="s">
        <v>916</v>
      </c>
    </row>
    <row r="3609" spans="1:8" x14ac:dyDescent="0.25">
      <c r="A3609" t="s">
        <v>977</v>
      </c>
      <c r="B3609" t="s">
        <v>302</v>
      </c>
      <c r="C3609" s="5">
        <v>1009918</v>
      </c>
      <c r="D3609" s="5">
        <v>16957</v>
      </c>
      <c r="E3609">
        <v>933010</v>
      </c>
      <c r="F3609" s="4" t="s">
        <v>116</v>
      </c>
      <c r="G3609" t="s">
        <v>29</v>
      </c>
      <c r="H3609" t="s">
        <v>117</v>
      </c>
    </row>
    <row r="3610" spans="1:8" x14ac:dyDescent="0.25">
      <c r="A3610" t="s">
        <v>977</v>
      </c>
      <c r="B3610" t="s">
        <v>299</v>
      </c>
      <c r="C3610" s="5">
        <v>412557</v>
      </c>
      <c r="D3610" s="5">
        <v>2461</v>
      </c>
      <c r="E3610">
        <v>132935</v>
      </c>
      <c r="F3610" s="4" t="s">
        <v>300</v>
      </c>
      <c r="G3610" t="s">
        <v>29</v>
      </c>
      <c r="H3610" t="s">
        <v>301</v>
      </c>
    </row>
    <row r="3611" spans="1:8" x14ac:dyDescent="0.25">
      <c r="A3611" t="s">
        <v>977</v>
      </c>
      <c r="B3611" t="s">
        <v>296</v>
      </c>
      <c r="C3611" s="5">
        <v>354355</v>
      </c>
      <c r="D3611" s="5">
        <v>2788</v>
      </c>
      <c r="E3611">
        <v>214177</v>
      </c>
      <c r="F3611" s="4" t="s">
        <v>174</v>
      </c>
      <c r="G3611" t="s">
        <v>29</v>
      </c>
      <c r="H3611" t="s">
        <v>175</v>
      </c>
    </row>
    <row r="3612" spans="1:8" x14ac:dyDescent="0.25">
      <c r="A3612" t="s">
        <v>977</v>
      </c>
      <c r="B3612" t="s">
        <v>293</v>
      </c>
      <c r="C3612" s="5">
        <v>2637</v>
      </c>
      <c r="D3612" s="5">
        <v>21</v>
      </c>
      <c r="E3612">
        <v>1539</v>
      </c>
      <c r="F3612" s="4" t="s">
        <v>942</v>
      </c>
      <c r="G3612" t="s">
        <v>29</v>
      </c>
      <c r="H3612" t="s">
        <v>943</v>
      </c>
    </row>
    <row r="3613" spans="1:8" x14ac:dyDescent="0.25">
      <c r="A3613" t="s">
        <v>977</v>
      </c>
      <c r="B3613" t="s">
        <v>292</v>
      </c>
      <c r="C3613" s="5">
        <v>4219</v>
      </c>
      <c r="D3613" s="5">
        <v>147</v>
      </c>
      <c r="E3613">
        <v>2839</v>
      </c>
      <c r="F3613" s="4" t="s">
        <v>982</v>
      </c>
      <c r="G3613" t="s">
        <v>29</v>
      </c>
      <c r="H3613" t="s">
        <v>983</v>
      </c>
    </row>
    <row r="3614" spans="1:8" x14ac:dyDescent="0.25">
      <c r="A3614" t="s">
        <v>977</v>
      </c>
      <c r="B3614" t="s">
        <v>287</v>
      </c>
      <c r="C3614" s="5">
        <v>117888</v>
      </c>
      <c r="D3614" s="5">
        <v>2743</v>
      </c>
      <c r="E3614">
        <v>47887</v>
      </c>
      <c r="F3614" s="4" t="s">
        <v>581</v>
      </c>
      <c r="G3614" t="s">
        <v>29</v>
      </c>
      <c r="H3614" t="s">
        <v>582</v>
      </c>
    </row>
    <row r="3615" spans="1:8" x14ac:dyDescent="0.25">
      <c r="A3615" t="s">
        <v>977</v>
      </c>
      <c r="B3615" t="s">
        <v>290</v>
      </c>
      <c r="C3615" s="5">
        <v>2</v>
      </c>
      <c r="D3615" s="5">
        <v>0</v>
      </c>
      <c r="E3615">
        <v>2</v>
      </c>
      <c r="F3615" s="4" t="s">
        <v>29</v>
      </c>
      <c r="G3615" t="s">
        <v>29</v>
      </c>
      <c r="H3615" t="s">
        <v>291</v>
      </c>
    </row>
    <row r="3616" spans="1:8" x14ac:dyDescent="0.25">
      <c r="A3616" t="s">
        <v>977</v>
      </c>
      <c r="B3616" t="s">
        <v>284</v>
      </c>
      <c r="C3616" s="5">
        <v>180629</v>
      </c>
      <c r="D3616" s="5">
        <v>2655</v>
      </c>
      <c r="E3616">
        <v>122075</v>
      </c>
      <c r="F3616" s="4" t="s">
        <v>777</v>
      </c>
      <c r="G3616" t="s">
        <v>29</v>
      </c>
      <c r="H3616" t="s">
        <v>778</v>
      </c>
    </row>
    <row r="3617" spans="1:8" x14ac:dyDescent="0.25">
      <c r="A3617" t="s">
        <v>977</v>
      </c>
      <c r="B3617" t="s">
        <v>281</v>
      </c>
      <c r="C3617" s="5">
        <v>252688</v>
      </c>
      <c r="D3617" s="5">
        <v>5260</v>
      </c>
      <c r="E3617">
        <v>63406</v>
      </c>
      <c r="F3617" s="4" t="s">
        <v>549</v>
      </c>
      <c r="G3617" t="s">
        <v>29</v>
      </c>
      <c r="H3617" t="s">
        <v>550</v>
      </c>
    </row>
    <row r="3618" spans="1:8" x14ac:dyDescent="0.25">
      <c r="A3618" t="s">
        <v>977</v>
      </c>
      <c r="B3618" t="s">
        <v>280</v>
      </c>
      <c r="C3618" s="5">
        <v>1717851</v>
      </c>
      <c r="D3618" s="5">
        <v>18214</v>
      </c>
      <c r="E3618">
        <v>454206</v>
      </c>
      <c r="F3618" s="4" t="s">
        <v>165</v>
      </c>
      <c r="G3618" t="s">
        <v>29</v>
      </c>
      <c r="H3618" t="s">
        <v>166</v>
      </c>
    </row>
    <row r="3619" spans="1:8" x14ac:dyDescent="0.25">
      <c r="A3619" t="s">
        <v>977</v>
      </c>
      <c r="B3619" t="s">
        <v>279</v>
      </c>
      <c r="C3619" s="5">
        <v>853012</v>
      </c>
      <c r="D3619" s="5">
        <v>10965</v>
      </c>
      <c r="E3619">
        <v>226398</v>
      </c>
      <c r="F3619" s="4" t="s">
        <v>417</v>
      </c>
      <c r="G3619" t="s">
        <v>29</v>
      </c>
      <c r="H3619" t="s">
        <v>418</v>
      </c>
    </row>
    <row r="3620" spans="1:8" x14ac:dyDescent="0.25">
      <c r="A3620" t="s">
        <v>977</v>
      </c>
      <c r="B3620" t="s">
        <v>278</v>
      </c>
      <c r="C3620" s="5">
        <v>88431</v>
      </c>
      <c r="D3620" s="5">
        <v>2183</v>
      </c>
      <c r="E3620">
        <v>50463</v>
      </c>
      <c r="F3620" s="4" t="s">
        <v>961</v>
      </c>
      <c r="G3620" t="s">
        <v>29</v>
      </c>
      <c r="H3620" t="s">
        <v>962</v>
      </c>
    </row>
    <row r="3621" spans="1:8" x14ac:dyDescent="0.25">
      <c r="A3621" t="s">
        <v>977</v>
      </c>
      <c r="B3621" t="s">
        <v>275</v>
      </c>
      <c r="C3621" s="5">
        <v>4743720</v>
      </c>
      <c r="D3621" s="5">
        <v>131856</v>
      </c>
      <c r="E3621">
        <v>2265122</v>
      </c>
      <c r="F3621" s="4" t="s">
        <v>98</v>
      </c>
      <c r="G3621" t="s">
        <v>29</v>
      </c>
      <c r="H3621" t="s">
        <v>99</v>
      </c>
    </row>
    <row r="3622" spans="1:8" x14ac:dyDescent="0.25">
      <c r="A3622" t="s">
        <v>977</v>
      </c>
      <c r="B3622" t="s">
        <v>272</v>
      </c>
      <c r="C3622" s="5">
        <v>13142</v>
      </c>
      <c r="D3622" s="5">
        <v>33</v>
      </c>
      <c r="E3622">
        <v>2263</v>
      </c>
      <c r="F3622" s="4" t="s">
        <v>433</v>
      </c>
      <c r="G3622" t="s">
        <v>29</v>
      </c>
      <c r="H3622" t="s">
        <v>434</v>
      </c>
    </row>
    <row r="3623" spans="1:8" x14ac:dyDescent="0.25">
      <c r="A3623" t="s">
        <v>977</v>
      </c>
      <c r="B3623" t="s">
        <v>269</v>
      </c>
      <c r="C3623" s="5">
        <v>5868360</v>
      </c>
      <c r="D3623" s="5">
        <v>125363</v>
      </c>
      <c r="E3623">
        <v>3452389</v>
      </c>
      <c r="F3623" s="4" t="s">
        <v>823</v>
      </c>
      <c r="G3623" t="s">
        <v>29</v>
      </c>
      <c r="H3623" t="s">
        <v>824</v>
      </c>
    </row>
    <row r="3624" spans="1:8" x14ac:dyDescent="0.25">
      <c r="A3624" t="s">
        <v>977</v>
      </c>
      <c r="B3624" t="s">
        <v>266</v>
      </c>
      <c r="C3624" s="5">
        <v>2047811</v>
      </c>
      <c r="D3624" s="5">
        <v>22993</v>
      </c>
      <c r="E3624">
        <v>1086150</v>
      </c>
      <c r="F3624" s="4" t="s">
        <v>911</v>
      </c>
      <c r="G3624" t="s">
        <v>29</v>
      </c>
      <c r="H3624" t="s">
        <v>912</v>
      </c>
    </row>
    <row r="3625" spans="1:8" x14ac:dyDescent="0.25">
      <c r="A3625" t="s">
        <v>977</v>
      </c>
      <c r="B3625" t="s">
        <v>263</v>
      </c>
      <c r="C3625" s="5">
        <v>34202202</v>
      </c>
      <c r="D3625" s="5">
        <v>455068</v>
      </c>
      <c r="E3625">
        <v>22931491</v>
      </c>
      <c r="F3625" s="4" t="s">
        <v>59</v>
      </c>
      <c r="G3625" t="s">
        <v>29</v>
      </c>
      <c r="H3625" t="s">
        <v>60</v>
      </c>
    </row>
    <row r="3626" spans="1:8" x14ac:dyDescent="0.25">
      <c r="A3626" t="s">
        <v>977</v>
      </c>
      <c r="B3626" t="s">
        <v>260</v>
      </c>
      <c r="C3626" s="5">
        <v>1324040</v>
      </c>
      <c r="D3626" s="5">
        <v>8062</v>
      </c>
      <c r="E3626">
        <v>549614</v>
      </c>
      <c r="F3626" s="4" t="s">
        <v>261</v>
      </c>
      <c r="G3626" t="s">
        <v>29</v>
      </c>
      <c r="H3626" t="s">
        <v>262</v>
      </c>
    </row>
    <row r="3627" spans="1:8" x14ac:dyDescent="0.25">
      <c r="A3627" t="s">
        <v>977</v>
      </c>
      <c r="B3627" t="s">
        <v>257</v>
      </c>
      <c r="C3627" s="5">
        <v>431722</v>
      </c>
      <c r="D3627" s="5">
        <v>5369</v>
      </c>
      <c r="E3627">
        <v>107785</v>
      </c>
      <c r="F3627" s="4" t="s">
        <v>394</v>
      </c>
      <c r="G3627" t="s">
        <v>29</v>
      </c>
      <c r="H3627" t="s">
        <v>395</v>
      </c>
    </row>
    <row r="3628" spans="1:8" x14ac:dyDescent="0.25">
      <c r="A3628" t="s">
        <v>977</v>
      </c>
      <c r="B3628" t="s">
        <v>254</v>
      </c>
      <c r="C3628" s="5">
        <v>4240479</v>
      </c>
      <c r="D3628" s="5">
        <v>143235</v>
      </c>
      <c r="E3628">
        <v>2183609</v>
      </c>
      <c r="F3628" s="4" t="s">
        <v>255</v>
      </c>
      <c r="G3628" t="s">
        <v>29</v>
      </c>
      <c r="H3628" t="s">
        <v>256</v>
      </c>
    </row>
    <row r="3629" spans="1:8" x14ac:dyDescent="0.25">
      <c r="A3629" t="s">
        <v>977</v>
      </c>
      <c r="B3629" t="s">
        <v>251</v>
      </c>
      <c r="C3629" s="5">
        <v>850513</v>
      </c>
      <c r="D3629" s="5">
        <v>30567</v>
      </c>
      <c r="E3629">
        <v>24467</v>
      </c>
      <c r="F3629" s="4" t="s">
        <v>959</v>
      </c>
      <c r="G3629" t="s">
        <v>29</v>
      </c>
      <c r="H3629" t="s">
        <v>960</v>
      </c>
    </row>
    <row r="3630" spans="1:8" x14ac:dyDescent="0.25">
      <c r="A3630" t="s">
        <v>977</v>
      </c>
      <c r="B3630" t="s">
        <v>248</v>
      </c>
      <c r="C3630" s="5">
        <v>23619</v>
      </c>
      <c r="D3630" s="5">
        <v>662</v>
      </c>
      <c r="E3630">
        <v>4673</v>
      </c>
      <c r="F3630" s="4" t="s">
        <v>441</v>
      </c>
      <c r="G3630" t="s">
        <v>29</v>
      </c>
      <c r="H3630" t="s">
        <v>442</v>
      </c>
    </row>
    <row r="3631" spans="1:8" x14ac:dyDescent="0.25">
      <c r="A3631" t="s">
        <v>977</v>
      </c>
      <c r="B3631" t="s">
        <v>245</v>
      </c>
      <c r="C3631" s="5">
        <v>446005</v>
      </c>
      <c r="D3631" s="5">
        <v>9060</v>
      </c>
      <c r="E3631">
        <v>288556</v>
      </c>
      <c r="F3631" s="4" t="s">
        <v>713</v>
      </c>
      <c r="G3631" t="s">
        <v>29</v>
      </c>
      <c r="H3631" t="s">
        <v>714</v>
      </c>
    </row>
    <row r="3632" spans="1:8" x14ac:dyDescent="0.25">
      <c r="A3632" t="s">
        <v>977</v>
      </c>
      <c r="B3632" t="s">
        <v>242</v>
      </c>
      <c r="C3632" s="5">
        <v>374148</v>
      </c>
      <c r="D3632" s="5">
        <v>10191</v>
      </c>
      <c r="E3632">
        <v>18677</v>
      </c>
      <c r="F3632" s="4" t="s">
        <v>938</v>
      </c>
      <c r="G3632" t="s">
        <v>29</v>
      </c>
      <c r="H3632" t="s">
        <v>939</v>
      </c>
    </row>
    <row r="3633" spans="1:8" x14ac:dyDescent="0.25">
      <c r="A3633" t="s">
        <v>977</v>
      </c>
      <c r="B3633" t="s">
        <v>239</v>
      </c>
      <c r="C3633" s="5">
        <v>12327</v>
      </c>
      <c r="D3633" s="5">
        <v>213</v>
      </c>
      <c r="E3633">
        <v>10050</v>
      </c>
      <c r="F3633" s="4" t="s">
        <v>765</v>
      </c>
      <c r="G3633" t="s">
        <v>29</v>
      </c>
      <c r="H3633" t="s">
        <v>766</v>
      </c>
    </row>
    <row r="3634" spans="1:8" x14ac:dyDescent="0.25">
      <c r="A3634" t="s">
        <v>977</v>
      </c>
      <c r="B3634" t="s">
        <v>236</v>
      </c>
      <c r="C3634" s="5">
        <v>35104</v>
      </c>
      <c r="D3634" s="5">
        <v>897</v>
      </c>
      <c r="E3634">
        <v>23272</v>
      </c>
      <c r="F3634" s="4" t="s">
        <v>38</v>
      </c>
      <c r="G3634" t="s">
        <v>29</v>
      </c>
      <c r="H3634" t="s">
        <v>39</v>
      </c>
    </row>
    <row r="3635" spans="1:8" x14ac:dyDescent="0.25">
      <c r="A3635" t="s">
        <v>977</v>
      </c>
      <c r="B3635" t="s">
        <v>233</v>
      </c>
      <c r="C3635" s="5">
        <v>6131</v>
      </c>
      <c r="D3635" s="5">
        <v>141</v>
      </c>
      <c r="E3635">
        <v>5786</v>
      </c>
      <c r="F3635" s="4" t="s">
        <v>619</v>
      </c>
      <c r="G3635" t="s">
        <v>29</v>
      </c>
      <c r="H3635" t="s">
        <v>620</v>
      </c>
    </row>
    <row r="3636" spans="1:8" x14ac:dyDescent="0.25">
      <c r="A3636" t="s">
        <v>977</v>
      </c>
      <c r="B3636" t="s">
        <v>232</v>
      </c>
      <c r="C3636" s="5">
        <v>595067</v>
      </c>
      <c r="D3636" s="5">
        <v>14748</v>
      </c>
      <c r="E3636">
        <v>390524</v>
      </c>
      <c r="F3636" s="4" t="s">
        <v>913</v>
      </c>
      <c r="G3636" t="s">
        <v>29</v>
      </c>
      <c r="H3636" t="s">
        <v>914</v>
      </c>
    </row>
    <row r="3637" spans="1:8" x14ac:dyDescent="0.25">
      <c r="A3637" t="s">
        <v>977</v>
      </c>
      <c r="B3637" t="s">
        <v>229</v>
      </c>
      <c r="C3637" s="5">
        <v>720295</v>
      </c>
      <c r="D3637" s="5">
        <v>15682</v>
      </c>
      <c r="E3637">
        <v>493210</v>
      </c>
      <c r="F3637" s="4" t="s">
        <v>984</v>
      </c>
      <c r="G3637" t="s">
        <v>29</v>
      </c>
      <c r="H3637" t="s">
        <v>985</v>
      </c>
    </row>
    <row r="3638" spans="1:8" x14ac:dyDescent="0.25">
      <c r="A3638" t="s">
        <v>977</v>
      </c>
      <c r="B3638" t="s">
        <v>228</v>
      </c>
      <c r="C3638" s="5">
        <v>13166</v>
      </c>
      <c r="D3638" s="5">
        <v>163</v>
      </c>
      <c r="E3638">
        <v>1562</v>
      </c>
      <c r="F3638" s="4" t="s">
        <v>394</v>
      </c>
      <c r="G3638" t="s">
        <v>29</v>
      </c>
      <c r="H3638" t="s">
        <v>395</v>
      </c>
    </row>
    <row r="3639" spans="1:8" x14ac:dyDescent="0.25">
      <c r="A3639" t="s">
        <v>977</v>
      </c>
      <c r="B3639" t="s">
        <v>225</v>
      </c>
      <c r="C3639" s="5">
        <v>54095</v>
      </c>
      <c r="D3639" s="5">
        <v>809</v>
      </c>
      <c r="E3639">
        <v>23109</v>
      </c>
      <c r="F3639" s="4" t="s">
        <v>226</v>
      </c>
      <c r="G3639" t="s">
        <v>29</v>
      </c>
      <c r="H3639" t="s">
        <v>227</v>
      </c>
    </row>
    <row r="3640" spans="1:8" x14ac:dyDescent="0.25">
      <c r="A3640" t="s">
        <v>977</v>
      </c>
      <c r="B3640" t="s">
        <v>219</v>
      </c>
      <c r="C3640" s="5">
        <v>9956</v>
      </c>
      <c r="D3640" s="5">
        <v>339</v>
      </c>
      <c r="E3640">
        <v>1134</v>
      </c>
      <c r="F3640" s="4" t="s">
        <v>648</v>
      </c>
      <c r="G3640" t="s">
        <v>29</v>
      </c>
      <c r="H3640" t="s">
        <v>649</v>
      </c>
    </row>
    <row r="3641" spans="1:8" x14ac:dyDescent="0.25">
      <c r="A3641" t="s">
        <v>977</v>
      </c>
      <c r="B3641" t="s">
        <v>222</v>
      </c>
      <c r="C3641" s="5">
        <v>30642</v>
      </c>
      <c r="D3641" s="5">
        <v>385</v>
      </c>
      <c r="E3641">
        <v>16436</v>
      </c>
      <c r="F3641" s="4" t="s">
        <v>223</v>
      </c>
      <c r="G3641" t="s">
        <v>29</v>
      </c>
      <c r="H3641" t="s">
        <v>224</v>
      </c>
    </row>
    <row r="3642" spans="1:8" x14ac:dyDescent="0.25">
      <c r="A3642" t="s">
        <v>977</v>
      </c>
      <c r="B3642" t="s">
        <v>216</v>
      </c>
      <c r="C3642" s="5">
        <v>5887</v>
      </c>
      <c r="D3642" s="5">
        <v>98</v>
      </c>
      <c r="E3642">
        <v>4337</v>
      </c>
      <c r="F3642" s="4" t="s">
        <v>135</v>
      </c>
      <c r="G3642" t="s">
        <v>29</v>
      </c>
      <c r="H3642" t="s">
        <v>136</v>
      </c>
    </row>
    <row r="3643" spans="1:8" x14ac:dyDescent="0.25">
      <c r="A3643" t="s">
        <v>977</v>
      </c>
      <c r="B3643" t="s">
        <v>213</v>
      </c>
      <c r="C3643" s="5">
        <v>129948</v>
      </c>
      <c r="D3643" s="5">
        <v>1172</v>
      </c>
      <c r="E3643">
        <v>52020</v>
      </c>
      <c r="F3643" s="4" t="s">
        <v>667</v>
      </c>
      <c r="G3643" t="s">
        <v>29</v>
      </c>
      <c r="H3643" t="s">
        <v>668</v>
      </c>
    </row>
    <row r="3644" spans="1:8" x14ac:dyDescent="0.25">
      <c r="A3644" t="s">
        <v>977</v>
      </c>
      <c r="B3644" t="s">
        <v>210</v>
      </c>
      <c r="C3644" s="5">
        <v>43938</v>
      </c>
      <c r="D3644" s="5">
        <v>298</v>
      </c>
      <c r="E3644">
        <v>29609</v>
      </c>
      <c r="F3644" s="4" t="s">
        <v>605</v>
      </c>
      <c r="G3644" t="s">
        <v>29</v>
      </c>
      <c r="H3644" t="s">
        <v>606</v>
      </c>
    </row>
    <row r="3645" spans="1:8" x14ac:dyDescent="0.25">
      <c r="A3645" t="s">
        <v>977</v>
      </c>
      <c r="B3645" t="s">
        <v>204</v>
      </c>
      <c r="C3645" s="5">
        <v>5817</v>
      </c>
      <c r="D3645" s="5">
        <v>196</v>
      </c>
      <c r="E3645">
        <v>403</v>
      </c>
      <c r="F3645" s="4" t="s">
        <v>986</v>
      </c>
      <c r="G3645" t="s">
        <v>29</v>
      </c>
      <c r="H3645" t="s">
        <v>987</v>
      </c>
    </row>
    <row r="3646" spans="1:8" x14ac:dyDescent="0.25">
      <c r="A3646" t="s">
        <v>977</v>
      </c>
      <c r="B3646" t="s">
        <v>207</v>
      </c>
      <c r="C3646" s="5">
        <v>694182</v>
      </c>
      <c r="D3646" s="5">
        <v>9788</v>
      </c>
      <c r="E3646">
        <v>263588</v>
      </c>
      <c r="F3646" s="4" t="s">
        <v>345</v>
      </c>
      <c r="G3646" t="s">
        <v>29</v>
      </c>
      <c r="H3646" t="s">
        <v>346</v>
      </c>
    </row>
    <row r="3647" spans="1:8" x14ac:dyDescent="0.25">
      <c r="A3647" t="s">
        <v>977</v>
      </c>
      <c r="B3647" t="s">
        <v>201</v>
      </c>
      <c r="C3647" s="5">
        <v>8845217</v>
      </c>
      <c r="D3647" s="5">
        <v>139892</v>
      </c>
      <c r="E3647">
        <v>7758077</v>
      </c>
      <c r="F3647" s="4" t="s">
        <v>577</v>
      </c>
      <c r="G3647" t="s">
        <v>29</v>
      </c>
      <c r="H3647" t="s">
        <v>578</v>
      </c>
    </row>
    <row r="3648" spans="1:8" x14ac:dyDescent="0.25">
      <c r="A3648" t="s">
        <v>977</v>
      </c>
      <c r="B3648" t="s">
        <v>198</v>
      </c>
      <c r="C3648" s="5">
        <v>34898</v>
      </c>
      <c r="D3648" s="5">
        <v>230</v>
      </c>
      <c r="E3648">
        <v>12591</v>
      </c>
      <c r="F3648" s="4" t="s">
        <v>162</v>
      </c>
      <c r="G3648" t="s">
        <v>29</v>
      </c>
      <c r="H3648" t="s">
        <v>163</v>
      </c>
    </row>
    <row r="3649" spans="1:8" x14ac:dyDescent="0.25">
      <c r="A3649" t="s">
        <v>977</v>
      </c>
      <c r="B3649" t="s">
        <v>195</v>
      </c>
      <c r="C3649" s="5">
        <v>6950937</v>
      </c>
      <c r="D3649" s="5">
        <v>115161</v>
      </c>
      <c r="E3649">
        <v>2187583</v>
      </c>
      <c r="F3649" s="4" t="s">
        <v>135</v>
      </c>
      <c r="G3649" t="s">
        <v>29</v>
      </c>
      <c r="H3649" t="s">
        <v>136</v>
      </c>
    </row>
    <row r="3650" spans="1:8" x14ac:dyDescent="0.25">
      <c r="A3650" t="s">
        <v>977</v>
      </c>
      <c r="B3650" t="s">
        <v>192</v>
      </c>
      <c r="C3650" s="5">
        <v>1615</v>
      </c>
      <c r="D3650" s="5">
        <v>2</v>
      </c>
      <c r="E3650">
        <v>1337</v>
      </c>
      <c r="F3650" s="4" t="s">
        <v>957</v>
      </c>
      <c r="G3650" t="s">
        <v>29</v>
      </c>
      <c r="H3650" t="s">
        <v>958</v>
      </c>
    </row>
    <row r="3651" spans="1:8" x14ac:dyDescent="0.25">
      <c r="A3651" t="s">
        <v>977</v>
      </c>
      <c r="B3651" t="s">
        <v>189</v>
      </c>
      <c r="C3651" s="5">
        <v>52028</v>
      </c>
      <c r="D3651" s="5">
        <v>673</v>
      </c>
      <c r="E3651">
        <v>11315</v>
      </c>
      <c r="F3651" s="4" t="s">
        <v>417</v>
      </c>
      <c r="G3651" t="s">
        <v>29</v>
      </c>
      <c r="H3651" t="s">
        <v>418</v>
      </c>
    </row>
    <row r="3652" spans="1:8" x14ac:dyDescent="0.25">
      <c r="A3652" t="s">
        <v>977</v>
      </c>
      <c r="B3652" t="s">
        <v>186</v>
      </c>
      <c r="C3652" s="5">
        <v>154888</v>
      </c>
      <c r="D3652" s="5">
        <v>1150</v>
      </c>
      <c r="E3652">
        <v>41579</v>
      </c>
      <c r="F3652" s="4" t="s">
        <v>819</v>
      </c>
      <c r="G3652" t="s">
        <v>29</v>
      </c>
      <c r="H3652" t="s">
        <v>820</v>
      </c>
    </row>
    <row r="3653" spans="1:8" x14ac:dyDescent="0.25">
      <c r="A3653" t="s">
        <v>977</v>
      </c>
      <c r="B3653" t="s">
        <v>185</v>
      </c>
      <c r="C3653" s="5">
        <v>362672</v>
      </c>
      <c r="D3653" s="5">
        <v>6377</v>
      </c>
      <c r="E3653">
        <v>192763</v>
      </c>
      <c r="F3653" s="4" t="s">
        <v>907</v>
      </c>
      <c r="G3653" t="s">
        <v>29</v>
      </c>
      <c r="H3653" t="s">
        <v>908</v>
      </c>
    </row>
    <row r="3654" spans="1:8" x14ac:dyDescent="0.25">
      <c r="A3654" t="s">
        <v>977</v>
      </c>
      <c r="B3654" t="s">
        <v>182</v>
      </c>
      <c r="C3654" s="5">
        <v>5002217</v>
      </c>
      <c r="D3654" s="5">
        <v>87186</v>
      </c>
      <c r="E3654">
        <v>4128882</v>
      </c>
      <c r="F3654" s="4" t="s">
        <v>183</v>
      </c>
      <c r="G3654" t="s">
        <v>29</v>
      </c>
      <c r="H3654" t="s">
        <v>184</v>
      </c>
    </row>
    <row r="3655" spans="1:8" x14ac:dyDescent="0.25">
      <c r="A3655" t="s">
        <v>977</v>
      </c>
      <c r="B3655" t="s">
        <v>179</v>
      </c>
      <c r="C3655" s="5">
        <v>6795</v>
      </c>
      <c r="D3655" s="5">
        <v>45</v>
      </c>
      <c r="E3655">
        <v>4051</v>
      </c>
      <c r="F3655" s="4" t="s">
        <v>162</v>
      </c>
      <c r="G3655" t="s">
        <v>29</v>
      </c>
      <c r="H3655" t="s">
        <v>163</v>
      </c>
    </row>
    <row r="3656" spans="1:8" x14ac:dyDescent="0.25">
      <c r="A3656" t="s">
        <v>977</v>
      </c>
      <c r="B3656" t="s">
        <v>176</v>
      </c>
      <c r="C3656" s="5">
        <v>325508</v>
      </c>
      <c r="D3656" s="5">
        <v>18333</v>
      </c>
      <c r="E3656">
        <v>2367</v>
      </c>
      <c r="F3656" s="4" t="s">
        <v>856</v>
      </c>
      <c r="G3656" t="s">
        <v>29</v>
      </c>
      <c r="H3656" t="s">
        <v>857</v>
      </c>
    </row>
    <row r="3657" spans="1:8" x14ac:dyDescent="0.25">
      <c r="A3657" t="s">
        <v>977</v>
      </c>
      <c r="B3657" t="s">
        <v>173</v>
      </c>
      <c r="C3657" s="5">
        <v>183320</v>
      </c>
      <c r="D3657" s="5">
        <v>1469</v>
      </c>
      <c r="E3657">
        <v>66210</v>
      </c>
      <c r="F3657" s="4" t="s">
        <v>942</v>
      </c>
      <c r="G3657" t="s">
        <v>29</v>
      </c>
      <c r="H3657" t="s">
        <v>943</v>
      </c>
    </row>
    <row r="3658" spans="1:8" x14ac:dyDescent="0.25">
      <c r="A3658" t="s">
        <v>977</v>
      </c>
      <c r="B3658" t="s">
        <v>170</v>
      </c>
      <c r="C3658" s="5">
        <v>515659</v>
      </c>
      <c r="D3658" s="5">
        <v>32953</v>
      </c>
      <c r="E3658">
        <v>208443</v>
      </c>
      <c r="F3658" s="4" t="s">
        <v>767</v>
      </c>
      <c r="G3658" t="s">
        <v>29</v>
      </c>
      <c r="H3658" t="s">
        <v>768</v>
      </c>
    </row>
    <row r="3659" spans="1:8" x14ac:dyDescent="0.25">
      <c r="A3659" t="s">
        <v>977</v>
      </c>
      <c r="B3659" t="s">
        <v>167</v>
      </c>
      <c r="C3659" s="5">
        <v>205903</v>
      </c>
      <c r="D3659" s="5">
        <v>5894</v>
      </c>
      <c r="E3659">
        <v>43300</v>
      </c>
      <c r="F3659" s="4" t="s">
        <v>955</v>
      </c>
      <c r="G3659" t="s">
        <v>29</v>
      </c>
      <c r="H3659" t="s">
        <v>956</v>
      </c>
    </row>
    <row r="3660" spans="1:8" x14ac:dyDescent="0.25">
      <c r="A3660" t="s">
        <v>977</v>
      </c>
      <c r="B3660" t="s">
        <v>164</v>
      </c>
      <c r="C3660" s="5">
        <v>376736</v>
      </c>
      <c r="D3660" s="5">
        <v>4110</v>
      </c>
      <c r="E3660">
        <v>107644</v>
      </c>
      <c r="F3660" s="4" t="s">
        <v>683</v>
      </c>
      <c r="G3660" t="s">
        <v>29</v>
      </c>
      <c r="H3660" t="s">
        <v>684</v>
      </c>
    </row>
    <row r="3661" spans="1:8" x14ac:dyDescent="0.25">
      <c r="A3661" t="s">
        <v>977</v>
      </c>
      <c r="B3661" t="s">
        <v>161</v>
      </c>
      <c r="C3661" s="5">
        <v>4574</v>
      </c>
      <c r="D3661" s="5">
        <v>30</v>
      </c>
      <c r="E3661">
        <v>3360</v>
      </c>
      <c r="F3661" s="4" t="s">
        <v>162</v>
      </c>
      <c r="G3661" t="s">
        <v>29</v>
      </c>
      <c r="H3661" t="s">
        <v>163</v>
      </c>
    </row>
    <row r="3662" spans="1:8" x14ac:dyDescent="0.25">
      <c r="A3662" t="s">
        <v>977</v>
      </c>
      <c r="B3662" t="s">
        <v>160</v>
      </c>
      <c r="C3662" s="5">
        <v>378571</v>
      </c>
      <c r="D3662" s="5">
        <v>2699</v>
      </c>
      <c r="E3662">
        <v>124865</v>
      </c>
      <c r="F3662" s="4" t="s">
        <v>488</v>
      </c>
      <c r="G3662" t="s">
        <v>29</v>
      </c>
      <c r="H3662" t="s">
        <v>489</v>
      </c>
    </row>
    <row r="3663" spans="1:8" x14ac:dyDescent="0.25">
      <c r="A3663" t="s">
        <v>977</v>
      </c>
      <c r="B3663" t="s">
        <v>157</v>
      </c>
      <c r="C3663" s="5">
        <v>13458</v>
      </c>
      <c r="D3663" s="5">
        <v>181</v>
      </c>
      <c r="E3663">
        <v>12638</v>
      </c>
      <c r="F3663" s="4" t="s">
        <v>264</v>
      </c>
      <c r="G3663" t="s">
        <v>29</v>
      </c>
      <c r="H3663" t="s">
        <v>265</v>
      </c>
    </row>
    <row r="3664" spans="1:8" x14ac:dyDescent="0.25">
      <c r="A3664" t="s">
        <v>977</v>
      </c>
      <c r="B3664" t="s">
        <v>154</v>
      </c>
      <c r="C3664" s="5">
        <v>4485437</v>
      </c>
      <c r="D3664" s="5">
        <v>95148</v>
      </c>
      <c r="E3664">
        <v>2995</v>
      </c>
      <c r="F3664" s="4" t="s">
        <v>270</v>
      </c>
      <c r="G3664" t="s">
        <v>29</v>
      </c>
      <c r="H3664" t="s">
        <v>271</v>
      </c>
    </row>
    <row r="3665" spans="1:8" x14ac:dyDescent="0.25">
      <c r="A3665" t="s">
        <v>977</v>
      </c>
      <c r="B3665" t="s">
        <v>151</v>
      </c>
      <c r="C3665" s="5">
        <v>1731287</v>
      </c>
      <c r="D3665" s="5">
        <v>30625</v>
      </c>
      <c r="E3665">
        <v>413903</v>
      </c>
      <c r="F3665" s="4" t="s">
        <v>769</v>
      </c>
      <c r="G3665" t="s">
        <v>29</v>
      </c>
      <c r="H3665" t="s">
        <v>770</v>
      </c>
    </row>
    <row r="3666" spans="1:8" x14ac:dyDescent="0.25">
      <c r="A3666" t="s">
        <v>977</v>
      </c>
      <c r="B3666" t="s">
        <v>148</v>
      </c>
      <c r="C3666" s="5">
        <v>123357</v>
      </c>
      <c r="D3666" s="5">
        <v>571</v>
      </c>
      <c r="E3666">
        <v>118107</v>
      </c>
      <c r="F3666" s="4" t="s">
        <v>149</v>
      </c>
      <c r="G3666" t="s">
        <v>29</v>
      </c>
      <c r="H3666" t="s">
        <v>150</v>
      </c>
    </row>
    <row r="3667" spans="1:8" x14ac:dyDescent="0.25">
      <c r="A3667" t="s">
        <v>977</v>
      </c>
      <c r="B3667" t="s">
        <v>145</v>
      </c>
      <c r="C3667" s="5">
        <v>38148</v>
      </c>
      <c r="D3667" s="5">
        <v>349</v>
      </c>
      <c r="E3667">
        <v>25736</v>
      </c>
      <c r="F3667" s="4" t="s">
        <v>146</v>
      </c>
      <c r="G3667" t="s">
        <v>29</v>
      </c>
      <c r="H3667" t="s">
        <v>147</v>
      </c>
    </row>
    <row r="3668" spans="1:8" x14ac:dyDescent="0.25">
      <c r="A3668" t="s">
        <v>977</v>
      </c>
      <c r="B3668" t="s">
        <v>144</v>
      </c>
      <c r="C3668" s="5">
        <v>946960</v>
      </c>
      <c r="D3668" s="5">
        <v>8191</v>
      </c>
      <c r="E3668">
        <v>29904</v>
      </c>
      <c r="F3668" s="4" t="s">
        <v>122</v>
      </c>
      <c r="G3668" t="s">
        <v>29</v>
      </c>
      <c r="H3668" t="s">
        <v>123</v>
      </c>
    </row>
    <row r="3669" spans="1:8" x14ac:dyDescent="0.25">
      <c r="A3669" t="s">
        <v>977</v>
      </c>
      <c r="B3669" t="s">
        <v>143</v>
      </c>
      <c r="C3669" s="5">
        <v>557165</v>
      </c>
      <c r="D3669" s="5">
        <v>6983</v>
      </c>
      <c r="E3669">
        <v>20822</v>
      </c>
      <c r="F3669" s="4" t="s">
        <v>107</v>
      </c>
      <c r="G3669" t="s">
        <v>29</v>
      </c>
      <c r="H3669" t="s">
        <v>108</v>
      </c>
    </row>
    <row r="3670" spans="1:8" x14ac:dyDescent="0.25">
      <c r="A3670" t="s">
        <v>977</v>
      </c>
      <c r="B3670" t="s">
        <v>140</v>
      </c>
      <c r="C3670" s="5">
        <v>4992586</v>
      </c>
      <c r="D3670" s="5">
        <v>127099</v>
      </c>
      <c r="E3670">
        <v>3500226</v>
      </c>
      <c r="F3670" s="4" t="s">
        <v>513</v>
      </c>
      <c r="G3670" t="s">
        <v>29</v>
      </c>
      <c r="H3670" t="s">
        <v>514</v>
      </c>
    </row>
    <row r="3671" spans="1:8" x14ac:dyDescent="0.25">
      <c r="A3671" t="s">
        <v>977</v>
      </c>
      <c r="B3671" t="s">
        <v>137</v>
      </c>
      <c r="C3671" s="5">
        <v>96860</v>
      </c>
      <c r="D3671" s="5">
        <v>4636</v>
      </c>
      <c r="E3671">
        <v>4982</v>
      </c>
      <c r="F3671" s="4" t="s">
        <v>988</v>
      </c>
      <c r="G3671" t="s">
        <v>29</v>
      </c>
      <c r="H3671" t="s">
        <v>989</v>
      </c>
    </row>
    <row r="3672" spans="1:8" x14ac:dyDescent="0.25">
      <c r="A3672" t="s">
        <v>977</v>
      </c>
      <c r="B3672" t="s">
        <v>134</v>
      </c>
      <c r="C3672" s="5">
        <v>100289</v>
      </c>
      <c r="D3672" s="5">
        <v>1600</v>
      </c>
      <c r="E3672">
        <v>91705</v>
      </c>
      <c r="F3672" s="4" t="s">
        <v>313</v>
      </c>
      <c r="G3672" t="s">
        <v>29</v>
      </c>
      <c r="H3672" t="s">
        <v>314</v>
      </c>
    </row>
    <row r="3673" spans="1:8" x14ac:dyDescent="0.25">
      <c r="A3673" t="s">
        <v>977</v>
      </c>
      <c r="B3673" t="s">
        <v>131</v>
      </c>
      <c r="C3673" s="5">
        <v>1683451</v>
      </c>
      <c r="D3673" s="5">
        <v>37685</v>
      </c>
      <c r="E3673">
        <v>625094</v>
      </c>
      <c r="F3673" s="4" t="s">
        <v>603</v>
      </c>
      <c r="G3673" t="s">
        <v>29</v>
      </c>
      <c r="H3673" t="s">
        <v>604</v>
      </c>
    </row>
    <row r="3674" spans="1:8" x14ac:dyDescent="0.25">
      <c r="A3674" t="s">
        <v>977</v>
      </c>
      <c r="B3674" t="s">
        <v>128</v>
      </c>
      <c r="C3674" s="5">
        <v>61208</v>
      </c>
      <c r="D3674" s="5">
        <v>690</v>
      </c>
      <c r="E3674">
        <v>55593</v>
      </c>
      <c r="F3674" s="4" t="s">
        <v>267</v>
      </c>
      <c r="G3674" t="s">
        <v>29</v>
      </c>
      <c r="H3674" t="s">
        <v>268</v>
      </c>
    </row>
    <row r="3675" spans="1:8" x14ac:dyDescent="0.25">
      <c r="A3675" t="s">
        <v>977</v>
      </c>
      <c r="B3675" t="s">
        <v>127</v>
      </c>
      <c r="C3675" s="5">
        <v>865708</v>
      </c>
      <c r="D3675" s="5">
        <v>11193</v>
      </c>
      <c r="E3675">
        <v>571658</v>
      </c>
      <c r="F3675" s="4" t="s">
        <v>417</v>
      </c>
      <c r="G3675" t="s">
        <v>29</v>
      </c>
      <c r="H3675" t="s">
        <v>418</v>
      </c>
    </row>
    <row r="3676" spans="1:8" x14ac:dyDescent="0.25">
      <c r="A3676" t="s">
        <v>977</v>
      </c>
      <c r="B3676" t="s">
        <v>124</v>
      </c>
      <c r="C3676" s="5">
        <v>16868</v>
      </c>
      <c r="D3676" s="5">
        <v>249</v>
      </c>
      <c r="E3676">
        <v>13977</v>
      </c>
      <c r="F3676" s="4" t="s">
        <v>285</v>
      </c>
      <c r="G3676" t="s">
        <v>29</v>
      </c>
      <c r="H3676" t="s">
        <v>286</v>
      </c>
    </row>
    <row r="3677" spans="1:8" x14ac:dyDescent="0.25">
      <c r="A3677" t="s">
        <v>977</v>
      </c>
      <c r="B3677" t="s">
        <v>121</v>
      </c>
      <c r="C3677" s="5">
        <v>11518</v>
      </c>
      <c r="D3677" s="5">
        <v>100</v>
      </c>
      <c r="E3677">
        <v>8158</v>
      </c>
      <c r="F3677" s="4" t="s">
        <v>498</v>
      </c>
      <c r="G3677" t="s">
        <v>29</v>
      </c>
      <c r="H3677" t="s">
        <v>499</v>
      </c>
    </row>
    <row r="3678" spans="1:8" x14ac:dyDescent="0.25">
      <c r="A3678" t="s">
        <v>977</v>
      </c>
      <c r="B3678" t="s">
        <v>118</v>
      </c>
      <c r="C3678" s="5">
        <v>57453</v>
      </c>
      <c r="D3678" s="5">
        <v>1091</v>
      </c>
      <c r="E3678">
        <v>25264</v>
      </c>
      <c r="F3678" s="4" t="s">
        <v>652</v>
      </c>
      <c r="G3678" t="s">
        <v>29</v>
      </c>
      <c r="H3678" t="s">
        <v>653</v>
      </c>
    </row>
    <row r="3679" spans="1:8" x14ac:dyDescent="0.25">
      <c r="A3679" t="s">
        <v>977</v>
      </c>
      <c r="B3679" t="s">
        <v>115</v>
      </c>
      <c r="C3679" s="5">
        <v>1710785</v>
      </c>
      <c r="D3679" s="5">
        <v>28858</v>
      </c>
      <c r="E3679">
        <v>913563</v>
      </c>
      <c r="F3679" s="4" t="s">
        <v>152</v>
      </c>
      <c r="G3679" t="s">
        <v>29</v>
      </c>
      <c r="H3679" t="s">
        <v>153</v>
      </c>
    </row>
    <row r="3680" spans="1:8" x14ac:dyDescent="0.25">
      <c r="A3680" t="s">
        <v>977</v>
      </c>
      <c r="B3680" t="s">
        <v>112</v>
      </c>
      <c r="C3680" s="5">
        <v>25881</v>
      </c>
      <c r="D3680" s="5">
        <v>476</v>
      </c>
      <c r="E3680">
        <v>17541</v>
      </c>
      <c r="F3680" s="4" t="s">
        <v>905</v>
      </c>
      <c r="G3680" t="s">
        <v>29</v>
      </c>
      <c r="H3680" t="s">
        <v>906</v>
      </c>
    </row>
    <row r="3681" spans="1:8" x14ac:dyDescent="0.25">
      <c r="A3681" t="s">
        <v>977</v>
      </c>
      <c r="B3681" t="s">
        <v>109</v>
      </c>
      <c r="C3681" s="5">
        <v>588231</v>
      </c>
      <c r="D3681" s="5">
        <v>4530</v>
      </c>
      <c r="E3681">
        <v>336646</v>
      </c>
      <c r="F3681" s="4" t="s">
        <v>110</v>
      </c>
      <c r="G3681" t="s">
        <v>29</v>
      </c>
      <c r="H3681" t="s">
        <v>111</v>
      </c>
    </row>
    <row r="3682" spans="1:8" x14ac:dyDescent="0.25">
      <c r="A3682" t="s">
        <v>977</v>
      </c>
      <c r="B3682" t="s">
        <v>106</v>
      </c>
      <c r="C3682" s="5">
        <v>185985</v>
      </c>
      <c r="D3682" s="5">
        <v>2402</v>
      </c>
      <c r="E3682">
        <v>172315</v>
      </c>
      <c r="F3682" s="4" t="s">
        <v>417</v>
      </c>
      <c r="G3682" t="s">
        <v>29</v>
      </c>
      <c r="H3682" t="s">
        <v>418</v>
      </c>
    </row>
    <row r="3683" spans="1:8" x14ac:dyDescent="0.25">
      <c r="A3683" t="s">
        <v>977</v>
      </c>
      <c r="B3683" t="s">
        <v>103</v>
      </c>
      <c r="C3683" s="5">
        <v>2617</v>
      </c>
      <c r="D3683" s="5">
        <v>3</v>
      </c>
      <c r="E3683">
        <v>1349</v>
      </c>
      <c r="F3683" s="4" t="s">
        <v>104</v>
      </c>
      <c r="G3683" t="s">
        <v>29</v>
      </c>
      <c r="H3683" t="s">
        <v>105</v>
      </c>
    </row>
    <row r="3684" spans="1:8" x14ac:dyDescent="0.25">
      <c r="A3684" t="s">
        <v>977</v>
      </c>
      <c r="B3684" t="s">
        <v>100</v>
      </c>
      <c r="C3684" s="5">
        <v>22259</v>
      </c>
      <c r="D3684" s="5">
        <v>642</v>
      </c>
      <c r="E3684">
        <v>11712</v>
      </c>
      <c r="F3684" s="4" t="s">
        <v>860</v>
      </c>
      <c r="G3684" t="s">
        <v>29</v>
      </c>
      <c r="H3684" t="s">
        <v>861</v>
      </c>
    </row>
    <row r="3685" spans="1:8" x14ac:dyDescent="0.25">
      <c r="A3685" t="s">
        <v>977</v>
      </c>
      <c r="B3685" t="s">
        <v>97</v>
      </c>
      <c r="C3685" s="5">
        <v>21735560</v>
      </c>
      <c r="D3685" s="5">
        <v>605804</v>
      </c>
      <c r="E3685">
        <v>16077107</v>
      </c>
      <c r="F3685" s="4" t="s">
        <v>662</v>
      </c>
      <c r="G3685" t="s">
        <v>29</v>
      </c>
      <c r="H3685" t="s">
        <v>663</v>
      </c>
    </row>
    <row r="3686" spans="1:8" x14ac:dyDescent="0.25">
      <c r="A3686" t="s">
        <v>977</v>
      </c>
      <c r="B3686" t="s">
        <v>94</v>
      </c>
      <c r="C3686" s="5">
        <v>509919</v>
      </c>
      <c r="D3686" s="5">
        <v>18901</v>
      </c>
      <c r="E3686">
        <v>42829</v>
      </c>
      <c r="F3686" s="4" t="s">
        <v>593</v>
      </c>
      <c r="G3686" t="s">
        <v>29</v>
      </c>
      <c r="H3686" t="s">
        <v>594</v>
      </c>
    </row>
    <row r="3687" spans="1:8" x14ac:dyDescent="0.25">
      <c r="A3687" t="s">
        <v>977</v>
      </c>
      <c r="B3687" t="s">
        <v>91</v>
      </c>
      <c r="C3687" s="5">
        <v>12384</v>
      </c>
      <c r="D3687" s="5">
        <v>81</v>
      </c>
      <c r="E3687">
        <v>11946</v>
      </c>
      <c r="F3687" s="4" t="s">
        <v>86</v>
      </c>
      <c r="G3687" t="s">
        <v>29</v>
      </c>
      <c r="H3687" t="s">
        <v>87</v>
      </c>
    </row>
    <row r="3688" spans="1:8" x14ac:dyDescent="0.25">
      <c r="A3688" t="s">
        <v>977</v>
      </c>
      <c r="B3688" t="s">
        <v>88</v>
      </c>
      <c r="C3688" s="5">
        <v>1659</v>
      </c>
      <c r="D3688" s="5">
        <v>6</v>
      </c>
      <c r="E3688">
        <v>355</v>
      </c>
      <c r="F3688" s="4" t="s">
        <v>89</v>
      </c>
      <c r="G3688" t="s">
        <v>29</v>
      </c>
      <c r="H3688" t="s">
        <v>90</v>
      </c>
    </row>
    <row r="3689" spans="1:8" x14ac:dyDescent="0.25">
      <c r="A3689" t="s">
        <v>977</v>
      </c>
      <c r="B3689" t="s">
        <v>85</v>
      </c>
      <c r="C3689" s="5">
        <v>24678</v>
      </c>
      <c r="D3689" s="5">
        <v>161</v>
      </c>
      <c r="E3689">
        <v>22396</v>
      </c>
      <c r="F3689" s="4" t="s">
        <v>86</v>
      </c>
      <c r="G3689" t="s">
        <v>29</v>
      </c>
      <c r="H3689" t="s">
        <v>87</v>
      </c>
    </row>
    <row r="3690" spans="1:8" x14ac:dyDescent="0.25">
      <c r="A3690" t="s">
        <v>977</v>
      </c>
      <c r="B3690" t="s">
        <v>82</v>
      </c>
      <c r="C3690" s="5">
        <v>19945</v>
      </c>
      <c r="D3690" s="5">
        <v>38</v>
      </c>
      <c r="E3690">
        <v>1898</v>
      </c>
      <c r="F3690" s="4" t="s">
        <v>83</v>
      </c>
      <c r="G3690" t="s">
        <v>29</v>
      </c>
      <c r="H3690" t="s">
        <v>84</v>
      </c>
    </row>
    <row r="3691" spans="1:8" x14ac:dyDescent="0.25">
      <c r="A3691" t="s">
        <v>977</v>
      </c>
      <c r="B3691" t="s">
        <v>79</v>
      </c>
      <c r="C3691" s="5">
        <v>276608</v>
      </c>
      <c r="D3691" s="5">
        <v>1393</v>
      </c>
      <c r="E3691">
        <v>33579</v>
      </c>
      <c r="F3691" s="4" t="s">
        <v>80</v>
      </c>
      <c r="G3691" t="s">
        <v>29</v>
      </c>
      <c r="H3691" t="s">
        <v>81</v>
      </c>
    </row>
    <row r="3692" spans="1:8" x14ac:dyDescent="0.25">
      <c r="A3692" t="s">
        <v>977</v>
      </c>
      <c r="B3692" t="s">
        <v>76</v>
      </c>
      <c r="C3692" s="5">
        <v>575306</v>
      </c>
      <c r="D3692" s="5">
        <v>23316</v>
      </c>
      <c r="E3692">
        <v>293200</v>
      </c>
      <c r="F3692" s="4" t="s">
        <v>990</v>
      </c>
      <c r="G3692" t="s">
        <v>29</v>
      </c>
      <c r="H3692" t="s">
        <v>991</v>
      </c>
    </row>
    <row r="3693" spans="1:8" x14ac:dyDescent="0.25">
      <c r="A3693" t="s">
        <v>977</v>
      </c>
      <c r="B3693" t="s">
        <v>73</v>
      </c>
      <c r="C3693" s="5">
        <v>14793</v>
      </c>
      <c r="D3693" s="5">
        <v>214</v>
      </c>
      <c r="E3693">
        <v>12806</v>
      </c>
      <c r="F3693" s="4" t="s">
        <v>342</v>
      </c>
      <c r="G3693" t="s">
        <v>29</v>
      </c>
      <c r="H3693" t="s">
        <v>343</v>
      </c>
    </row>
    <row r="3694" spans="1:8" x14ac:dyDescent="0.25">
      <c r="A3694" t="s">
        <v>977</v>
      </c>
      <c r="B3694" t="s">
        <v>70</v>
      </c>
      <c r="C3694" s="5">
        <v>1328202</v>
      </c>
      <c r="D3694" s="5">
        <v>25889</v>
      </c>
      <c r="E3694">
        <v>1257206</v>
      </c>
      <c r="F3694" s="4" t="s">
        <v>992</v>
      </c>
      <c r="G3694" t="s">
        <v>29</v>
      </c>
      <c r="H3694" t="s">
        <v>993</v>
      </c>
    </row>
    <row r="3695" spans="1:8" x14ac:dyDescent="0.25">
      <c r="A3695" t="s">
        <v>977</v>
      </c>
      <c r="B3695" t="s">
        <v>67</v>
      </c>
      <c r="C3695" s="5">
        <v>1567981</v>
      </c>
      <c r="D3695" s="5">
        <v>27828</v>
      </c>
      <c r="E3695">
        <v>1145745</v>
      </c>
      <c r="F3695" s="4" t="s">
        <v>769</v>
      </c>
      <c r="G3695" t="s">
        <v>29</v>
      </c>
      <c r="H3695" t="s">
        <v>770</v>
      </c>
    </row>
    <row r="3696" spans="1:8" x14ac:dyDescent="0.25">
      <c r="A3696" t="s">
        <v>977</v>
      </c>
      <c r="B3696" t="s">
        <v>64</v>
      </c>
      <c r="C3696" s="5">
        <v>15588</v>
      </c>
      <c r="D3696" s="5">
        <v>139</v>
      </c>
      <c r="E3696">
        <v>12950</v>
      </c>
      <c r="F3696" s="4" t="s">
        <v>65</v>
      </c>
      <c r="G3696" t="s">
        <v>29</v>
      </c>
      <c r="H3696" t="s">
        <v>66</v>
      </c>
    </row>
    <row r="3697" spans="1:8" x14ac:dyDescent="0.25">
      <c r="A3697" t="s">
        <v>977</v>
      </c>
      <c r="B3697" t="s">
        <v>61</v>
      </c>
      <c r="C3697" s="5">
        <v>249349</v>
      </c>
      <c r="D3697" s="5">
        <v>11397</v>
      </c>
      <c r="E3697">
        <v>149715</v>
      </c>
      <c r="F3697" s="4" t="s">
        <v>814</v>
      </c>
      <c r="G3697" t="s">
        <v>29</v>
      </c>
      <c r="H3697" t="s">
        <v>815</v>
      </c>
    </row>
    <row r="3698" spans="1:8" x14ac:dyDescent="0.25">
      <c r="A3698" t="s">
        <v>977</v>
      </c>
      <c r="B3698" t="s">
        <v>58</v>
      </c>
      <c r="C3698" s="5">
        <v>517802</v>
      </c>
      <c r="D3698" s="5">
        <v>6915</v>
      </c>
      <c r="E3698">
        <v>321570</v>
      </c>
      <c r="F3698" s="4" t="s">
        <v>264</v>
      </c>
      <c r="G3698" t="s">
        <v>29</v>
      </c>
      <c r="H3698" t="s">
        <v>265</v>
      </c>
    </row>
    <row r="3699" spans="1:8" x14ac:dyDescent="0.25">
      <c r="A3699" t="s">
        <v>977</v>
      </c>
      <c r="B3699" t="s">
        <v>55</v>
      </c>
      <c r="C3699" s="5">
        <v>162016</v>
      </c>
      <c r="D3699" s="5">
        <v>1653</v>
      </c>
      <c r="E3699">
        <v>34976</v>
      </c>
      <c r="F3699" s="4" t="s">
        <v>326</v>
      </c>
      <c r="G3699" t="s">
        <v>29</v>
      </c>
      <c r="H3699" t="s">
        <v>327</v>
      </c>
    </row>
    <row r="3700" spans="1:8" x14ac:dyDescent="0.25">
      <c r="A3700" t="s">
        <v>977</v>
      </c>
      <c r="B3700" t="s">
        <v>52</v>
      </c>
      <c r="C3700" s="5">
        <v>801456</v>
      </c>
      <c r="D3700" s="5">
        <v>11261</v>
      </c>
      <c r="E3700">
        <v>432112</v>
      </c>
      <c r="F3700" s="4" t="s">
        <v>345</v>
      </c>
      <c r="G3700" t="s">
        <v>29</v>
      </c>
      <c r="H3700" t="s">
        <v>346</v>
      </c>
    </row>
    <row r="3701" spans="1:8" x14ac:dyDescent="0.25">
      <c r="A3701" t="s">
        <v>977</v>
      </c>
      <c r="B3701" t="s">
        <v>49</v>
      </c>
      <c r="C3701" s="5">
        <v>5281585</v>
      </c>
      <c r="D3701" s="5">
        <v>115851</v>
      </c>
      <c r="E3701">
        <v>851177</v>
      </c>
      <c r="F3701" s="4" t="s">
        <v>50</v>
      </c>
      <c r="G3701" t="s">
        <v>29</v>
      </c>
      <c r="H3701" t="s">
        <v>51</v>
      </c>
    </row>
    <row r="3702" spans="1:8" x14ac:dyDescent="0.25">
      <c r="A3702" t="s">
        <v>977</v>
      </c>
      <c r="B3702" t="s">
        <v>46</v>
      </c>
      <c r="C3702" s="5">
        <v>63930</v>
      </c>
      <c r="D3702" s="5">
        <v>1701</v>
      </c>
      <c r="E3702">
        <v>46245</v>
      </c>
      <c r="F3702" s="4" t="s">
        <v>47</v>
      </c>
      <c r="G3702" t="s">
        <v>29</v>
      </c>
      <c r="H3702" t="s">
        <v>48</v>
      </c>
    </row>
    <row r="3703" spans="1:8" x14ac:dyDescent="0.25">
      <c r="A3703" t="s">
        <v>977</v>
      </c>
      <c r="B3703" t="s">
        <v>43</v>
      </c>
      <c r="C3703" s="5">
        <v>296552</v>
      </c>
      <c r="D3703" s="5">
        <v>6055</v>
      </c>
      <c r="E3703">
        <v>24743</v>
      </c>
      <c r="F3703" s="4" t="s">
        <v>230</v>
      </c>
      <c r="G3703" t="s">
        <v>29</v>
      </c>
      <c r="H3703" t="s">
        <v>231</v>
      </c>
    </row>
    <row r="3704" spans="1:8" x14ac:dyDescent="0.25">
      <c r="A3704" t="s">
        <v>977</v>
      </c>
      <c r="B3704" t="s">
        <v>40</v>
      </c>
      <c r="C3704" s="5">
        <v>181960</v>
      </c>
      <c r="D3704" s="5">
        <v>2880</v>
      </c>
      <c r="E3704">
        <v>173845</v>
      </c>
      <c r="F3704" s="4" t="s">
        <v>577</v>
      </c>
      <c r="G3704" t="s">
        <v>29</v>
      </c>
      <c r="H3704" t="s">
        <v>578</v>
      </c>
    </row>
    <row r="3705" spans="1:8" x14ac:dyDescent="0.25">
      <c r="A3705" t="s">
        <v>977</v>
      </c>
      <c r="B3705" t="s">
        <v>37</v>
      </c>
      <c r="C3705" s="5">
        <v>4031</v>
      </c>
      <c r="D3705" s="5">
        <v>99</v>
      </c>
      <c r="E3705">
        <v>1367</v>
      </c>
      <c r="F3705" s="4" t="s">
        <v>949</v>
      </c>
      <c r="G3705" t="s">
        <v>29</v>
      </c>
      <c r="H3705" t="s">
        <v>950</v>
      </c>
    </row>
    <row r="3706" spans="1:8" x14ac:dyDescent="0.25">
      <c r="A3706" t="s">
        <v>977</v>
      </c>
      <c r="B3706" t="s">
        <v>34</v>
      </c>
      <c r="C3706" s="5">
        <v>156040</v>
      </c>
      <c r="D3706" s="5">
        <v>7260</v>
      </c>
      <c r="E3706">
        <v>58199</v>
      </c>
      <c r="F3706" s="4" t="s">
        <v>900</v>
      </c>
      <c r="G3706" t="s">
        <v>29</v>
      </c>
      <c r="H3706" t="s">
        <v>901</v>
      </c>
    </row>
    <row r="3707" spans="1:8" x14ac:dyDescent="0.25">
      <c r="A3707" t="s">
        <v>977</v>
      </c>
      <c r="B3707" t="s">
        <v>31</v>
      </c>
      <c r="C3707" s="5">
        <v>739381</v>
      </c>
      <c r="D3707" s="5">
        <v>2131</v>
      </c>
      <c r="E3707">
        <v>176481</v>
      </c>
      <c r="F3707" s="4" t="s">
        <v>32</v>
      </c>
      <c r="G3707" t="s">
        <v>29</v>
      </c>
      <c r="H3707" t="s">
        <v>33</v>
      </c>
    </row>
    <row r="3708" spans="1:8" x14ac:dyDescent="0.25">
      <c r="A3708" t="s">
        <v>977</v>
      </c>
      <c r="B3708" t="s">
        <v>27</v>
      </c>
      <c r="C3708" s="5">
        <v>15425</v>
      </c>
      <c r="D3708" s="5">
        <v>130</v>
      </c>
      <c r="E3708">
        <v>10741</v>
      </c>
      <c r="F3708" s="4" t="s">
        <v>397</v>
      </c>
      <c r="G3708" t="s">
        <v>29</v>
      </c>
      <c r="H3708" t="s">
        <v>398</v>
      </c>
    </row>
    <row r="3709" spans="1:8" x14ac:dyDescent="0.25">
      <c r="A3709" t="s">
        <v>994</v>
      </c>
      <c r="B3709" t="s">
        <v>27</v>
      </c>
      <c r="C3709" s="5">
        <v>15404</v>
      </c>
      <c r="D3709" s="5">
        <v>130</v>
      </c>
      <c r="E3709">
        <v>1378</v>
      </c>
      <c r="F3709" s="4" t="s">
        <v>397</v>
      </c>
      <c r="G3709" t="s">
        <v>29</v>
      </c>
      <c r="H3709" t="s">
        <v>398</v>
      </c>
    </row>
    <row r="3710" spans="1:8" x14ac:dyDescent="0.25">
      <c r="A3710" t="s">
        <v>994</v>
      </c>
      <c r="B3710" t="s">
        <v>31</v>
      </c>
      <c r="C3710" s="5">
        <v>739284</v>
      </c>
      <c r="D3710" s="5">
        <v>2130</v>
      </c>
      <c r="E3710">
        <v>711707</v>
      </c>
      <c r="F3710" s="4" t="s">
        <v>32</v>
      </c>
      <c r="G3710" t="s">
        <v>29</v>
      </c>
      <c r="H3710" t="s">
        <v>33</v>
      </c>
    </row>
    <row r="3711" spans="1:8" x14ac:dyDescent="0.25">
      <c r="A3711" t="s">
        <v>994</v>
      </c>
      <c r="B3711" t="s">
        <v>34</v>
      </c>
      <c r="C3711" s="5">
        <v>155944</v>
      </c>
      <c r="D3711" s="5">
        <v>7255</v>
      </c>
      <c r="E3711">
        <v>91385</v>
      </c>
      <c r="F3711" s="4" t="s">
        <v>900</v>
      </c>
      <c r="G3711" t="s">
        <v>29</v>
      </c>
      <c r="H3711" t="s">
        <v>901</v>
      </c>
    </row>
    <row r="3712" spans="1:8" x14ac:dyDescent="0.25">
      <c r="A3712" t="s">
        <v>994</v>
      </c>
      <c r="B3712" t="s">
        <v>37</v>
      </c>
      <c r="C3712" s="5">
        <v>4019</v>
      </c>
      <c r="D3712" s="5">
        <v>99</v>
      </c>
      <c r="E3712">
        <v>2389</v>
      </c>
      <c r="F3712" s="4" t="s">
        <v>949</v>
      </c>
      <c r="G3712" t="s">
        <v>29</v>
      </c>
      <c r="H3712" t="s">
        <v>950</v>
      </c>
    </row>
    <row r="3713" spans="1:8" x14ac:dyDescent="0.25">
      <c r="A3713" t="s">
        <v>994</v>
      </c>
      <c r="B3713" t="s">
        <v>40</v>
      </c>
      <c r="C3713" s="5">
        <v>181696</v>
      </c>
      <c r="D3713" s="5">
        <v>2874</v>
      </c>
      <c r="E3713">
        <v>116119</v>
      </c>
      <c r="F3713" s="4" t="s">
        <v>577</v>
      </c>
      <c r="G3713" t="s">
        <v>29</v>
      </c>
      <c r="H3713" t="s">
        <v>578</v>
      </c>
    </row>
    <row r="3714" spans="1:8" x14ac:dyDescent="0.25">
      <c r="A3714" t="s">
        <v>994</v>
      </c>
      <c r="B3714" t="s">
        <v>43</v>
      </c>
      <c r="C3714" s="5">
        <v>295368</v>
      </c>
      <c r="D3714" s="5">
        <v>6013</v>
      </c>
      <c r="E3714">
        <v>266017</v>
      </c>
      <c r="F3714" s="4" t="s">
        <v>230</v>
      </c>
      <c r="G3714" t="s">
        <v>29</v>
      </c>
      <c r="H3714" t="s">
        <v>231</v>
      </c>
    </row>
    <row r="3715" spans="1:8" x14ac:dyDescent="0.25">
      <c r="A3715" t="s">
        <v>994</v>
      </c>
      <c r="B3715" t="s">
        <v>46</v>
      </c>
      <c r="C3715" s="5">
        <v>63861</v>
      </c>
      <c r="D3715" s="5">
        <v>1697</v>
      </c>
      <c r="E3715">
        <v>50971</v>
      </c>
      <c r="F3715" s="4" t="s">
        <v>47</v>
      </c>
      <c r="G3715" t="s">
        <v>29</v>
      </c>
      <c r="H3715" t="s">
        <v>48</v>
      </c>
    </row>
    <row r="3716" spans="1:8" x14ac:dyDescent="0.25">
      <c r="A3716" t="s">
        <v>994</v>
      </c>
      <c r="B3716" t="s">
        <v>49</v>
      </c>
      <c r="C3716" s="5">
        <v>5280358</v>
      </c>
      <c r="D3716" s="5">
        <v>115826</v>
      </c>
      <c r="E3716">
        <v>4853801</v>
      </c>
      <c r="F3716" s="4" t="s">
        <v>50</v>
      </c>
      <c r="G3716" t="s">
        <v>29</v>
      </c>
      <c r="H3716" t="s">
        <v>51</v>
      </c>
    </row>
    <row r="3717" spans="1:8" x14ac:dyDescent="0.25">
      <c r="A3717" t="s">
        <v>994</v>
      </c>
      <c r="B3717" t="s">
        <v>52</v>
      </c>
      <c r="C3717" s="5">
        <v>798606</v>
      </c>
      <c r="D3717" s="5">
        <v>11251</v>
      </c>
      <c r="E3717">
        <v>350801</v>
      </c>
      <c r="F3717" s="4" t="s">
        <v>345</v>
      </c>
      <c r="G3717" t="s">
        <v>29</v>
      </c>
      <c r="H3717" t="s">
        <v>346</v>
      </c>
    </row>
    <row r="3718" spans="1:8" x14ac:dyDescent="0.25">
      <c r="A3718" t="s">
        <v>994</v>
      </c>
      <c r="B3718" t="s">
        <v>55</v>
      </c>
      <c r="C3718" s="5">
        <v>160230</v>
      </c>
      <c r="D3718" s="5">
        <v>1648</v>
      </c>
      <c r="E3718">
        <v>142537</v>
      </c>
      <c r="F3718" s="4" t="s">
        <v>687</v>
      </c>
      <c r="G3718" t="s">
        <v>29</v>
      </c>
      <c r="H3718" t="s">
        <v>688</v>
      </c>
    </row>
    <row r="3719" spans="1:8" x14ac:dyDescent="0.25">
      <c r="A3719" t="s">
        <v>994</v>
      </c>
      <c r="B3719" t="s">
        <v>58</v>
      </c>
      <c r="C3719" s="5">
        <v>516325</v>
      </c>
      <c r="D3719" s="5">
        <v>6894</v>
      </c>
      <c r="E3719">
        <v>313675</v>
      </c>
      <c r="F3719" s="4" t="s">
        <v>264</v>
      </c>
      <c r="G3719" t="s">
        <v>29</v>
      </c>
      <c r="H3719" t="s">
        <v>265</v>
      </c>
    </row>
    <row r="3720" spans="1:8" x14ac:dyDescent="0.25">
      <c r="A3720" t="s">
        <v>994</v>
      </c>
      <c r="B3720" t="s">
        <v>61</v>
      </c>
      <c r="C3720" s="5">
        <v>247958</v>
      </c>
      <c r="D3720" s="5">
        <v>11322</v>
      </c>
      <c r="E3720">
        <v>144108</v>
      </c>
      <c r="F3720" s="4" t="s">
        <v>814</v>
      </c>
      <c r="G3720" t="s">
        <v>29</v>
      </c>
      <c r="H3720" t="s">
        <v>815</v>
      </c>
    </row>
    <row r="3721" spans="1:8" x14ac:dyDescent="0.25">
      <c r="A3721" t="s">
        <v>994</v>
      </c>
      <c r="B3721" t="s">
        <v>64</v>
      </c>
      <c r="C3721" s="5">
        <v>15341</v>
      </c>
      <c r="D3721" s="5">
        <v>130</v>
      </c>
      <c r="E3721">
        <v>15059</v>
      </c>
      <c r="F3721" s="4" t="s">
        <v>685</v>
      </c>
      <c r="G3721" t="s">
        <v>29</v>
      </c>
      <c r="H3721" t="s">
        <v>686</v>
      </c>
    </row>
    <row r="3722" spans="1:8" x14ac:dyDescent="0.25">
      <c r="A3722" t="s">
        <v>994</v>
      </c>
      <c r="B3722" t="s">
        <v>67</v>
      </c>
      <c r="C3722" s="5">
        <v>1567692</v>
      </c>
      <c r="D3722" s="5">
        <v>27823</v>
      </c>
      <c r="E3722">
        <v>395640</v>
      </c>
      <c r="F3722" s="4" t="s">
        <v>769</v>
      </c>
      <c r="G3722" t="s">
        <v>29</v>
      </c>
      <c r="H3722" t="s">
        <v>770</v>
      </c>
    </row>
    <row r="3723" spans="1:8" x14ac:dyDescent="0.25">
      <c r="A3723" t="s">
        <v>994</v>
      </c>
      <c r="B3723" t="s">
        <v>70</v>
      </c>
      <c r="C3723" s="5">
        <v>1312360</v>
      </c>
      <c r="D3723" s="5">
        <v>25846</v>
      </c>
      <c r="E3723">
        <v>285678</v>
      </c>
      <c r="F3723" s="4" t="s">
        <v>804</v>
      </c>
      <c r="G3723" t="s">
        <v>29</v>
      </c>
      <c r="H3723" t="s">
        <v>805</v>
      </c>
    </row>
    <row r="3724" spans="1:8" x14ac:dyDescent="0.25">
      <c r="A3724" t="s">
        <v>994</v>
      </c>
      <c r="B3724" t="s">
        <v>73</v>
      </c>
      <c r="C3724" s="5">
        <v>14793</v>
      </c>
      <c r="D3724" s="5">
        <v>214</v>
      </c>
      <c r="E3724">
        <v>12483</v>
      </c>
      <c r="F3724" s="4" t="s">
        <v>342</v>
      </c>
      <c r="G3724" t="s">
        <v>29</v>
      </c>
      <c r="H3724" t="s">
        <v>343</v>
      </c>
    </row>
    <row r="3725" spans="1:8" x14ac:dyDescent="0.25">
      <c r="A3725" t="s">
        <v>994</v>
      </c>
      <c r="B3725" t="s">
        <v>76</v>
      </c>
      <c r="C3725" s="5">
        <v>569443</v>
      </c>
      <c r="D3725" s="5">
        <v>23073</v>
      </c>
      <c r="E3725">
        <v>160213</v>
      </c>
      <c r="F3725" s="4" t="s">
        <v>990</v>
      </c>
      <c r="G3725" t="s">
        <v>29</v>
      </c>
      <c r="H3725" t="s">
        <v>991</v>
      </c>
    </row>
    <row r="3726" spans="1:8" x14ac:dyDescent="0.25">
      <c r="A3726" t="s">
        <v>994</v>
      </c>
      <c r="B3726" t="s">
        <v>79</v>
      </c>
      <c r="C3726" s="5">
        <v>276571</v>
      </c>
      <c r="D3726" s="5">
        <v>1393</v>
      </c>
      <c r="E3726">
        <v>212936</v>
      </c>
      <c r="F3726" s="4" t="s">
        <v>80</v>
      </c>
      <c r="G3726" t="s">
        <v>29</v>
      </c>
      <c r="H3726" t="s">
        <v>81</v>
      </c>
    </row>
    <row r="3727" spans="1:8" x14ac:dyDescent="0.25">
      <c r="A3727" t="s">
        <v>994</v>
      </c>
      <c r="B3727" t="s">
        <v>82</v>
      </c>
      <c r="C3727" s="5">
        <v>19894</v>
      </c>
      <c r="D3727" s="5">
        <v>38</v>
      </c>
      <c r="E3727">
        <v>15685</v>
      </c>
      <c r="F3727" s="4" t="s">
        <v>83</v>
      </c>
      <c r="G3727" t="s">
        <v>29</v>
      </c>
      <c r="H3727" t="s">
        <v>84</v>
      </c>
    </row>
    <row r="3728" spans="1:8" x14ac:dyDescent="0.25">
      <c r="A3728" t="s">
        <v>994</v>
      </c>
      <c r="B3728" t="s">
        <v>85</v>
      </c>
      <c r="C3728" s="5">
        <v>24560</v>
      </c>
      <c r="D3728" s="5">
        <v>161</v>
      </c>
      <c r="E3728">
        <v>4749</v>
      </c>
      <c r="F3728" s="4" t="s">
        <v>162</v>
      </c>
      <c r="G3728" t="s">
        <v>29</v>
      </c>
      <c r="H3728" t="s">
        <v>163</v>
      </c>
    </row>
    <row r="3729" spans="1:8" x14ac:dyDescent="0.25">
      <c r="A3729" t="s">
        <v>994</v>
      </c>
      <c r="B3729" t="s">
        <v>88</v>
      </c>
      <c r="C3729" s="5">
        <v>1659</v>
      </c>
      <c r="D3729" s="5">
        <v>6</v>
      </c>
      <c r="E3729">
        <v>952</v>
      </c>
      <c r="F3729" s="4" t="s">
        <v>89</v>
      </c>
      <c r="G3729" t="s">
        <v>29</v>
      </c>
      <c r="H3729" t="s">
        <v>90</v>
      </c>
    </row>
    <row r="3730" spans="1:8" x14ac:dyDescent="0.25">
      <c r="A3730" t="s">
        <v>994</v>
      </c>
      <c r="B3730" t="s">
        <v>91</v>
      </c>
      <c r="C3730" s="5">
        <v>12113</v>
      </c>
      <c r="D3730" s="5">
        <v>80</v>
      </c>
      <c r="E3730">
        <v>7087</v>
      </c>
      <c r="F3730" s="4" t="s">
        <v>162</v>
      </c>
      <c r="G3730" t="s">
        <v>29</v>
      </c>
      <c r="H3730" t="s">
        <v>163</v>
      </c>
    </row>
    <row r="3731" spans="1:8" x14ac:dyDescent="0.25">
      <c r="A3731" t="s">
        <v>994</v>
      </c>
      <c r="B3731" t="s">
        <v>94</v>
      </c>
      <c r="C3731" s="5">
        <v>509919</v>
      </c>
      <c r="D3731" s="5">
        <v>18901</v>
      </c>
      <c r="E3731">
        <v>338885</v>
      </c>
      <c r="F3731" s="4" t="s">
        <v>593</v>
      </c>
      <c r="G3731" t="s">
        <v>29</v>
      </c>
      <c r="H3731" t="s">
        <v>594</v>
      </c>
    </row>
    <row r="3732" spans="1:8" x14ac:dyDescent="0.25">
      <c r="A3732" t="s">
        <v>994</v>
      </c>
      <c r="B3732" t="s">
        <v>97</v>
      </c>
      <c r="C3732" s="5">
        <v>21729763</v>
      </c>
      <c r="D3732" s="5">
        <v>605644</v>
      </c>
      <c r="E3732">
        <v>18293768</v>
      </c>
      <c r="F3732" s="4" t="s">
        <v>662</v>
      </c>
      <c r="G3732" t="s">
        <v>29</v>
      </c>
      <c r="H3732" t="s">
        <v>663</v>
      </c>
    </row>
    <row r="3733" spans="1:8" x14ac:dyDescent="0.25">
      <c r="A3733" t="s">
        <v>994</v>
      </c>
      <c r="B3733" t="s">
        <v>100</v>
      </c>
      <c r="C3733" s="5">
        <v>22179</v>
      </c>
      <c r="D3733" s="5">
        <v>642</v>
      </c>
      <c r="E3733">
        <v>16428</v>
      </c>
      <c r="F3733" s="4" t="s">
        <v>995</v>
      </c>
      <c r="G3733" t="s">
        <v>29</v>
      </c>
      <c r="H3733" t="s">
        <v>996</v>
      </c>
    </row>
    <row r="3734" spans="1:8" x14ac:dyDescent="0.25">
      <c r="A3734" t="s">
        <v>994</v>
      </c>
      <c r="B3734" t="s">
        <v>103</v>
      </c>
      <c r="C3734" s="5">
        <v>2617</v>
      </c>
      <c r="D3734" s="5">
        <v>3</v>
      </c>
      <c r="E3734">
        <v>2027</v>
      </c>
      <c r="F3734" s="4" t="s">
        <v>104</v>
      </c>
      <c r="G3734" t="s">
        <v>29</v>
      </c>
      <c r="H3734" t="s">
        <v>105</v>
      </c>
    </row>
    <row r="3735" spans="1:8" x14ac:dyDescent="0.25">
      <c r="A3735" t="s">
        <v>994</v>
      </c>
      <c r="B3735" t="s">
        <v>106</v>
      </c>
      <c r="C3735" s="5">
        <v>184919</v>
      </c>
      <c r="D3735" s="5">
        <v>2396</v>
      </c>
      <c r="E3735">
        <v>42755</v>
      </c>
      <c r="F3735" s="4" t="s">
        <v>190</v>
      </c>
      <c r="G3735" t="s">
        <v>29</v>
      </c>
      <c r="H3735" t="s">
        <v>191</v>
      </c>
    </row>
    <row r="3736" spans="1:8" x14ac:dyDescent="0.25">
      <c r="A3736" t="s">
        <v>994</v>
      </c>
      <c r="B3736" t="s">
        <v>109</v>
      </c>
      <c r="C3736" s="5">
        <v>586234</v>
      </c>
      <c r="D3736" s="5">
        <v>4515</v>
      </c>
      <c r="E3736">
        <v>25981</v>
      </c>
      <c r="F3736" s="4" t="s">
        <v>110</v>
      </c>
      <c r="G3736" t="s">
        <v>29</v>
      </c>
      <c r="H3736" t="s">
        <v>111</v>
      </c>
    </row>
    <row r="3737" spans="1:8" x14ac:dyDescent="0.25">
      <c r="A3737" t="s">
        <v>994</v>
      </c>
      <c r="B3737" t="s">
        <v>112</v>
      </c>
      <c r="C3737" s="5">
        <v>25445</v>
      </c>
      <c r="D3737" s="5">
        <v>473</v>
      </c>
      <c r="E3737">
        <v>283</v>
      </c>
      <c r="F3737" s="4" t="s">
        <v>113</v>
      </c>
      <c r="G3737" t="s">
        <v>29</v>
      </c>
      <c r="H3737" t="s">
        <v>114</v>
      </c>
    </row>
    <row r="3738" spans="1:8" x14ac:dyDescent="0.25">
      <c r="A3738" t="s">
        <v>994</v>
      </c>
      <c r="B3738" t="s">
        <v>115</v>
      </c>
      <c r="C3738" s="5">
        <v>1707278</v>
      </c>
      <c r="D3738" s="5">
        <v>28801</v>
      </c>
      <c r="E3738">
        <v>1290986</v>
      </c>
      <c r="F3738" s="4" t="s">
        <v>152</v>
      </c>
      <c r="G3738" t="s">
        <v>29</v>
      </c>
      <c r="H3738" t="s">
        <v>153</v>
      </c>
    </row>
    <row r="3739" spans="1:8" x14ac:dyDescent="0.25">
      <c r="A3739" t="s">
        <v>994</v>
      </c>
      <c r="B3739" t="s">
        <v>118</v>
      </c>
      <c r="C3739" s="5">
        <v>57432</v>
      </c>
      <c r="D3739" s="5">
        <v>1091</v>
      </c>
      <c r="E3739">
        <v>3284</v>
      </c>
      <c r="F3739" s="4" t="s">
        <v>652</v>
      </c>
      <c r="G3739" t="s">
        <v>29</v>
      </c>
      <c r="H3739" t="s">
        <v>653</v>
      </c>
    </row>
    <row r="3740" spans="1:8" x14ac:dyDescent="0.25">
      <c r="A3740" t="s">
        <v>994</v>
      </c>
      <c r="B3740" t="s">
        <v>121</v>
      </c>
      <c r="C3740" s="5">
        <v>11518</v>
      </c>
      <c r="D3740" s="5">
        <v>100</v>
      </c>
      <c r="E3740">
        <v>11327</v>
      </c>
      <c r="F3740" s="4" t="s">
        <v>498</v>
      </c>
      <c r="G3740" t="s">
        <v>29</v>
      </c>
      <c r="H3740" t="s">
        <v>499</v>
      </c>
    </row>
    <row r="3741" spans="1:8" x14ac:dyDescent="0.25">
      <c r="A3741" t="s">
        <v>994</v>
      </c>
      <c r="B3741" t="s">
        <v>124</v>
      </c>
      <c r="C3741" s="5">
        <v>16408</v>
      </c>
      <c r="D3741" s="5">
        <v>239</v>
      </c>
      <c r="E3741">
        <v>11487</v>
      </c>
      <c r="F3741" s="4" t="s">
        <v>565</v>
      </c>
      <c r="G3741" t="s">
        <v>29</v>
      </c>
      <c r="H3741" t="s">
        <v>566</v>
      </c>
    </row>
    <row r="3742" spans="1:8" x14ac:dyDescent="0.25">
      <c r="A3742" t="s">
        <v>994</v>
      </c>
      <c r="B3742" t="s">
        <v>127</v>
      </c>
      <c r="C3742" s="5">
        <v>862411</v>
      </c>
      <c r="D3742" s="5">
        <v>11182</v>
      </c>
      <c r="E3742">
        <v>505332</v>
      </c>
      <c r="F3742" s="4" t="s">
        <v>190</v>
      </c>
      <c r="G3742" t="s">
        <v>29</v>
      </c>
      <c r="H3742" t="s">
        <v>191</v>
      </c>
    </row>
    <row r="3743" spans="1:8" x14ac:dyDescent="0.25">
      <c r="A3743" t="s">
        <v>994</v>
      </c>
      <c r="B3743" t="s">
        <v>128</v>
      </c>
      <c r="C3743" s="5">
        <v>61178</v>
      </c>
      <c r="D3743" s="5">
        <v>690</v>
      </c>
      <c r="E3743">
        <v>4351</v>
      </c>
      <c r="F3743" s="4" t="s">
        <v>267</v>
      </c>
      <c r="G3743" t="s">
        <v>29</v>
      </c>
      <c r="H3743" t="s">
        <v>268</v>
      </c>
    </row>
    <row r="3744" spans="1:8" x14ac:dyDescent="0.25">
      <c r="A3744" t="s">
        <v>994</v>
      </c>
      <c r="B3744" t="s">
        <v>131</v>
      </c>
      <c r="C3744" s="5">
        <v>1681828</v>
      </c>
      <c r="D3744" s="5">
        <v>37669</v>
      </c>
      <c r="E3744">
        <v>118750</v>
      </c>
      <c r="F3744" s="4" t="s">
        <v>603</v>
      </c>
      <c r="G3744" t="s">
        <v>29</v>
      </c>
      <c r="H3744" t="s">
        <v>604</v>
      </c>
    </row>
    <row r="3745" spans="1:8" x14ac:dyDescent="0.25">
      <c r="A3745" t="s">
        <v>994</v>
      </c>
      <c r="B3745" t="s">
        <v>134</v>
      </c>
      <c r="C3745" s="5">
        <v>100289</v>
      </c>
      <c r="D3745" s="5">
        <v>1600</v>
      </c>
      <c r="E3745">
        <v>86935</v>
      </c>
      <c r="F3745" s="4" t="s">
        <v>313</v>
      </c>
      <c r="G3745" t="s">
        <v>29</v>
      </c>
      <c r="H3745" t="s">
        <v>314</v>
      </c>
    </row>
    <row r="3746" spans="1:8" x14ac:dyDescent="0.25">
      <c r="A3746" t="s">
        <v>994</v>
      </c>
      <c r="B3746" t="s">
        <v>137</v>
      </c>
      <c r="C3746" s="5">
        <v>96797</v>
      </c>
      <c r="D3746" s="5">
        <v>4636</v>
      </c>
      <c r="E3746">
        <v>25009</v>
      </c>
      <c r="F3746" s="4" t="s">
        <v>988</v>
      </c>
      <c r="G3746" t="s">
        <v>29</v>
      </c>
      <c r="H3746" t="s">
        <v>989</v>
      </c>
    </row>
    <row r="3747" spans="1:8" x14ac:dyDescent="0.25">
      <c r="A3747" t="s">
        <v>994</v>
      </c>
      <c r="B3747" t="s">
        <v>140</v>
      </c>
      <c r="C3747" s="5">
        <v>5003839</v>
      </c>
      <c r="D3747" s="5">
        <v>127067</v>
      </c>
      <c r="E3747">
        <v>1336070</v>
      </c>
      <c r="F3747" s="4" t="s">
        <v>141</v>
      </c>
      <c r="G3747" t="s">
        <v>29</v>
      </c>
      <c r="H3747" t="s">
        <v>142</v>
      </c>
    </row>
    <row r="3748" spans="1:8" x14ac:dyDescent="0.25">
      <c r="A3748" t="s">
        <v>994</v>
      </c>
      <c r="B3748" t="s">
        <v>143</v>
      </c>
      <c r="C3748" s="5">
        <v>555970</v>
      </c>
      <c r="D3748" s="5">
        <v>6946</v>
      </c>
      <c r="E3748">
        <v>62532</v>
      </c>
      <c r="F3748" s="4" t="s">
        <v>107</v>
      </c>
      <c r="G3748" t="s">
        <v>29</v>
      </c>
      <c r="H3748" t="s">
        <v>108</v>
      </c>
    </row>
    <row r="3749" spans="1:8" x14ac:dyDescent="0.25">
      <c r="A3749" t="s">
        <v>994</v>
      </c>
      <c r="B3749" t="s">
        <v>144</v>
      </c>
      <c r="C3749" s="5">
        <v>945750</v>
      </c>
      <c r="D3749" s="5">
        <v>8167</v>
      </c>
      <c r="E3749">
        <v>792229</v>
      </c>
      <c r="F3749" s="4" t="s">
        <v>122</v>
      </c>
      <c r="G3749" t="s">
        <v>29</v>
      </c>
      <c r="H3749" t="s">
        <v>123</v>
      </c>
    </row>
    <row r="3750" spans="1:8" x14ac:dyDescent="0.25">
      <c r="A3750" t="s">
        <v>994</v>
      </c>
      <c r="B3750" t="s">
        <v>145</v>
      </c>
      <c r="C3750" s="5">
        <v>38140</v>
      </c>
      <c r="D3750" s="5">
        <v>349</v>
      </c>
      <c r="E3750">
        <v>17565</v>
      </c>
      <c r="F3750" s="4" t="s">
        <v>214</v>
      </c>
      <c r="G3750" t="s">
        <v>29</v>
      </c>
      <c r="H3750" t="s">
        <v>215</v>
      </c>
    </row>
    <row r="3751" spans="1:8" x14ac:dyDescent="0.25">
      <c r="A3751" t="s">
        <v>994</v>
      </c>
      <c r="B3751" t="s">
        <v>148</v>
      </c>
      <c r="C3751" s="5">
        <v>122996</v>
      </c>
      <c r="D3751" s="5">
        <v>569</v>
      </c>
      <c r="E3751">
        <v>33355</v>
      </c>
      <c r="F3751" s="4" t="s">
        <v>149</v>
      </c>
      <c r="G3751" t="s">
        <v>29</v>
      </c>
      <c r="H3751" t="s">
        <v>150</v>
      </c>
    </row>
    <row r="3752" spans="1:8" x14ac:dyDescent="0.25">
      <c r="A3752" t="s">
        <v>994</v>
      </c>
      <c r="B3752" t="s">
        <v>151</v>
      </c>
      <c r="C3752" s="5">
        <v>1729458</v>
      </c>
      <c r="D3752" s="5">
        <v>30615</v>
      </c>
      <c r="E3752">
        <v>1646597</v>
      </c>
      <c r="F3752" s="4" t="s">
        <v>769</v>
      </c>
      <c r="G3752" t="s">
        <v>29</v>
      </c>
      <c r="H3752" t="s">
        <v>770</v>
      </c>
    </row>
    <row r="3753" spans="1:8" x14ac:dyDescent="0.25">
      <c r="A3753" t="s">
        <v>994</v>
      </c>
      <c r="B3753" t="s">
        <v>154</v>
      </c>
      <c r="C3753" s="5">
        <v>4476078</v>
      </c>
      <c r="D3753" s="5">
        <v>95121</v>
      </c>
      <c r="E3753">
        <v>2207667</v>
      </c>
      <c r="F3753" s="4" t="s">
        <v>650</v>
      </c>
      <c r="G3753" t="s">
        <v>29</v>
      </c>
      <c r="H3753" t="s">
        <v>651</v>
      </c>
    </row>
    <row r="3754" spans="1:8" x14ac:dyDescent="0.25">
      <c r="A3754" t="s">
        <v>994</v>
      </c>
      <c r="B3754" t="s">
        <v>157</v>
      </c>
      <c r="C3754" s="5">
        <v>13451</v>
      </c>
      <c r="D3754" s="5">
        <v>181</v>
      </c>
      <c r="E3754">
        <v>1398</v>
      </c>
      <c r="F3754" s="4" t="s">
        <v>409</v>
      </c>
      <c r="G3754" t="s">
        <v>29</v>
      </c>
      <c r="H3754" t="s">
        <v>410</v>
      </c>
    </row>
    <row r="3755" spans="1:8" x14ac:dyDescent="0.25">
      <c r="A3755" t="s">
        <v>994</v>
      </c>
      <c r="B3755" t="s">
        <v>160</v>
      </c>
      <c r="C3755" s="5">
        <v>377145</v>
      </c>
      <c r="D3755" s="5">
        <v>2699</v>
      </c>
      <c r="E3755">
        <v>314660</v>
      </c>
      <c r="F3755" s="4" t="s">
        <v>199</v>
      </c>
      <c r="G3755" t="s">
        <v>29</v>
      </c>
      <c r="H3755" t="s">
        <v>200</v>
      </c>
    </row>
    <row r="3756" spans="1:8" x14ac:dyDescent="0.25">
      <c r="A3756" t="s">
        <v>994</v>
      </c>
      <c r="B3756" t="s">
        <v>161</v>
      </c>
      <c r="C3756" s="5">
        <v>4508</v>
      </c>
      <c r="D3756" s="5">
        <v>30</v>
      </c>
      <c r="E3756">
        <v>1376</v>
      </c>
      <c r="F3756" s="4" t="s">
        <v>92</v>
      </c>
      <c r="G3756" t="s">
        <v>29</v>
      </c>
      <c r="H3756" t="s">
        <v>93</v>
      </c>
    </row>
    <row r="3757" spans="1:8" x14ac:dyDescent="0.25">
      <c r="A3757" t="s">
        <v>994</v>
      </c>
      <c r="B3757" t="s">
        <v>164</v>
      </c>
      <c r="C3757" s="5">
        <v>376272</v>
      </c>
      <c r="D3757" s="5">
        <v>4108</v>
      </c>
      <c r="E3757">
        <v>171343</v>
      </c>
      <c r="F3757" s="4" t="s">
        <v>683</v>
      </c>
      <c r="G3757" t="s">
        <v>29</v>
      </c>
      <c r="H3757" t="s">
        <v>684</v>
      </c>
    </row>
    <row r="3758" spans="1:8" x14ac:dyDescent="0.25">
      <c r="A3758" t="s">
        <v>994</v>
      </c>
      <c r="B3758" t="s">
        <v>167</v>
      </c>
      <c r="C3758" s="5">
        <v>205822</v>
      </c>
      <c r="D3758" s="5">
        <v>5890</v>
      </c>
      <c r="E3758">
        <v>34565</v>
      </c>
      <c r="F3758" s="4" t="s">
        <v>955</v>
      </c>
      <c r="G3758" t="s">
        <v>29</v>
      </c>
      <c r="H3758" t="s">
        <v>956</v>
      </c>
    </row>
    <row r="3759" spans="1:8" x14ac:dyDescent="0.25">
      <c r="A3759" t="s">
        <v>994</v>
      </c>
      <c r="B3759" t="s">
        <v>170</v>
      </c>
      <c r="C3759" s="5">
        <v>515606</v>
      </c>
      <c r="D3759" s="5">
        <v>32952</v>
      </c>
      <c r="E3759">
        <v>210509</v>
      </c>
      <c r="F3759" s="4" t="s">
        <v>767</v>
      </c>
      <c r="G3759" t="s">
        <v>29</v>
      </c>
      <c r="H3759" t="s">
        <v>768</v>
      </c>
    </row>
    <row r="3760" spans="1:8" x14ac:dyDescent="0.25">
      <c r="A3760" t="s">
        <v>994</v>
      </c>
      <c r="B3760" t="s">
        <v>173</v>
      </c>
      <c r="C3760" s="5">
        <v>182039</v>
      </c>
      <c r="D3760" s="5">
        <v>1461</v>
      </c>
      <c r="E3760">
        <v>164543</v>
      </c>
      <c r="F3760" s="4" t="s">
        <v>942</v>
      </c>
      <c r="G3760" t="s">
        <v>29</v>
      </c>
      <c r="H3760" t="s">
        <v>943</v>
      </c>
    </row>
    <row r="3761" spans="1:8" x14ac:dyDescent="0.25">
      <c r="A3761" t="s">
        <v>994</v>
      </c>
      <c r="B3761" t="s">
        <v>176</v>
      </c>
      <c r="C3761" s="5">
        <v>324619</v>
      </c>
      <c r="D3761" s="5">
        <v>18285</v>
      </c>
      <c r="E3761">
        <v>247052</v>
      </c>
      <c r="F3761" s="4" t="s">
        <v>856</v>
      </c>
      <c r="G3761" t="s">
        <v>29</v>
      </c>
      <c r="H3761" t="s">
        <v>857</v>
      </c>
    </row>
    <row r="3762" spans="1:8" x14ac:dyDescent="0.25">
      <c r="A3762" t="s">
        <v>994</v>
      </c>
      <c r="B3762" t="s">
        <v>179</v>
      </c>
      <c r="C3762" s="5">
        <v>6792</v>
      </c>
      <c r="D3762" s="5">
        <v>45</v>
      </c>
      <c r="E3762">
        <v>3594</v>
      </c>
      <c r="F3762" s="4" t="s">
        <v>162</v>
      </c>
      <c r="G3762" t="s">
        <v>29</v>
      </c>
      <c r="H3762" t="s">
        <v>163</v>
      </c>
    </row>
    <row r="3763" spans="1:8" x14ac:dyDescent="0.25">
      <c r="A3763" t="s">
        <v>994</v>
      </c>
      <c r="B3763" t="s">
        <v>182</v>
      </c>
      <c r="C3763" s="5">
        <v>4997732</v>
      </c>
      <c r="D3763" s="5">
        <v>87132</v>
      </c>
      <c r="E3763">
        <v>2688125</v>
      </c>
      <c r="F3763" s="4" t="s">
        <v>183</v>
      </c>
      <c r="G3763" t="s">
        <v>29</v>
      </c>
      <c r="H3763" t="s">
        <v>184</v>
      </c>
    </row>
    <row r="3764" spans="1:8" x14ac:dyDescent="0.25">
      <c r="A3764" t="s">
        <v>994</v>
      </c>
      <c r="B3764" t="s">
        <v>185</v>
      </c>
      <c r="C3764" s="5">
        <v>362335</v>
      </c>
      <c r="D3764" s="5">
        <v>6358</v>
      </c>
      <c r="E3764">
        <v>98819</v>
      </c>
      <c r="F3764" s="4" t="s">
        <v>545</v>
      </c>
      <c r="G3764" t="s">
        <v>29</v>
      </c>
      <c r="H3764" t="s">
        <v>546</v>
      </c>
    </row>
    <row r="3765" spans="1:8" x14ac:dyDescent="0.25">
      <c r="A3765" t="s">
        <v>994</v>
      </c>
      <c r="B3765" t="s">
        <v>186</v>
      </c>
      <c r="C3765" s="5">
        <v>153156</v>
      </c>
      <c r="D3765" s="5">
        <v>1139</v>
      </c>
      <c r="E3765">
        <v>19800</v>
      </c>
      <c r="F3765" s="4" t="s">
        <v>819</v>
      </c>
      <c r="G3765" t="s">
        <v>29</v>
      </c>
      <c r="H3765" t="s">
        <v>820</v>
      </c>
    </row>
    <row r="3766" spans="1:8" x14ac:dyDescent="0.25">
      <c r="A3766" t="s">
        <v>994</v>
      </c>
      <c r="B3766" t="s">
        <v>189</v>
      </c>
      <c r="C3766" s="5">
        <v>51977</v>
      </c>
      <c r="D3766" s="5">
        <v>673</v>
      </c>
      <c r="E3766">
        <v>6550</v>
      </c>
      <c r="F3766" s="4" t="s">
        <v>417</v>
      </c>
      <c r="G3766" t="s">
        <v>29</v>
      </c>
      <c r="H3766" t="s">
        <v>418</v>
      </c>
    </row>
    <row r="3767" spans="1:8" x14ac:dyDescent="0.25">
      <c r="A3767" t="s">
        <v>994</v>
      </c>
      <c r="B3767" t="s">
        <v>192</v>
      </c>
      <c r="C3767" s="5">
        <v>1615</v>
      </c>
      <c r="D3767" s="5">
        <v>2</v>
      </c>
      <c r="E3767">
        <v>125</v>
      </c>
      <c r="F3767" s="4" t="s">
        <v>957</v>
      </c>
      <c r="G3767" t="s">
        <v>29</v>
      </c>
      <c r="H3767" t="s">
        <v>958</v>
      </c>
    </row>
    <row r="3768" spans="1:8" x14ac:dyDescent="0.25">
      <c r="A3768" t="s">
        <v>994</v>
      </c>
      <c r="B3768" t="s">
        <v>195</v>
      </c>
      <c r="C3768" s="5">
        <v>6949654</v>
      </c>
      <c r="D3768" s="5">
        <v>115118</v>
      </c>
      <c r="E3768">
        <v>875668</v>
      </c>
      <c r="F3768" s="4" t="s">
        <v>135</v>
      </c>
      <c r="G3768" t="s">
        <v>29</v>
      </c>
      <c r="H3768" t="s">
        <v>136</v>
      </c>
    </row>
    <row r="3769" spans="1:8" x14ac:dyDescent="0.25">
      <c r="A3769" t="s">
        <v>994</v>
      </c>
      <c r="B3769" t="s">
        <v>198</v>
      </c>
      <c r="C3769" s="5">
        <v>34601</v>
      </c>
      <c r="D3769" s="5">
        <v>224</v>
      </c>
      <c r="E3769">
        <v>19165</v>
      </c>
      <c r="F3769" s="4" t="s">
        <v>86</v>
      </c>
      <c r="G3769" t="s">
        <v>29</v>
      </c>
      <c r="H3769" t="s">
        <v>87</v>
      </c>
    </row>
    <row r="3770" spans="1:8" x14ac:dyDescent="0.25">
      <c r="A3770" t="s">
        <v>994</v>
      </c>
      <c r="B3770" t="s">
        <v>201</v>
      </c>
      <c r="C3770" s="5">
        <v>8808861</v>
      </c>
      <c r="D3770" s="5">
        <v>139852</v>
      </c>
      <c r="E3770">
        <v>1842381</v>
      </c>
      <c r="F3770" s="4" t="s">
        <v>361</v>
      </c>
      <c r="G3770" t="s">
        <v>29</v>
      </c>
      <c r="H3770" t="s">
        <v>362</v>
      </c>
    </row>
    <row r="3771" spans="1:8" x14ac:dyDescent="0.25">
      <c r="A3771" t="s">
        <v>994</v>
      </c>
      <c r="B3771" t="s">
        <v>207</v>
      </c>
      <c r="C3771" s="5">
        <v>692240</v>
      </c>
      <c r="D3771" s="5">
        <v>9742</v>
      </c>
      <c r="E3771">
        <v>96725</v>
      </c>
      <c r="F3771" s="4" t="s">
        <v>345</v>
      </c>
      <c r="G3771" t="s">
        <v>29</v>
      </c>
      <c r="H3771" t="s">
        <v>346</v>
      </c>
    </row>
    <row r="3772" spans="1:8" x14ac:dyDescent="0.25">
      <c r="A3772" t="s">
        <v>994</v>
      </c>
      <c r="B3772" t="s">
        <v>204</v>
      </c>
      <c r="C3772" s="5">
        <v>5817</v>
      </c>
      <c r="D3772" s="5">
        <v>196</v>
      </c>
      <c r="E3772">
        <v>679</v>
      </c>
      <c r="F3772" s="4" t="s">
        <v>986</v>
      </c>
      <c r="G3772" t="s">
        <v>29</v>
      </c>
      <c r="H3772" t="s">
        <v>987</v>
      </c>
    </row>
    <row r="3773" spans="1:8" x14ac:dyDescent="0.25">
      <c r="A3773" t="s">
        <v>994</v>
      </c>
      <c r="B3773" t="s">
        <v>210</v>
      </c>
      <c r="C3773" s="5">
        <v>43938</v>
      </c>
      <c r="D3773" s="5">
        <v>298</v>
      </c>
      <c r="E3773">
        <v>19542</v>
      </c>
      <c r="F3773" s="4" t="s">
        <v>605</v>
      </c>
      <c r="G3773" t="s">
        <v>29</v>
      </c>
      <c r="H3773" t="s">
        <v>606</v>
      </c>
    </row>
    <row r="3774" spans="1:8" x14ac:dyDescent="0.25">
      <c r="A3774" t="s">
        <v>994</v>
      </c>
      <c r="B3774" t="s">
        <v>213</v>
      </c>
      <c r="C3774" s="5">
        <v>129805</v>
      </c>
      <c r="D3774" s="5">
        <v>1170</v>
      </c>
      <c r="E3774">
        <v>21066</v>
      </c>
      <c r="F3774" s="4" t="s">
        <v>667</v>
      </c>
      <c r="G3774" t="s">
        <v>29</v>
      </c>
      <c r="H3774" t="s">
        <v>668</v>
      </c>
    </row>
    <row r="3775" spans="1:8" x14ac:dyDescent="0.25">
      <c r="A3775" t="s">
        <v>994</v>
      </c>
      <c r="B3775" t="s">
        <v>216</v>
      </c>
      <c r="C3775" s="5">
        <v>5874</v>
      </c>
      <c r="D3775" s="5">
        <v>98</v>
      </c>
      <c r="E3775">
        <v>4022</v>
      </c>
      <c r="F3775" s="4" t="s">
        <v>827</v>
      </c>
      <c r="G3775" t="s">
        <v>29</v>
      </c>
      <c r="H3775" t="s">
        <v>828</v>
      </c>
    </row>
    <row r="3776" spans="1:8" x14ac:dyDescent="0.25">
      <c r="A3776" t="s">
        <v>994</v>
      </c>
      <c r="B3776" t="s">
        <v>222</v>
      </c>
      <c r="C3776" s="5">
        <v>30626</v>
      </c>
      <c r="D3776" s="5">
        <v>385</v>
      </c>
      <c r="E3776">
        <v>7021</v>
      </c>
      <c r="F3776" s="4" t="s">
        <v>223</v>
      </c>
      <c r="G3776" t="s">
        <v>29</v>
      </c>
      <c r="H3776" t="s">
        <v>224</v>
      </c>
    </row>
    <row r="3777" spans="1:8" x14ac:dyDescent="0.25">
      <c r="A3777" t="s">
        <v>994</v>
      </c>
      <c r="B3777" t="s">
        <v>219</v>
      </c>
      <c r="C3777" s="5">
        <v>9956</v>
      </c>
      <c r="D3777" s="5">
        <v>339</v>
      </c>
      <c r="E3777">
        <v>343</v>
      </c>
      <c r="F3777" s="4" t="s">
        <v>648</v>
      </c>
      <c r="G3777" t="s">
        <v>29</v>
      </c>
      <c r="H3777" t="s">
        <v>649</v>
      </c>
    </row>
    <row r="3778" spans="1:8" x14ac:dyDescent="0.25">
      <c r="A3778" t="s">
        <v>994</v>
      </c>
      <c r="B3778" t="s">
        <v>225</v>
      </c>
      <c r="C3778" s="5">
        <v>54095</v>
      </c>
      <c r="D3778" s="5">
        <v>809</v>
      </c>
      <c r="E3778">
        <v>50701</v>
      </c>
      <c r="F3778" s="4" t="s">
        <v>226</v>
      </c>
      <c r="G3778" t="s">
        <v>29</v>
      </c>
      <c r="H3778" t="s">
        <v>227</v>
      </c>
    </row>
    <row r="3779" spans="1:8" x14ac:dyDescent="0.25">
      <c r="A3779" t="s">
        <v>994</v>
      </c>
      <c r="B3779" t="s">
        <v>228</v>
      </c>
      <c r="C3779" s="5">
        <v>13166</v>
      </c>
      <c r="D3779" s="5">
        <v>163</v>
      </c>
      <c r="E3779">
        <v>8133</v>
      </c>
      <c r="F3779" s="4" t="s">
        <v>394</v>
      </c>
      <c r="G3779" t="s">
        <v>29</v>
      </c>
      <c r="H3779" t="s">
        <v>395</v>
      </c>
    </row>
    <row r="3780" spans="1:8" x14ac:dyDescent="0.25">
      <c r="A3780" t="s">
        <v>994</v>
      </c>
      <c r="B3780" t="s">
        <v>229</v>
      </c>
      <c r="C3780" s="5">
        <v>716358</v>
      </c>
      <c r="D3780" s="5">
        <v>15628</v>
      </c>
      <c r="E3780">
        <v>220959</v>
      </c>
      <c r="F3780" s="4" t="s">
        <v>984</v>
      </c>
      <c r="G3780" t="s">
        <v>29</v>
      </c>
      <c r="H3780" t="s">
        <v>985</v>
      </c>
    </row>
    <row r="3781" spans="1:8" x14ac:dyDescent="0.25">
      <c r="A3781" t="s">
        <v>994</v>
      </c>
      <c r="B3781" t="s">
        <v>232</v>
      </c>
      <c r="C3781" s="5">
        <v>595008</v>
      </c>
      <c r="D3781" s="5">
        <v>14700</v>
      </c>
      <c r="E3781">
        <v>77393</v>
      </c>
      <c r="F3781" s="4" t="s">
        <v>961</v>
      </c>
      <c r="G3781" t="s">
        <v>29</v>
      </c>
      <c r="H3781" t="s">
        <v>962</v>
      </c>
    </row>
    <row r="3782" spans="1:8" x14ac:dyDescent="0.25">
      <c r="A3782" t="s">
        <v>994</v>
      </c>
      <c r="B3782" t="s">
        <v>233</v>
      </c>
      <c r="C3782" s="5">
        <v>6131</v>
      </c>
      <c r="D3782" s="5">
        <v>141</v>
      </c>
      <c r="E3782">
        <v>2210</v>
      </c>
      <c r="F3782" s="4" t="s">
        <v>619</v>
      </c>
      <c r="G3782" t="s">
        <v>29</v>
      </c>
      <c r="H3782" t="s">
        <v>620</v>
      </c>
    </row>
    <row r="3783" spans="1:8" x14ac:dyDescent="0.25">
      <c r="A3783" t="s">
        <v>994</v>
      </c>
      <c r="B3783" t="s">
        <v>236</v>
      </c>
      <c r="C3783" s="5">
        <v>35067</v>
      </c>
      <c r="D3783" s="5">
        <v>895</v>
      </c>
      <c r="E3783">
        <v>31724</v>
      </c>
      <c r="F3783" s="4" t="s">
        <v>513</v>
      </c>
      <c r="G3783" t="s">
        <v>29</v>
      </c>
      <c r="H3783" t="s">
        <v>514</v>
      </c>
    </row>
    <row r="3784" spans="1:8" x14ac:dyDescent="0.25">
      <c r="A3784" t="s">
        <v>994</v>
      </c>
      <c r="B3784" t="s">
        <v>239</v>
      </c>
      <c r="C3784" s="5">
        <v>12323</v>
      </c>
      <c r="D3784" s="5">
        <v>213</v>
      </c>
      <c r="E3784">
        <v>1106</v>
      </c>
      <c r="F3784" s="4" t="s">
        <v>765</v>
      </c>
      <c r="G3784" t="s">
        <v>29</v>
      </c>
      <c r="H3784" t="s">
        <v>766</v>
      </c>
    </row>
    <row r="3785" spans="1:8" x14ac:dyDescent="0.25">
      <c r="A3785" t="s">
        <v>994</v>
      </c>
      <c r="B3785" t="s">
        <v>242</v>
      </c>
      <c r="C3785" s="5">
        <v>374148</v>
      </c>
      <c r="D3785" s="5">
        <v>10191</v>
      </c>
      <c r="E3785">
        <v>186931</v>
      </c>
      <c r="F3785" s="4" t="s">
        <v>938</v>
      </c>
      <c r="G3785" t="s">
        <v>29</v>
      </c>
      <c r="H3785" t="s">
        <v>939</v>
      </c>
    </row>
    <row r="3786" spans="1:8" x14ac:dyDescent="0.25">
      <c r="A3786" t="s">
        <v>994</v>
      </c>
      <c r="B3786" t="s">
        <v>245</v>
      </c>
      <c r="C3786" s="5">
        <v>445325</v>
      </c>
      <c r="D3786" s="5">
        <v>9038</v>
      </c>
      <c r="E3786">
        <v>24195</v>
      </c>
      <c r="F3786" s="4" t="s">
        <v>713</v>
      </c>
      <c r="G3786" t="s">
        <v>29</v>
      </c>
      <c r="H3786" t="s">
        <v>714</v>
      </c>
    </row>
    <row r="3787" spans="1:8" x14ac:dyDescent="0.25">
      <c r="A3787" t="s">
        <v>994</v>
      </c>
      <c r="B3787" t="s">
        <v>248</v>
      </c>
      <c r="C3787" s="5">
        <v>23406</v>
      </c>
      <c r="D3787" s="5">
        <v>658</v>
      </c>
      <c r="E3787">
        <v>7894</v>
      </c>
      <c r="F3787" s="4" t="s">
        <v>967</v>
      </c>
      <c r="G3787" t="s">
        <v>29</v>
      </c>
      <c r="H3787" t="s">
        <v>968</v>
      </c>
    </row>
    <row r="3788" spans="1:8" x14ac:dyDescent="0.25">
      <c r="A3788" t="s">
        <v>994</v>
      </c>
      <c r="B3788" t="s">
        <v>251</v>
      </c>
      <c r="C3788" s="5">
        <v>843825</v>
      </c>
      <c r="D3788" s="5">
        <v>30492</v>
      </c>
      <c r="E3788">
        <v>410021</v>
      </c>
      <c r="F3788" s="4" t="s">
        <v>997</v>
      </c>
      <c r="G3788" t="s">
        <v>29</v>
      </c>
      <c r="H3788" t="s">
        <v>998</v>
      </c>
    </row>
    <row r="3789" spans="1:8" x14ac:dyDescent="0.25">
      <c r="A3789" t="s">
        <v>994</v>
      </c>
      <c r="B3789" t="s">
        <v>254</v>
      </c>
      <c r="C3789" s="5">
        <v>4240019</v>
      </c>
      <c r="D3789" s="5">
        <v>143205</v>
      </c>
      <c r="E3789">
        <v>2249033</v>
      </c>
      <c r="F3789" s="4" t="s">
        <v>255</v>
      </c>
      <c r="G3789" t="s">
        <v>29</v>
      </c>
      <c r="H3789" t="s">
        <v>256</v>
      </c>
    </row>
    <row r="3790" spans="1:8" x14ac:dyDescent="0.25">
      <c r="A3790" t="s">
        <v>994</v>
      </c>
      <c r="B3790" t="s">
        <v>257</v>
      </c>
      <c r="C3790" s="5">
        <v>429877</v>
      </c>
      <c r="D3790" s="5">
        <v>5369</v>
      </c>
      <c r="E3790">
        <v>22412</v>
      </c>
      <c r="F3790" s="4" t="s">
        <v>107</v>
      </c>
      <c r="G3790" t="s">
        <v>29</v>
      </c>
      <c r="H3790" t="s">
        <v>108</v>
      </c>
    </row>
    <row r="3791" spans="1:8" x14ac:dyDescent="0.25">
      <c r="A3791" t="s">
        <v>994</v>
      </c>
      <c r="B3791" t="s">
        <v>260</v>
      </c>
      <c r="C3791" s="5">
        <v>1323079</v>
      </c>
      <c r="D3791" s="5">
        <v>8049</v>
      </c>
      <c r="E3791">
        <v>418368</v>
      </c>
      <c r="F3791" s="4" t="s">
        <v>261</v>
      </c>
      <c r="G3791" t="s">
        <v>29</v>
      </c>
      <c r="H3791" t="s">
        <v>262</v>
      </c>
    </row>
    <row r="3792" spans="1:8" x14ac:dyDescent="0.25">
      <c r="A3792" t="s">
        <v>994</v>
      </c>
      <c r="B3792" t="s">
        <v>263</v>
      </c>
      <c r="C3792" s="5">
        <v>34189774</v>
      </c>
      <c r="D3792" s="5">
        <v>454712</v>
      </c>
      <c r="E3792">
        <v>7256875</v>
      </c>
      <c r="F3792" s="4" t="s">
        <v>59</v>
      </c>
      <c r="G3792" t="s">
        <v>29</v>
      </c>
      <c r="H3792" t="s">
        <v>60</v>
      </c>
    </row>
    <row r="3793" spans="1:8" x14ac:dyDescent="0.25">
      <c r="A3793" t="s">
        <v>994</v>
      </c>
      <c r="B3793" t="s">
        <v>266</v>
      </c>
      <c r="C3793" s="5">
        <v>2046274</v>
      </c>
      <c r="D3793" s="5">
        <v>22961</v>
      </c>
      <c r="E3793">
        <v>1613623</v>
      </c>
      <c r="F3793" s="4" t="s">
        <v>911</v>
      </c>
      <c r="G3793" t="s">
        <v>29</v>
      </c>
      <c r="H3793" t="s">
        <v>912</v>
      </c>
    </row>
    <row r="3794" spans="1:8" x14ac:dyDescent="0.25">
      <c r="A3794" t="s">
        <v>994</v>
      </c>
      <c r="B3794" t="s">
        <v>269</v>
      </c>
      <c r="C3794" s="5">
        <v>5860844</v>
      </c>
      <c r="D3794" s="5">
        <v>125223</v>
      </c>
      <c r="E3794">
        <v>4265589</v>
      </c>
      <c r="F3794" s="4" t="s">
        <v>823</v>
      </c>
      <c r="G3794" t="s">
        <v>29</v>
      </c>
      <c r="H3794" t="s">
        <v>824</v>
      </c>
    </row>
    <row r="3795" spans="1:8" x14ac:dyDescent="0.25">
      <c r="A3795" t="s">
        <v>994</v>
      </c>
      <c r="B3795" t="s">
        <v>272</v>
      </c>
      <c r="C3795" s="5">
        <v>12899</v>
      </c>
      <c r="D3795" s="5">
        <v>33</v>
      </c>
      <c r="E3795">
        <v>5275</v>
      </c>
      <c r="F3795" s="4" t="s">
        <v>794</v>
      </c>
      <c r="G3795" t="s">
        <v>29</v>
      </c>
      <c r="H3795" t="s">
        <v>795</v>
      </c>
    </row>
    <row r="3796" spans="1:8" x14ac:dyDescent="0.25">
      <c r="A3796" t="s">
        <v>994</v>
      </c>
      <c r="B3796" t="s">
        <v>275</v>
      </c>
      <c r="C3796" s="5">
        <v>4741185</v>
      </c>
      <c r="D3796" s="5">
        <v>131826</v>
      </c>
      <c r="E3796">
        <v>4149349</v>
      </c>
      <c r="F3796" s="4" t="s">
        <v>98</v>
      </c>
      <c r="G3796" t="s">
        <v>29</v>
      </c>
      <c r="H3796" t="s">
        <v>99</v>
      </c>
    </row>
    <row r="3797" spans="1:8" x14ac:dyDescent="0.25">
      <c r="A3797" t="s">
        <v>994</v>
      </c>
      <c r="B3797" t="s">
        <v>278</v>
      </c>
      <c r="C3797" s="5">
        <v>88259</v>
      </c>
      <c r="D3797" s="5">
        <v>2179</v>
      </c>
      <c r="E3797">
        <v>30375</v>
      </c>
      <c r="F3797" s="4" t="s">
        <v>961</v>
      </c>
      <c r="G3797" t="s">
        <v>29</v>
      </c>
      <c r="H3797" t="s">
        <v>962</v>
      </c>
    </row>
    <row r="3798" spans="1:8" x14ac:dyDescent="0.25">
      <c r="A3798" t="s">
        <v>994</v>
      </c>
      <c r="B3798" t="s">
        <v>279</v>
      </c>
      <c r="C3798" s="5">
        <v>851410</v>
      </c>
      <c r="D3798" s="5">
        <v>10951</v>
      </c>
      <c r="E3798">
        <v>199046</v>
      </c>
      <c r="F3798" s="4" t="s">
        <v>417</v>
      </c>
      <c r="G3798" t="s">
        <v>29</v>
      </c>
      <c r="H3798" t="s">
        <v>418</v>
      </c>
    </row>
    <row r="3799" spans="1:8" x14ac:dyDescent="0.25">
      <c r="A3799" t="s">
        <v>994</v>
      </c>
      <c r="B3799" t="s">
        <v>280</v>
      </c>
      <c r="C3799" s="5">
        <v>1717698</v>
      </c>
      <c r="D3799" s="5">
        <v>18207</v>
      </c>
      <c r="E3799">
        <v>822652</v>
      </c>
      <c r="F3799" s="4" t="s">
        <v>165</v>
      </c>
      <c r="G3799" t="s">
        <v>29</v>
      </c>
      <c r="H3799" t="s">
        <v>166</v>
      </c>
    </row>
    <row r="3800" spans="1:8" x14ac:dyDescent="0.25">
      <c r="A3800" t="s">
        <v>994</v>
      </c>
      <c r="B3800" t="s">
        <v>281</v>
      </c>
      <c r="C3800" s="5">
        <v>252672</v>
      </c>
      <c r="D3800" s="5">
        <v>5257</v>
      </c>
      <c r="E3800">
        <v>154811</v>
      </c>
      <c r="F3800" s="4" t="s">
        <v>549</v>
      </c>
      <c r="G3800" t="s">
        <v>29</v>
      </c>
      <c r="H3800" t="s">
        <v>550</v>
      </c>
    </row>
    <row r="3801" spans="1:8" x14ac:dyDescent="0.25">
      <c r="A3801" t="s">
        <v>994</v>
      </c>
      <c r="B3801" t="s">
        <v>284</v>
      </c>
      <c r="C3801" s="5">
        <v>180563</v>
      </c>
      <c r="D3801" s="5">
        <v>2653</v>
      </c>
      <c r="E3801">
        <v>77318</v>
      </c>
      <c r="F3801" s="4" t="s">
        <v>777</v>
      </c>
      <c r="G3801" t="s">
        <v>29</v>
      </c>
      <c r="H3801" t="s">
        <v>778</v>
      </c>
    </row>
    <row r="3802" spans="1:8" x14ac:dyDescent="0.25">
      <c r="A3802" t="s">
        <v>994</v>
      </c>
      <c r="B3802" t="s">
        <v>290</v>
      </c>
      <c r="C3802" s="5">
        <v>2</v>
      </c>
      <c r="D3802" s="5">
        <v>0</v>
      </c>
      <c r="E3802">
        <v>1</v>
      </c>
      <c r="F3802" s="4" t="s">
        <v>29</v>
      </c>
      <c r="G3802" t="s">
        <v>29</v>
      </c>
      <c r="H3802" t="s">
        <v>291</v>
      </c>
    </row>
    <row r="3803" spans="1:8" x14ac:dyDescent="0.25">
      <c r="A3803" t="s">
        <v>994</v>
      </c>
      <c r="B3803" t="s">
        <v>287</v>
      </c>
      <c r="C3803" s="5">
        <v>117772</v>
      </c>
      <c r="D3803" s="5">
        <v>2734</v>
      </c>
      <c r="E3803">
        <v>31724</v>
      </c>
      <c r="F3803" s="4" t="s">
        <v>725</v>
      </c>
      <c r="G3803" t="s">
        <v>29</v>
      </c>
      <c r="H3803" t="s">
        <v>726</v>
      </c>
    </row>
    <row r="3804" spans="1:8" x14ac:dyDescent="0.25">
      <c r="A3804" t="s">
        <v>994</v>
      </c>
      <c r="B3804" t="s">
        <v>292</v>
      </c>
      <c r="C3804" s="5">
        <v>4205</v>
      </c>
      <c r="D3804" s="5">
        <v>147</v>
      </c>
      <c r="E3804">
        <v>1125</v>
      </c>
      <c r="F3804" s="4" t="s">
        <v>677</v>
      </c>
      <c r="G3804" t="s">
        <v>29</v>
      </c>
      <c r="H3804" t="s">
        <v>678</v>
      </c>
    </row>
    <row r="3805" spans="1:8" x14ac:dyDescent="0.25">
      <c r="A3805" t="s">
        <v>994</v>
      </c>
      <c r="B3805" t="s">
        <v>293</v>
      </c>
      <c r="C3805" s="5">
        <v>2625</v>
      </c>
      <c r="D3805" s="5">
        <v>21</v>
      </c>
      <c r="E3805">
        <v>2549</v>
      </c>
      <c r="F3805" s="4" t="s">
        <v>942</v>
      </c>
      <c r="G3805" t="s">
        <v>29</v>
      </c>
      <c r="H3805" t="s">
        <v>943</v>
      </c>
    </row>
    <row r="3806" spans="1:8" x14ac:dyDescent="0.25">
      <c r="A3806" t="s">
        <v>994</v>
      </c>
      <c r="B3806" t="s">
        <v>296</v>
      </c>
      <c r="C3806" s="5">
        <v>353089</v>
      </c>
      <c r="D3806" s="5">
        <v>2773</v>
      </c>
      <c r="E3806">
        <v>156076</v>
      </c>
      <c r="F3806" s="4" t="s">
        <v>174</v>
      </c>
      <c r="G3806" t="s">
        <v>29</v>
      </c>
      <c r="H3806" t="s">
        <v>175</v>
      </c>
    </row>
    <row r="3807" spans="1:8" x14ac:dyDescent="0.25">
      <c r="A3807" t="s">
        <v>994</v>
      </c>
      <c r="B3807" t="s">
        <v>299</v>
      </c>
      <c r="C3807" s="5">
        <v>412527</v>
      </c>
      <c r="D3807" s="5">
        <v>2461</v>
      </c>
      <c r="E3807">
        <v>136550</v>
      </c>
      <c r="F3807" s="4" t="s">
        <v>300</v>
      </c>
      <c r="G3807" t="s">
        <v>29</v>
      </c>
      <c r="H3807" t="s">
        <v>301</v>
      </c>
    </row>
    <row r="3808" spans="1:8" x14ac:dyDescent="0.25">
      <c r="A3808" t="s">
        <v>994</v>
      </c>
      <c r="B3808" t="s">
        <v>302</v>
      </c>
      <c r="C3808" s="5">
        <v>1008555</v>
      </c>
      <c r="D3808" s="5">
        <v>16871</v>
      </c>
      <c r="E3808">
        <v>309723</v>
      </c>
      <c r="F3808" s="4" t="s">
        <v>827</v>
      </c>
      <c r="G3808" t="s">
        <v>29</v>
      </c>
      <c r="H3808" t="s">
        <v>828</v>
      </c>
    </row>
    <row r="3809" spans="1:8" x14ac:dyDescent="0.25">
      <c r="A3809" t="s">
        <v>994</v>
      </c>
      <c r="B3809" t="s">
        <v>303</v>
      </c>
      <c r="C3809" s="5">
        <v>35633</v>
      </c>
      <c r="D3809" s="5">
        <v>52</v>
      </c>
      <c r="E3809">
        <v>27702</v>
      </c>
      <c r="F3809" s="4" t="s">
        <v>915</v>
      </c>
      <c r="G3809" t="s">
        <v>29</v>
      </c>
      <c r="H3809" t="s">
        <v>916</v>
      </c>
    </row>
    <row r="3810" spans="1:8" x14ac:dyDescent="0.25">
      <c r="A3810" t="s">
        <v>994</v>
      </c>
      <c r="B3810" t="s">
        <v>306</v>
      </c>
      <c r="C3810" s="5">
        <v>637819</v>
      </c>
      <c r="D3810" s="5">
        <v>8453</v>
      </c>
      <c r="E3810">
        <v>286157</v>
      </c>
      <c r="F3810" s="4" t="s">
        <v>59</v>
      </c>
      <c r="G3810" t="s">
        <v>29</v>
      </c>
      <c r="H3810" t="s">
        <v>60</v>
      </c>
    </row>
    <row r="3811" spans="1:8" x14ac:dyDescent="0.25">
      <c r="A3811" t="s">
        <v>994</v>
      </c>
      <c r="B3811" t="s">
        <v>309</v>
      </c>
      <c r="C3811" s="5">
        <v>12426</v>
      </c>
      <c r="D3811" s="5">
        <v>241</v>
      </c>
      <c r="E3811">
        <v>10707</v>
      </c>
      <c r="F3811" s="4" t="s">
        <v>754</v>
      </c>
      <c r="G3811" t="s">
        <v>29</v>
      </c>
      <c r="H3811" t="s">
        <v>755</v>
      </c>
    </row>
    <row r="3812" spans="1:8" x14ac:dyDescent="0.25">
      <c r="A3812" t="s">
        <v>994</v>
      </c>
      <c r="B3812" t="s">
        <v>312</v>
      </c>
      <c r="C3812" s="5">
        <v>3623</v>
      </c>
      <c r="D3812" s="5">
        <v>60</v>
      </c>
      <c r="E3812">
        <v>3431</v>
      </c>
      <c r="F3812" s="4" t="s">
        <v>135</v>
      </c>
      <c r="G3812" t="s">
        <v>29</v>
      </c>
      <c r="H3812" t="s">
        <v>136</v>
      </c>
    </row>
    <row r="3813" spans="1:8" x14ac:dyDescent="0.25">
      <c r="A3813" t="s">
        <v>994</v>
      </c>
      <c r="B3813" t="s">
        <v>315</v>
      </c>
      <c r="C3813" s="5">
        <v>536084</v>
      </c>
      <c r="D3813" s="5">
        <v>13611</v>
      </c>
      <c r="E3813">
        <v>331789</v>
      </c>
      <c r="F3813" s="4" t="s">
        <v>141</v>
      </c>
      <c r="G3813" t="s">
        <v>29</v>
      </c>
      <c r="H3813" t="s">
        <v>142</v>
      </c>
    </row>
    <row r="3814" spans="1:8" x14ac:dyDescent="0.25">
      <c r="A3814" t="s">
        <v>994</v>
      </c>
      <c r="B3814" t="s">
        <v>316</v>
      </c>
      <c r="C3814" s="5">
        <v>5811</v>
      </c>
      <c r="D3814" s="5">
        <v>287</v>
      </c>
      <c r="E3814">
        <v>1011</v>
      </c>
      <c r="F3814" s="4" t="s">
        <v>644</v>
      </c>
      <c r="G3814" t="s">
        <v>29</v>
      </c>
      <c r="H3814" t="s">
        <v>645</v>
      </c>
    </row>
    <row r="3815" spans="1:8" x14ac:dyDescent="0.25">
      <c r="A3815" t="s">
        <v>994</v>
      </c>
      <c r="B3815" t="s">
        <v>319</v>
      </c>
      <c r="C3815" s="5">
        <v>21587</v>
      </c>
      <c r="D3815" s="5">
        <v>656</v>
      </c>
      <c r="E3815">
        <v>19011</v>
      </c>
      <c r="F3815" s="4" t="s">
        <v>320</v>
      </c>
      <c r="G3815" t="s">
        <v>29</v>
      </c>
      <c r="H3815" t="s">
        <v>321</v>
      </c>
    </row>
    <row r="3816" spans="1:8" x14ac:dyDescent="0.25">
      <c r="A3816" t="s">
        <v>994</v>
      </c>
      <c r="B3816" t="s">
        <v>322</v>
      </c>
      <c r="C3816" s="5">
        <v>388185</v>
      </c>
      <c r="D3816" s="5">
        <v>5633</v>
      </c>
      <c r="E3816">
        <v>62695</v>
      </c>
      <c r="F3816" s="4" t="s">
        <v>342</v>
      </c>
      <c r="G3816" t="s">
        <v>29</v>
      </c>
      <c r="H3816" t="s">
        <v>343</v>
      </c>
    </row>
    <row r="3817" spans="1:8" x14ac:dyDescent="0.25">
      <c r="A3817" t="s">
        <v>994</v>
      </c>
      <c r="B3817" t="s">
        <v>325</v>
      </c>
      <c r="C3817" s="5">
        <v>80603</v>
      </c>
      <c r="D3817" s="5">
        <v>842</v>
      </c>
      <c r="E3817">
        <v>4289</v>
      </c>
      <c r="F3817" s="4" t="s">
        <v>336</v>
      </c>
      <c r="G3817" t="s">
        <v>29</v>
      </c>
      <c r="H3817" t="s">
        <v>337</v>
      </c>
    </row>
    <row r="3818" spans="1:8" x14ac:dyDescent="0.25">
      <c r="A3818" t="s">
        <v>994</v>
      </c>
      <c r="B3818" t="s">
        <v>328</v>
      </c>
      <c r="C3818" s="5">
        <v>202573</v>
      </c>
      <c r="D3818" s="5">
        <v>3028</v>
      </c>
      <c r="E3818">
        <v>29031</v>
      </c>
      <c r="F3818" s="4" t="s">
        <v>800</v>
      </c>
      <c r="G3818" t="s">
        <v>29</v>
      </c>
      <c r="H3818" t="s">
        <v>801</v>
      </c>
    </row>
    <row r="3819" spans="1:8" x14ac:dyDescent="0.25">
      <c r="A3819" t="s">
        <v>994</v>
      </c>
      <c r="B3819" t="s">
        <v>329</v>
      </c>
      <c r="C3819" s="5">
        <v>353626</v>
      </c>
      <c r="D3819" s="5">
        <v>5006</v>
      </c>
      <c r="E3819">
        <v>113272</v>
      </c>
      <c r="F3819" s="4" t="s">
        <v>640</v>
      </c>
      <c r="G3819" t="s">
        <v>29</v>
      </c>
      <c r="H3819" t="s">
        <v>641</v>
      </c>
    </row>
    <row r="3820" spans="1:8" x14ac:dyDescent="0.25">
      <c r="A3820" t="s">
        <v>994</v>
      </c>
      <c r="B3820" t="s">
        <v>332</v>
      </c>
      <c r="C3820" s="5">
        <v>944277</v>
      </c>
      <c r="D3820" s="5">
        <v>14612</v>
      </c>
      <c r="E3820">
        <v>626563</v>
      </c>
      <c r="F3820" s="4" t="s">
        <v>333</v>
      </c>
      <c r="G3820" t="s">
        <v>29</v>
      </c>
      <c r="H3820" t="s">
        <v>334</v>
      </c>
    </row>
    <row r="3821" spans="1:8" x14ac:dyDescent="0.25">
      <c r="A3821" t="s">
        <v>994</v>
      </c>
      <c r="B3821" t="s">
        <v>335</v>
      </c>
      <c r="C3821" s="5">
        <v>3389</v>
      </c>
      <c r="D3821" s="5">
        <v>36</v>
      </c>
      <c r="E3821">
        <v>1703</v>
      </c>
      <c r="F3821" s="4" t="s">
        <v>165</v>
      </c>
      <c r="G3821" t="s">
        <v>29</v>
      </c>
      <c r="H3821" t="s">
        <v>166</v>
      </c>
    </row>
    <row r="3822" spans="1:8" x14ac:dyDescent="0.25">
      <c r="A3822" t="s">
        <v>994</v>
      </c>
      <c r="B3822" t="s">
        <v>338</v>
      </c>
      <c r="C3822" s="5">
        <v>328000</v>
      </c>
      <c r="D3822" s="5">
        <v>7497</v>
      </c>
      <c r="E3822">
        <v>244653</v>
      </c>
      <c r="F3822" s="4" t="s">
        <v>528</v>
      </c>
      <c r="G3822" t="s">
        <v>29</v>
      </c>
      <c r="H3822" t="s">
        <v>529</v>
      </c>
    </row>
    <row r="3823" spans="1:8" x14ac:dyDescent="0.25">
      <c r="A3823" t="s">
        <v>994</v>
      </c>
      <c r="B3823" t="s">
        <v>341</v>
      </c>
      <c r="C3823" s="5">
        <v>140922</v>
      </c>
      <c r="D3823" s="5">
        <v>2065</v>
      </c>
      <c r="E3823">
        <v>6119</v>
      </c>
      <c r="F3823" s="4" t="s">
        <v>777</v>
      </c>
      <c r="G3823" t="s">
        <v>29</v>
      </c>
      <c r="H3823" t="s">
        <v>778</v>
      </c>
    </row>
    <row r="3824" spans="1:8" x14ac:dyDescent="0.25">
      <c r="A3824" t="s">
        <v>994</v>
      </c>
      <c r="B3824" t="s">
        <v>344</v>
      </c>
      <c r="C3824" s="5">
        <v>3888</v>
      </c>
      <c r="D3824" s="5">
        <v>55</v>
      </c>
      <c r="E3824">
        <v>3083</v>
      </c>
      <c r="F3824" s="4" t="s">
        <v>345</v>
      </c>
      <c r="G3824" t="s">
        <v>29</v>
      </c>
      <c r="H3824" t="s">
        <v>346</v>
      </c>
    </row>
    <row r="3825" spans="1:8" x14ac:dyDescent="0.25">
      <c r="A3825" t="s">
        <v>994</v>
      </c>
      <c r="B3825" t="s">
        <v>347</v>
      </c>
      <c r="C3825" s="5">
        <v>43622</v>
      </c>
      <c r="D3825" s="5">
        <v>960</v>
      </c>
      <c r="E3825">
        <v>40457</v>
      </c>
      <c r="F3825" s="4" t="s">
        <v>969</v>
      </c>
      <c r="G3825" t="s">
        <v>29</v>
      </c>
      <c r="H3825" t="s">
        <v>970</v>
      </c>
    </row>
    <row r="3826" spans="1:8" x14ac:dyDescent="0.25">
      <c r="A3826" t="s">
        <v>994</v>
      </c>
      <c r="B3826" t="s">
        <v>348</v>
      </c>
      <c r="C3826" s="5">
        <v>4</v>
      </c>
      <c r="D3826" s="5">
        <v>0</v>
      </c>
      <c r="E3826">
        <v>0</v>
      </c>
      <c r="F3826" s="4" t="s">
        <v>29</v>
      </c>
      <c r="G3826" t="s">
        <v>29</v>
      </c>
      <c r="H3826" t="s">
        <v>291</v>
      </c>
    </row>
    <row r="3827" spans="1:8" x14ac:dyDescent="0.25">
      <c r="A3827" t="s">
        <v>994</v>
      </c>
      <c r="B3827" t="s">
        <v>349</v>
      </c>
      <c r="C3827" s="5">
        <v>199766</v>
      </c>
      <c r="D3827" s="5">
        <v>7051</v>
      </c>
      <c r="E3827">
        <v>7746</v>
      </c>
      <c r="F3827" s="4" t="s">
        <v>430</v>
      </c>
      <c r="G3827" t="s">
        <v>29</v>
      </c>
      <c r="H3827" t="s">
        <v>431</v>
      </c>
    </row>
    <row r="3828" spans="1:8" x14ac:dyDescent="0.25">
      <c r="A3828" t="s">
        <v>994</v>
      </c>
      <c r="B3828" t="s">
        <v>352</v>
      </c>
      <c r="C3828" s="5">
        <v>15848</v>
      </c>
      <c r="D3828" s="5">
        <v>558</v>
      </c>
      <c r="E3828">
        <v>3184</v>
      </c>
      <c r="F3828" s="4" t="s">
        <v>353</v>
      </c>
      <c r="G3828" t="s">
        <v>29</v>
      </c>
      <c r="H3828" t="s">
        <v>354</v>
      </c>
    </row>
    <row r="3829" spans="1:8" x14ac:dyDescent="0.25">
      <c r="A3829" t="s">
        <v>994</v>
      </c>
      <c r="B3829" t="s">
        <v>355</v>
      </c>
      <c r="C3829" s="5">
        <v>494263</v>
      </c>
      <c r="D3829" s="5">
        <v>18538</v>
      </c>
      <c r="E3829">
        <v>51488</v>
      </c>
      <c r="F3829" s="4" t="s">
        <v>963</v>
      </c>
      <c r="G3829" t="s">
        <v>29</v>
      </c>
      <c r="H3829" t="s">
        <v>964</v>
      </c>
    </row>
    <row r="3830" spans="1:8" x14ac:dyDescent="0.25">
      <c r="A3830" t="s">
        <v>994</v>
      </c>
      <c r="B3830" t="s">
        <v>358</v>
      </c>
      <c r="C3830" s="5">
        <v>349509</v>
      </c>
      <c r="D3830" s="5">
        <v>1660</v>
      </c>
      <c r="E3830">
        <v>133052</v>
      </c>
      <c r="F3830" s="4" t="s">
        <v>932</v>
      </c>
      <c r="G3830" t="s">
        <v>29</v>
      </c>
      <c r="H3830" t="s">
        <v>933</v>
      </c>
    </row>
    <row r="3831" spans="1:8" x14ac:dyDescent="0.25">
      <c r="A3831" t="s">
        <v>994</v>
      </c>
      <c r="B3831" t="s">
        <v>359</v>
      </c>
      <c r="C3831" s="5">
        <v>77</v>
      </c>
      <c r="D3831" s="5">
        <v>0</v>
      </c>
      <c r="E3831">
        <v>64</v>
      </c>
      <c r="F3831" s="4" t="s">
        <v>29</v>
      </c>
      <c r="G3831" t="s">
        <v>29</v>
      </c>
      <c r="H3831" t="s">
        <v>291</v>
      </c>
    </row>
    <row r="3832" spans="1:8" x14ac:dyDescent="0.25">
      <c r="A3832" t="s">
        <v>994</v>
      </c>
      <c r="B3832" t="s">
        <v>360</v>
      </c>
      <c r="C3832" s="5">
        <v>42820</v>
      </c>
      <c r="D3832" s="5">
        <v>673</v>
      </c>
      <c r="E3832">
        <v>16802</v>
      </c>
      <c r="F3832" s="4" t="s">
        <v>217</v>
      </c>
      <c r="G3832" t="s">
        <v>29</v>
      </c>
      <c r="H3832" t="s">
        <v>218</v>
      </c>
    </row>
    <row r="3833" spans="1:8" x14ac:dyDescent="0.25">
      <c r="A3833" t="s">
        <v>994</v>
      </c>
      <c r="B3833" t="s">
        <v>363</v>
      </c>
      <c r="C3833" s="5">
        <v>36955</v>
      </c>
      <c r="D3833" s="5">
        <v>792</v>
      </c>
      <c r="E3833">
        <v>21597</v>
      </c>
      <c r="F3833" s="4" t="s">
        <v>823</v>
      </c>
      <c r="G3833" t="s">
        <v>29</v>
      </c>
      <c r="H3833" t="s">
        <v>824</v>
      </c>
    </row>
    <row r="3834" spans="1:8" x14ac:dyDescent="0.25">
      <c r="A3834" t="s">
        <v>994</v>
      </c>
      <c r="B3834" t="s">
        <v>364</v>
      </c>
      <c r="C3834" s="5">
        <v>37551</v>
      </c>
      <c r="D3834" s="5">
        <v>459</v>
      </c>
      <c r="E3834">
        <v>35806</v>
      </c>
      <c r="F3834" s="4" t="s">
        <v>365</v>
      </c>
      <c r="G3834" t="s">
        <v>29</v>
      </c>
      <c r="H3834" t="s">
        <v>366</v>
      </c>
    </row>
    <row r="3835" spans="1:8" x14ac:dyDescent="0.25">
      <c r="A3835" t="s">
        <v>994</v>
      </c>
      <c r="B3835" t="s">
        <v>367</v>
      </c>
      <c r="C3835" s="5">
        <v>17047</v>
      </c>
      <c r="D3835" s="5">
        <v>148</v>
      </c>
      <c r="E3835">
        <v>11157</v>
      </c>
      <c r="F3835" s="4" t="s">
        <v>498</v>
      </c>
      <c r="G3835" t="s">
        <v>29</v>
      </c>
      <c r="H3835" t="s">
        <v>499</v>
      </c>
    </row>
    <row r="3836" spans="1:8" x14ac:dyDescent="0.25">
      <c r="A3836" t="s">
        <v>994</v>
      </c>
      <c r="B3836" t="s">
        <v>368</v>
      </c>
      <c r="C3836" s="5">
        <v>86922</v>
      </c>
      <c r="D3836" s="5">
        <v>240</v>
      </c>
      <c r="E3836">
        <v>5042</v>
      </c>
      <c r="F3836" s="4" t="s">
        <v>369</v>
      </c>
      <c r="G3836" t="s">
        <v>29</v>
      </c>
      <c r="H3836" t="s">
        <v>370</v>
      </c>
    </row>
    <row r="3837" spans="1:8" x14ac:dyDescent="0.25">
      <c r="A3837" t="s">
        <v>994</v>
      </c>
      <c r="B3837" t="s">
        <v>371</v>
      </c>
      <c r="C3837" s="5">
        <v>61757</v>
      </c>
      <c r="D3837" s="5">
        <v>2296</v>
      </c>
      <c r="E3837">
        <v>28598</v>
      </c>
      <c r="F3837" s="4" t="s">
        <v>372</v>
      </c>
      <c r="G3837" t="s">
        <v>29</v>
      </c>
      <c r="H3837" t="s">
        <v>373</v>
      </c>
    </row>
    <row r="3838" spans="1:8" x14ac:dyDescent="0.25">
      <c r="A3838" t="s">
        <v>994</v>
      </c>
      <c r="B3838" t="s">
        <v>374</v>
      </c>
      <c r="C3838" s="5">
        <v>3781661</v>
      </c>
      <c r="D3838" s="5">
        <v>286259</v>
      </c>
      <c r="E3838">
        <v>1657621</v>
      </c>
      <c r="F3838" s="4" t="s">
        <v>375</v>
      </c>
      <c r="G3838" t="s">
        <v>29</v>
      </c>
      <c r="H3838" t="s">
        <v>376</v>
      </c>
    </row>
    <row r="3839" spans="1:8" x14ac:dyDescent="0.25">
      <c r="A3839" t="s">
        <v>994</v>
      </c>
      <c r="B3839" t="s">
        <v>377</v>
      </c>
      <c r="C3839" s="5">
        <v>2431716</v>
      </c>
      <c r="D3839" s="5">
        <v>28400</v>
      </c>
      <c r="E3839">
        <v>2363741</v>
      </c>
      <c r="F3839" s="4" t="s">
        <v>378</v>
      </c>
      <c r="G3839" t="s">
        <v>29</v>
      </c>
      <c r="H3839" t="s">
        <v>379</v>
      </c>
    </row>
    <row r="3840" spans="1:8" x14ac:dyDescent="0.25">
      <c r="A3840" t="s">
        <v>994</v>
      </c>
      <c r="B3840" t="s">
        <v>380</v>
      </c>
      <c r="C3840" s="5">
        <v>151225</v>
      </c>
      <c r="D3840" s="5">
        <v>1928</v>
      </c>
      <c r="E3840">
        <v>43535</v>
      </c>
      <c r="F3840" s="4" t="s">
        <v>53</v>
      </c>
      <c r="G3840" t="s">
        <v>29</v>
      </c>
      <c r="H3840" t="s">
        <v>54</v>
      </c>
    </row>
    <row r="3841" spans="1:8" x14ac:dyDescent="0.25">
      <c r="A3841" t="s">
        <v>994</v>
      </c>
      <c r="B3841" t="s">
        <v>383</v>
      </c>
      <c r="C3841" s="5">
        <v>128824</v>
      </c>
      <c r="D3841" s="5">
        <v>3550</v>
      </c>
      <c r="E3841">
        <v>20296</v>
      </c>
      <c r="F3841" s="4" t="s">
        <v>384</v>
      </c>
      <c r="G3841" t="s">
        <v>29</v>
      </c>
      <c r="H3841" t="s">
        <v>385</v>
      </c>
    </row>
    <row r="3842" spans="1:8" x14ac:dyDescent="0.25">
      <c r="A3842" t="s">
        <v>994</v>
      </c>
      <c r="B3842" t="s">
        <v>386</v>
      </c>
      <c r="C3842" s="5">
        <v>10482</v>
      </c>
      <c r="D3842" s="5">
        <v>257</v>
      </c>
      <c r="E3842">
        <v>7716</v>
      </c>
      <c r="F3842" s="4" t="s">
        <v>999</v>
      </c>
      <c r="G3842" t="s">
        <v>29</v>
      </c>
      <c r="H3842" t="s">
        <v>1000</v>
      </c>
    </row>
    <row r="3843" spans="1:8" x14ac:dyDescent="0.25">
      <c r="A3843" t="s">
        <v>994</v>
      </c>
      <c r="B3843" t="s">
        <v>387</v>
      </c>
      <c r="C3843" s="5">
        <v>6254</v>
      </c>
      <c r="D3843" s="5">
        <v>207</v>
      </c>
      <c r="E3843">
        <v>5731</v>
      </c>
      <c r="F3843" s="4" t="s">
        <v>1001</v>
      </c>
      <c r="G3843" t="s">
        <v>29</v>
      </c>
      <c r="H3843" t="s">
        <v>1002</v>
      </c>
    </row>
    <row r="3844" spans="1:8" x14ac:dyDescent="0.25">
      <c r="A3844" t="s">
        <v>994</v>
      </c>
      <c r="B3844" t="s">
        <v>390</v>
      </c>
      <c r="C3844" s="5">
        <v>210460</v>
      </c>
      <c r="D3844" s="5">
        <v>2882</v>
      </c>
      <c r="E3844">
        <v>55431</v>
      </c>
      <c r="F3844" s="4" t="s">
        <v>391</v>
      </c>
      <c r="G3844" t="s">
        <v>29</v>
      </c>
      <c r="H3844" t="s">
        <v>392</v>
      </c>
    </row>
    <row r="3845" spans="1:8" x14ac:dyDescent="0.25">
      <c r="A3845" t="s">
        <v>994</v>
      </c>
      <c r="B3845" t="s">
        <v>393</v>
      </c>
      <c r="C3845" s="5">
        <v>16241</v>
      </c>
      <c r="D3845" s="5">
        <v>207</v>
      </c>
      <c r="E3845">
        <v>11236</v>
      </c>
      <c r="F3845" s="4" t="s">
        <v>53</v>
      </c>
      <c r="G3845" t="s">
        <v>29</v>
      </c>
      <c r="H3845" t="s">
        <v>54</v>
      </c>
    </row>
    <row r="3846" spans="1:8" x14ac:dyDescent="0.25">
      <c r="A3846" t="s">
        <v>994</v>
      </c>
      <c r="B3846" t="s">
        <v>396</v>
      </c>
      <c r="C3846" s="5">
        <v>2122247</v>
      </c>
      <c r="D3846" s="5">
        <v>18752</v>
      </c>
      <c r="E3846">
        <v>478220</v>
      </c>
      <c r="F3846" s="4" t="s">
        <v>609</v>
      </c>
      <c r="G3846" t="s">
        <v>29</v>
      </c>
      <c r="H3846" t="s">
        <v>610</v>
      </c>
    </row>
    <row r="3847" spans="1:8" x14ac:dyDescent="0.25">
      <c r="A3847" t="s">
        <v>994</v>
      </c>
      <c r="B3847" t="s">
        <v>399</v>
      </c>
      <c r="C3847" s="5">
        <v>200517</v>
      </c>
      <c r="D3847" s="5">
        <v>894</v>
      </c>
      <c r="E3847">
        <v>26615</v>
      </c>
      <c r="F3847" s="4" t="s">
        <v>888</v>
      </c>
      <c r="G3847" t="s">
        <v>29</v>
      </c>
      <c r="H3847" t="s">
        <v>889</v>
      </c>
    </row>
    <row r="3848" spans="1:8" x14ac:dyDescent="0.25">
      <c r="A3848" t="s">
        <v>994</v>
      </c>
      <c r="B3848" t="s">
        <v>402</v>
      </c>
      <c r="C3848" s="5">
        <v>809056</v>
      </c>
      <c r="D3848" s="5">
        <v>11348</v>
      </c>
      <c r="E3848">
        <v>667970</v>
      </c>
      <c r="F3848" s="4" t="s">
        <v>403</v>
      </c>
      <c r="G3848" t="s">
        <v>29</v>
      </c>
      <c r="H3848" t="s">
        <v>404</v>
      </c>
    </row>
    <row r="3849" spans="1:8" x14ac:dyDescent="0.25">
      <c r="A3849" t="s">
        <v>994</v>
      </c>
      <c r="B3849" t="s">
        <v>405</v>
      </c>
      <c r="C3849" s="5">
        <v>5750</v>
      </c>
      <c r="D3849" s="5">
        <v>28</v>
      </c>
      <c r="E3849">
        <v>1991</v>
      </c>
      <c r="F3849" s="4" t="s">
        <v>638</v>
      </c>
      <c r="G3849" t="s">
        <v>29</v>
      </c>
      <c r="H3849" t="s">
        <v>639</v>
      </c>
    </row>
    <row r="3850" spans="1:8" x14ac:dyDescent="0.25">
      <c r="A3850" t="s">
        <v>994</v>
      </c>
      <c r="B3850" t="s">
        <v>408</v>
      </c>
      <c r="C3850" s="5">
        <v>304163</v>
      </c>
      <c r="D3850" s="5">
        <v>4110</v>
      </c>
      <c r="E3850">
        <v>258918</v>
      </c>
      <c r="F3850" s="4" t="s">
        <v>409</v>
      </c>
      <c r="G3850" t="s">
        <v>29</v>
      </c>
      <c r="H3850" t="s">
        <v>410</v>
      </c>
    </row>
    <row r="3851" spans="1:8" x14ac:dyDescent="0.25">
      <c r="A3851" t="s">
        <v>994</v>
      </c>
      <c r="B3851" t="s">
        <v>411</v>
      </c>
      <c r="C3851" s="5">
        <v>471403</v>
      </c>
      <c r="D3851" s="5">
        <v>7307</v>
      </c>
      <c r="E3851">
        <v>181047</v>
      </c>
      <c r="F3851" s="4" t="s">
        <v>333</v>
      </c>
      <c r="G3851" t="s">
        <v>29</v>
      </c>
      <c r="H3851" t="s">
        <v>334</v>
      </c>
    </row>
    <row r="3852" spans="1:8" x14ac:dyDescent="0.25">
      <c r="A3852" t="s">
        <v>994</v>
      </c>
      <c r="B3852" t="s">
        <v>412</v>
      </c>
      <c r="C3852" s="5">
        <v>2195859</v>
      </c>
      <c r="D3852" s="5">
        <v>200052</v>
      </c>
      <c r="E3852">
        <v>244181</v>
      </c>
      <c r="F3852" s="4" t="s">
        <v>930</v>
      </c>
      <c r="G3852" t="s">
        <v>29</v>
      </c>
      <c r="H3852" t="s">
        <v>931</v>
      </c>
    </row>
    <row r="3853" spans="1:8" x14ac:dyDescent="0.25">
      <c r="A3853" t="s">
        <v>994</v>
      </c>
      <c r="B3853" t="s">
        <v>415</v>
      </c>
      <c r="C3853" s="5">
        <v>45515</v>
      </c>
      <c r="D3853" s="5">
        <v>635</v>
      </c>
      <c r="E3853">
        <v>44844</v>
      </c>
      <c r="F3853" s="4" t="s">
        <v>403</v>
      </c>
      <c r="G3853" t="s">
        <v>29</v>
      </c>
      <c r="H3853" t="s">
        <v>404</v>
      </c>
    </row>
    <row r="3854" spans="1:8" x14ac:dyDescent="0.25">
      <c r="A3854" t="s">
        <v>994</v>
      </c>
      <c r="B3854" t="s">
        <v>416</v>
      </c>
      <c r="C3854" s="5">
        <v>27627</v>
      </c>
      <c r="D3854" s="5">
        <v>335</v>
      </c>
      <c r="E3854">
        <v>16721</v>
      </c>
      <c r="F3854" s="4" t="s">
        <v>775</v>
      </c>
      <c r="G3854" t="s">
        <v>29</v>
      </c>
      <c r="H3854" t="s">
        <v>776</v>
      </c>
    </row>
    <row r="3855" spans="1:8" x14ac:dyDescent="0.25">
      <c r="A3855" t="s">
        <v>994</v>
      </c>
      <c r="B3855" t="s">
        <v>419</v>
      </c>
      <c r="C3855" s="5">
        <v>2756923</v>
      </c>
      <c r="D3855" s="5">
        <v>41793</v>
      </c>
      <c r="E3855">
        <v>1420160</v>
      </c>
      <c r="F3855" s="4" t="s">
        <v>589</v>
      </c>
      <c r="G3855" t="s">
        <v>29</v>
      </c>
      <c r="H3855" t="s">
        <v>590</v>
      </c>
    </row>
    <row r="3856" spans="1:8" x14ac:dyDescent="0.25">
      <c r="A3856" t="s">
        <v>994</v>
      </c>
      <c r="B3856" t="s">
        <v>420</v>
      </c>
      <c r="C3856" s="5">
        <v>1269234</v>
      </c>
      <c r="D3856" s="5">
        <v>28386</v>
      </c>
      <c r="E3856">
        <v>397734</v>
      </c>
      <c r="F3856" s="4" t="s">
        <v>603</v>
      </c>
      <c r="G3856" t="s">
        <v>29</v>
      </c>
      <c r="H3856" t="s">
        <v>604</v>
      </c>
    </row>
    <row r="3857" spans="1:8" x14ac:dyDescent="0.25">
      <c r="A3857" t="s">
        <v>994</v>
      </c>
      <c r="B3857" t="s">
        <v>423</v>
      </c>
      <c r="C3857" s="5">
        <v>2972927</v>
      </c>
      <c r="D3857" s="5">
        <v>76447</v>
      </c>
      <c r="E3857">
        <v>2196748</v>
      </c>
      <c r="F3857" s="4" t="s">
        <v>555</v>
      </c>
      <c r="G3857" t="s">
        <v>29</v>
      </c>
      <c r="H3857" t="s">
        <v>556</v>
      </c>
    </row>
    <row r="3858" spans="1:8" x14ac:dyDescent="0.25">
      <c r="A3858" t="s">
        <v>994</v>
      </c>
      <c r="B3858" t="s">
        <v>426</v>
      </c>
      <c r="C3858" s="5">
        <v>450310</v>
      </c>
      <c r="D3858" s="5">
        <v>4611</v>
      </c>
      <c r="E3858">
        <v>204976</v>
      </c>
      <c r="F3858" s="4" t="s">
        <v>326</v>
      </c>
      <c r="G3858" t="s">
        <v>29</v>
      </c>
      <c r="H3858" t="s">
        <v>327</v>
      </c>
    </row>
    <row r="3859" spans="1:8" x14ac:dyDescent="0.25">
      <c r="A3859" t="s">
        <v>994</v>
      </c>
      <c r="B3859" t="s">
        <v>427</v>
      </c>
      <c r="C3859" s="5">
        <v>1085138</v>
      </c>
      <c r="D3859" s="5">
        <v>18133</v>
      </c>
      <c r="E3859">
        <v>411297</v>
      </c>
      <c r="F3859" s="4" t="s">
        <v>827</v>
      </c>
      <c r="G3859" t="s">
        <v>29</v>
      </c>
      <c r="H3859" t="s">
        <v>828</v>
      </c>
    </row>
    <row r="3860" spans="1:8" x14ac:dyDescent="0.25">
      <c r="A3860" t="s">
        <v>994</v>
      </c>
      <c r="B3860" t="s">
        <v>428</v>
      </c>
      <c r="C3860" s="5">
        <v>8</v>
      </c>
      <c r="D3860" s="5">
        <v>0</v>
      </c>
      <c r="E3860">
        <v>0</v>
      </c>
      <c r="F3860" s="4" t="s">
        <v>29</v>
      </c>
      <c r="G3860" t="s">
        <v>29</v>
      </c>
      <c r="H3860" t="s">
        <v>291</v>
      </c>
    </row>
    <row r="3861" spans="1:8" x14ac:dyDescent="0.25">
      <c r="A3861" t="s">
        <v>994</v>
      </c>
      <c r="B3861" t="s">
        <v>429</v>
      </c>
      <c r="C3861" s="5">
        <v>460701</v>
      </c>
      <c r="D3861" s="5">
        <v>16230</v>
      </c>
      <c r="E3861">
        <v>81497</v>
      </c>
      <c r="F3861" s="4" t="s">
        <v>353</v>
      </c>
      <c r="G3861" t="s">
        <v>29</v>
      </c>
      <c r="H3861" t="s">
        <v>354</v>
      </c>
    </row>
    <row r="3862" spans="1:8" x14ac:dyDescent="0.25">
      <c r="A3862" t="s">
        <v>994</v>
      </c>
      <c r="B3862" t="s">
        <v>432</v>
      </c>
      <c r="C3862" s="5">
        <v>238518</v>
      </c>
      <c r="D3862" s="5">
        <v>609</v>
      </c>
      <c r="E3862">
        <v>30703</v>
      </c>
      <c r="F3862" s="4" t="s">
        <v>794</v>
      </c>
      <c r="G3862" t="s">
        <v>29</v>
      </c>
      <c r="H3862" t="s">
        <v>795</v>
      </c>
    </row>
    <row r="3863" spans="1:8" x14ac:dyDescent="0.25">
      <c r="A3863" t="s">
        <v>994</v>
      </c>
      <c r="B3863" t="s">
        <v>435</v>
      </c>
      <c r="C3863" s="5">
        <v>54438</v>
      </c>
      <c r="D3863" s="5">
        <v>372</v>
      </c>
      <c r="E3863">
        <v>38159</v>
      </c>
      <c r="F3863" s="4" t="s">
        <v>605</v>
      </c>
      <c r="G3863" t="s">
        <v>29</v>
      </c>
      <c r="H3863" t="s">
        <v>606</v>
      </c>
    </row>
    <row r="3864" spans="1:8" x14ac:dyDescent="0.25">
      <c r="A3864" t="s">
        <v>994</v>
      </c>
      <c r="B3864" t="s">
        <v>436</v>
      </c>
      <c r="C3864" s="5">
        <v>1561928</v>
      </c>
      <c r="D3864" s="5">
        <v>44679</v>
      </c>
      <c r="E3864">
        <v>786749</v>
      </c>
      <c r="F3864" s="4" t="s">
        <v>955</v>
      </c>
      <c r="G3864" t="s">
        <v>29</v>
      </c>
      <c r="H3864" t="s">
        <v>956</v>
      </c>
    </row>
    <row r="3865" spans="1:8" x14ac:dyDescent="0.25">
      <c r="A3865" t="s">
        <v>994</v>
      </c>
      <c r="B3865" t="s">
        <v>439</v>
      </c>
      <c r="C3865" s="5">
        <v>1098209</v>
      </c>
      <c r="D3865" s="5">
        <v>9509</v>
      </c>
      <c r="E3865">
        <v>91814</v>
      </c>
      <c r="F3865" s="4" t="s">
        <v>498</v>
      </c>
      <c r="G3865" t="s">
        <v>29</v>
      </c>
      <c r="H3865" t="s">
        <v>499</v>
      </c>
    </row>
    <row r="3866" spans="1:8" x14ac:dyDescent="0.25">
      <c r="A3866" t="s">
        <v>994</v>
      </c>
      <c r="B3866" t="s">
        <v>440</v>
      </c>
      <c r="C3866" s="5">
        <v>8112999</v>
      </c>
      <c r="D3866" s="5">
        <v>226464</v>
      </c>
      <c r="E3866">
        <v>7328938</v>
      </c>
      <c r="F3866" s="4" t="s">
        <v>662</v>
      </c>
      <c r="G3866" t="s">
        <v>29</v>
      </c>
      <c r="H3866" t="s">
        <v>663</v>
      </c>
    </row>
    <row r="3867" spans="1:8" x14ac:dyDescent="0.25">
      <c r="A3867" t="s">
        <v>994</v>
      </c>
      <c r="B3867" t="s">
        <v>443</v>
      </c>
      <c r="C3867" s="5">
        <v>99374</v>
      </c>
      <c r="D3867" s="5">
        <v>1320</v>
      </c>
      <c r="E3867">
        <v>28683</v>
      </c>
      <c r="F3867" s="4" t="s">
        <v>59</v>
      </c>
      <c r="G3867" t="s">
        <v>29</v>
      </c>
      <c r="H3867" t="s">
        <v>60</v>
      </c>
    </row>
    <row r="3868" spans="1:8" x14ac:dyDescent="0.25">
      <c r="A3868" t="s">
        <v>994</v>
      </c>
      <c r="B3868" t="s">
        <v>444</v>
      </c>
      <c r="C3868" s="5">
        <v>548252</v>
      </c>
      <c r="D3868" s="5">
        <v>8778</v>
      </c>
      <c r="E3868">
        <v>373205</v>
      </c>
      <c r="F3868" s="4" t="s">
        <v>313</v>
      </c>
      <c r="G3868" t="s">
        <v>29</v>
      </c>
      <c r="H3868" t="s">
        <v>314</v>
      </c>
    </row>
    <row r="3869" spans="1:8" x14ac:dyDescent="0.25">
      <c r="A3869" t="s">
        <v>994</v>
      </c>
      <c r="B3869" t="s">
        <v>445</v>
      </c>
      <c r="C3869" s="5">
        <v>20</v>
      </c>
      <c r="D3869" s="5">
        <v>0</v>
      </c>
      <c r="E3869">
        <v>18</v>
      </c>
      <c r="F3869" s="4" t="s">
        <v>29</v>
      </c>
      <c r="G3869" t="s">
        <v>29</v>
      </c>
      <c r="H3869" t="s">
        <v>291</v>
      </c>
    </row>
    <row r="3870" spans="1:8" x14ac:dyDescent="0.25">
      <c r="A3870" t="s">
        <v>994</v>
      </c>
      <c r="B3870" t="s">
        <v>446</v>
      </c>
      <c r="C3870" s="5">
        <v>22102</v>
      </c>
      <c r="D3870" s="5">
        <v>119</v>
      </c>
      <c r="E3870">
        <v>338</v>
      </c>
      <c r="F3870" s="4" t="s">
        <v>919</v>
      </c>
      <c r="G3870" t="s">
        <v>29</v>
      </c>
      <c r="H3870" t="s">
        <v>920</v>
      </c>
    </row>
    <row r="3871" spans="1:8" x14ac:dyDescent="0.25">
      <c r="A3871" t="s">
        <v>994</v>
      </c>
      <c r="B3871" t="s">
        <v>449</v>
      </c>
      <c r="C3871" s="5">
        <v>40238</v>
      </c>
      <c r="D3871" s="5">
        <v>3099</v>
      </c>
      <c r="E3871">
        <v>32059</v>
      </c>
      <c r="F3871" s="4" t="s">
        <v>1003</v>
      </c>
      <c r="G3871" t="s">
        <v>29</v>
      </c>
      <c r="H3871" t="s">
        <v>1004</v>
      </c>
    </row>
    <row r="3872" spans="1:8" x14ac:dyDescent="0.25">
      <c r="A3872" t="s">
        <v>994</v>
      </c>
      <c r="B3872" t="s">
        <v>452</v>
      </c>
      <c r="C3872" s="5">
        <v>1165996</v>
      </c>
      <c r="D3872" s="5">
        <v>14993</v>
      </c>
      <c r="E3872">
        <v>576103</v>
      </c>
      <c r="F3872" s="4" t="s">
        <v>417</v>
      </c>
      <c r="G3872" t="s">
        <v>29</v>
      </c>
      <c r="H3872" t="s">
        <v>418</v>
      </c>
    </row>
    <row r="3873" spans="1:8" x14ac:dyDescent="0.25">
      <c r="A3873" t="s">
        <v>994</v>
      </c>
      <c r="B3873" t="s">
        <v>453</v>
      </c>
      <c r="C3873" s="5">
        <v>172644</v>
      </c>
      <c r="D3873" s="5">
        <v>315</v>
      </c>
      <c r="E3873">
        <v>149838</v>
      </c>
      <c r="F3873" s="4" t="s">
        <v>304</v>
      </c>
      <c r="G3873" t="s">
        <v>29</v>
      </c>
      <c r="H3873" t="s">
        <v>305</v>
      </c>
    </row>
    <row r="3874" spans="1:8" x14ac:dyDescent="0.25">
      <c r="A3874" t="s">
        <v>994</v>
      </c>
      <c r="B3874" t="s">
        <v>456</v>
      </c>
      <c r="C3874" s="5">
        <v>319913</v>
      </c>
      <c r="D3874" s="5">
        <v>4683</v>
      </c>
      <c r="E3874">
        <v>304982</v>
      </c>
      <c r="F3874" s="4" t="s">
        <v>565</v>
      </c>
      <c r="G3874" t="s">
        <v>29</v>
      </c>
      <c r="H3874" t="s">
        <v>566</v>
      </c>
    </row>
    <row r="3875" spans="1:8" x14ac:dyDescent="0.25">
      <c r="A3875" t="s">
        <v>994</v>
      </c>
      <c r="B3875" t="s">
        <v>457</v>
      </c>
      <c r="C3875" s="5">
        <v>456438</v>
      </c>
      <c r="D3875" s="5">
        <v>12903</v>
      </c>
      <c r="E3875">
        <v>411291</v>
      </c>
      <c r="F3875" s="4" t="s">
        <v>752</v>
      </c>
      <c r="G3875" t="s">
        <v>29</v>
      </c>
      <c r="H3875" t="s">
        <v>753</v>
      </c>
    </row>
    <row r="3876" spans="1:8" x14ac:dyDescent="0.25">
      <c r="A3876" t="s">
        <v>994</v>
      </c>
      <c r="B3876" t="s">
        <v>460</v>
      </c>
      <c r="C3876" s="5">
        <v>6397</v>
      </c>
      <c r="D3876" s="5">
        <v>121</v>
      </c>
      <c r="E3876">
        <v>4033</v>
      </c>
      <c r="F3876" s="4" t="s">
        <v>461</v>
      </c>
      <c r="G3876" t="s">
        <v>29</v>
      </c>
      <c r="H3876" t="s">
        <v>462</v>
      </c>
    </row>
    <row r="3877" spans="1:8" x14ac:dyDescent="0.25">
      <c r="A3877" t="s">
        <v>994</v>
      </c>
      <c r="B3877" t="s">
        <v>463</v>
      </c>
      <c r="C3877" s="5">
        <v>5497</v>
      </c>
      <c r="D3877" s="5">
        <v>91</v>
      </c>
      <c r="E3877">
        <v>1329</v>
      </c>
      <c r="F3877" s="4" t="s">
        <v>135</v>
      </c>
      <c r="G3877" t="s">
        <v>29</v>
      </c>
      <c r="H3877" t="s">
        <v>136</v>
      </c>
    </row>
    <row r="3878" spans="1:8" x14ac:dyDescent="0.25">
      <c r="A3878" t="s">
        <v>994</v>
      </c>
      <c r="B3878" t="s">
        <v>464</v>
      </c>
      <c r="C3878" s="5">
        <v>73893</v>
      </c>
      <c r="D3878" s="5">
        <v>1878</v>
      </c>
      <c r="E3878">
        <v>766</v>
      </c>
      <c r="F3878" s="4" t="s">
        <v>141</v>
      </c>
      <c r="G3878" t="s">
        <v>29</v>
      </c>
      <c r="H3878" t="s">
        <v>142</v>
      </c>
    </row>
    <row r="3879" spans="1:8" x14ac:dyDescent="0.25">
      <c r="A3879" t="s">
        <v>994</v>
      </c>
      <c r="B3879" t="s">
        <v>465</v>
      </c>
      <c r="C3879" s="5">
        <v>21269</v>
      </c>
      <c r="D3879" s="5">
        <v>1180</v>
      </c>
      <c r="E3879">
        <v>431</v>
      </c>
      <c r="F3879" s="4" t="s">
        <v>1005</v>
      </c>
      <c r="G3879" t="s">
        <v>29</v>
      </c>
      <c r="H3879" t="s">
        <v>1006</v>
      </c>
    </row>
    <row r="3880" spans="1:8" x14ac:dyDescent="0.25">
      <c r="A3880" t="s">
        <v>994</v>
      </c>
      <c r="B3880" t="s">
        <v>468</v>
      </c>
      <c r="C3880" s="5">
        <v>48118</v>
      </c>
      <c r="D3880" s="5">
        <v>1058</v>
      </c>
      <c r="E3880">
        <v>36810</v>
      </c>
      <c r="F3880" s="4" t="s">
        <v>969</v>
      </c>
      <c r="G3880" t="s">
        <v>29</v>
      </c>
      <c r="H3880" t="s">
        <v>970</v>
      </c>
    </row>
    <row r="3881" spans="1:8" x14ac:dyDescent="0.25">
      <c r="A3881" t="s">
        <v>994</v>
      </c>
      <c r="B3881" t="s">
        <v>472</v>
      </c>
      <c r="C3881" s="5">
        <v>3697</v>
      </c>
      <c r="D3881" s="5">
        <v>56</v>
      </c>
      <c r="E3881">
        <v>2823</v>
      </c>
      <c r="F3881" s="4" t="s">
        <v>202</v>
      </c>
      <c r="G3881" t="s">
        <v>29</v>
      </c>
      <c r="H3881" t="s">
        <v>203</v>
      </c>
    </row>
    <row r="3882" spans="1:8" x14ac:dyDescent="0.25">
      <c r="A3882" t="s">
        <v>994</v>
      </c>
      <c r="B3882" t="s">
        <v>471</v>
      </c>
      <c r="C3882" s="5">
        <v>12279</v>
      </c>
      <c r="D3882" s="5">
        <v>133</v>
      </c>
      <c r="E3882">
        <v>4013</v>
      </c>
      <c r="F3882" s="4" t="s">
        <v>758</v>
      </c>
      <c r="G3882" t="s">
        <v>29</v>
      </c>
      <c r="H3882" t="s">
        <v>759</v>
      </c>
    </row>
    <row r="3883" spans="1:8" x14ac:dyDescent="0.25">
      <c r="A3883" t="s">
        <v>994</v>
      </c>
      <c r="B3883" t="s">
        <v>473</v>
      </c>
      <c r="C3883" s="5">
        <v>112290</v>
      </c>
      <c r="D3883" s="5">
        <v>3564</v>
      </c>
      <c r="E3883">
        <v>107571</v>
      </c>
      <c r="F3883" s="4" t="s">
        <v>628</v>
      </c>
      <c r="G3883" t="s">
        <v>29</v>
      </c>
      <c r="H3883" t="s">
        <v>629</v>
      </c>
    </row>
    <row r="3884" spans="1:8" x14ac:dyDescent="0.25">
      <c r="A3884" t="s">
        <v>994</v>
      </c>
      <c r="B3884" t="s">
        <v>476</v>
      </c>
      <c r="C3884" s="5">
        <v>41515</v>
      </c>
      <c r="D3884" s="5">
        <v>2504</v>
      </c>
      <c r="E3884">
        <v>32343</v>
      </c>
      <c r="F3884" s="4" t="s">
        <v>1007</v>
      </c>
      <c r="G3884" t="s">
        <v>29</v>
      </c>
      <c r="H3884" t="s">
        <v>1008</v>
      </c>
    </row>
    <row r="3885" spans="1:8" x14ac:dyDescent="0.25">
      <c r="A3885" t="s">
        <v>994</v>
      </c>
      <c r="B3885" t="s">
        <v>479</v>
      </c>
      <c r="C3885" s="5">
        <v>46384</v>
      </c>
      <c r="D3885" s="5">
        <v>1241</v>
      </c>
      <c r="E3885">
        <v>13432</v>
      </c>
      <c r="F3885" s="4" t="s">
        <v>480</v>
      </c>
      <c r="G3885" t="s">
        <v>29</v>
      </c>
      <c r="H3885" t="s">
        <v>481</v>
      </c>
    </row>
    <row r="3886" spans="1:8" x14ac:dyDescent="0.25">
      <c r="A3886" t="s">
        <v>994</v>
      </c>
      <c r="B3886" t="s">
        <v>482</v>
      </c>
      <c r="C3886" s="5">
        <v>5069</v>
      </c>
      <c r="D3886" s="5">
        <v>174</v>
      </c>
      <c r="E3886">
        <v>1018</v>
      </c>
      <c r="F3886" s="4" t="s">
        <v>252</v>
      </c>
      <c r="G3886" t="s">
        <v>29</v>
      </c>
      <c r="H3886" t="s">
        <v>253</v>
      </c>
    </row>
    <row r="3887" spans="1:8" x14ac:dyDescent="0.25">
      <c r="A3887" t="s">
        <v>994</v>
      </c>
      <c r="B3887" t="s">
        <v>483</v>
      </c>
      <c r="C3887" s="5">
        <v>25992</v>
      </c>
      <c r="D3887" s="5">
        <v>242</v>
      </c>
      <c r="E3887">
        <v>8276</v>
      </c>
      <c r="F3887" s="4" t="s">
        <v>484</v>
      </c>
      <c r="G3887" t="s">
        <v>29</v>
      </c>
      <c r="H3887" t="s">
        <v>485</v>
      </c>
    </row>
    <row r="3888" spans="1:8" x14ac:dyDescent="0.25">
      <c r="A3888" t="s">
        <v>994</v>
      </c>
      <c r="B3888" t="s">
        <v>486</v>
      </c>
      <c r="C3888" s="5">
        <v>1850482</v>
      </c>
      <c r="D3888" s="5">
        <v>18755</v>
      </c>
      <c r="E3888">
        <v>1582065</v>
      </c>
      <c r="F3888" s="4" t="s">
        <v>559</v>
      </c>
      <c r="G3888" t="s">
        <v>29</v>
      </c>
      <c r="H3888" t="s">
        <v>560</v>
      </c>
    </row>
    <row r="3889" spans="1:8" x14ac:dyDescent="0.25">
      <c r="A3889" t="s">
        <v>994</v>
      </c>
      <c r="B3889" t="s">
        <v>487</v>
      </c>
      <c r="C3889" s="5">
        <v>17486</v>
      </c>
      <c r="D3889" s="5">
        <v>125</v>
      </c>
      <c r="E3889">
        <v>13504</v>
      </c>
      <c r="F3889" s="4" t="s">
        <v>488</v>
      </c>
      <c r="G3889" t="s">
        <v>29</v>
      </c>
      <c r="H3889" t="s">
        <v>489</v>
      </c>
    </row>
    <row r="3890" spans="1:8" x14ac:dyDescent="0.25">
      <c r="A3890" t="s">
        <v>994</v>
      </c>
      <c r="B3890" t="s">
        <v>490</v>
      </c>
      <c r="C3890" s="5">
        <v>19770</v>
      </c>
      <c r="D3890" s="5">
        <v>121</v>
      </c>
      <c r="E3890">
        <v>13525</v>
      </c>
      <c r="F3890" s="4" t="s">
        <v>261</v>
      </c>
      <c r="G3890" t="s">
        <v>29</v>
      </c>
      <c r="H3890" t="s">
        <v>262</v>
      </c>
    </row>
    <row r="3891" spans="1:8" x14ac:dyDescent="0.25">
      <c r="A3891" t="s">
        <v>994</v>
      </c>
      <c r="B3891" t="s">
        <v>493</v>
      </c>
      <c r="C3891" s="5">
        <v>711693</v>
      </c>
      <c r="D3891" s="5">
        <v>25149</v>
      </c>
      <c r="E3891">
        <v>658013</v>
      </c>
      <c r="F3891" s="4" t="s">
        <v>430</v>
      </c>
      <c r="G3891" t="s">
        <v>29</v>
      </c>
      <c r="H3891" t="s">
        <v>431</v>
      </c>
    </row>
    <row r="3892" spans="1:8" x14ac:dyDescent="0.25">
      <c r="A3892" t="s">
        <v>994</v>
      </c>
      <c r="B3892" t="s">
        <v>497</v>
      </c>
      <c r="C3892" s="5">
        <v>7851775</v>
      </c>
      <c r="D3892" s="5">
        <v>69112</v>
      </c>
      <c r="E3892">
        <v>6710533</v>
      </c>
      <c r="F3892" s="4" t="s">
        <v>609</v>
      </c>
      <c r="G3892" t="s">
        <v>29</v>
      </c>
      <c r="H3892" t="s">
        <v>610</v>
      </c>
    </row>
    <row r="3893" spans="1:8" x14ac:dyDescent="0.25">
      <c r="A3893" t="s">
        <v>994</v>
      </c>
      <c r="B3893" t="s">
        <v>500</v>
      </c>
      <c r="C3893" s="5">
        <v>55681</v>
      </c>
      <c r="D3893" s="5">
        <v>1645</v>
      </c>
      <c r="E3893">
        <v>52836</v>
      </c>
      <c r="F3893" s="4" t="s">
        <v>884</v>
      </c>
      <c r="G3893" t="s">
        <v>29</v>
      </c>
      <c r="H3893" t="s">
        <v>885</v>
      </c>
    </row>
    <row r="3894" spans="1:8" x14ac:dyDescent="0.25">
      <c r="A3894" t="s">
        <v>994</v>
      </c>
      <c r="B3894" t="s">
        <v>503</v>
      </c>
      <c r="C3894" s="5">
        <v>16368</v>
      </c>
      <c r="D3894" s="5">
        <v>846</v>
      </c>
      <c r="E3894">
        <v>13228</v>
      </c>
      <c r="F3894" s="4" t="s">
        <v>923</v>
      </c>
      <c r="G3894" t="s">
        <v>29</v>
      </c>
      <c r="H3894" t="s">
        <v>924</v>
      </c>
    </row>
    <row r="3895" spans="1:8" x14ac:dyDescent="0.25">
      <c r="A3895" t="s">
        <v>994</v>
      </c>
      <c r="B3895" t="s">
        <v>506</v>
      </c>
      <c r="C3895" s="5">
        <v>26034</v>
      </c>
      <c r="D3895" s="5">
        <v>724</v>
      </c>
      <c r="E3895">
        <v>22499</v>
      </c>
      <c r="F3895" s="4" t="s">
        <v>98</v>
      </c>
      <c r="G3895" t="s">
        <v>29</v>
      </c>
      <c r="H3895" t="s">
        <v>99</v>
      </c>
    </row>
    <row r="3896" spans="1:8" x14ac:dyDescent="0.25">
      <c r="A3896" t="s">
        <v>994</v>
      </c>
      <c r="B3896" t="s">
        <v>509</v>
      </c>
      <c r="C3896" s="5">
        <v>2898049</v>
      </c>
      <c r="D3896" s="5">
        <v>68008</v>
      </c>
      <c r="E3896">
        <v>863115</v>
      </c>
      <c r="F3896" s="4" t="s">
        <v>591</v>
      </c>
      <c r="G3896" t="s">
        <v>29</v>
      </c>
      <c r="H3896" t="s">
        <v>592</v>
      </c>
    </row>
    <row r="3897" spans="1:8" x14ac:dyDescent="0.25">
      <c r="A3897" t="s">
        <v>994</v>
      </c>
      <c r="B3897" t="s">
        <v>512</v>
      </c>
      <c r="C3897" s="5">
        <v>125710</v>
      </c>
      <c r="D3897" s="5">
        <v>3200</v>
      </c>
      <c r="E3897">
        <v>115441</v>
      </c>
      <c r="F3897" s="4" t="s">
        <v>513</v>
      </c>
      <c r="G3897" t="s">
        <v>29</v>
      </c>
      <c r="H3897" t="s">
        <v>514</v>
      </c>
    </row>
    <row r="3898" spans="1:8" x14ac:dyDescent="0.25">
      <c r="A3898" t="s">
        <v>994</v>
      </c>
      <c r="B3898" t="s">
        <v>515</v>
      </c>
      <c r="C3898" s="5">
        <v>45463901</v>
      </c>
      <c r="D3898" s="5">
        <v>735941</v>
      </c>
      <c r="E3898">
        <v>27380721</v>
      </c>
      <c r="F3898" s="4" t="s">
        <v>516</v>
      </c>
      <c r="G3898" t="s">
        <v>29</v>
      </c>
      <c r="H3898" t="s">
        <v>517</v>
      </c>
    </row>
    <row r="3899" spans="1:8" x14ac:dyDescent="0.25">
      <c r="A3899" t="s">
        <v>994</v>
      </c>
      <c r="B3899" t="s">
        <v>518</v>
      </c>
      <c r="C3899" s="5">
        <v>392148</v>
      </c>
      <c r="D3899" s="5">
        <v>6071</v>
      </c>
      <c r="E3899">
        <v>154530</v>
      </c>
      <c r="F3899" s="4" t="s">
        <v>333</v>
      </c>
      <c r="G3899" t="s">
        <v>29</v>
      </c>
      <c r="H3899" t="s">
        <v>334</v>
      </c>
    </row>
    <row r="3900" spans="1:8" x14ac:dyDescent="0.25">
      <c r="A3900" t="s">
        <v>994</v>
      </c>
      <c r="B3900" t="s">
        <v>521</v>
      </c>
      <c r="C3900" s="5">
        <v>183569</v>
      </c>
      <c r="D3900" s="5">
        <v>1304</v>
      </c>
      <c r="E3900">
        <v>84275</v>
      </c>
      <c r="F3900" s="4" t="s">
        <v>488</v>
      </c>
      <c r="G3900" t="s">
        <v>29</v>
      </c>
      <c r="H3900" t="s">
        <v>489</v>
      </c>
    </row>
    <row r="3901" spans="1:8" x14ac:dyDescent="0.25">
      <c r="A3901" t="s">
        <v>994</v>
      </c>
      <c r="B3901" t="s">
        <v>523</v>
      </c>
      <c r="C3901" s="5">
        <v>4850</v>
      </c>
      <c r="D3901" s="5">
        <v>60</v>
      </c>
      <c r="E3901">
        <v>4281</v>
      </c>
      <c r="F3901" s="4" t="s">
        <v>394</v>
      </c>
      <c r="G3901" t="s">
        <v>29</v>
      </c>
      <c r="H3901" t="s">
        <v>395</v>
      </c>
    </row>
    <row r="3902" spans="1:8" x14ac:dyDescent="0.25">
      <c r="A3902" t="s">
        <v>994</v>
      </c>
      <c r="B3902" t="s">
        <v>522</v>
      </c>
      <c r="C3902" s="5">
        <v>27</v>
      </c>
      <c r="D3902" s="5">
        <v>0</v>
      </c>
      <c r="E3902">
        <v>27</v>
      </c>
      <c r="F3902" s="4" t="s">
        <v>29</v>
      </c>
      <c r="G3902" t="s">
        <v>29</v>
      </c>
      <c r="H3902" t="s">
        <v>291</v>
      </c>
    </row>
    <row r="3903" spans="1:8" x14ac:dyDescent="0.25">
      <c r="A3903" t="s">
        <v>994</v>
      </c>
      <c r="B3903" t="s">
        <v>524</v>
      </c>
      <c r="C3903" s="5">
        <v>400511</v>
      </c>
      <c r="D3903" s="5">
        <v>4810</v>
      </c>
      <c r="E3903">
        <v>80770</v>
      </c>
      <c r="F3903" s="4" t="s">
        <v>525</v>
      </c>
      <c r="G3903" t="s">
        <v>29</v>
      </c>
      <c r="H3903" t="s">
        <v>526</v>
      </c>
    </row>
    <row r="3904" spans="1:8" x14ac:dyDescent="0.25">
      <c r="A3904" t="s">
        <v>994</v>
      </c>
      <c r="B3904" t="s">
        <v>527</v>
      </c>
      <c r="C3904" s="5">
        <v>888940</v>
      </c>
      <c r="D3904" s="5">
        <v>21673</v>
      </c>
      <c r="E3904">
        <v>713700</v>
      </c>
      <c r="F3904" s="4" t="s">
        <v>934</v>
      </c>
      <c r="G3904" t="s">
        <v>29</v>
      </c>
      <c r="H3904" t="s">
        <v>935</v>
      </c>
    </row>
    <row r="3905" spans="1:8" x14ac:dyDescent="0.25">
      <c r="A3905" t="s">
        <v>994</v>
      </c>
      <c r="B3905" t="s">
        <v>530</v>
      </c>
      <c r="C3905" s="5">
        <v>4</v>
      </c>
      <c r="D3905" s="5">
        <v>1</v>
      </c>
      <c r="E3905">
        <v>2</v>
      </c>
      <c r="F3905" s="4" t="s">
        <v>973</v>
      </c>
      <c r="G3905" t="s">
        <v>29</v>
      </c>
      <c r="H3905" t="s">
        <v>974</v>
      </c>
    </row>
    <row r="3906" spans="1:8" x14ac:dyDescent="0.25">
      <c r="A3906" t="s">
        <v>994</v>
      </c>
      <c r="B3906" t="s">
        <v>533</v>
      </c>
      <c r="C3906" s="5">
        <v>3</v>
      </c>
      <c r="D3906" s="5">
        <v>0</v>
      </c>
      <c r="E3906">
        <v>1</v>
      </c>
      <c r="F3906" s="4" t="s">
        <v>29</v>
      </c>
      <c r="G3906" t="s">
        <v>29</v>
      </c>
      <c r="H3906" t="s">
        <v>291</v>
      </c>
    </row>
    <row r="3907" spans="1:8" x14ac:dyDescent="0.25">
      <c r="A3907" t="s">
        <v>994</v>
      </c>
      <c r="B3907" t="s">
        <v>534</v>
      </c>
      <c r="C3907" s="5">
        <v>160635</v>
      </c>
      <c r="D3907" s="5">
        <v>2974</v>
      </c>
      <c r="E3907">
        <v>114467</v>
      </c>
      <c r="F3907" s="4" t="s">
        <v>535</v>
      </c>
      <c r="G3907" t="s">
        <v>29</v>
      </c>
      <c r="H3907" t="s">
        <v>536</v>
      </c>
    </row>
    <row r="3908" spans="1:8" x14ac:dyDescent="0.25">
      <c r="A3908" t="s">
        <v>994</v>
      </c>
      <c r="B3908" t="s">
        <v>537</v>
      </c>
      <c r="C3908" s="5">
        <v>9678</v>
      </c>
      <c r="D3908" s="5">
        <v>1840</v>
      </c>
      <c r="E3908">
        <v>4407</v>
      </c>
      <c r="F3908" s="4" t="s">
        <v>1009</v>
      </c>
      <c r="G3908" t="s">
        <v>29</v>
      </c>
      <c r="H3908" t="s">
        <v>1010</v>
      </c>
    </row>
    <row r="3909" spans="1:8" x14ac:dyDescent="0.25">
      <c r="A3909" t="s">
        <v>994</v>
      </c>
      <c r="B3909" t="s">
        <v>540</v>
      </c>
      <c r="C3909" s="5">
        <v>20485</v>
      </c>
      <c r="D3909" s="5">
        <v>182</v>
      </c>
      <c r="E3909">
        <v>2037</v>
      </c>
      <c r="F3909" s="4" t="s">
        <v>65</v>
      </c>
      <c r="G3909" t="s">
        <v>29</v>
      </c>
      <c r="H3909" t="s">
        <v>66</v>
      </c>
    </row>
    <row r="3910" spans="1:8" x14ac:dyDescent="0.25">
      <c r="A3910" t="s">
        <v>994</v>
      </c>
      <c r="B3910" t="s">
        <v>541</v>
      </c>
      <c r="C3910" s="5">
        <v>2919632</v>
      </c>
      <c r="D3910" s="5">
        <v>88925</v>
      </c>
      <c r="E3910">
        <v>951005</v>
      </c>
      <c r="F3910" s="4" t="s">
        <v>698</v>
      </c>
      <c r="G3910" t="s">
        <v>29</v>
      </c>
      <c r="H3910" t="s">
        <v>699</v>
      </c>
    </row>
    <row r="3911" spans="1:8" x14ac:dyDescent="0.25">
      <c r="A3911" t="s">
        <v>994</v>
      </c>
      <c r="B3911" t="s">
        <v>544</v>
      </c>
      <c r="C3911" s="5">
        <v>209634</v>
      </c>
      <c r="D3911" s="5">
        <v>3659</v>
      </c>
      <c r="E3911">
        <v>72020</v>
      </c>
      <c r="F3911" s="4" t="s">
        <v>545</v>
      </c>
      <c r="G3911" t="s">
        <v>29</v>
      </c>
      <c r="H3911" t="s">
        <v>546</v>
      </c>
    </row>
    <row r="3912" spans="1:8" x14ac:dyDescent="0.25">
      <c r="A3912" t="s">
        <v>994</v>
      </c>
      <c r="B3912" t="s">
        <v>547</v>
      </c>
      <c r="C3912" s="5">
        <v>132651</v>
      </c>
      <c r="D3912" s="5">
        <v>4669</v>
      </c>
      <c r="E3912">
        <v>8191</v>
      </c>
      <c r="F3912" s="4" t="s">
        <v>353</v>
      </c>
      <c r="G3912" t="s">
        <v>29</v>
      </c>
      <c r="H3912" t="s">
        <v>354</v>
      </c>
    </row>
    <row r="3913" spans="1:8" x14ac:dyDescent="0.25">
      <c r="A3913" t="s">
        <v>994</v>
      </c>
      <c r="B3913" t="s">
        <v>548</v>
      </c>
      <c r="C3913" s="5">
        <v>721</v>
      </c>
      <c r="D3913" s="5">
        <v>15</v>
      </c>
      <c r="E3913">
        <v>309</v>
      </c>
      <c r="F3913" s="4" t="s">
        <v>549</v>
      </c>
      <c r="G3913" t="s">
        <v>29</v>
      </c>
      <c r="H3913" t="s">
        <v>550</v>
      </c>
    </row>
    <row r="3914" spans="1:8" x14ac:dyDescent="0.25">
      <c r="A3914" t="s">
        <v>1011</v>
      </c>
      <c r="B3914" t="s">
        <v>548</v>
      </c>
      <c r="C3914" s="5">
        <v>721</v>
      </c>
      <c r="D3914" s="5">
        <v>15</v>
      </c>
      <c r="E3914">
        <v>440</v>
      </c>
      <c r="F3914" s="4" t="s">
        <v>549</v>
      </c>
      <c r="G3914" t="s">
        <v>29</v>
      </c>
      <c r="H3914" t="s">
        <v>550</v>
      </c>
    </row>
    <row r="3915" spans="1:8" x14ac:dyDescent="0.25">
      <c r="A3915" t="s">
        <v>1011</v>
      </c>
      <c r="B3915" t="s">
        <v>547</v>
      </c>
      <c r="C3915" s="5">
        <v>132588</v>
      </c>
      <c r="D3915" s="5">
        <v>4663</v>
      </c>
      <c r="E3915">
        <v>55885</v>
      </c>
      <c r="F3915" s="4" t="s">
        <v>353</v>
      </c>
      <c r="G3915" t="s">
        <v>29</v>
      </c>
      <c r="H3915" t="s">
        <v>354</v>
      </c>
    </row>
    <row r="3916" spans="1:8" x14ac:dyDescent="0.25">
      <c r="A3916" t="s">
        <v>1011</v>
      </c>
      <c r="B3916" t="s">
        <v>544</v>
      </c>
      <c r="C3916" s="5">
        <v>209629</v>
      </c>
      <c r="D3916" s="5">
        <v>3659</v>
      </c>
      <c r="E3916">
        <v>85308</v>
      </c>
      <c r="F3916" s="4" t="s">
        <v>545</v>
      </c>
      <c r="G3916" t="s">
        <v>29</v>
      </c>
      <c r="H3916" t="s">
        <v>546</v>
      </c>
    </row>
    <row r="3917" spans="1:8" x14ac:dyDescent="0.25">
      <c r="A3917" t="s">
        <v>1011</v>
      </c>
      <c r="B3917" t="s">
        <v>541</v>
      </c>
      <c r="C3917" s="5">
        <v>2919332</v>
      </c>
      <c r="D3917" s="5">
        <v>88914</v>
      </c>
      <c r="E3917">
        <v>1452981</v>
      </c>
      <c r="F3917" s="4" t="s">
        <v>698</v>
      </c>
      <c r="G3917" t="s">
        <v>29</v>
      </c>
      <c r="H3917" t="s">
        <v>699</v>
      </c>
    </row>
    <row r="3918" spans="1:8" x14ac:dyDescent="0.25">
      <c r="A3918" t="s">
        <v>1011</v>
      </c>
      <c r="B3918" t="s">
        <v>540</v>
      </c>
      <c r="C3918" s="5">
        <v>20485</v>
      </c>
      <c r="D3918" s="5">
        <v>182</v>
      </c>
      <c r="E3918">
        <v>19102</v>
      </c>
      <c r="F3918" s="4" t="s">
        <v>65</v>
      </c>
      <c r="G3918" t="s">
        <v>29</v>
      </c>
      <c r="H3918" t="s">
        <v>66</v>
      </c>
    </row>
    <row r="3919" spans="1:8" x14ac:dyDescent="0.25">
      <c r="A3919" t="s">
        <v>1011</v>
      </c>
      <c r="B3919" t="s">
        <v>537</v>
      </c>
      <c r="C3919" s="5">
        <v>9662</v>
      </c>
      <c r="D3919" s="5">
        <v>1838</v>
      </c>
      <c r="E3919">
        <v>7679</v>
      </c>
      <c r="F3919" s="4" t="s">
        <v>1012</v>
      </c>
      <c r="G3919" t="s">
        <v>29</v>
      </c>
      <c r="H3919" t="s">
        <v>1013</v>
      </c>
    </row>
    <row r="3920" spans="1:8" x14ac:dyDescent="0.25">
      <c r="A3920" t="s">
        <v>1011</v>
      </c>
      <c r="B3920" t="s">
        <v>534</v>
      </c>
      <c r="C3920" s="5">
        <v>160622</v>
      </c>
      <c r="D3920" s="5">
        <v>2974</v>
      </c>
      <c r="E3920">
        <v>62380</v>
      </c>
      <c r="F3920" s="4" t="s">
        <v>535</v>
      </c>
      <c r="G3920" t="s">
        <v>29</v>
      </c>
      <c r="H3920" t="s">
        <v>536</v>
      </c>
    </row>
    <row r="3921" spans="1:8" x14ac:dyDescent="0.25">
      <c r="A3921" t="s">
        <v>1011</v>
      </c>
      <c r="B3921" t="s">
        <v>533</v>
      </c>
      <c r="C3921" s="5">
        <v>3</v>
      </c>
      <c r="D3921" s="5">
        <v>0</v>
      </c>
      <c r="E3921">
        <v>0</v>
      </c>
      <c r="F3921" s="4" t="s">
        <v>29</v>
      </c>
      <c r="G3921" t="s">
        <v>29</v>
      </c>
      <c r="H3921" t="s">
        <v>291</v>
      </c>
    </row>
    <row r="3922" spans="1:8" x14ac:dyDescent="0.25">
      <c r="A3922" t="s">
        <v>1011</v>
      </c>
      <c r="B3922" t="s">
        <v>530</v>
      </c>
      <c r="C3922" s="5">
        <v>4</v>
      </c>
      <c r="D3922" s="5">
        <v>1</v>
      </c>
      <c r="E3922">
        <v>3</v>
      </c>
      <c r="F3922" s="4" t="s">
        <v>973</v>
      </c>
      <c r="G3922" t="s">
        <v>29</v>
      </c>
      <c r="H3922" t="s">
        <v>974</v>
      </c>
    </row>
    <row r="3923" spans="1:8" x14ac:dyDescent="0.25">
      <c r="A3923" t="s">
        <v>1011</v>
      </c>
      <c r="B3923" t="s">
        <v>527</v>
      </c>
      <c r="C3923" s="5">
        <v>884895</v>
      </c>
      <c r="D3923" s="5">
        <v>21620</v>
      </c>
      <c r="E3923">
        <v>820167</v>
      </c>
      <c r="F3923" s="4" t="s">
        <v>934</v>
      </c>
      <c r="G3923" t="s">
        <v>29</v>
      </c>
      <c r="H3923" t="s">
        <v>935</v>
      </c>
    </row>
    <row r="3924" spans="1:8" x14ac:dyDescent="0.25">
      <c r="A3924" t="s">
        <v>1011</v>
      </c>
      <c r="B3924" t="s">
        <v>524</v>
      </c>
      <c r="C3924" s="5">
        <v>399667</v>
      </c>
      <c r="D3924" s="5">
        <v>4800</v>
      </c>
      <c r="E3924">
        <v>195439</v>
      </c>
      <c r="F3924" s="4" t="s">
        <v>525</v>
      </c>
      <c r="G3924" t="s">
        <v>29</v>
      </c>
      <c r="H3924" t="s">
        <v>526</v>
      </c>
    </row>
    <row r="3925" spans="1:8" x14ac:dyDescent="0.25">
      <c r="A3925" t="s">
        <v>1011</v>
      </c>
      <c r="B3925" t="s">
        <v>522</v>
      </c>
      <c r="C3925" s="5">
        <v>27</v>
      </c>
      <c r="D3925" s="5">
        <v>0</v>
      </c>
      <c r="E3925">
        <v>12</v>
      </c>
      <c r="F3925" s="4" t="s">
        <v>29</v>
      </c>
      <c r="G3925" t="s">
        <v>29</v>
      </c>
      <c r="H3925" t="s">
        <v>291</v>
      </c>
    </row>
    <row r="3926" spans="1:8" x14ac:dyDescent="0.25">
      <c r="A3926" t="s">
        <v>1011</v>
      </c>
      <c r="B3926" t="s">
        <v>523</v>
      </c>
      <c r="C3926" s="5">
        <v>4814</v>
      </c>
      <c r="D3926" s="5">
        <v>60</v>
      </c>
      <c r="E3926">
        <v>4488</v>
      </c>
      <c r="F3926" s="4" t="s">
        <v>107</v>
      </c>
      <c r="G3926" t="s">
        <v>29</v>
      </c>
      <c r="H3926" t="s">
        <v>108</v>
      </c>
    </row>
    <row r="3927" spans="1:8" x14ac:dyDescent="0.25">
      <c r="A3927" t="s">
        <v>1011</v>
      </c>
      <c r="B3927" t="s">
        <v>521</v>
      </c>
      <c r="C3927" s="5">
        <v>183191</v>
      </c>
      <c r="D3927" s="5">
        <v>1302</v>
      </c>
      <c r="E3927">
        <v>137854</v>
      </c>
      <c r="F3927" s="4" t="s">
        <v>488</v>
      </c>
      <c r="G3927" t="s">
        <v>29</v>
      </c>
      <c r="H3927" t="s">
        <v>489</v>
      </c>
    </row>
    <row r="3928" spans="1:8" x14ac:dyDescent="0.25">
      <c r="A3928" t="s">
        <v>1011</v>
      </c>
      <c r="B3928" t="s">
        <v>518</v>
      </c>
      <c r="C3928" s="5">
        <v>392029</v>
      </c>
      <c r="D3928" s="5">
        <v>6071</v>
      </c>
      <c r="E3928">
        <v>142419</v>
      </c>
      <c r="F3928" s="4" t="s">
        <v>333</v>
      </c>
      <c r="G3928" t="s">
        <v>29</v>
      </c>
      <c r="H3928" t="s">
        <v>334</v>
      </c>
    </row>
    <row r="3929" spans="1:8" x14ac:dyDescent="0.25">
      <c r="A3929" t="s">
        <v>1011</v>
      </c>
      <c r="B3929" t="s">
        <v>515</v>
      </c>
      <c r="C3929" s="5">
        <v>45447586</v>
      </c>
      <c r="D3929" s="5">
        <v>735800</v>
      </c>
      <c r="E3929">
        <v>21703145</v>
      </c>
      <c r="F3929" s="4" t="s">
        <v>516</v>
      </c>
      <c r="G3929" t="s">
        <v>29</v>
      </c>
      <c r="H3929" t="s">
        <v>517</v>
      </c>
    </row>
    <row r="3930" spans="1:8" x14ac:dyDescent="0.25">
      <c r="A3930" t="s">
        <v>1011</v>
      </c>
      <c r="B3930" t="s">
        <v>512</v>
      </c>
      <c r="C3930" s="5">
        <v>125645</v>
      </c>
      <c r="D3930" s="5">
        <v>3198</v>
      </c>
      <c r="E3930">
        <v>82366</v>
      </c>
      <c r="F3930" s="4" t="s">
        <v>513</v>
      </c>
      <c r="G3930" t="s">
        <v>29</v>
      </c>
      <c r="H3930" t="s">
        <v>514</v>
      </c>
    </row>
    <row r="3931" spans="1:8" x14ac:dyDescent="0.25">
      <c r="A3931" t="s">
        <v>1011</v>
      </c>
      <c r="B3931" t="s">
        <v>509</v>
      </c>
      <c r="C3931" s="5">
        <v>2876288</v>
      </c>
      <c r="D3931" s="5">
        <v>67597</v>
      </c>
      <c r="E3931">
        <v>1707274</v>
      </c>
      <c r="F3931" s="4" t="s">
        <v>591</v>
      </c>
      <c r="G3931" t="s">
        <v>29</v>
      </c>
      <c r="H3931" t="s">
        <v>592</v>
      </c>
    </row>
    <row r="3932" spans="1:8" x14ac:dyDescent="0.25">
      <c r="A3932" t="s">
        <v>1011</v>
      </c>
      <c r="B3932" t="s">
        <v>506</v>
      </c>
      <c r="C3932" s="5">
        <v>26034</v>
      </c>
      <c r="D3932" s="5">
        <v>724</v>
      </c>
      <c r="E3932">
        <v>21842</v>
      </c>
      <c r="F3932" s="4" t="s">
        <v>98</v>
      </c>
      <c r="G3932" t="s">
        <v>29</v>
      </c>
      <c r="H3932" t="s">
        <v>99</v>
      </c>
    </row>
    <row r="3933" spans="1:8" x14ac:dyDescent="0.25">
      <c r="A3933" t="s">
        <v>1011</v>
      </c>
      <c r="B3933" t="s">
        <v>503</v>
      </c>
      <c r="C3933" s="5">
        <v>16364</v>
      </c>
      <c r="D3933" s="5">
        <v>846</v>
      </c>
      <c r="E3933">
        <v>2076</v>
      </c>
      <c r="F3933" s="4" t="s">
        <v>923</v>
      </c>
      <c r="G3933" t="s">
        <v>29</v>
      </c>
      <c r="H3933" t="s">
        <v>924</v>
      </c>
    </row>
    <row r="3934" spans="1:8" x14ac:dyDescent="0.25">
      <c r="A3934" t="s">
        <v>1011</v>
      </c>
      <c r="B3934" t="s">
        <v>500</v>
      </c>
      <c r="C3934" s="5">
        <v>55437</v>
      </c>
      <c r="D3934" s="5">
        <v>1639</v>
      </c>
      <c r="E3934">
        <v>42409</v>
      </c>
      <c r="F3934" s="4" t="s">
        <v>731</v>
      </c>
      <c r="G3934" t="s">
        <v>29</v>
      </c>
      <c r="H3934" t="s">
        <v>732</v>
      </c>
    </row>
    <row r="3935" spans="1:8" x14ac:dyDescent="0.25">
      <c r="A3935" t="s">
        <v>1011</v>
      </c>
      <c r="B3935" t="s">
        <v>497</v>
      </c>
      <c r="C3935" s="5">
        <v>7826983</v>
      </c>
      <c r="D3935" s="5">
        <v>68917</v>
      </c>
      <c r="E3935">
        <v>2483883</v>
      </c>
      <c r="F3935" s="4" t="s">
        <v>609</v>
      </c>
      <c r="G3935" t="s">
        <v>29</v>
      </c>
      <c r="H3935" t="s">
        <v>610</v>
      </c>
    </row>
    <row r="3936" spans="1:8" x14ac:dyDescent="0.25">
      <c r="A3936" t="s">
        <v>1011</v>
      </c>
      <c r="B3936" t="s">
        <v>493</v>
      </c>
      <c r="C3936" s="5">
        <v>711521</v>
      </c>
      <c r="D3936" s="5">
        <v>25139</v>
      </c>
      <c r="E3936">
        <v>132664</v>
      </c>
      <c r="F3936" s="4" t="s">
        <v>430</v>
      </c>
      <c r="G3936" t="s">
        <v>29</v>
      </c>
      <c r="H3936" t="s">
        <v>431</v>
      </c>
    </row>
    <row r="3937" spans="1:8" x14ac:dyDescent="0.25">
      <c r="A3937" t="s">
        <v>1011</v>
      </c>
      <c r="B3937" t="s">
        <v>490</v>
      </c>
      <c r="C3937" s="5">
        <v>19766</v>
      </c>
      <c r="D3937" s="5">
        <v>120</v>
      </c>
      <c r="E3937">
        <v>5946</v>
      </c>
      <c r="F3937" s="4" t="s">
        <v>261</v>
      </c>
      <c r="G3937" t="s">
        <v>29</v>
      </c>
      <c r="H3937" t="s">
        <v>262</v>
      </c>
    </row>
    <row r="3938" spans="1:8" x14ac:dyDescent="0.25">
      <c r="A3938" t="s">
        <v>1011</v>
      </c>
      <c r="B3938" t="s">
        <v>487</v>
      </c>
      <c r="C3938" s="5">
        <v>17486</v>
      </c>
      <c r="D3938" s="5">
        <v>125</v>
      </c>
      <c r="E3938">
        <v>4067</v>
      </c>
      <c r="F3938" s="4" t="s">
        <v>488</v>
      </c>
      <c r="G3938" t="s">
        <v>29</v>
      </c>
      <c r="H3938" t="s">
        <v>489</v>
      </c>
    </row>
    <row r="3939" spans="1:8" x14ac:dyDescent="0.25">
      <c r="A3939" t="s">
        <v>1011</v>
      </c>
      <c r="B3939" t="s">
        <v>486</v>
      </c>
      <c r="C3939" s="5">
        <v>1841131</v>
      </c>
      <c r="D3939" s="5">
        <v>18699</v>
      </c>
      <c r="E3939">
        <v>13991</v>
      </c>
      <c r="F3939" s="4" t="s">
        <v>326</v>
      </c>
      <c r="G3939" t="s">
        <v>29</v>
      </c>
      <c r="H3939" t="s">
        <v>327</v>
      </c>
    </row>
    <row r="3940" spans="1:8" x14ac:dyDescent="0.25">
      <c r="A3940" t="s">
        <v>1011</v>
      </c>
      <c r="B3940" t="s">
        <v>483</v>
      </c>
      <c r="C3940" s="5">
        <v>25989</v>
      </c>
      <c r="D3940" s="5">
        <v>242</v>
      </c>
      <c r="E3940">
        <v>21153</v>
      </c>
      <c r="F3940" s="4" t="s">
        <v>484</v>
      </c>
      <c r="G3940" t="s">
        <v>29</v>
      </c>
      <c r="H3940" t="s">
        <v>485</v>
      </c>
    </row>
    <row r="3941" spans="1:8" x14ac:dyDescent="0.25">
      <c r="A3941" t="s">
        <v>1011</v>
      </c>
      <c r="B3941" t="s">
        <v>482</v>
      </c>
      <c r="C3941" s="5">
        <v>5069</v>
      </c>
      <c r="D3941" s="5">
        <v>174</v>
      </c>
      <c r="E3941">
        <v>958</v>
      </c>
      <c r="F3941" s="4" t="s">
        <v>252</v>
      </c>
      <c r="G3941" t="s">
        <v>29</v>
      </c>
      <c r="H3941" t="s">
        <v>253</v>
      </c>
    </row>
    <row r="3942" spans="1:8" x14ac:dyDescent="0.25">
      <c r="A3942" t="s">
        <v>1011</v>
      </c>
      <c r="B3942" t="s">
        <v>479</v>
      </c>
      <c r="C3942" s="5">
        <v>46384</v>
      </c>
      <c r="D3942" s="5">
        <v>1241</v>
      </c>
      <c r="E3942">
        <v>15705</v>
      </c>
      <c r="F3942" s="4" t="s">
        <v>480</v>
      </c>
      <c r="G3942" t="s">
        <v>29</v>
      </c>
      <c r="H3942" t="s">
        <v>481</v>
      </c>
    </row>
    <row r="3943" spans="1:8" x14ac:dyDescent="0.25">
      <c r="A3943" t="s">
        <v>1011</v>
      </c>
      <c r="B3943" t="s">
        <v>476</v>
      </c>
      <c r="C3943" s="5">
        <v>41222</v>
      </c>
      <c r="D3943" s="5">
        <v>2492</v>
      </c>
      <c r="E3943">
        <v>6255</v>
      </c>
      <c r="F3943" s="4" t="s">
        <v>1014</v>
      </c>
      <c r="G3943" t="s">
        <v>29</v>
      </c>
      <c r="H3943" t="s">
        <v>1015</v>
      </c>
    </row>
    <row r="3944" spans="1:8" x14ac:dyDescent="0.25">
      <c r="A3944" t="s">
        <v>1011</v>
      </c>
      <c r="B3944" t="s">
        <v>473</v>
      </c>
      <c r="C3944" s="5">
        <v>112290</v>
      </c>
      <c r="D3944" s="5">
        <v>3554</v>
      </c>
      <c r="E3944">
        <v>86752</v>
      </c>
      <c r="F3944" s="4" t="s">
        <v>628</v>
      </c>
      <c r="G3944" t="s">
        <v>29</v>
      </c>
      <c r="H3944" t="s">
        <v>629</v>
      </c>
    </row>
    <row r="3945" spans="1:8" x14ac:dyDescent="0.25">
      <c r="A3945" t="s">
        <v>1011</v>
      </c>
      <c r="B3945" t="s">
        <v>471</v>
      </c>
      <c r="C3945" s="5">
        <v>12279</v>
      </c>
      <c r="D3945" s="5">
        <v>133</v>
      </c>
      <c r="E3945">
        <v>11639</v>
      </c>
      <c r="F3945" s="4" t="s">
        <v>758</v>
      </c>
      <c r="G3945" t="s">
        <v>29</v>
      </c>
      <c r="H3945" t="s">
        <v>759</v>
      </c>
    </row>
    <row r="3946" spans="1:8" x14ac:dyDescent="0.25">
      <c r="A3946" t="s">
        <v>1011</v>
      </c>
      <c r="B3946" t="s">
        <v>472</v>
      </c>
      <c r="C3946" s="5">
        <v>3697</v>
      </c>
      <c r="D3946" s="5">
        <v>56</v>
      </c>
      <c r="E3946">
        <v>1493</v>
      </c>
      <c r="F3946" s="4" t="s">
        <v>202</v>
      </c>
      <c r="G3946" t="s">
        <v>29</v>
      </c>
      <c r="H3946" t="s">
        <v>203</v>
      </c>
    </row>
    <row r="3947" spans="1:8" x14ac:dyDescent="0.25">
      <c r="A3947" t="s">
        <v>1011</v>
      </c>
      <c r="B3947" t="s">
        <v>468</v>
      </c>
      <c r="C3947" s="5">
        <v>47978</v>
      </c>
      <c r="D3947" s="5">
        <v>1058</v>
      </c>
      <c r="E3947">
        <v>5547</v>
      </c>
      <c r="F3947" s="4" t="s">
        <v>132</v>
      </c>
      <c r="G3947" t="s">
        <v>29</v>
      </c>
      <c r="H3947" t="s">
        <v>133</v>
      </c>
    </row>
    <row r="3948" spans="1:8" x14ac:dyDescent="0.25">
      <c r="A3948" t="s">
        <v>1011</v>
      </c>
      <c r="B3948" t="s">
        <v>465</v>
      </c>
      <c r="C3948" s="5">
        <v>21269</v>
      </c>
      <c r="D3948" s="5">
        <v>1180</v>
      </c>
      <c r="E3948">
        <v>3773</v>
      </c>
      <c r="F3948" s="4" t="s">
        <v>1005</v>
      </c>
      <c r="G3948" t="s">
        <v>29</v>
      </c>
      <c r="H3948" t="s">
        <v>1006</v>
      </c>
    </row>
    <row r="3949" spans="1:8" x14ac:dyDescent="0.25">
      <c r="A3949" t="s">
        <v>1011</v>
      </c>
      <c r="B3949" t="s">
        <v>464</v>
      </c>
      <c r="C3949" s="5">
        <v>73891</v>
      </c>
      <c r="D3949" s="5">
        <v>1877</v>
      </c>
      <c r="E3949">
        <v>2694</v>
      </c>
      <c r="F3949" s="4" t="s">
        <v>141</v>
      </c>
      <c r="G3949" t="s">
        <v>29</v>
      </c>
      <c r="H3949" t="s">
        <v>142</v>
      </c>
    </row>
    <row r="3950" spans="1:8" x14ac:dyDescent="0.25">
      <c r="A3950" t="s">
        <v>1011</v>
      </c>
      <c r="B3950" t="s">
        <v>463</v>
      </c>
      <c r="C3950" s="5">
        <v>5497</v>
      </c>
      <c r="D3950" s="5">
        <v>91</v>
      </c>
      <c r="E3950">
        <v>300</v>
      </c>
      <c r="F3950" s="4" t="s">
        <v>135</v>
      </c>
      <c r="G3950" t="s">
        <v>29</v>
      </c>
      <c r="H3950" t="s">
        <v>136</v>
      </c>
    </row>
    <row r="3951" spans="1:8" x14ac:dyDescent="0.25">
      <c r="A3951" t="s">
        <v>1011</v>
      </c>
      <c r="B3951" t="s">
        <v>460</v>
      </c>
      <c r="C3951" s="5">
        <v>6397</v>
      </c>
      <c r="D3951" s="5">
        <v>121</v>
      </c>
      <c r="E3951">
        <v>746</v>
      </c>
      <c r="F3951" s="4" t="s">
        <v>461</v>
      </c>
      <c r="G3951" t="s">
        <v>29</v>
      </c>
      <c r="H3951" t="s">
        <v>462</v>
      </c>
    </row>
    <row r="3952" spans="1:8" x14ac:dyDescent="0.25">
      <c r="A3952" t="s">
        <v>1011</v>
      </c>
      <c r="B3952" t="s">
        <v>457</v>
      </c>
      <c r="C3952" s="5">
        <v>453231</v>
      </c>
      <c r="D3952" s="5">
        <v>12895</v>
      </c>
      <c r="E3952">
        <v>355643</v>
      </c>
      <c r="F3952" s="4" t="s">
        <v>675</v>
      </c>
      <c r="G3952" t="s">
        <v>29</v>
      </c>
      <c r="H3952" t="s">
        <v>676</v>
      </c>
    </row>
    <row r="3953" spans="1:8" x14ac:dyDescent="0.25">
      <c r="A3953" t="s">
        <v>1011</v>
      </c>
      <c r="B3953" t="s">
        <v>456</v>
      </c>
      <c r="C3953" s="5">
        <v>318412</v>
      </c>
      <c r="D3953" s="5">
        <v>4678</v>
      </c>
      <c r="E3953">
        <v>171714</v>
      </c>
      <c r="F3953" s="4" t="s">
        <v>777</v>
      </c>
      <c r="G3953" t="s">
        <v>29</v>
      </c>
      <c r="H3953" t="s">
        <v>778</v>
      </c>
    </row>
    <row r="3954" spans="1:8" x14ac:dyDescent="0.25">
      <c r="A3954" t="s">
        <v>1011</v>
      </c>
      <c r="B3954" t="s">
        <v>453</v>
      </c>
      <c r="C3954" s="5">
        <v>169261</v>
      </c>
      <c r="D3954" s="5">
        <v>300</v>
      </c>
      <c r="E3954">
        <v>37380</v>
      </c>
      <c r="F3954" s="4" t="s">
        <v>304</v>
      </c>
      <c r="G3954" t="s">
        <v>29</v>
      </c>
      <c r="H3954" t="s">
        <v>305</v>
      </c>
    </row>
    <row r="3955" spans="1:8" x14ac:dyDescent="0.25">
      <c r="A3955" t="s">
        <v>1011</v>
      </c>
      <c r="B3955" t="s">
        <v>452</v>
      </c>
      <c r="C3955" s="5">
        <v>1165996</v>
      </c>
      <c r="D3955" s="5">
        <v>14993</v>
      </c>
      <c r="E3955">
        <v>32811</v>
      </c>
      <c r="F3955" s="4" t="s">
        <v>417</v>
      </c>
      <c r="G3955" t="s">
        <v>29</v>
      </c>
      <c r="H3955" t="s">
        <v>418</v>
      </c>
    </row>
    <row r="3956" spans="1:8" x14ac:dyDescent="0.25">
      <c r="A3956" t="s">
        <v>1011</v>
      </c>
      <c r="B3956" t="s">
        <v>449</v>
      </c>
      <c r="C3956" s="5">
        <v>40238</v>
      </c>
      <c r="D3956" s="5">
        <v>3099</v>
      </c>
      <c r="E3956">
        <v>6280</v>
      </c>
      <c r="F3956" s="4" t="s">
        <v>1003</v>
      </c>
      <c r="G3956" t="s">
        <v>29</v>
      </c>
      <c r="H3956" t="s">
        <v>1004</v>
      </c>
    </row>
    <row r="3957" spans="1:8" x14ac:dyDescent="0.25">
      <c r="A3957" t="s">
        <v>1011</v>
      </c>
      <c r="B3957" t="s">
        <v>446</v>
      </c>
      <c r="C3957" s="5">
        <v>22102</v>
      </c>
      <c r="D3957" s="5">
        <v>119</v>
      </c>
      <c r="E3957">
        <v>7342</v>
      </c>
      <c r="F3957" s="4" t="s">
        <v>919</v>
      </c>
      <c r="G3957" t="s">
        <v>29</v>
      </c>
      <c r="H3957" t="s">
        <v>920</v>
      </c>
    </row>
    <row r="3958" spans="1:8" x14ac:dyDescent="0.25">
      <c r="A3958" t="s">
        <v>1011</v>
      </c>
      <c r="B3958" t="s">
        <v>445</v>
      </c>
      <c r="C3958" s="5">
        <v>20</v>
      </c>
      <c r="D3958" s="5">
        <v>0</v>
      </c>
      <c r="E3958">
        <v>0</v>
      </c>
      <c r="F3958" s="4" t="s">
        <v>29</v>
      </c>
      <c r="G3958" t="s">
        <v>29</v>
      </c>
      <c r="H3958" t="s">
        <v>291</v>
      </c>
    </row>
    <row r="3959" spans="1:8" x14ac:dyDescent="0.25">
      <c r="A3959" t="s">
        <v>1011</v>
      </c>
      <c r="B3959" t="s">
        <v>444</v>
      </c>
      <c r="C3959" s="5">
        <v>548205</v>
      </c>
      <c r="D3959" s="5">
        <v>8776</v>
      </c>
      <c r="E3959">
        <v>362044</v>
      </c>
      <c r="F3959" s="4" t="s">
        <v>313</v>
      </c>
      <c r="G3959" t="s">
        <v>29</v>
      </c>
      <c r="H3959" t="s">
        <v>314</v>
      </c>
    </row>
    <row r="3960" spans="1:8" x14ac:dyDescent="0.25">
      <c r="A3960" t="s">
        <v>1011</v>
      </c>
      <c r="B3960" t="s">
        <v>443</v>
      </c>
      <c r="C3960" s="5">
        <v>99354</v>
      </c>
      <c r="D3960" s="5">
        <v>1320</v>
      </c>
      <c r="E3960">
        <v>19187</v>
      </c>
      <c r="F3960" s="4" t="s">
        <v>59</v>
      </c>
      <c r="G3960" t="s">
        <v>29</v>
      </c>
      <c r="H3960" t="s">
        <v>60</v>
      </c>
    </row>
    <row r="3961" spans="1:8" x14ac:dyDescent="0.25">
      <c r="A3961" t="s">
        <v>1011</v>
      </c>
      <c r="B3961" t="s">
        <v>440</v>
      </c>
      <c r="C3961" s="5">
        <v>8078309</v>
      </c>
      <c r="D3961" s="5">
        <v>225417</v>
      </c>
      <c r="E3961">
        <v>806709</v>
      </c>
      <c r="F3961" s="4" t="s">
        <v>662</v>
      </c>
      <c r="G3961" t="s">
        <v>29</v>
      </c>
      <c r="H3961" t="s">
        <v>663</v>
      </c>
    </row>
    <row r="3962" spans="1:8" x14ac:dyDescent="0.25">
      <c r="A3962" t="s">
        <v>1011</v>
      </c>
      <c r="B3962" t="s">
        <v>439</v>
      </c>
      <c r="C3962" s="5">
        <v>1092476</v>
      </c>
      <c r="D3962" s="5">
        <v>9448</v>
      </c>
      <c r="E3962">
        <v>186491</v>
      </c>
      <c r="F3962" s="4" t="s">
        <v>122</v>
      </c>
      <c r="G3962" t="s">
        <v>29</v>
      </c>
      <c r="H3962" t="s">
        <v>123</v>
      </c>
    </row>
    <row r="3963" spans="1:8" x14ac:dyDescent="0.25">
      <c r="A3963" t="s">
        <v>1011</v>
      </c>
      <c r="B3963" t="s">
        <v>436</v>
      </c>
      <c r="C3963" s="5">
        <v>1550203</v>
      </c>
      <c r="D3963" s="5">
        <v>44290</v>
      </c>
      <c r="E3963">
        <v>1363307</v>
      </c>
      <c r="F3963" s="4" t="s">
        <v>955</v>
      </c>
      <c r="G3963" t="s">
        <v>29</v>
      </c>
      <c r="H3963" t="s">
        <v>956</v>
      </c>
    </row>
    <row r="3964" spans="1:8" x14ac:dyDescent="0.25">
      <c r="A3964" t="s">
        <v>1011</v>
      </c>
      <c r="B3964" t="s">
        <v>435</v>
      </c>
      <c r="C3964" s="5">
        <v>54438</v>
      </c>
      <c r="D3964" s="5">
        <v>372</v>
      </c>
      <c r="E3964">
        <v>16737</v>
      </c>
      <c r="F3964" s="4" t="s">
        <v>605</v>
      </c>
      <c r="G3964" t="s">
        <v>29</v>
      </c>
      <c r="H3964" t="s">
        <v>606</v>
      </c>
    </row>
    <row r="3965" spans="1:8" x14ac:dyDescent="0.25">
      <c r="A3965" t="s">
        <v>1011</v>
      </c>
      <c r="B3965" t="s">
        <v>432</v>
      </c>
      <c r="C3965" s="5">
        <v>238436</v>
      </c>
      <c r="D3965" s="5">
        <v>608</v>
      </c>
      <c r="E3965">
        <v>25432</v>
      </c>
      <c r="F3965" s="4" t="s">
        <v>433</v>
      </c>
      <c r="G3965" t="s">
        <v>29</v>
      </c>
      <c r="H3965" t="s">
        <v>434</v>
      </c>
    </row>
    <row r="3966" spans="1:8" x14ac:dyDescent="0.25">
      <c r="A3966" t="s">
        <v>1011</v>
      </c>
      <c r="B3966" t="s">
        <v>429</v>
      </c>
      <c r="C3966" s="5">
        <v>460679</v>
      </c>
      <c r="D3966" s="5">
        <v>16229</v>
      </c>
      <c r="E3966">
        <v>35799</v>
      </c>
      <c r="F3966" s="4" t="s">
        <v>353</v>
      </c>
      <c r="G3966" t="s">
        <v>29</v>
      </c>
      <c r="H3966" t="s">
        <v>354</v>
      </c>
    </row>
    <row r="3967" spans="1:8" x14ac:dyDescent="0.25">
      <c r="A3967" t="s">
        <v>1011</v>
      </c>
      <c r="B3967" t="s">
        <v>428</v>
      </c>
      <c r="C3967" s="5">
        <v>8</v>
      </c>
      <c r="D3967" s="5">
        <v>0</v>
      </c>
      <c r="E3967">
        <v>4</v>
      </c>
      <c r="F3967" s="4" t="s">
        <v>29</v>
      </c>
      <c r="G3967" t="s">
        <v>29</v>
      </c>
      <c r="H3967" t="s">
        <v>291</v>
      </c>
    </row>
    <row r="3968" spans="1:8" x14ac:dyDescent="0.25">
      <c r="A3968" t="s">
        <v>1011</v>
      </c>
      <c r="B3968" t="s">
        <v>427</v>
      </c>
      <c r="C3968" s="5">
        <v>1084534</v>
      </c>
      <c r="D3968" s="5">
        <v>18129</v>
      </c>
      <c r="E3968">
        <v>965443</v>
      </c>
      <c r="F3968" s="4" t="s">
        <v>827</v>
      </c>
      <c r="G3968" t="s">
        <v>29</v>
      </c>
      <c r="H3968" t="s">
        <v>828</v>
      </c>
    </row>
    <row r="3969" spans="1:8" x14ac:dyDescent="0.25">
      <c r="A3969" t="s">
        <v>1011</v>
      </c>
      <c r="B3969" t="s">
        <v>426</v>
      </c>
      <c r="C3969" s="5">
        <v>450310</v>
      </c>
      <c r="D3969" s="5">
        <v>4611</v>
      </c>
      <c r="E3969">
        <v>397253</v>
      </c>
      <c r="F3969" s="4" t="s">
        <v>326</v>
      </c>
      <c r="G3969" t="s">
        <v>29</v>
      </c>
      <c r="H3969" t="s">
        <v>327</v>
      </c>
    </row>
    <row r="3970" spans="1:8" x14ac:dyDescent="0.25">
      <c r="A3970" t="s">
        <v>1011</v>
      </c>
      <c r="B3970" t="s">
        <v>423</v>
      </c>
      <c r="C3970" s="5">
        <v>2968200</v>
      </c>
      <c r="D3970" s="5">
        <v>76434</v>
      </c>
      <c r="E3970">
        <v>811969</v>
      </c>
      <c r="F3970" s="4" t="s">
        <v>1016</v>
      </c>
      <c r="G3970" t="s">
        <v>29</v>
      </c>
      <c r="H3970" t="s">
        <v>1017</v>
      </c>
    </row>
    <row r="3971" spans="1:8" x14ac:dyDescent="0.25">
      <c r="A3971" t="s">
        <v>1011</v>
      </c>
      <c r="B3971" t="s">
        <v>420</v>
      </c>
      <c r="C3971" s="5">
        <v>1268536</v>
      </c>
      <c r="D3971" s="5">
        <v>28377</v>
      </c>
      <c r="E3971">
        <v>980622</v>
      </c>
      <c r="F3971" s="4" t="s">
        <v>603</v>
      </c>
      <c r="G3971" t="s">
        <v>29</v>
      </c>
      <c r="H3971" t="s">
        <v>604</v>
      </c>
    </row>
    <row r="3972" spans="1:8" x14ac:dyDescent="0.25">
      <c r="A3972" t="s">
        <v>1011</v>
      </c>
      <c r="B3972" t="s">
        <v>419</v>
      </c>
      <c r="C3972" s="5">
        <v>2751667</v>
      </c>
      <c r="D3972" s="5">
        <v>41585</v>
      </c>
      <c r="E3972">
        <v>1752629</v>
      </c>
      <c r="F3972" s="4" t="s">
        <v>202</v>
      </c>
      <c r="G3972" t="s">
        <v>29</v>
      </c>
      <c r="H3972" t="s">
        <v>203</v>
      </c>
    </row>
    <row r="3973" spans="1:8" x14ac:dyDescent="0.25">
      <c r="A3973" t="s">
        <v>1011</v>
      </c>
      <c r="B3973" t="s">
        <v>416</v>
      </c>
      <c r="C3973" s="5">
        <v>26731</v>
      </c>
      <c r="D3973" s="5">
        <v>329</v>
      </c>
      <c r="E3973">
        <v>21056</v>
      </c>
      <c r="F3973" s="4" t="s">
        <v>798</v>
      </c>
      <c r="G3973" t="s">
        <v>29</v>
      </c>
      <c r="H3973" t="s">
        <v>799</v>
      </c>
    </row>
    <row r="3974" spans="1:8" x14ac:dyDescent="0.25">
      <c r="A3974" t="s">
        <v>1011</v>
      </c>
      <c r="B3974" t="s">
        <v>415</v>
      </c>
      <c r="C3974" s="5">
        <v>45515</v>
      </c>
      <c r="D3974" s="5">
        <v>635</v>
      </c>
      <c r="E3974">
        <v>38517</v>
      </c>
      <c r="F3974" s="4" t="s">
        <v>403</v>
      </c>
      <c r="G3974" t="s">
        <v>29</v>
      </c>
      <c r="H3974" t="s">
        <v>404</v>
      </c>
    </row>
    <row r="3975" spans="1:8" x14ac:dyDescent="0.25">
      <c r="A3975" t="s">
        <v>1011</v>
      </c>
      <c r="B3975" t="s">
        <v>412</v>
      </c>
      <c r="C3975" s="5">
        <v>2195101</v>
      </c>
      <c r="D3975" s="5">
        <v>200019</v>
      </c>
      <c r="E3975">
        <v>1484300</v>
      </c>
      <c r="F3975" s="4" t="s">
        <v>930</v>
      </c>
      <c r="G3975" t="s">
        <v>29</v>
      </c>
      <c r="H3975" t="s">
        <v>931</v>
      </c>
    </row>
    <row r="3976" spans="1:8" x14ac:dyDescent="0.25">
      <c r="A3976" t="s">
        <v>1011</v>
      </c>
      <c r="B3976" t="s">
        <v>411</v>
      </c>
      <c r="C3976" s="5">
        <v>471403</v>
      </c>
      <c r="D3976" s="5">
        <v>7307</v>
      </c>
      <c r="E3976">
        <v>379261</v>
      </c>
      <c r="F3976" s="4" t="s">
        <v>333</v>
      </c>
      <c r="G3976" t="s">
        <v>29</v>
      </c>
      <c r="H3976" t="s">
        <v>334</v>
      </c>
    </row>
    <row r="3977" spans="1:8" x14ac:dyDescent="0.25">
      <c r="A3977" t="s">
        <v>1011</v>
      </c>
      <c r="B3977" t="s">
        <v>408</v>
      </c>
      <c r="C3977" s="5">
        <v>304116</v>
      </c>
      <c r="D3977" s="5">
        <v>4107</v>
      </c>
      <c r="E3977">
        <v>240996</v>
      </c>
      <c r="F3977" s="4" t="s">
        <v>409</v>
      </c>
      <c r="G3977" t="s">
        <v>29</v>
      </c>
      <c r="H3977" t="s">
        <v>410</v>
      </c>
    </row>
    <row r="3978" spans="1:8" x14ac:dyDescent="0.25">
      <c r="A3978" t="s">
        <v>1011</v>
      </c>
      <c r="B3978" t="s">
        <v>405</v>
      </c>
      <c r="C3978" s="5">
        <v>5639</v>
      </c>
      <c r="D3978" s="5">
        <v>28</v>
      </c>
      <c r="E3978">
        <v>268</v>
      </c>
      <c r="F3978" s="4" t="s">
        <v>80</v>
      </c>
      <c r="G3978" t="s">
        <v>29</v>
      </c>
      <c r="H3978" t="s">
        <v>81</v>
      </c>
    </row>
    <row r="3979" spans="1:8" x14ac:dyDescent="0.25">
      <c r="A3979" t="s">
        <v>1011</v>
      </c>
      <c r="B3979" t="s">
        <v>402</v>
      </c>
      <c r="C3979" s="5">
        <v>808534</v>
      </c>
      <c r="D3979" s="5">
        <v>11345</v>
      </c>
      <c r="E3979">
        <v>409275</v>
      </c>
      <c r="F3979" s="4" t="s">
        <v>403</v>
      </c>
      <c r="G3979" t="s">
        <v>29</v>
      </c>
      <c r="H3979" t="s">
        <v>404</v>
      </c>
    </row>
    <row r="3980" spans="1:8" x14ac:dyDescent="0.25">
      <c r="A3980" t="s">
        <v>1011</v>
      </c>
      <c r="B3980" t="s">
        <v>399</v>
      </c>
      <c r="C3980" s="5">
        <v>200093</v>
      </c>
      <c r="D3980" s="5">
        <v>894</v>
      </c>
      <c r="E3980">
        <v>126381</v>
      </c>
      <c r="F3980" s="4" t="s">
        <v>888</v>
      </c>
      <c r="G3980" t="s">
        <v>29</v>
      </c>
      <c r="H3980" t="s">
        <v>889</v>
      </c>
    </row>
    <row r="3981" spans="1:8" x14ac:dyDescent="0.25">
      <c r="A3981" t="s">
        <v>1011</v>
      </c>
      <c r="B3981" t="s">
        <v>396</v>
      </c>
      <c r="C3981" s="5">
        <v>2115936</v>
      </c>
      <c r="D3981" s="5">
        <v>18750</v>
      </c>
      <c r="E3981">
        <v>624424</v>
      </c>
      <c r="F3981" s="4" t="s">
        <v>65</v>
      </c>
      <c r="G3981" t="s">
        <v>29</v>
      </c>
      <c r="H3981" t="s">
        <v>66</v>
      </c>
    </row>
    <row r="3982" spans="1:8" x14ac:dyDescent="0.25">
      <c r="A3982" t="s">
        <v>1011</v>
      </c>
      <c r="B3982" t="s">
        <v>393</v>
      </c>
      <c r="C3982" s="5">
        <v>16241</v>
      </c>
      <c r="D3982" s="5">
        <v>207</v>
      </c>
      <c r="E3982">
        <v>6217</v>
      </c>
      <c r="F3982" s="4" t="s">
        <v>53</v>
      </c>
      <c r="G3982" t="s">
        <v>29</v>
      </c>
      <c r="H3982" t="s">
        <v>54</v>
      </c>
    </row>
    <row r="3983" spans="1:8" x14ac:dyDescent="0.25">
      <c r="A3983" t="s">
        <v>1011</v>
      </c>
      <c r="B3983" t="s">
        <v>390</v>
      </c>
      <c r="C3983" s="5">
        <v>210295</v>
      </c>
      <c r="D3983" s="5">
        <v>2856</v>
      </c>
      <c r="E3983">
        <v>40574</v>
      </c>
      <c r="F3983" s="4" t="s">
        <v>630</v>
      </c>
      <c r="G3983" t="s">
        <v>29</v>
      </c>
      <c r="H3983" t="s">
        <v>631</v>
      </c>
    </row>
    <row r="3984" spans="1:8" x14ac:dyDescent="0.25">
      <c r="A3984" t="s">
        <v>1011</v>
      </c>
      <c r="B3984" t="s">
        <v>387</v>
      </c>
      <c r="C3984" s="5">
        <v>6248</v>
      </c>
      <c r="D3984" s="5">
        <v>207</v>
      </c>
      <c r="E3984">
        <v>3011</v>
      </c>
      <c r="F3984" s="4" t="s">
        <v>1001</v>
      </c>
      <c r="G3984" t="s">
        <v>29</v>
      </c>
      <c r="H3984" t="s">
        <v>1002</v>
      </c>
    </row>
    <row r="3985" spans="1:8" x14ac:dyDescent="0.25">
      <c r="A3985" t="s">
        <v>1011</v>
      </c>
      <c r="B3985" t="s">
        <v>386</v>
      </c>
      <c r="C3985" s="5">
        <v>10454</v>
      </c>
      <c r="D3985" s="5">
        <v>252</v>
      </c>
      <c r="E3985">
        <v>7940</v>
      </c>
      <c r="F3985" s="4" t="s">
        <v>510</v>
      </c>
      <c r="G3985" t="s">
        <v>29</v>
      </c>
      <c r="H3985" t="s">
        <v>511</v>
      </c>
    </row>
    <row r="3986" spans="1:8" x14ac:dyDescent="0.25">
      <c r="A3986" t="s">
        <v>1011</v>
      </c>
      <c r="B3986" t="s">
        <v>383</v>
      </c>
      <c r="C3986" s="5">
        <v>128801</v>
      </c>
      <c r="D3986" s="5">
        <v>3546</v>
      </c>
      <c r="E3986">
        <v>56522</v>
      </c>
      <c r="F3986" s="4" t="s">
        <v>276</v>
      </c>
      <c r="G3986" t="s">
        <v>29</v>
      </c>
      <c r="H3986" t="s">
        <v>277</v>
      </c>
    </row>
    <row r="3987" spans="1:8" x14ac:dyDescent="0.25">
      <c r="A3987" t="s">
        <v>1011</v>
      </c>
      <c r="B3987" t="s">
        <v>380</v>
      </c>
      <c r="C3987" s="5">
        <v>151220</v>
      </c>
      <c r="D3987" s="5">
        <v>1928</v>
      </c>
      <c r="E3987">
        <v>134266</v>
      </c>
      <c r="F3987" s="4" t="s">
        <v>53</v>
      </c>
      <c r="G3987" t="s">
        <v>29</v>
      </c>
      <c r="H3987" t="s">
        <v>54</v>
      </c>
    </row>
    <row r="3988" spans="1:8" x14ac:dyDescent="0.25">
      <c r="A3988" t="s">
        <v>1011</v>
      </c>
      <c r="B3988" t="s">
        <v>377</v>
      </c>
      <c r="C3988" s="5">
        <v>2426050</v>
      </c>
      <c r="D3988" s="5">
        <v>28354</v>
      </c>
      <c r="E3988">
        <v>1811153</v>
      </c>
      <c r="F3988" s="4" t="s">
        <v>378</v>
      </c>
      <c r="G3988" t="s">
        <v>29</v>
      </c>
      <c r="H3988" t="s">
        <v>379</v>
      </c>
    </row>
    <row r="3989" spans="1:8" x14ac:dyDescent="0.25">
      <c r="A3989" t="s">
        <v>1011</v>
      </c>
      <c r="B3989" t="s">
        <v>374</v>
      </c>
      <c r="C3989" s="5">
        <v>3781661</v>
      </c>
      <c r="D3989" s="5">
        <v>286259</v>
      </c>
      <c r="E3989">
        <v>3474335</v>
      </c>
      <c r="F3989" s="4" t="s">
        <v>375</v>
      </c>
      <c r="G3989" t="s">
        <v>29</v>
      </c>
      <c r="H3989" t="s">
        <v>376</v>
      </c>
    </row>
    <row r="3990" spans="1:8" x14ac:dyDescent="0.25">
      <c r="A3990" t="s">
        <v>1011</v>
      </c>
      <c r="B3990" t="s">
        <v>371</v>
      </c>
      <c r="C3990" s="5">
        <v>61757</v>
      </c>
      <c r="D3990" s="5">
        <v>2296</v>
      </c>
      <c r="E3990">
        <v>40404</v>
      </c>
      <c r="F3990" s="4" t="s">
        <v>372</v>
      </c>
      <c r="G3990" t="s">
        <v>29</v>
      </c>
      <c r="H3990" t="s">
        <v>373</v>
      </c>
    </row>
    <row r="3991" spans="1:8" x14ac:dyDescent="0.25">
      <c r="A3991" t="s">
        <v>1011</v>
      </c>
      <c r="B3991" t="s">
        <v>368</v>
      </c>
      <c r="C3991" s="5">
        <v>86830</v>
      </c>
      <c r="D3991" s="5">
        <v>240</v>
      </c>
      <c r="E3991">
        <v>80071</v>
      </c>
      <c r="F3991" s="4" t="s">
        <v>369</v>
      </c>
      <c r="G3991" t="s">
        <v>29</v>
      </c>
      <c r="H3991" t="s">
        <v>370</v>
      </c>
    </row>
    <row r="3992" spans="1:8" x14ac:dyDescent="0.25">
      <c r="A3992" t="s">
        <v>1011</v>
      </c>
      <c r="B3992" t="s">
        <v>367</v>
      </c>
      <c r="C3992" s="5">
        <v>17047</v>
      </c>
      <c r="D3992" s="5">
        <v>148</v>
      </c>
      <c r="E3992">
        <v>14592</v>
      </c>
      <c r="F3992" s="4" t="s">
        <v>498</v>
      </c>
      <c r="G3992" t="s">
        <v>29</v>
      </c>
      <c r="H3992" t="s">
        <v>499</v>
      </c>
    </row>
    <row r="3993" spans="1:8" x14ac:dyDescent="0.25">
      <c r="A3993" t="s">
        <v>1011</v>
      </c>
      <c r="B3993" t="s">
        <v>364</v>
      </c>
      <c r="C3993" s="5">
        <v>37539</v>
      </c>
      <c r="D3993" s="5">
        <v>459</v>
      </c>
      <c r="E3993">
        <v>35268</v>
      </c>
      <c r="F3993" s="4" t="s">
        <v>365</v>
      </c>
      <c r="G3993" t="s">
        <v>29</v>
      </c>
      <c r="H3993" t="s">
        <v>366</v>
      </c>
    </row>
    <row r="3994" spans="1:8" x14ac:dyDescent="0.25">
      <c r="A3994" t="s">
        <v>1011</v>
      </c>
      <c r="B3994" t="s">
        <v>363</v>
      </c>
      <c r="C3994" s="5">
        <v>36910</v>
      </c>
      <c r="D3994" s="5">
        <v>792</v>
      </c>
      <c r="E3994">
        <v>7012</v>
      </c>
      <c r="F3994" s="4" t="s">
        <v>852</v>
      </c>
      <c r="G3994" t="s">
        <v>29</v>
      </c>
      <c r="H3994" t="s">
        <v>853</v>
      </c>
    </row>
    <row r="3995" spans="1:8" x14ac:dyDescent="0.25">
      <c r="A3995" t="s">
        <v>1011</v>
      </c>
      <c r="B3995" t="s">
        <v>360</v>
      </c>
      <c r="C3995" s="5">
        <v>42820</v>
      </c>
      <c r="D3995" s="5">
        <v>673</v>
      </c>
      <c r="E3995">
        <v>2966</v>
      </c>
      <c r="F3995" s="4" t="s">
        <v>217</v>
      </c>
      <c r="G3995" t="s">
        <v>29</v>
      </c>
      <c r="H3995" t="s">
        <v>218</v>
      </c>
    </row>
    <row r="3996" spans="1:8" x14ac:dyDescent="0.25">
      <c r="A3996" t="s">
        <v>1011</v>
      </c>
      <c r="B3996" t="s">
        <v>359</v>
      </c>
      <c r="C3996" s="5">
        <v>77</v>
      </c>
      <c r="D3996" s="5">
        <v>0</v>
      </c>
      <c r="E3996">
        <v>28</v>
      </c>
      <c r="F3996" s="4" t="s">
        <v>29</v>
      </c>
      <c r="G3996" t="s">
        <v>29</v>
      </c>
      <c r="H3996" t="s">
        <v>291</v>
      </c>
    </row>
    <row r="3997" spans="1:8" x14ac:dyDescent="0.25">
      <c r="A3997" t="s">
        <v>1011</v>
      </c>
      <c r="B3997" t="s">
        <v>358</v>
      </c>
      <c r="C3997" s="5">
        <v>348188</v>
      </c>
      <c r="D3997" s="5">
        <v>1643</v>
      </c>
      <c r="E3997">
        <v>98969</v>
      </c>
      <c r="F3997" s="4" t="s">
        <v>932</v>
      </c>
      <c r="G3997" t="s">
        <v>29</v>
      </c>
      <c r="H3997" t="s">
        <v>933</v>
      </c>
    </row>
    <row r="3998" spans="1:8" x14ac:dyDescent="0.25">
      <c r="A3998" t="s">
        <v>1011</v>
      </c>
      <c r="B3998" t="s">
        <v>355</v>
      </c>
      <c r="C3998" s="5">
        <v>493576</v>
      </c>
      <c r="D3998" s="5">
        <v>18511</v>
      </c>
      <c r="E3998">
        <v>188269</v>
      </c>
      <c r="F3998" s="4" t="s">
        <v>963</v>
      </c>
      <c r="G3998" t="s">
        <v>29</v>
      </c>
      <c r="H3998" t="s">
        <v>964</v>
      </c>
    </row>
    <row r="3999" spans="1:8" x14ac:dyDescent="0.25">
      <c r="A3999" t="s">
        <v>1011</v>
      </c>
      <c r="B3999" t="s">
        <v>352</v>
      </c>
      <c r="C3999" s="5">
        <v>15809</v>
      </c>
      <c r="D3999" s="5">
        <v>558</v>
      </c>
      <c r="E3999">
        <v>10623</v>
      </c>
      <c r="F3999" s="4" t="s">
        <v>430</v>
      </c>
      <c r="G3999" t="s">
        <v>29</v>
      </c>
      <c r="H3999" t="s">
        <v>431</v>
      </c>
    </row>
    <row r="4000" spans="1:8" x14ac:dyDescent="0.25">
      <c r="A4000" t="s">
        <v>1011</v>
      </c>
      <c r="B4000" t="s">
        <v>349</v>
      </c>
      <c r="C4000" s="5">
        <v>199539</v>
      </c>
      <c r="D4000" s="5">
        <v>7036</v>
      </c>
      <c r="E4000">
        <v>108615</v>
      </c>
      <c r="F4000" s="4" t="s">
        <v>430</v>
      </c>
      <c r="G4000" t="s">
        <v>29</v>
      </c>
      <c r="H4000" t="s">
        <v>431</v>
      </c>
    </row>
    <row r="4001" spans="1:8" x14ac:dyDescent="0.25">
      <c r="A4001" t="s">
        <v>1011</v>
      </c>
      <c r="B4001" t="s">
        <v>348</v>
      </c>
      <c r="C4001" s="5">
        <v>4</v>
      </c>
      <c r="D4001" s="5">
        <v>0</v>
      </c>
      <c r="E4001">
        <v>4</v>
      </c>
      <c r="F4001" s="4" t="s">
        <v>29</v>
      </c>
      <c r="G4001" t="s">
        <v>29</v>
      </c>
      <c r="H4001" t="s">
        <v>291</v>
      </c>
    </row>
    <row r="4002" spans="1:8" x14ac:dyDescent="0.25">
      <c r="A4002" t="s">
        <v>1011</v>
      </c>
      <c r="B4002" t="s">
        <v>347</v>
      </c>
      <c r="C4002" s="5">
        <v>43622</v>
      </c>
      <c r="D4002" s="5">
        <v>960</v>
      </c>
      <c r="E4002">
        <v>14192</v>
      </c>
      <c r="F4002" s="4" t="s">
        <v>969</v>
      </c>
      <c r="G4002" t="s">
        <v>29</v>
      </c>
      <c r="H4002" t="s">
        <v>970</v>
      </c>
    </row>
    <row r="4003" spans="1:8" x14ac:dyDescent="0.25">
      <c r="A4003" t="s">
        <v>1011</v>
      </c>
      <c r="B4003" t="s">
        <v>344</v>
      </c>
      <c r="C4003" s="5">
        <v>3888</v>
      </c>
      <c r="D4003" s="5">
        <v>55</v>
      </c>
      <c r="E4003">
        <v>668</v>
      </c>
      <c r="F4003" s="4" t="s">
        <v>345</v>
      </c>
      <c r="G4003" t="s">
        <v>29</v>
      </c>
      <c r="H4003" t="s">
        <v>346</v>
      </c>
    </row>
    <row r="4004" spans="1:8" x14ac:dyDescent="0.25">
      <c r="A4004" t="s">
        <v>1011</v>
      </c>
      <c r="B4004" t="s">
        <v>341</v>
      </c>
      <c r="C4004" s="5">
        <v>140489</v>
      </c>
      <c r="D4004" s="5">
        <v>2059</v>
      </c>
      <c r="E4004">
        <v>62108</v>
      </c>
      <c r="F4004" s="4" t="s">
        <v>777</v>
      </c>
      <c r="G4004" t="s">
        <v>29</v>
      </c>
      <c r="H4004" t="s">
        <v>778</v>
      </c>
    </row>
    <row r="4005" spans="1:8" x14ac:dyDescent="0.25">
      <c r="A4005" t="s">
        <v>1011</v>
      </c>
      <c r="B4005" t="s">
        <v>338</v>
      </c>
      <c r="C4005" s="5">
        <v>327094</v>
      </c>
      <c r="D4005" s="5">
        <v>7459</v>
      </c>
      <c r="E4005">
        <v>241927</v>
      </c>
      <c r="F4005" s="4" t="s">
        <v>892</v>
      </c>
      <c r="G4005" t="s">
        <v>29</v>
      </c>
      <c r="H4005" t="s">
        <v>893</v>
      </c>
    </row>
    <row r="4006" spans="1:8" x14ac:dyDescent="0.25">
      <c r="A4006" t="s">
        <v>1011</v>
      </c>
      <c r="B4006" t="s">
        <v>335</v>
      </c>
      <c r="C4006" s="5">
        <v>3389</v>
      </c>
      <c r="D4006" s="5">
        <v>35</v>
      </c>
      <c r="E4006">
        <v>876</v>
      </c>
      <c r="F4006" s="4" t="s">
        <v>687</v>
      </c>
      <c r="G4006" t="s">
        <v>29</v>
      </c>
      <c r="H4006" t="s">
        <v>688</v>
      </c>
    </row>
    <row r="4007" spans="1:8" x14ac:dyDescent="0.25">
      <c r="A4007" t="s">
        <v>1011</v>
      </c>
      <c r="B4007" t="s">
        <v>332</v>
      </c>
      <c r="C4007" s="5">
        <v>944076</v>
      </c>
      <c r="D4007" s="5">
        <v>14606</v>
      </c>
      <c r="E4007">
        <v>283219</v>
      </c>
      <c r="F4007" s="4" t="s">
        <v>333</v>
      </c>
      <c r="G4007" t="s">
        <v>29</v>
      </c>
      <c r="H4007" t="s">
        <v>334</v>
      </c>
    </row>
    <row r="4008" spans="1:8" x14ac:dyDescent="0.25">
      <c r="A4008" t="s">
        <v>1011</v>
      </c>
      <c r="B4008" t="s">
        <v>329</v>
      </c>
      <c r="C4008" s="5">
        <v>352881</v>
      </c>
      <c r="D4008" s="5">
        <v>4982</v>
      </c>
      <c r="E4008">
        <v>105690</v>
      </c>
      <c r="F4008" s="4" t="s">
        <v>345</v>
      </c>
      <c r="G4008" t="s">
        <v>29</v>
      </c>
      <c r="H4008" t="s">
        <v>346</v>
      </c>
    </row>
    <row r="4009" spans="1:8" x14ac:dyDescent="0.25">
      <c r="A4009" t="s">
        <v>1011</v>
      </c>
      <c r="B4009" t="s">
        <v>328</v>
      </c>
      <c r="C4009" s="5">
        <v>200321</v>
      </c>
      <c r="D4009" s="5">
        <v>3018</v>
      </c>
      <c r="E4009">
        <v>78419</v>
      </c>
      <c r="F4009" s="4" t="s">
        <v>202</v>
      </c>
      <c r="G4009" t="s">
        <v>29</v>
      </c>
      <c r="H4009" t="s">
        <v>203</v>
      </c>
    </row>
    <row r="4010" spans="1:8" x14ac:dyDescent="0.25">
      <c r="A4010" t="s">
        <v>1011</v>
      </c>
      <c r="B4010" t="s">
        <v>325</v>
      </c>
      <c r="C4010" s="5">
        <v>80603</v>
      </c>
      <c r="D4010" s="5">
        <v>842</v>
      </c>
      <c r="E4010">
        <v>54483</v>
      </c>
      <c r="F4010" s="4" t="s">
        <v>336</v>
      </c>
      <c r="G4010" t="s">
        <v>29</v>
      </c>
      <c r="H4010" t="s">
        <v>337</v>
      </c>
    </row>
    <row r="4011" spans="1:8" x14ac:dyDescent="0.25">
      <c r="A4011" t="s">
        <v>1011</v>
      </c>
      <c r="B4011" t="s">
        <v>322</v>
      </c>
      <c r="C4011" s="5">
        <v>385640</v>
      </c>
      <c r="D4011" s="5">
        <v>5602</v>
      </c>
      <c r="E4011">
        <v>68136</v>
      </c>
      <c r="F4011" s="4" t="s">
        <v>342</v>
      </c>
      <c r="G4011" t="s">
        <v>29</v>
      </c>
      <c r="H4011" t="s">
        <v>343</v>
      </c>
    </row>
    <row r="4012" spans="1:8" x14ac:dyDescent="0.25">
      <c r="A4012" t="s">
        <v>1011</v>
      </c>
      <c r="B4012" t="s">
        <v>319</v>
      </c>
      <c r="C4012" s="5">
        <v>21584</v>
      </c>
      <c r="D4012" s="5">
        <v>656</v>
      </c>
      <c r="E4012">
        <v>552</v>
      </c>
      <c r="F4012" s="4" t="s">
        <v>320</v>
      </c>
      <c r="G4012" t="s">
        <v>29</v>
      </c>
      <c r="H4012" t="s">
        <v>321</v>
      </c>
    </row>
    <row r="4013" spans="1:8" x14ac:dyDescent="0.25">
      <c r="A4013" t="s">
        <v>1011</v>
      </c>
      <c r="B4013" t="s">
        <v>316</v>
      </c>
      <c r="C4013" s="5">
        <v>5811</v>
      </c>
      <c r="D4013" s="5">
        <v>287</v>
      </c>
      <c r="E4013">
        <v>2933</v>
      </c>
      <c r="F4013" s="4" t="s">
        <v>644</v>
      </c>
      <c r="G4013" t="s">
        <v>29</v>
      </c>
      <c r="H4013" t="s">
        <v>645</v>
      </c>
    </row>
    <row r="4014" spans="1:8" x14ac:dyDescent="0.25">
      <c r="A4014" t="s">
        <v>1011</v>
      </c>
      <c r="B4014" t="s">
        <v>315</v>
      </c>
      <c r="C4014" s="5">
        <v>535529</v>
      </c>
      <c r="D4014" s="5">
        <v>13593</v>
      </c>
      <c r="E4014">
        <v>46990</v>
      </c>
      <c r="F4014" s="4" t="s">
        <v>141</v>
      </c>
      <c r="G4014" t="s">
        <v>29</v>
      </c>
      <c r="H4014" t="s">
        <v>142</v>
      </c>
    </row>
    <row r="4015" spans="1:8" x14ac:dyDescent="0.25">
      <c r="A4015" t="s">
        <v>1011</v>
      </c>
      <c r="B4015" t="s">
        <v>312</v>
      </c>
      <c r="C4015" s="5">
        <v>3623</v>
      </c>
      <c r="D4015" s="5">
        <v>60</v>
      </c>
      <c r="E4015">
        <v>918</v>
      </c>
      <c r="F4015" s="4" t="s">
        <v>135</v>
      </c>
      <c r="G4015" t="s">
        <v>29</v>
      </c>
      <c r="H4015" t="s">
        <v>136</v>
      </c>
    </row>
    <row r="4016" spans="1:8" x14ac:dyDescent="0.25">
      <c r="A4016" t="s">
        <v>1011</v>
      </c>
      <c r="B4016" t="s">
        <v>309</v>
      </c>
      <c r="C4016" s="5">
        <v>12411</v>
      </c>
      <c r="D4016" s="5">
        <v>240</v>
      </c>
      <c r="E4016">
        <v>6961</v>
      </c>
      <c r="F4016" s="4" t="s">
        <v>946</v>
      </c>
      <c r="G4016" t="s">
        <v>29</v>
      </c>
      <c r="H4016" t="s">
        <v>947</v>
      </c>
    </row>
    <row r="4017" spans="1:8" x14ac:dyDescent="0.25">
      <c r="A4017" t="s">
        <v>1011</v>
      </c>
      <c r="B4017" t="s">
        <v>306</v>
      </c>
      <c r="C4017" s="5">
        <v>637312</v>
      </c>
      <c r="D4017" s="5">
        <v>8449</v>
      </c>
      <c r="E4017">
        <v>397207</v>
      </c>
      <c r="F4017" s="4" t="s">
        <v>59</v>
      </c>
      <c r="G4017" t="s">
        <v>29</v>
      </c>
      <c r="H4017" t="s">
        <v>60</v>
      </c>
    </row>
    <row r="4018" spans="1:8" x14ac:dyDescent="0.25">
      <c r="A4018" t="s">
        <v>1011</v>
      </c>
      <c r="B4018" t="s">
        <v>303</v>
      </c>
      <c r="C4018" s="5">
        <v>34985</v>
      </c>
      <c r="D4018" s="5">
        <v>50</v>
      </c>
      <c r="E4018">
        <v>3</v>
      </c>
      <c r="F4018" s="4" t="s">
        <v>821</v>
      </c>
      <c r="G4018" t="s">
        <v>29</v>
      </c>
      <c r="H4018" t="s">
        <v>822</v>
      </c>
    </row>
    <row r="4019" spans="1:8" x14ac:dyDescent="0.25">
      <c r="A4019" t="s">
        <v>1011</v>
      </c>
      <c r="B4019" t="s">
        <v>302</v>
      </c>
      <c r="C4019" s="5">
        <v>1005130</v>
      </c>
      <c r="D4019" s="5">
        <v>16871</v>
      </c>
      <c r="E4019">
        <v>521871</v>
      </c>
      <c r="F4019" s="4" t="s">
        <v>116</v>
      </c>
      <c r="G4019" t="s">
        <v>29</v>
      </c>
      <c r="H4019" t="s">
        <v>117</v>
      </c>
    </row>
    <row r="4020" spans="1:8" x14ac:dyDescent="0.25">
      <c r="A4020" t="s">
        <v>1011</v>
      </c>
      <c r="B4020" t="s">
        <v>299</v>
      </c>
      <c r="C4020" s="5">
        <v>412506</v>
      </c>
      <c r="D4020" s="5">
        <v>2460</v>
      </c>
      <c r="E4020">
        <v>402940</v>
      </c>
      <c r="F4020" s="4" t="s">
        <v>300</v>
      </c>
      <c r="G4020" t="s">
        <v>29</v>
      </c>
      <c r="H4020" t="s">
        <v>301</v>
      </c>
    </row>
    <row r="4021" spans="1:8" x14ac:dyDescent="0.25">
      <c r="A4021" t="s">
        <v>1011</v>
      </c>
      <c r="B4021" t="s">
        <v>296</v>
      </c>
      <c r="C4021" s="5">
        <v>351899</v>
      </c>
      <c r="D4021" s="5">
        <v>2766</v>
      </c>
      <c r="E4021">
        <v>209986</v>
      </c>
      <c r="F4021" s="4" t="s">
        <v>174</v>
      </c>
      <c r="G4021" t="s">
        <v>29</v>
      </c>
      <c r="H4021" t="s">
        <v>175</v>
      </c>
    </row>
    <row r="4022" spans="1:8" x14ac:dyDescent="0.25">
      <c r="A4022" t="s">
        <v>1011</v>
      </c>
      <c r="B4022" t="s">
        <v>293</v>
      </c>
      <c r="C4022" s="5">
        <v>2623</v>
      </c>
      <c r="D4022" s="5">
        <v>21</v>
      </c>
      <c r="E4022">
        <v>469</v>
      </c>
      <c r="F4022" s="4" t="s">
        <v>942</v>
      </c>
      <c r="G4022" t="s">
        <v>29</v>
      </c>
      <c r="H4022" t="s">
        <v>943</v>
      </c>
    </row>
    <row r="4023" spans="1:8" x14ac:dyDescent="0.25">
      <c r="A4023" t="s">
        <v>1011</v>
      </c>
      <c r="B4023" t="s">
        <v>292</v>
      </c>
      <c r="C4023" s="5">
        <v>4204</v>
      </c>
      <c r="D4023" s="5">
        <v>147</v>
      </c>
      <c r="E4023">
        <v>3441</v>
      </c>
      <c r="F4023" s="4" t="s">
        <v>677</v>
      </c>
      <c r="G4023" t="s">
        <v>29</v>
      </c>
      <c r="H4023" t="s">
        <v>678</v>
      </c>
    </row>
    <row r="4024" spans="1:8" x14ac:dyDescent="0.25">
      <c r="A4024" t="s">
        <v>1011</v>
      </c>
      <c r="B4024" t="s">
        <v>287</v>
      </c>
      <c r="C4024" s="5">
        <v>117644</v>
      </c>
      <c r="D4024" s="5">
        <v>2725</v>
      </c>
      <c r="E4024">
        <v>2543</v>
      </c>
      <c r="F4024" s="4" t="s">
        <v>725</v>
      </c>
      <c r="G4024" t="s">
        <v>29</v>
      </c>
      <c r="H4024" t="s">
        <v>726</v>
      </c>
    </row>
    <row r="4025" spans="1:8" x14ac:dyDescent="0.25">
      <c r="A4025" t="s">
        <v>1011</v>
      </c>
      <c r="B4025" t="s">
        <v>290</v>
      </c>
      <c r="C4025" s="5">
        <v>2</v>
      </c>
      <c r="D4025" s="5">
        <v>0</v>
      </c>
      <c r="E4025">
        <v>0</v>
      </c>
      <c r="F4025" s="4" t="s">
        <v>29</v>
      </c>
      <c r="G4025" t="s">
        <v>29</v>
      </c>
      <c r="H4025" t="s">
        <v>291</v>
      </c>
    </row>
    <row r="4026" spans="1:8" x14ac:dyDescent="0.25">
      <c r="A4026" t="s">
        <v>1011</v>
      </c>
      <c r="B4026" t="s">
        <v>284</v>
      </c>
      <c r="C4026" s="5">
        <v>180467</v>
      </c>
      <c r="D4026" s="5">
        <v>2650</v>
      </c>
      <c r="E4026">
        <v>8674</v>
      </c>
      <c r="F4026" s="4" t="s">
        <v>777</v>
      </c>
      <c r="G4026" t="s">
        <v>29</v>
      </c>
      <c r="H4026" t="s">
        <v>778</v>
      </c>
    </row>
    <row r="4027" spans="1:8" x14ac:dyDescent="0.25">
      <c r="A4027" t="s">
        <v>1011</v>
      </c>
      <c r="B4027" t="s">
        <v>281</v>
      </c>
      <c r="C4027" s="5">
        <v>252628</v>
      </c>
      <c r="D4027" s="5">
        <v>5255</v>
      </c>
      <c r="E4027">
        <v>54892</v>
      </c>
      <c r="F4027" s="4" t="s">
        <v>549</v>
      </c>
      <c r="G4027" t="s">
        <v>29</v>
      </c>
      <c r="H4027" t="s">
        <v>550</v>
      </c>
    </row>
    <row r="4028" spans="1:8" x14ac:dyDescent="0.25">
      <c r="A4028" t="s">
        <v>1011</v>
      </c>
      <c r="B4028" t="s">
        <v>280</v>
      </c>
      <c r="C4028" s="5">
        <v>1717462</v>
      </c>
      <c r="D4028" s="5">
        <v>18199</v>
      </c>
      <c r="E4028">
        <v>726208</v>
      </c>
      <c r="F4028" s="4" t="s">
        <v>165</v>
      </c>
      <c r="G4028" t="s">
        <v>29</v>
      </c>
      <c r="H4028" t="s">
        <v>166</v>
      </c>
    </row>
    <row r="4029" spans="1:8" x14ac:dyDescent="0.25">
      <c r="A4029" t="s">
        <v>1011</v>
      </c>
      <c r="B4029" t="s">
        <v>279</v>
      </c>
      <c r="C4029" s="5">
        <v>849758</v>
      </c>
      <c r="D4029" s="5">
        <v>10941</v>
      </c>
      <c r="E4029">
        <v>739453</v>
      </c>
      <c r="F4029" s="4" t="s">
        <v>417</v>
      </c>
      <c r="G4029" t="s">
        <v>29</v>
      </c>
      <c r="H4029" t="s">
        <v>418</v>
      </c>
    </row>
    <row r="4030" spans="1:8" x14ac:dyDescent="0.25">
      <c r="A4030" t="s">
        <v>1011</v>
      </c>
      <c r="B4030" t="s">
        <v>278</v>
      </c>
      <c r="C4030" s="5">
        <v>88159</v>
      </c>
      <c r="D4030" s="5">
        <v>2175</v>
      </c>
      <c r="E4030">
        <v>17681</v>
      </c>
      <c r="F4030" s="4" t="s">
        <v>961</v>
      </c>
      <c r="G4030" t="s">
        <v>29</v>
      </c>
      <c r="H4030" t="s">
        <v>962</v>
      </c>
    </row>
    <row r="4031" spans="1:8" x14ac:dyDescent="0.25">
      <c r="A4031" t="s">
        <v>1011</v>
      </c>
      <c r="B4031" t="s">
        <v>275</v>
      </c>
      <c r="C4031" s="5">
        <v>4737462</v>
      </c>
      <c r="D4031" s="5">
        <v>131802</v>
      </c>
      <c r="E4031">
        <v>3933612</v>
      </c>
      <c r="F4031" s="4" t="s">
        <v>98</v>
      </c>
      <c r="G4031" t="s">
        <v>29</v>
      </c>
      <c r="H4031" t="s">
        <v>99</v>
      </c>
    </row>
    <row r="4032" spans="1:8" x14ac:dyDescent="0.25">
      <c r="A4032" t="s">
        <v>1011</v>
      </c>
      <c r="B4032" t="s">
        <v>272</v>
      </c>
      <c r="C4032" s="5">
        <v>12899</v>
      </c>
      <c r="D4032" s="5">
        <v>33</v>
      </c>
      <c r="E4032">
        <v>4634</v>
      </c>
      <c r="F4032" s="4" t="s">
        <v>794</v>
      </c>
      <c r="G4032" t="s">
        <v>29</v>
      </c>
      <c r="H4032" t="s">
        <v>795</v>
      </c>
    </row>
    <row r="4033" spans="1:8" x14ac:dyDescent="0.25">
      <c r="A4033" t="s">
        <v>1011</v>
      </c>
      <c r="B4033" t="s">
        <v>269</v>
      </c>
      <c r="C4033" s="5">
        <v>5851670</v>
      </c>
      <c r="D4033" s="5">
        <v>125052</v>
      </c>
      <c r="E4033">
        <v>3760465</v>
      </c>
      <c r="F4033" s="4" t="s">
        <v>823</v>
      </c>
      <c r="G4033" t="s">
        <v>29</v>
      </c>
      <c r="H4033" t="s">
        <v>824</v>
      </c>
    </row>
    <row r="4034" spans="1:8" x14ac:dyDescent="0.25">
      <c r="A4034" t="s">
        <v>1011</v>
      </c>
      <c r="B4034" t="s">
        <v>266</v>
      </c>
      <c r="C4034" s="5">
        <v>2045027</v>
      </c>
      <c r="D4034" s="5">
        <v>22937</v>
      </c>
      <c r="E4034">
        <v>1864883</v>
      </c>
      <c r="F4034" s="4" t="s">
        <v>911</v>
      </c>
      <c r="G4034" t="s">
        <v>29</v>
      </c>
      <c r="H4034" t="s">
        <v>912</v>
      </c>
    </row>
    <row r="4035" spans="1:8" x14ac:dyDescent="0.25">
      <c r="A4035" t="s">
        <v>1011</v>
      </c>
      <c r="B4035" t="s">
        <v>263</v>
      </c>
      <c r="C4035" s="5">
        <v>34175468</v>
      </c>
      <c r="D4035" s="5">
        <v>454269</v>
      </c>
      <c r="E4035">
        <v>10634943</v>
      </c>
      <c r="F4035" s="4" t="s">
        <v>59</v>
      </c>
      <c r="G4035" t="s">
        <v>29</v>
      </c>
      <c r="H4035" t="s">
        <v>60</v>
      </c>
    </row>
    <row r="4036" spans="1:8" x14ac:dyDescent="0.25">
      <c r="A4036" t="s">
        <v>1011</v>
      </c>
      <c r="B4036" t="s">
        <v>260</v>
      </c>
      <c r="C4036" s="5">
        <v>1322395</v>
      </c>
      <c r="D4036" s="5">
        <v>8046</v>
      </c>
      <c r="E4036">
        <v>1222989</v>
      </c>
      <c r="F4036" s="4" t="s">
        <v>261</v>
      </c>
      <c r="G4036" t="s">
        <v>29</v>
      </c>
      <c r="H4036" t="s">
        <v>262</v>
      </c>
    </row>
    <row r="4037" spans="1:8" x14ac:dyDescent="0.25">
      <c r="A4037" t="s">
        <v>1011</v>
      </c>
      <c r="B4037" t="s">
        <v>257</v>
      </c>
      <c r="C4037" s="5">
        <v>428152</v>
      </c>
      <c r="D4037" s="5">
        <v>5369</v>
      </c>
      <c r="E4037">
        <v>83866</v>
      </c>
      <c r="F4037" s="4" t="s">
        <v>107</v>
      </c>
      <c r="G4037" t="s">
        <v>29</v>
      </c>
      <c r="H4037" t="s">
        <v>108</v>
      </c>
    </row>
    <row r="4038" spans="1:8" x14ac:dyDescent="0.25">
      <c r="A4038" t="s">
        <v>1011</v>
      </c>
      <c r="B4038" t="s">
        <v>254</v>
      </c>
      <c r="C4038" s="5">
        <v>4239396</v>
      </c>
      <c r="D4038" s="5">
        <v>143176</v>
      </c>
      <c r="E4038">
        <v>3339987</v>
      </c>
      <c r="F4038" s="4" t="s">
        <v>255</v>
      </c>
      <c r="G4038" t="s">
        <v>29</v>
      </c>
      <c r="H4038" t="s">
        <v>256</v>
      </c>
    </row>
    <row r="4039" spans="1:8" x14ac:dyDescent="0.25">
      <c r="A4039" t="s">
        <v>1011</v>
      </c>
      <c r="B4039" t="s">
        <v>251</v>
      </c>
      <c r="C4039" s="5">
        <v>843825</v>
      </c>
      <c r="D4039" s="5">
        <v>30492</v>
      </c>
      <c r="E4039">
        <v>775898</v>
      </c>
      <c r="F4039" s="4" t="s">
        <v>997</v>
      </c>
      <c r="G4039" t="s">
        <v>29</v>
      </c>
      <c r="H4039" t="s">
        <v>998</v>
      </c>
    </row>
    <row r="4040" spans="1:8" x14ac:dyDescent="0.25">
      <c r="A4040" t="s">
        <v>1011</v>
      </c>
      <c r="B4040" t="s">
        <v>248</v>
      </c>
      <c r="C4040" s="5">
        <v>23406</v>
      </c>
      <c r="D4040" s="5">
        <v>658</v>
      </c>
      <c r="E4040">
        <v>21161</v>
      </c>
      <c r="F4040" s="4" t="s">
        <v>967</v>
      </c>
      <c r="G4040" t="s">
        <v>29</v>
      </c>
      <c r="H4040" t="s">
        <v>968</v>
      </c>
    </row>
    <row r="4041" spans="1:8" x14ac:dyDescent="0.25">
      <c r="A4041" t="s">
        <v>1011</v>
      </c>
      <c r="B4041" t="s">
        <v>245</v>
      </c>
      <c r="C4041" s="5">
        <v>443032</v>
      </c>
      <c r="D4041" s="5">
        <v>9010</v>
      </c>
      <c r="E4041">
        <v>222349</v>
      </c>
      <c r="F4041" s="4" t="s">
        <v>713</v>
      </c>
      <c r="G4041" t="s">
        <v>29</v>
      </c>
      <c r="H4041" t="s">
        <v>714</v>
      </c>
    </row>
    <row r="4042" spans="1:8" x14ac:dyDescent="0.25">
      <c r="A4042" t="s">
        <v>1011</v>
      </c>
      <c r="B4042" t="s">
        <v>242</v>
      </c>
      <c r="C4042" s="5">
        <v>374148</v>
      </c>
      <c r="D4042" s="5">
        <v>10191</v>
      </c>
      <c r="E4042">
        <v>223430</v>
      </c>
      <c r="F4042" s="4" t="s">
        <v>938</v>
      </c>
      <c r="G4042" t="s">
        <v>29</v>
      </c>
      <c r="H4042" t="s">
        <v>939</v>
      </c>
    </row>
    <row r="4043" spans="1:8" x14ac:dyDescent="0.25">
      <c r="A4043" t="s">
        <v>1011</v>
      </c>
      <c r="B4043" t="s">
        <v>239</v>
      </c>
      <c r="C4043" s="5">
        <v>12319</v>
      </c>
      <c r="D4043" s="5">
        <v>213</v>
      </c>
      <c r="E4043">
        <v>1255</v>
      </c>
      <c r="F4043" s="4" t="s">
        <v>765</v>
      </c>
      <c r="G4043" t="s">
        <v>29</v>
      </c>
      <c r="H4043" t="s">
        <v>766</v>
      </c>
    </row>
    <row r="4044" spans="1:8" x14ac:dyDescent="0.25">
      <c r="A4044" t="s">
        <v>1011</v>
      </c>
      <c r="B4044" t="s">
        <v>236</v>
      </c>
      <c r="C4044" s="5">
        <v>34977</v>
      </c>
      <c r="D4044" s="5">
        <v>894</v>
      </c>
      <c r="E4044">
        <v>23112</v>
      </c>
      <c r="F4044" s="4" t="s">
        <v>38</v>
      </c>
      <c r="G4044" t="s">
        <v>29</v>
      </c>
      <c r="H4044" t="s">
        <v>39</v>
      </c>
    </row>
    <row r="4045" spans="1:8" x14ac:dyDescent="0.25">
      <c r="A4045" t="s">
        <v>1011</v>
      </c>
      <c r="B4045" t="s">
        <v>233</v>
      </c>
      <c r="C4045" s="5">
        <v>6131</v>
      </c>
      <c r="D4045" s="5">
        <v>141</v>
      </c>
      <c r="E4045">
        <v>5811</v>
      </c>
      <c r="F4045" s="4" t="s">
        <v>619</v>
      </c>
      <c r="G4045" t="s">
        <v>29</v>
      </c>
      <c r="H4045" t="s">
        <v>620</v>
      </c>
    </row>
    <row r="4046" spans="1:8" x14ac:dyDescent="0.25">
      <c r="A4046" t="s">
        <v>1011</v>
      </c>
      <c r="B4046" t="s">
        <v>232</v>
      </c>
      <c r="C4046" s="5">
        <v>594665</v>
      </c>
      <c r="D4046" s="5">
        <v>14655</v>
      </c>
      <c r="E4046">
        <v>177527</v>
      </c>
      <c r="F4046" s="4" t="s">
        <v>949</v>
      </c>
      <c r="G4046" t="s">
        <v>29</v>
      </c>
      <c r="H4046" t="s">
        <v>950</v>
      </c>
    </row>
    <row r="4047" spans="1:8" x14ac:dyDescent="0.25">
      <c r="A4047" t="s">
        <v>1011</v>
      </c>
      <c r="B4047" t="s">
        <v>229</v>
      </c>
      <c r="C4047" s="5">
        <v>714283</v>
      </c>
      <c r="D4047" s="5">
        <v>15598</v>
      </c>
      <c r="E4047">
        <v>458251</v>
      </c>
      <c r="F4047" s="4" t="s">
        <v>984</v>
      </c>
      <c r="G4047" t="s">
        <v>29</v>
      </c>
      <c r="H4047" t="s">
        <v>985</v>
      </c>
    </row>
    <row r="4048" spans="1:8" x14ac:dyDescent="0.25">
      <c r="A4048" t="s">
        <v>1011</v>
      </c>
      <c r="B4048" t="s">
        <v>228</v>
      </c>
      <c r="C4048" s="5">
        <v>13166</v>
      </c>
      <c r="D4048" s="5">
        <v>163</v>
      </c>
      <c r="E4048">
        <v>12682</v>
      </c>
      <c r="F4048" s="4" t="s">
        <v>394</v>
      </c>
      <c r="G4048" t="s">
        <v>29</v>
      </c>
      <c r="H4048" t="s">
        <v>395</v>
      </c>
    </row>
    <row r="4049" spans="1:8" x14ac:dyDescent="0.25">
      <c r="A4049" t="s">
        <v>1011</v>
      </c>
      <c r="B4049" t="s">
        <v>225</v>
      </c>
      <c r="C4049" s="5">
        <v>54095</v>
      </c>
      <c r="D4049" s="5">
        <v>809</v>
      </c>
      <c r="E4049">
        <v>33404</v>
      </c>
      <c r="F4049" s="4" t="s">
        <v>226</v>
      </c>
      <c r="G4049" t="s">
        <v>29</v>
      </c>
      <c r="H4049" t="s">
        <v>227</v>
      </c>
    </row>
    <row r="4050" spans="1:8" x14ac:dyDescent="0.25">
      <c r="A4050" t="s">
        <v>1011</v>
      </c>
      <c r="B4050" t="s">
        <v>219</v>
      </c>
      <c r="C4050" s="5">
        <v>9956</v>
      </c>
      <c r="D4050" s="5">
        <v>339</v>
      </c>
      <c r="E4050">
        <v>7006</v>
      </c>
      <c r="F4050" s="4" t="s">
        <v>648</v>
      </c>
      <c r="G4050" t="s">
        <v>29</v>
      </c>
      <c r="H4050" t="s">
        <v>649</v>
      </c>
    </row>
    <row r="4051" spans="1:8" x14ac:dyDescent="0.25">
      <c r="A4051" t="s">
        <v>1011</v>
      </c>
      <c r="B4051" t="s">
        <v>222</v>
      </c>
      <c r="C4051" s="5">
        <v>30626</v>
      </c>
      <c r="D4051" s="5">
        <v>385</v>
      </c>
      <c r="E4051">
        <v>26418</v>
      </c>
      <c r="F4051" s="4" t="s">
        <v>223</v>
      </c>
      <c r="G4051" t="s">
        <v>29</v>
      </c>
      <c r="H4051" t="s">
        <v>224</v>
      </c>
    </row>
    <row r="4052" spans="1:8" x14ac:dyDescent="0.25">
      <c r="A4052" t="s">
        <v>1011</v>
      </c>
      <c r="B4052" t="s">
        <v>216</v>
      </c>
      <c r="C4052" s="5">
        <v>5858</v>
      </c>
      <c r="D4052" s="5">
        <v>98</v>
      </c>
      <c r="E4052">
        <v>4427</v>
      </c>
      <c r="F4052" s="4" t="s">
        <v>827</v>
      </c>
      <c r="G4052" t="s">
        <v>29</v>
      </c>
      <c r="H4052" t="s">
        <v>828</v>
      </c>
    </row>
    <row r="4053" spans="1:8" x14ac:dyDescent="0.25">
      <c r="A4053" t="s">
        <v>1011</v>
      </c>
      <c r="B4053" t="s">
        <v>213</v>
      </c>
      <c r="C4053" s="5">
        <v>129805</v>
      </c>
      <c r="D4053" s="5">
        <v>1170</v>
      </c>
      <c r="E4053">
        <v>40688</v>
      </c>
      <c r="F4053" s="4" t="s">
        <v>667</v>
      </c>
      <c r="G4053" t="s">
        <v>29</v>
      </c>
      <c r="H4053" t="s">
        <v>668</v>
      </c>
    </row>
    <row r="4054" spans="1:8" x14ac:dyDescent="0.25">
      <c r="A4054" t="s">
        <v>1011</v>
      </c>
      <c r="B4054" t="s">
        <v>210</v>
      </c>
      <c r="C4054" s="5">
        <v>43938</v>
      </c>
      <c r="D4054" s="5">
        <v>298</v>
      </c>
      <c r="E4054">
        <v>10998</v>
      </c>
      <c r="F4054" s="4" t="s">
        <v>605</v>
      </c>
      <c r="G4054" t="s">
        <v>29</v>
      </c>
      <c r="H4054" t="s">
        <v>606</v>
      </c>
    </row>
    <row r="4055" spans="1:8" x14ac:dyDescent="0.25">
      <c r="A4055" t="s">
        <v>1011</v>
      </c>
      <c r="B4055" t="s">
        <v>204</v>
      </c>
      <c r="C4055" s="5">
        <v>5815</v>
      </c>
      <c r="D4055" s="5">
        <v>196</v>
      </c>
      <c r="E4055">
        <v>498</v>
      </c>
      <c r="F4055" s="4" t="s">
        <v>986</v>
      </c>
      <c r="G4055" t="s">
        <v>29</v>
      </c>
      <c r="H4055" t="s">
        <v>987</v>
      </c>
    </row>
    <row r="4056" spans="1:8" x14ac:dyDescent="0.25">
      <c r="A4056" t="s">
        <v>1011</v>
      </c>
      <c r="B4056" t="s">
        <v>207</v>
      </c>
      <c r="C4056" s="5">
        <v>688804</v>
      </c>
      <c r="D4056" s="5">
        <v>9699</v>
      </c>
      <c r="E4056">
        <v>359459</v>
      </c>
      <c r="F4056" s="4" t="s">
        <v>345</v>
      </c>
      <c r="G4056" t="s">
        <v>29</v>
      </c>
      <c r="H4056" t="s">
        <v>346</v>
      </c>
    </row>
    <row r="4057" spans="1:8" x14ac:dyDescent="0.25">
      <c r="A4057" t="s">
        <v>1011</v>
      </c>
      <c r="B4057" t="s">
        <v>201</v>
      </c>
      <c r="C4057" s="5">
        <v>8770031</v>
      </c>
      <c r="D4057" s="5">
        <v>139780</v>
      </c>
      <c r="E4057">
        <v>6148155</v>
      </c>
      <c r="F4057" s="4" t="s">
        <v>361</v>
      </c>
      <c r="G4057" t="s">
        <v>29</v>
      </c>
      <c r="H4057" t="s">
        <v>362</v>
      </c>
    </row>
    <row r="4058" spans="1:8" x14ac:dyDescent="0.25">
      <c r="A4058" t="s">
        <v>1011</v>
      </c>
      <c r="B4058" t="s">
        <v>198</v>
      </c>
      <c r="C4058" s="5">
        <v>34601</v>
      </c>
      <c r="D4058" s="5">
        <v>224</v>
      </c>
      <c r="E4058">
        <v>10797</v>
      </c>
      <c r="F4058" s="4" t="s">
        <v>86</v>
      </c>
      <c r="G4058" t="s">
        <v>29</v>
      </c>
      <c r="H4058" t="s">
        <v>87</v>
      </c>
    </row>
    <row r="4059" spans="1:8" x14ac:dyDescent="0.25">
      <c r="A4059" t="s">
        <v>1011</v>
      </c>
      <c r="B4059" t="s">
        <v>195</v>
      </c>
      <c r="C4059" s="5">
        <v>6944649</v>
      </c>
      <c r="D4059" s="5">
        <v>115114</v>
      </c>
      <c r="E4059">
        <v>3656237</v>
      </c>
      <c r="F4059" s="4" t="s">
        <v>135</v>
      </c>
      <c r="G4059" t="s">
        <v>29</v>
      </c>
      <c r="H4059" t="s">
        <v>136</v>
      </c>
    </row>
    <row r="4060" spans="1:8" x14ac:dyDescent="0.25">
      <c r="A4060" t="s">
        <v>1011</v>
      </c>
      <c r="B4060" t="s">
        <v>192</v>
      </c>
      <c r="C4060" s="5">
        <v>1537</v>
      </c>
      <c r="D4060" s="5">
        <v>2</v>
      </c>
      <c r="E4060">
        <v>86</v>
      </c>
      <c r="F4060" s="4" t="s">
        <v>808</v>
      </c>
      <c r="G4060" t="s">
        <v>29</v>
      </c>
      <c r="H4060" t="s">
        <v>809</v>
      </c>
    </row>
    <row r="4061" spans="1:8" x14ac:dyDescent="0.25">
      <c r="A4061" t="s">
        <v>1011</v>
      </c>
      <c r="B4061" t="s">
        <v>189</v>
      </c>
      <c r="C4061" s="5">
        <v>51977</v>
      </c>
      <c r="D4061" s="5">
        <v>673</v>
      </c>
      <c r="E4061">
        <v>27663</v>
      </c>
      <c r="F4061" s="4" t="s">
        <v>417</v>
      </c>
      <c r="G4061" t="s">
        <v>29</v>
      </c>
      <c r="H4061" t="s">
        <v>418</v>
      </c>
    </row>
    <row r="4062" spans="1:8" x14ac:dyDescent="0.25">
      <c r="A4062" t="s">
        <v>1011</v>
      </c>
      <c r="B4062" t="s">
        <v>186</v>
      </c>
      <c r="C4062" s="5">
        <v>153156</v>
      </c>
      <c r="D4062" s="5">
        <v>1139</v>
      </c>
      <c r="E4062">
        <v>40858</v>
      </c>
      <c r="F4062" s="4" t="s">
        <v>819</v>
      </c>
      <c r="G4062" t="s">
        <v>29</v>
      </c>
      <c r="H4062" t="s">
        <v>820</v>
      </c>
    </row>
    <row r="4063" spans="1:8" x14ac:dyDescent="0.25">
      <c r="A4063" t="s">
        <v>1011</v>
      </c>
      <c r="B4063" t="s">
        <v>185</v>
      </c>
      <c r="C4063" s="5">
        <v>362088</v>
      </c>
      <c r="D4063" s="5">
        <v>6347</v>
      </c>
      <c r="E4063">
        <v>260705</v>
      </c>
      <c r="F4063" s="4" t="s">
        <v>545</v>
      </c>
      <c r="G4063" t="s">
        <v>29</v>
      </c>
      <c r="H4063" t="s">
        <v>546</v>
      </c>
    </row>
    <row r="4064" spans="1:8" x14ac:dyDescent="0.25">
      <c r="A4064" t="s">
        <v>1011</v>
      </c>
      <c r="B4064" t="s">
        <v>182</v>
      </c>
      <c r="C4064" s="5">
        <v>4997732</v>
      </c>
      <c r="D4064" s="5">
        <v>87132</v>
      </c>
      <c r="E4064">
        <v>431070</v>
      </c>
      <c r="F4064" s="4" t="s">
        <v>183</v>
      </c>
      <c r="G4064" t="s">
        <v>29</v>
      </c>
      <c r="H4064" t="s">
        <v>184</v>
      </c>
    </row>
    <row r="4065" spans="1:8" x14ac:dyDescent="0.25">
      <c r="A4065" t="s">
        <v>1011</v>
      </c>
      <c r="B4065" t="s">
        <v>179</v>
      </c>
      <c r="C4065" s="5">
        <v>6789</v>
      </c>
      <c r="D4065" s="5">
        <v>45</v>
      </c>
      <c r="E4065">
        <v>4944</v>
      </c>
      <c r="F4065" s="4" t="s">
        <v>162</v>
      </c>
      <c r="G4065" t="s">
        <v>29</v>
      </c>
      <c r="H4065" t="s">
        <v>163</v>
      </c>
    </row>
    <row r="4066" spans="1:8" x14ac:dyDescent="0.25">
      <c r="A4066" t="s">
        <v>1011</v>
      </c>
      <c r="B4066" t="s">
        <v>176</v>
      </c>
      <c r="C4066" s="5">
        <v>323733</v>
      </c>
      <c r="D4066" s="5">
        <v>18242</v>
      </c>
      <c r="E4066">
        <v>280781</v>
      </c>
      <c r="F4066" s="4" t="s">
        <v>856</v>
      </c>
      <c r="G4066" t="s">
        <v>29</v>
      </c>
      <c r="H4066" t="s">
        <v>857</v>
      </c>
    </row>
    <row r="4067" spans="1:8" x14ac:dyDescent="0.25">
      <c r="A4067" t="s">
        <v>1011</v>
      </c>
      <c r="B4067" t="s">
        <v>173</v>
      </c>
      <c r="C4067" s="5">
        <v>180252</v>
      </c>
      <c r="D4067" s="5">
        <v>1454</v>
      </c>
      <c r="E4067">
        <v>157</v>
      </c>
      <c r="F4067" s="4" t="s">
        <v>1018</v>
      </c>
      <c r="G4067" t="s">
        <v>29</v>
      </c>
      <c r="H4067" t="s">
        <v>1019</v>
      </c>
    </row>
    <row r="4068" spans="1:8" x14ac:dyDescent="0.25">
      <c r="A4068" t="s">
        <v>1011</v>
      </c>
      <c r="B4068" t="s">
        <v>170</v>
      </c>
      <c r="C4068" s="5">
        <v>514087</v>
      </c>
      <c r="D4068" s="5">
        <v>32937</v>
      </c>
      <c r="E4068">
        <v>19432</v>
      </c>
      <c r="F4068" s="4" t="s">
        <v>1020</v>
      </c>
      <c r="G4068" t="s">
        <v>29</v>
      </c>
      <c r="H4068" t="s">
        <v>1021</v>
      </c>
    </row>
    <row r="4069" spans="1:8" x14ac:dyDescent="0.25">
      <c r="A4069" t="s">
        <v>1011</v>
      </c>
      <c r="B4069" t="s">
        <v>167</v>
      </c>
      <c r="C4069" s="5">
        <v>205750</v>
      </c>
      <c r="D4069" s="5">
        <v>5886</v>
      </c>
      <c r="E4069">
        <v>18786</v>
      </c>
      <c r="F4069" s="4" t="s">
        <v>955</v>
      </c>
      <c r="G4069" t="s">
        <v>29</v>
      </c>
      <c r="H4069" t="s">
        <v>956</v>
      </c>
    </row>
    <row r="4070" spans="1:8" x14ac:dyDescent="0.25">
      <c r="A4070" t="s">
        <v>1011</v>
      </c>
      <c r="B4070" t="s">
        <v>164</v>
      </c>
      <c r="C4070" s="5">
        <v>375545</v>
      </c>
      <c r="D4070" s="5">
        <v>4106</v>
      </c>
      <c r="E4070">
        <v>129143</v>
      </c>
      <c r="F4070" s="4" t="s">
        <v>683</v>
      </c>
      <c r="G4070" t="s">
        <v>29</v>
      </c>
      <c r="H4070" t="s">
        <v>684</v>
      </c>
    </row>
    <row r="4071" spans="1:8" x14ac:dyDescent="0.25">
      <c r="A4071" t="s">
        <v>1011</v>
      </c>
      <c r="B4071" t="s">
        <v>161</v>
      </c>
      <c r="C4071" s="5">
        <v>4508</v>
      </c>
      <c r="D4071" s="5">
        <v>30</v>
      </c>
      <c r="E4071">
        <v>828</v>
      </c>
      <c r="F4071" s="4" t="s">
        <v>92</v>
      </c>
      <c r="G4071" t="s">
        <v>29</v>
      </c>
      <c r="H4071" t="s">
        <v>93</v>
      </c>
    </row>
    <row r="4072" spans="1:8" x14ac:dyDescent="0.25">
      <c r="A4072" t="s">
        <v>1011</v>
      </c>
      <c r="B4072" t="s">
        <v>160</v>
      </c>
      <c r="C4072" s="5">
        <v>375796</v>
      </c>
      <c r="D4072" s="5">
        <v>2697</v>
      </c>
      <c r="E4072">
        <v>35786</v>
      </c>
      <c r="F4072" s="4" t="s">
        <v>199</v>
      </c>
      <c r="G4072" t="s">
        <v>29</v>
      </c>
      <c r="H4072" t="s">
        <v>200</v>
      </c>
    </row>
    <row r="4073" spans="1:8" x14ac:dyDescent="0.25">
      <c r="A4073" t="s">
        <v>1011</v>
      </c>
      <c r="B4073" t="s">
        <v>157</v>
      </c>
      <c r="C4073" s="5">
        <v>13444</v>
      </c>
      <c r="D4073" s="5">
        <v>181</v>
      </c>
      <c r="E4073">
        <v>2067</v>
      </c>
      <c r="F4073" s="4" t="s">
        <v>409</v>
      </c>
      <c r="G4073" t="s">
        <v>29</v>
      </c>
      <c r="H4073" t="s">
        <v>410</v>
      </c>
    </row>
    <row r="4074" spans="1:8" x14ac:dyDescent="0.25">
      <c r="A4074" t="s">
        <v>1011</v>
      </c>
      <c r="B4074" t="s">
        <v>154</v>
      </c>
      <c r="C4074" s="5">
        <v>4476187</v>
      </c>
      <c r="D4074" s="5">
        <v>95105</v>
      </c>
      <c r="E4074">
        <v>3066938</v>
      </c>
      <c r="F4074" s="4" t="s">
        <v>270</v>
      </c>
      <c r="G4074" t="s">
        <v>29</v>
      </c>
      <c r="H4074" t="s">
        <v>271</v>
      </c>
    </row>
    <row r="4075" spans="1:8" x14ac:dyDescent="0.25">
      <c r="A4075" t="s">
        <v>1011</v>
      </c>
      <c r="B4075" t="s">
        <v>151</v>
      </c>
      <c r="C4075" s="5">
        <v>1726690</v>
      </c>
      <c r="D4075" s="5">
        <v>30608</v>
      </c>
      <c r="E4075">
        <v>1397324</v>
      </c>
      <c r="F4075" s="4" t="s">
        <v>769</v>
      </c>
      <c r="G4075" t="s">
        <v>29</v>
      </c>
      <c r="H4075" t="s">
        <v>770</v>
      </c>
    </row>
    <row r="4076" spans="1:8" x14ac:dyDescent="0.25">
      <c r="A4076" t="s">
        <v>1011</v>
      </c>
      <c r="B4076" t="s">
        <v>148</v>
      </c>
      <c r="C4076" s="5">
        <v>122996</v>
      </c>
      <c r="D4076" s="5">
        <v>569</v>
      </c>
      <c r="E4076">
        <v>63119</v>
      </c>
      <c r="F4076" s="4" t="s">
        <v>149</v>
      </c>
      <c r="G4076" t="s">
        <v>29</v>
      </c>
      <c r="H4076" t="s">
        <v>150</v>
      </c>
    </row>
    <row r="4077" spans="1:8" x14ac:dyDescent="0.25">
      <c r="A4077" t="s">
        <v>1011</v>
      </c>
      <c r="B4077" t="s">
        <v>145</v>
      </c>
      <c r="C4077" s="5">
        <v>38130</v>
      </c>
      <c r="D4077" s="5">
        <v>349</v>
      </c>
      <c r="E4077">
        <v>26894</v>
      </c>
      <c r="F4077" s="4" t="s">
        <v>214</v>
      </c>
      <c r="G4077" t="s">
        <v>29</v>
      </c>
      <c r="H4077" t="s">
        <v>215</v>
      </c>
    </row>
    <row r="4078" spans="1:8" x14ac:dyDescent="0.25">
      <c r="A4078" t="s">
        <v>1011</v>
      </c>
      <c r="B4078" t="s">
        <v>144</v>
      </c>
      <c r="C4078" s="5">
        <v>944431</v>
      </c>
      <c r="D4078" s="5">
        <v>8167</v>
      </c>
      <c r="E4078">
        <v>363507</v>
      </c>
      <c r="F4078" s="4" t="s">
        <v>122</v>
      </c>
      <c r="G4078" t="s">
        <v>29</v>
      </c>
      <c r="H4078" t="s">
        <v>123</v>
      </c>
    </row>
    <row r="4079" spans="1:8" x14ac:dyDescent="0.25">
      <c r="A4079" t="s">
        <v>1011</v>
      </c>
      <c r="B4079" t="s">
        <v>143</v>
      </c>
      <c r="C4079" s="5">
        <v>555970</v>
      </c>
      <c r="D4079" s="5">
        <v>6946</v>
      </c>
      <c r="E4079">
        <v>146423</v>
      </c>
      <c r="F4079" s="4" t="s">
        <v>107</v>
      </c>
      <c r="G4079" t="s">
        <v>29</v>
      </c>
      <c r="H4079" t="s">
        <v>108</v>
      </c>
    </row>
    <row r="4080" spans="1:8" x14ac:dyDescent="0.25">
      <c r="A4080" t="s">
        <v>1011</v>
      </c>
      <c r="B4080" t="s">
        <v>140</v>
      </c>
      <c r="C4080" s="5">
        <v>4989681</v>
      </c>
      <c r="D4080" s="5">
        <v>127032</v>
      </c>
      <c r="E4080">
        <v>3317025</v>
      </c>
      <c r="F4080" s="4" t="s">
        <v>513</v>
      </c>
      <c r="G4080" t="s">
        <v>29</v>
      </c>
      <c r="H4080" t="s">
        <v>514</v>
      </c>
    </row>
    <row r="4081" spans="1:8" x14ac:dyDescent="0.25">
      <c r="A4081" t="s">
        <v>1011</v>
      </c>
      <c r="B4081" t="s">
        <v>137</v>
      </c>
      <c r="C4081" s="5">
        <v>96759</v>
      </c>
      <c r="D4081" s="5">
        <v>4636</v>
      </c>
      <c r="E4081">
        <v>91040</v>
      </c>
      <c r="F4081" s="4" t="s">
        <v>988</v>
      </c>
      <c r="G4081" t="s">
        <v>29</v>
      </c>
      <c r="H4081" t="s">
        <v>989</v>
      </c>
    </row>
    <row r="4082" spans="1:8" x14ac:dyDescent="0.25">
      <c r="A4082" t="s">
        <v>1011</v>
      </c>
      <c r="B4082" t="s">
        <v>134</v>
      </c>
      <c r="C4082" s="5">
        <v>100289</v>
      </c>
      <c r="D4082" s="5">
        <v>1600</v>
      </c>
      <c r="E4082">
        <v>53435</v>
      </c>
      <c r="F4082" s="4" t="s">
        <v>313</v>
      </c>
      <c r="G4082" t="s">
        <v>29</v>
      </c>
      <c r="H4082" t="s">
        <v>314</v>
      </c>
    </row>
    <row r="4083" spans="1:8" x14ac:dyDescent="0.25">
      <c r="A4083" t="s">
        <v>1011</v>
      </c>
      <c r="B4083" t="s">
        <v>131</v>
      </c>
      <c r="C4083" s="5">
        <v>1680017</v>
      </c>
      <c r="D4083" s="5">
        <v>37662</v>
      </c>
      <c r="E4083">
        <v>574560</v>
      </c>
      <c r="F4083" s="4" t="s">
        <v>603</v>
      </c>
      <c r="G4083" t="s">
        <v>29</v>
      </c>
      <c r="H4083" t="s">
        <v>604</v>
      </c>
    </row>
    <row r="4084" spans="1:8" x14ac:dyDescent="0.25">
      <c r="A4084" t="s">
        <v>1011</v>
      </c>
      <c r="B4084" t="s">
        <v>128</v>
      </c>
      <c r="C4084" s="5">
        <v>61178</v>
      </c>
      <c r="D4084" s="5">
        <v>690</v>
      </c>
      <c r="E4084">
        <v>8730</v>
      </c>
      <c r="F4084" s="4" t="s">
        <v>267</v>
      </c>
      <c r="G4084" t="s">
        <v>29</v>
      </c>
      <c r="H4084" t="s">
        <v>268</v>
      </c>
    </row>
    <row r="4085" spans="1:8" x14ac:dyDescent="0.25">
      <c r="A4085" t="s">
        <v>1011</v>
      </c>
      <c r="B4085" t="s">
        <v>127</v>
      </c>
      <c r="C4085" s="5">
        <v>862411</v>
      </c>
      <c r="D4085" s="5">
        <v>11181</v>
      </c>
      <c r="E4085">
        <v>701346</v>
      </c>
      <c r="F4085" s="4" t="s">
        <v>190</v>
      </c>
      <c r="G4085" t="s">
        <v>29</v>
      </c>
      <c r="H4085" t="s">
        <v>191</v>
      </c>
    </row>
    <row r="4086" spans="1:8" x14ac:dyDescent="0.25">
      <c r="A4086" t="s">
        <v>1011</v>
      </c>
      <c r="B4086" t="s">
        <v>124</v>
      </c>
      <c r="C4086" s="5">
        <v>16408</v>
      </c>
      <c r="D4086" s="5">
        <v>239</v>
      </c>
      <c r="E4086">
        <v>2372</v>
      </c>
      <c r="F4086" s="4" t="s">
        <v>565</v>
      </c>
      <c r="G4086" t="s">
        <v>29</v>
      </c>
      <c r="H4086" t="s">
        <v>566</v>
      </c>
    </row>
    <row r="4087" spans="1:8" x14ac:dyDescent="0.25">
      <c r="A4087" t="s">
        <v>1011</v>
      </c>
      <c r="B4087" t="s">
        <v>121</v>
      </c>
      <c r="C4087" s="5">
        <v>11518</v>
      </c>
      <c r="D4087" s="5">
        <v>100</v>
      </c>
      <c r="E4087">
        <v>335</v>
      </c>
      <c r="F4087" s="4" t="s">
        <v>498</v>
      </c>
      <c r="G4087" t="s">
        <v>29</v>
      </c>
      <c r="H4087" t="s">
        <v>499</v>
      </c>
    </row>
    <row r="4088" spans="1:8" x14ac:dyDescent="0.25">
      <c r="A4088" t="s">
        <v>1011</v>
      </c>
      <c r="B4088" t="s">
        <v>118</v>
      </c>
      <c r="C4088" s="5">
        <v>57432</v>
      </c>
      <c r="D4088" s="5">
        <v>1091</v>
      </c>
      <c r="E4088">
        <v>402</v>
      </c>
      <c r="F4088" s="4" t="s">
        <v>652</v>
      </c>
      <c r="G4088" t="s">
        <v>29</v>
      </c>
      <c r="H4088" t="s">
        <v>653</v>
      </c>
    </row>
    <row r="4089" spans="1:8" x14ac:dyDescent="0.25">
      <c r="A4089" t="s">
        <v>1011</v>
      </c>
      <c r="B4089" t="s">
        <v>115</v>
      </c>
      <c r="C4089" s="5">
        <v>1705750</v>
      </c>
      <c r="D4089" s="5">
        <v>28797</v>
      </c>
      <c r="E4089">
        <v>205602</v>
      </c>
      <c r="F4089" s="4" t="s">
        <v>152</v>
      </c>
      <c r="G4089" t="s">
        <v>29</v>
      </c>
      <c r="H4089" t="s">
        <v>153</v>
      </c>
    </row>
    <row r="4090" spans="1:8" x14ac:dyDescent="0.25">
      <c r="A4090" t="s">
        <v>1011</v>
      </c>
      <c r="B4090" t="s">
        <v>112</v>
      </c>
      <c r="C4090" s="5">
        <v>25445</v>
      </c>
      <c r="D4090" s="5">
        <v>473</v>
      </c>
      <c r="E4090">
        <v>7924</v>
      </c>
      <c r="F4090" s="4" t="s">
        <v>113</v>
      </c>
      <c r="G4090" t="s">
        <v>29</v>
      </c>
      <c r="H4090" t="s">
        <v>114</v>
      </c>
    </row>
    <row r="4091" spans="1:8" x14ac:dyDescent="0.25">
      <c r="A4091" t="s">
        <v>1011</v>
      </c>
      <c r="B4091" t="s">
        <v>109</v>
      </c>
      <c r="C4091" s="5">
        <v>584190</v>
      </c>
      <c r="D4091" s="5">
        <v>4499</v>
      </c>
      <c r="E4091">
        <v>227332</v>
      </c>
      <c r="F4091" s="4" t="s">
        <v>110</v>
      </c>
      <c r="G4091" t="s">
        <v>29</v>
      </c>
      <c r="H4091" t="s">
        <v>111</v>
      </c>
    </row>
    <row r="4092" spans="1:8" x14ac:dyDescent="0.25">
      <c r="A4092" t="s">
        <v>1011</v>
      </c>
      <c r="B4092" t="s">
        <v>106</v>
      </c>
      <c r="C4092" s="5">
        <v>184919</v>
      </c>
      <c r="D4092" s="5">
        <v>2396</v>
      </c>
      <c r="E4092">
        <v>108751</v>
      </c>
      <c r="F4092" s="4" t="s">
        <v>190</v>
      </c>
      <c r="G4092" t="s">
        <v>29</v>
      </c>
      <c r="H4092" t="s">
        <v>191</v>
      </c>
    </row>
    <row r="4093" spans="1:8" x14ac:dyDescent="0.25">
      <c r="A4093" t="s">
        <v>1011</v>
      </c>
      <c r="B4093" t="s">
        <v>103</v>
      </c>
      <c r="C4093" s="5">
        <v>2617</v>
      </c>
      <c r="D4093" s="5">
        <v>3</v>
      </c>
      <c r="E4093">
        <v>785</v>
      </c>
      <c r="F4093" s="4" t="s">
        <v>104</v>
      </c>
      <c r="G4093" t="s">
        <v>29</v>
      </c>
      <c r="H4093" t="s">
        <v>105</v>
      </c>
    </row>
    <row r="4094" spans="1:8" x14ac:dyDescent="0.25">
      <c r="A4094" t="s">
        <v>1011</v>
      </c>
      <c r="B4094" t="s">
        <v>100</v>
      </c>
      <c r="C4094" s="5">
        <v>22179</v>
      </c>
      <c r="D4094" s="5">
        <v>642</v>
      </c>
      <c r="E4094">
        <v>11751</v>
      </c>
      <c r="F4094" s="4" t="s">
        <v>995</v>
      </c>
      <c r="G4094" t="s">
        <v>29</v>
      </c>
      <c r="H4094" t="s">
        <v>996</v>
      </c>
    </row>
    <row r="4095" spans="1:8" x14ac:dyDescent="0.25">
      <c r="A4095" t="s">
        <v>1011</v>
      </c>
      <c r="B4095" t="s">
        <v>97</v>
      </c>
      <c r="C4095" s="5">
        <v>21723559</v>
      </c>
      <c r="D4095" s="5">
        <v>605457</v>
      </c>
      <c r="E4095">
        <v>19901012</v>
      </c>
      <c r="F4095" s="4" t="s">
        <v>662</v>
      </c>
      <c r="G4095" t="s">
        <v>29</v>
      </c>
      <c r="H4095" t="s">
        <v>663</v>
      </c>
    </row>
    <row r="4096" spans="1:8" x14ac:dyDescent="0.25">
      <c r="A4096" t="s">
        <v>1011</v>
      </c>
      <c r="B4096" t="s">
        <v>94</v>
      </c>
      <c r="C4096" s="5">
        <v>509709</v>
      </c>
      <c r="D4096" s="5">
        <v>18898</v>
      </c>
      <c r="E4096">
        <v>409741</v>
      </c>
      <c r="F4096" s="4" t="s">
        <v>593</v>
      </c>
      <c r="G4096" t="s">
        <v>29</v>
      </c>
      <c r="H4096" t="s">
        <v>594</v>
      </c>
    </row>
    <row r="4097" spans="1:8" x14ac:dyDescent="0.25">
      <c r="A4097" t="s">
        <v>1011</v>
      </c>
      <c r="B4097" t="s">
        <v>91</v>
      </c>
      <c r="C4097" s="5">
        <v>11901</v>
      </c>
      <c r="D4097" s="5">
        <v>80</v>
      </c>
      <c r="E4097">
        <v>10263</v>
      </c>
      <c r="F4097" s="4" t="s">
        <v>92</v>
      </c>
      <c r="G4097" t="s">
        <v>29</v>
      </c>
      <c r="H4097" t="s">
        <v>93</v>
      </c>
    </row>
    <row r="4098" spans="1:8" x14ac:dyDescent="0.25">
      <c r="A4098" t="s">
        <v>1011</v>
      </c>
      <c r="B4098" t="s">
        <v>88</v>
      </c>
      <c r="C4098" s="5">
        <v>1659</v>
      </c>
      <c r="D4098" s="5">
        <v>6</v>
      </c>
      <c r="E4098">
        <v>1458</v>
      </c>
      <c r="F4098" s="4" t="s">
        <v>89</v>
      </c>
      <c r="G4098" t="s">
        <v>29</v>
      </c>
      <c r="H4098" t="s">
        <v>90</v>
      </c>
    </row>
    <row r="4099" spans="1:8" x14ac:dyDescent="0.25">
      <c r="A4099" t="s">
        <v>1011</v>
      </c>
      <c r="B4099" t="s">
        <v>85</v>
      </c>
      <c r="C4099" s="5">
        <v>24560</v>
      </c>
      <c r="D4099" s="5">
        <v>161</v>
      </c>
      <c r="E4099">
        <v>11455</v>
      </c>
      <c r="F4099" s="4" t="s">
        <v>162</v>
      </c>
      <c r="G4099" t="s">
        <v>29</v>
      </c>
      <c r="H4099" t="s">
        <v>163</v>
      </c>
    </row>
    <row r="4100" spans="1:8" x14ac:dyDescent="0.25">
      <c r="A4100" t="s">
        <v>1011</v>
      </c>
      <c r="B4100" t="s">
        <v>82</v>
      </c>
      <c r="C4100" s="5">
        <v>19894</v>
      </c>
      <c r="D4100" s="5">
        <v>38</v>
      </c>
      <c r="E4100">
        <v>6124</v>
      </c>
      <c r="F4100" s="4" t="s">
        <v>83</v>
      </c>
      <c r="G4100" t="s">
        <v>29</v>
      </c>
      <c r="H4100" t="s">
        <v>84</v>
      </c>
    </row>
    <row r="4101" spans="1:8" x14ac:dyDescent="0.25">
      <c r="A4101" t="s">
        <v>1011</v>
      </c>
      <c r="B4101" t="s">
        <v>79</v>
      </c>
      <c r="C4101" s="5">
        <v>276526</v>
      </c>
      <c r="D4101" s="5">
        <v>1393</v>
      </c>
      <c r="E4101">
        <v>252285</v>
      </c>
      <c r="F4101" s="4" t="s">
        <v>80</v>
      </c>
      <c r="G4101" t="s">
        <v>29</v>
      </c>
      <c r="H4101" t="s">
        <v>81</v>
      </c>
    </row>
    <row r="4102" spans="1:8" x14ac:dyDescent="0.25">
      <c r="A4102" t="s">
        <v>1011</v>
      </c>
      <c r="B4102" t="s">
        <v>76</v>
      </c>
      <c r="C4102" s="5">
        <v>568073</v>
      </c>
      <c r="D4102" s="5">
        <v>23033</v>
      </c>
      <c r="E4102">
        <v>167511</v>
      </c>
      <c r="F4102" s="4" t="s">
        <v>990</v>
      </c>
      <c r="G4102" t="s">
        <v>29</v>
      </c>
      <c r="H4102" t="s">
        <v>991</v>
      </c>
    </row>
    <row r="4103" spans="1:8" x14ac:dyDescent="0.25">
      <c r="A4103" t="s">
        <v>1011</v>
      </c>
      <c r="B4103" t="s">
        <v>73</v>
      </c>
      <c r="C4103" s="5">
        <v>14793</v>
      </c>
      <c r="D4103" s="5">
        <v>214</v>
      </c>
      <c r="E4103">
        <v>8160</v>
      </c>
      <c r="F4103" s="4" t="s">
        <v>342</v>
      </c>
      <c r="G4103" t="s">
        <v>29</v>
      </c>
      <c r="H4103" t="s">
        <v>343</v>
      </c>
    </row>
    <row r="4104" spans="1:8" x14ac:dyDescent="0.25">
      <c r="A4104" t="s">
        <v>1011</v>
      </c>
      <c r="B4104" t="s">
        <v>70</v>
      </c>
      <c r="C4104" s="5">
        <v>1312360</v>
      </c>
      <c r="D4104" s="5">
        <v>25846</v>
      </c>
      <c r="E4104">
        <v>928548</v>
      </c>
      <c r="F4104" s="4" t="s">
        <v>804</v>
      </c>
      <c r="G4104" t="s">
        <v>29</v>
      </c>
      <c r="H4104" t="s">
        <v>805</v>
      </c>
    </row>
    <row r="4105" spans="1:8" x14ac:dyDescent="0.25">
      <c r="A4105" t="s">
        <v>1011</v>
      </c>
      <c r="B4105" t="s">
        <v>67</v>
      </c>
      <c r="C4105" s="5">
        <v>1567417</v>
      </c>
      <c r="D4105" s="5">
        <v>27814</v>
      </c>
      <c r="E4105">
        <v>1269042</v>
      </c>
      <c r="F4105" s="4" t="s">
        <v>769</v>
      </c>
      <c r="G4105" t="s">
        <v>29</v>
      </c>
      <c r="H4105" t="s">
        <v>770</v>
      </c>
    </row>
    <row r="4106" spans="1:8" x14ac:dyDescent="0.25">
      <c r="A4106" t="s">
        <v>1011</v>
      </c>
      <c r="B4106" t="s">
        <v>64</v>
      </c>
      <c r="C4106" s="5">
        <v>15050</v>
      </c>
      <c r="D4106" s="5">
        <v>128</v>
      </c>
      <c r="E4106">
        <v>3175</v>
      </c>
      <c r="F4106" s="4" t="s">
        <v>685</v>
      </c>
      <c r="G4106" t="s">
        <v>29</v>
      </c>
      <c r="H4106" t="s">
        <v>686</v>
      </c>
    </row>
    <row r="4107" spans="1:8" x14ac:dyDescent="0.25">
      <c r="A4107" t="s">
        <v>1011</v>
      </c>
      <c r="B4107" t="s">
        <v>61</v>
      </c>
      <c r="C4107" s="5">
        <v>247958</v>
      </c>
      <c r="D4107" s="5">
        <v>11322</v>
      </c>
      <c r="E4107">
        <v>50808</v>
      </c>
      <c r="F4107" s="4" t="s">
        <v>814</v>
      </c>
      <c r="G4107" t="s">
        <v>29</v>
      </c>
      <c r="H4107" t="s">
        <v>815</v>
      </c>
    </row>
    <row r="4108" spans="1:8" x14ac:dyDescent="0.25">
      <c r="A4108" t="s">
        <v>1011</v>
      </c>
      <c r="B4108" t="s">
        <v>58</v>
      </c>
      <c r="C4108" s="5">
        <v>514289</v>
      </c>
      <c r="D4108" s="5">
        <v>6869</v>
      </c>
      <c r="E4108">
        <v>36460</v>
      </c>
      <c r="F4108" s="4" t="s">
        <v>264</v>
      </c>
      <c r="G4108" t="s">
        <v>29</v>
      </c>
      <c r="H4108" t="s">
        <v>265</v>
      </c>
    </row>
    <row r="4109" spans="1:8" x14ac:dyDescent="0.25">
      <c r="A4109" t="s">
        <v>1011</v>
      </c>
      <c r="B4109" t="s">
        <v>55</v>
      </c>
      <c r="C4109" s="5">
        <v>158546</v>
      </c>
      <c r="D4109" s="5">
        <v>1637</v>
      </c>
      <c r="E4109">
        <v>14360</v>
      </c>
      <c r="F4109" s="4" t="s">
        <v>687</v>
      </c>
      <c r="G4109" t="s">
        <v>29</v>
      </c>
      <c r="H4109" t="s">
        <v>688</v>
      </c>
    </row>
    <row r="4110" spans="1:8" x14ac:dyDescent="0.25">
      <c r="A4110" t="s">
        <v>1011</v>
      </c>
      <c r="B4110" t="s">
        <v>52</v>
      </c>
      <c r="C4110" s="5">
        <v>794982</v>
      </c>
      <c r="D4110" s="5">
        <v>11245</v>
      </c>
      <c r="E4110">
        <v>687539</v>
      </c>
      <c r="F4110" s="4" t="s">
        <v>345</v>
      </c>
      <c r="G4110" t="s">
        <v>29</v>
      </c>
      <c r="H4110" t="s">
        <v>346</v>
      </c>
    </row>
    <row r="4111" spans="1:8" x14ac:dyDescent="0.25">
      <c r="A4111" t="s">
        <v>1011</v>
      </c>
      <c r="B4111" t="s">
        <v>49</v>
      </c>
      <c r="C4111" s="5">
        <v>5279818</v>
      </c>
      <c r="D4111" s="5">
        <v>115823</v>
      </c>
      <c r="E4111">
        <v>1887273</v>
      </c>
      <c r="F4111" s="4" t="s">
        <v>50</v>
      </c>
      <c r="G4111" t="s">
        <v>29</v>
      </c>
      <c r="H4111" t="s">
        <v>51</v>
      </c>
    </row>
    <row r="4112" spans="1:8" x14ac:dyDescent="0.25">
      <c r="A4112" t="s">
        <v>1011</v>
      </c>
      <c r="B4112" t="s">
        <v>46</v>
      </c>
      <c r="C4112" s="5">
        <v>63775</v>
      </c>
      <c r="D4112" s="5">
        <v>1695</v>
      </c>
      <c r="E4112">
        <v>51516</v>
      </c>
      <c r="F4112" s="4" t="s">
        <v>47</v>
      </c>
      <c r="G4112" t="s">
        <v>29</v>
      </c>
      <c r="H4112" t="s">
        <v>48</v>
      </c>
    </row>
    <row r="4113" spans="1:8" x14ac:dyDescent="0.25">
      <c r="A4113" t="s">
        <v>1011</v>
      </c>
      <c r="B4113" t="s">
        <v>43</v>
      </c>
      <c r="C4113" s="5">
        <v>293014</v>
      </c>
      <c r="D4113" s="5">
        <v>5975</v>
      </c>
      <c r="E4113">
        <v>272615</v>
      </c>
      <c r="F4113" s="4" t="s">
        <v>230</v>
      </c>
      <c r="G4113" t="s">
        <v>29</v>
      </c>
      <c r="H4113" t="s">
        <v>231</v>
      </c>
    </row>
    <row r="4114" spans="1:8" x14ac:dyDescent="0.25">
      <c r="A4114" t="s">
        <v>1011</v>
      </c>
      <c r="B4114" t="s">
        <v>40</v>
      </c>
      <c r="C4114" s="5">
        <v>181252</v>
      </c>
      <c r="D4114" s="5">
        <v>2870</v>
      </c>
      <c r="E4114">
        <v>27633</v>
      </c>
      <c r="F4114" s="4" t="s">
        <v>577</v>
      </c>
      <c r="G4114" t="s">
        <v>29</v>
      </c>
      <c r="H4114" t="s">
        <v>578</v>
      </c>
    </row>
    <row r="4115" spans="1:8" x14ac:dyDescent="0.25">
      <c r="A4115" t="s">
        <v>1011</v>
      </c>
      <c r="B4115" t="s">
        <v>37</v>
      </c>
      <c r="C4115" s="5">
        <v>4019</v>
      </c>
      <c r="D4115" s="5">
        <v>99</v>
      </c>
      <c r="E4115">
        <v>682</v>
      </c>
      <c r="F4115" s="4" t="s">
        <v>949</v>
      </c>
      <c r="G4115" t="s">
        <v>29</v>
      </c>
      <c r="H4115" t="s">
        <v>950</v>
      </c>
    </row>
    <row r="4116" spans="1:8" x14ac:dyDescent="0.25">
      <c r="A4116" t="s">
        <v>1011</v>
      </c>
      <c r="B4116" t="s">
        <v>34</v>
      </c>
      <c r="C4116" s="5">
        <v>155940</v>
      </c>
      <c r="D4116" s="5">
        <v>7253</v>
      </c>
      <c r="E4116">
        <v>107254</v>
      </c>
      <c r="F4116" s="4" t="s">
        <v>900</v>
      </c>
      <c r="G4116" t="s">
        <v>29</v>
      </c>
      <c r="H4116" t="s">
        <v>901</v>
      </c>
    </row>
    <row r="4117" spans="1:8" x14ac:dyDescent="0.25">
      <c r="A4117" t="s">
        <v>1011</v>
      </c>
      <c r="B4117" t="s">
        <v>31</v>
      </c>
      <c r="C4117" s="5">
        <v>739190</v>
      </c>
      <c r="D4117" s="5">
        <v>2129</v>
      </c>
      <c r="E4117">
        <v>731440</v>
      </c>
      <c r="F4117" s="4" t="s">
        <v>32</v>
      </c>
      <c r="G4117" t="s">
        <v>29</v>
      </c>
      <c r="H4117" t="s">
        <v>33</v>
      </c>
    </row>
    <row r="4118" spans="1:8" x14ac:dyDescent="0.25">
      <c r="A4118" t="s">
        <v>1011</v>
      </c>
      <c r="B4118" t="s">
        <v>27</v>
      </c>
      <c r="C4118" s="5">
        <v>15404</v>
      </c>
      <c r="D4118" s="5">
        <v>130</v>
      </c>
      <c r="E4118">
        <v>6878</v>
      </c>
      <c r="F4118" s="4" t="s">
        <v>397</v>
      </c>
      <c r="G4118" t="s">
        <v>29</v>
      </c>
      <c r="H4118" t="s">
        <v>398</v>
      </c>
    </row>
    <row r="4119" spans="1:8" x14ac:dyDescent="0.25">
      <c r="A4119" t="s">
        <v>1022</v>
      </c>
      <c r="B4119" t="s">
        <v>27</v>
      </c>
      <c r="C4119" s="5">
        <v>15404</v>
      </c>
      <c r="D4119" s="5">
        <v>130</v>
      </c>
      <c r="E4119">
        <v>7330</v>
      </c>
      <c r="F4119" s="4" t="s">
        <v>397</v>
      </c>
      <c r="G4119" t="s">
        <v>29</v>
      </c>
      <c r="H4119" t="s">
        <v>398</v>
      </c>
    </row>
    <row r="4120" spans="1:8" x14ac:dyDescent="0.25">
      <c r="A4120" t="s">
        <v>1022</v>
      </c>
      <c r="B4120" t="s">
        <v>31</v>
      </c>
      <c r="C4120" s="5">
        <v>739106</v>
      </c>
      <c r="D4120" s="5">
        <v>2128</v>
      </c>
      <c r="E4120">
        <v>82412</v>
      </c>
      <c r="F4120" s="4" t="s">
        <v>32</v>
      </c>
      <c r="G4120" t="s">
        <v>29</v>
      </c>
      <c r="H4120" t="s">
        <v>33</v>
      </c>
    </row>
    <row r="4121" spans="1:8" x14ac:dyDescent="0.25">
      <c r="A4121" t="s">
        <v>1022</v>
      </c>
      <c r="B4121" t="s">
        <v>34</v>
      </c>
      <c r="C4121" s="5">
        <v>155931</v>
      </c>
      <c r="D4121" s="5">
        <v>7252</v>
      </c>
      <c r="E4121">
        <v>127906</v>
      </c>
      <c r="F4121" s="4" t="s">
        <v>900</v>
      </c>
      <c r="G4121" t="s">
        <v>29</v>
      </c>
      <c r="H4121" t="s">
        <v>901</v>
      </c>
    </row>
    <row r="4122" spans="1:8" x14ac:dyDescent="0.25">
      <c r="A4122" t="s">
        <v>1022</v>
      </c>
      <c r="B4122" t="s">
        <v>37</v>
      </c>
      <c r="C4122" s="5">
        <v>3994</v>
      </c>
      <c r="D4122" s="5">
        <v>97</v>
      </c>
      <c r="E4122">
        <v>238</v>
      </c>
      <c r="F4122" s="4" t="s">
        <v>917</v>
      </c>
      <c r="G4122" t="s">
        <v>29</v>
      </c>
      <c r="H4122" t="s">
        <v>918</v>
      </c>
    </row>
    <row r="4123" spans="1:8" x14ac:dyDescent="0.25">
      <c r="A4123" t="s">
        <v>1022</v>
      </c>
      <c r="B4123" t="s">
        <v>40</v>
      </c>
      <c r="C4123" s="5">
        <v>180623</v>
      </c>
      <c r="D4123" s="5">
        <v>2863</v>
      </c>
      <c r="E4123">
        <v>39086</v>
      </c>
      <c r="F4123" s="4" t="s">
        <v>361</v>
      </c>
      <c r="G4123" t="s">
        <v>29</v>
      </c>
      <c r="H4123" t="s">
        <v>362</v>
      </c>
    </row>
    <row r="4124" spans="1:8" x14ac:dyDescent="0.25">
      <c r="A4124" t="s">
        <v>1022</v>
      </c>
      <c r="B4124" t="s">
        <v>43</v>
      </c>
      <c r="C4124" s="5">
        <v>291052</v>
      </c>
      <c r="D4124" s="5">
        <v>5944</v>
      </c>
      <c r="E4124">
        <v>77826</v>
      </c>
      <c r="F4124" s="4" t="s">
        <v>230</v>
      </c>
      <c r="G4124" t="s">
        <v>29</v>
      </c>
      <c r="H4124" t="s">
        <v>231</v>
      </c>
    </row>
    <row r="4125" spans="1:8" x14ac:dyDescent="0.25">
      <c r="A4125" t="s">
        <v>1022</v>
      </c>
      <c r="B4125" t="s">
        <v>46</v>
      </c>
      <c r="C4125" s="5">
        <v>63691</v>
      </c>
      <c r="D4125" s="5">
        <v>1693</v>
      </c>
      <c r="E4125">
        <v>5878</v>
      </c>
      <c r="F4125" s="4" t="s">
        <v>47</v>
      </c>
      <c r="G4125" t="s">
        <v>29</v>
      </c>
      <c r="H4125" t="s">
        <v>48</v>
      </c>
    </row>
    <row r="4126" spans="1:8" x14ac:dyDescent="0.25">
      <c r="A4126" t="s">
        <v>1022</v>
      </c>
      <c r="B4126" t="s">
        <v>49</v>
      </c>
      <c r="C4126" s="5">
        <v>5278910</v>
      </c>
      <c r="D4126" s="5">
        <v>115819</v>
      </c>
      <c r="E4126">
        <v>4034148</v>
      </c>
      <c r="F4126" s="4" t="s">
        <v>50</v>
      </c>
      <c r="G4126" t="s">
        <v>29</v>
      </c>
      <c r="H4126" t="s">
        <v>51</v>
      </c>
    </row>
    <row r="4127" spans="1:8" x14ac:dyDescent="0.25">
      <c r="A4127" t="s">
        <v>1022</v>
      </c>
      <c r="B4127" t="s">
        <v>52</v>
      </c>
      <c r="C4127" s="5">
        <v>791226</v>
      </c>
      <c r="D4127" s="5">
        <v>11233</v>
      </c>
      <c r="E4127">
        <v>229467</v>
      </c>
      <c r="F4127" s="4" t="s">
        <v>640</v>
      </c>
      <c r="G4127" t="s">
        <v>29</v>
      </c>
      <c r="H4127" t="s">
        <v>641</v>
      </c>
    </row>
    <row r="4128" spans="1:8" x14ac:dyDescent="0.25">
      <c r="A4128" t="s">
        <v>1022</v>
      </c>
      <c r="B4128" t="s">
        <v>55</v>
      </c>
      <c r="C4128" s="5">
        <v>156372</v>
      </c>
      <c r="D4128" s="5">
        <v>1622</v>
      </c>
      <c r="E4128">
        <v>108580</v>
      </c>
      <c r="F4128" s="4" t="s">
        <v>336</v>
      </c>
      <c r="G4128" t="s">
        <v>29</v>
      </c>
      <c r="H4128" t="s">
        <v>337</v>
      </c>
    </row>
    <row r="4129" spans="1:8" x14ac:dyDescent="0.25">
      <c r="A4129" t="s">
        <v>1022</v>
      </c>
      <c r="B4129" t="s">
        <v>58</v>
      </c>
      <c r="C4129" s="5">
        <v>511974</v>
      </c>
      <c r="D4129" s="5">
        <v>6847</v>
      </c>
      <c r="E4129">
        <v>363238</v>
      </c>
      <c r="F4129" s="4" t="s">
        <v>264</v>
      </c>
      <c r="G4129" t="s">
        <v>29</v>
      </c>
      <c r="H4129" t="s">
        <v>265</v>
      </c>
    </row>
    <row r="4130" spans="1:8" x14ac:dyDescent="0.25">
      <c r="A4130" t="s">
        <v>1022</v>
      </c>
      <c r="B4130" t="s">
        <v>61</v>
      </c>
      <c r="C4130" s="5">
        <v>247958</v>
      </c>
      <c r="D4130" s="5">
        <v>11322</v>
      </c>
      <c r="E4130">
        <v>13099</v>
      </c>
      <c r="F4130" s="4" t="s">
        <v>814</v>
      </c>
      <c r="G4130" t="s">
        <v>29</v>
      </c>
      <c r="H4130" t="s">
        <v>815</v>
      </c>
    </row>
    <row r="4131" spans="1:8" x14ac:dyDescent="0.25">
      <c r="A4131" t="s">
        <v>1022</v>
      </c>
      <c r="B4131" t="s">
        <v>64</v>
      </c>
      <c r="C4131" s="5">
        <v>14753</v>
      </c>
      <c r="D4131" s="5">
        <v>126</v>
      </c>
      <c r="E4131">
        <v>3109</v>
      </c>
      <c r="F4131" s="4" t="s">
        <v>685</v>
      </c>
      <c r="G4131" t="s">
        <v>29</v>
      </c>
      <c r="H4131" t="s">
        <v>686</v>
      </c>
    </row>
    <row r="4132" spans="1:8" x14ac:dyDescent="0.25">
      <c r="A4132" t="s">
        <v>1022</v>
      </c>
      <c r="B4132" t="s">
        <v>67</v>
      </c>
      <c r="C4132" s="5">
        <v>1567139</v>
      </c>
      <c r="D4132" s="5">
        <v>27805</v>
      </c>
      <c r="E4132">
        <v>1052368</v>
      </c>
      <c r="F4132" s="4" t="s">
        <v>769</v>
      </c>
      <c r="G4132" t="s">
        <v>29</v>
      </c>
      <c r="H4132" t="s">
        <v>770</v>
      </c>
    </row>
    <row r="4133" spans="1:8" x14ac:dyDescent="0.25">
      <c r="A4133" t="s">
        <v>1022</v>
      </c>
      <c r="B4133" t="s">
        <v>70</v>
      </c>
      <c r="C4133" s="5">
        <v>1312360</v>
      </c>
      <c r="D4133" s="5">
        <v>25846</v>
      </c>
      <c r="E4133">
        <v>736733</v>
      </c>
      <c r="F4133" s="4" t="s">
        <v>804</v>
      </c>
      <c r="G4133" t="s">
        <v>29</v>
      </c>
      <c r="H4133" t="s">
        <v>805</v>
      </c>
    </row>
    <row r="4134" spans="1:8" x14ac:dyDescent="0.25">
      <c r="A4134" t="s">
        <v>1022</v>
      </c>
      <c r="B4134" t="s">
        <v>73</v>
      </c>
      <c r="C4134" s="5">
        <v>14793</v>
      </c>
      <c r="D4134" s="5">
        <v>214</v>
      </c>
      <c r="E4134">
        <v>6966</v>
      </c>
      <c r="F4134" s="4" t="s">
        <v>342</v>
      </c>
      <c r="G4134" t="s">
        <v>29</v>
      </c>
      <c r="H4134" t="s">
        <v>343</v>
      </c>
    </row>
    <row r="4135" spans="1:8" x14ac:dyDescent="0.25">
      <c r="A4135" t="s">
        <v>1022</v>
      </c>
      <c r="B4135" t="s">
        <v>76</v>
      </c>
      <c r="C4135" s="5">
        <v>564719</v>
      </c>
      <c r="D4135" s="5">
        <v>22975</v>
      </c>
      <c r="E4135">
        <v>171673</v>
      </c>
      <c r="F4135" s="4" t="s">
        <v>1023</v>
      </c>
      <c r="G4135" t="s">
        <v>29</v>
      </c>
      <c r="H4135" t="s">
        <v>1024</v>
      </c>
    </row>
    <row r="4136" spans="1:8" x14ac:dyDescent="0.25">
      <c r="A4136" t="s">
        <v>1022</v>
      </c>
      <c r="B4136" t="s">
        <v>79</v>
      </c>
      <c r="C4136" s="5">
        <v>276461</v>
      </c>
      <c r="D4136" s="5">
        <v>1393</v>
      </c>
      <c r="E4136">
        <v>258516</v>
      </c>
      <c r="F4136" s="4" t="s">
        <v>80</v>
      </c>
      <c r="G4136" t="s">
        <v>29</v>
      </c>
      <c r="H4136" t="s">
        <v>81</v>
      </c>
    </row>
    <row r="4137" spans="1:8" x14ac:dyDescent="0.25">
      <c r="A4137" t="s">
        <v>1022</v>
      </c>
      <c r="B4137" t="s">
        <v>82</v>
      </c>
      <c r="C4137" s="5">
        <v>19894</v>
      </c>
      <c r="D4137" s="5">
        <v>38</v>
      </c>
      <c r="E4137">
        <v>6970</v>
      </c>
      <c r="F4137" s="4" t="s">
        <v>83</v>
      </c>
      <c r="G4137" t="s">
        <v>29</v>
      </c>
      <c r="H4137" t="s">
        <v>84</v>
      </c>
    </row>
    <row r="4138" spans="1:8" x14ac:dyDescent="0.25">
      <c r="A4138" t="s">
        <v>1022</v>
      </c>
      <c r="B4138" t="s">
        <v>85</v>
      </c>
      <c r="C4138" s="5">
        <v>24560</v>
      </c>
      <c r="D4138" s="5">
        <v>161</v>
      </c>
      <c r="E4138">
        <v>23476</v>
      </c>
      <c r="F4138" s="4" t="s">
        <v>162</v>
      </c>
      <c r="G4138" t="s">
        <v>29</v>
      </c>
      <c r="H4138" t="s">
        <v>163</v>
      </c>
    </row>
    <row r="4139" spans="1:8" x14ac:dyDescent="0.25">
      <c r="A4139" t="s">
        <v>1022</v>
      </c>
      <c r="B4139" t="s">
        <v>88</v>
      </c>
      <c r="C4139" s="5">
        <v>1659</v>
      </c>
      <c r="D4139" s="5">
        <v>6</v>
      </c>
      <c r="E4139">
        <v>250</v>
      </c>
      <c r="F4139" s="4" t="s">
        <v>89</v>
      </c>
      <c r="G4139" t="s">
        <v>29</v>
      </c>
      <c r="H4139" t="s">
        <v>90</v>
      </c>
    </row>
    <row r="4140" spans="1:8" x14ac:dyDescent="0.25">
      <c r="A4140" t="s">
        <v>1022</v>
      </c>
      <c r="B4140" t="s">
        <v>91</v>
      </c>
      <c r="C4140" s="5">
        <v>11672</v>
      </c>
      <c r="D4140" s="5">
        <v>79</v>
      </c>
      <c r="E4140">
        <v>1830</v>
      </c>
      <c r="F4140" s="4" t="s">
        <v>605</v>
      </c>
      <c r="G4140" t="s">
        <v>29</v>
      </c>
      <c r="H4140" t="s">
        <v>606</v>
      </c>
    </row>
    <row r="4141" spans="1:8" x14ac:dyDescent="0.25">
      <c r="A4141" t="s">
        <v>1022</v>
      </c>
      <c r="B4141" t="s">
        <v>94</v>
      </c>
      <c r="C4141" s="5">
        <v>509276</v>
      </c>
      <c r="D4141" s="5">
        <v>18896</v>
      </c>
      <c r="E4141">
        <v>280134</v>
      </c>
      <c r="F4141" s="4" t="s">
        <v>593</v>
      </c>
      <c r="G4141" t="s">
        <v>29</v>
      </c>
      <c r="H4141" t="s">
        <v>594</v>
      </c>
    </row>
    <row r="4142" spans="1:8" x14ac:dyDescent="0.25">
      <c r="A4142" t="s">
        <v>1022</v>
      </c>
      <c r="B4142" t="s">
        <v>97</v>
      </c>
      <c r="C4142" s="5">
        <v>21711843</v>
      </c>
      <c r="D4142" s="5">
        <v>605139</v>
      </c>
      <c r="E4142">
        <v>18656260</v>
      </c>
      <c r="F4142" s="4" t="s">
        <v>662</v>
      </c>
      <c r="G4142" t="s">
        <v>29</v>
      </c>
      <c r="H4142" t="s">
        <v>663</v>
      </c>
    </row>
    <row r="4143" spans="1:8" x14ac:dyDescent="0.25">
      <c r="A4143" t="s">
        <v>1022</v>
      </c>
      <c r="B4143" t="s">
        <v>100</v>
      </c>
      <c r="C4143" s="5">
        <v>22179</v>
      </c>
      <c r="D4143" s="5">
        <v>642</v>
      </c>
      <c r="E4143">
        <v>10219</v>
      </c>
      <c r="F4143" s="4" t="s">
        <v>995</v>
      </c>
      <c r="G4143" t="s">
        <v>29</v>
      </c>
      <c r="H4143" t="s">
        <v>996</v>
      </c>
    </row>
    <row r="4144" spans="1:8" x14ac:dyDescent="0.25">
      <c r="A4144" t="s">
        <v>1022</v>
      </c>
      <c r="B4144" t="s">
        <v>103</v>
      </c>
      <c r="C4144" s="5">
        <v>2617</v>
      </c>
      <c r="D4144" s="5">
        <v>3</v>
      </c>
      <c r="E4144">
        <v>812</v>
      </c>
      <c r="F4144" s="4" t="s">
        <v>104</v>
      </c>
      <c r="G4144" t="s">
        <v>29</v>
      </c>
      <c r="H4144" t="s">
        <v>105</v>
      </c>
    </row>
    <row r="4145" spans="1:8" x14ac:dyDescent="0.25">
      <c r="A4145" t="s">
        <v>1022</v>
      </c>
      <c r="B4145" t="s">
        <v>106</v>
      </c>
      <c r="C4145" s="5">
        <v>184919</v>
      </c>
      <c r="D4145" s="5">
        <v>2396</v>
      </c>
      <c r="E4145">
        <v>40409</v>
      </c>
      <c r="F4145" s="4" t="s">
        <v>190</v>
      </c>
      <c r="G4145" t="s">
        <v>29</v>
      </c>
      <c r="H4145" t="s">
        <v>191</v>
      </c>
    </row>
    <row r="4146" spans="1:8" x14ac:dyDescent="0.25">
      <c r="A4146" t="s">
        <v>1022</v>
      </c>
      <c r="B4146" t="s">
        <v>109</v>
      </c>
      <c r="C4146" s="5">
        <v>582111</v>
      </c>
      <c r="D4146" s="5">
        <v>4482</v>
      </c>
      <c r="E4146">
        <v>342418</v>
      </c>
      <c r="F4146" s="4" t="s">
        <v>110</v>
      </c>
      <c r="G4146" t="s">
        <v>29</v>
      </c>
      <c r="H4146" t="s">
        <v>111</v>
      </c>
    </row>
    <row r="4147" spans="1:8" x14ac:dyDescent="0.25">
      <c r="A4147" t="s">
        <v>1022</v>
      </c>
      <c r="B4147" t="s">
        <v>112</v>
      </c>
      <c r="C4147" s="5">
        <v>25445</v>
      </c>
      <c r="D4147" s="5">
        <v>473</v>
      </c>
      <c r="E4147">
        <v>7189</v>
      </c>
      <c r="F4147" s="4" t="s">
        <v>113</v>
      </c>
      <c r="G4147" t="s">
        <v>29</v>
      </c>
      <c r="H4147" t="s">
        <v>114</v>
      </c>
    </row>
    <row r="4148" spans="1:8" x14ac:dyDescent="0.25">
      <c r="A4148" t="s">
        <v>1022</v>
      </c>
      <c r="B4148" t="s">
        <v>115</v>
      </c>
      <c r="C4148" s="5">
        <v>1704019</v>
      </c>
      <c r="D4148" s="5">
        <v>28782</v>
      </c>
      <c r="E4148">
        <v>636937</v>
      </c>
      <c r="F4148" s="4" t="s">
        <v>152</v>
      </c>
      <c r="G4148" t="s">
        <v>29</v>
      </c>
      <c r="H4148" t="s">
        <v>153</v>
      </c>
    </row>
    <row r="4149" spans="1:8" x14ac:dyDescent="0.25">
      <c r="A4149" t="s">
        <v>1022</v>
      </c>
      <c r="B4149" t="s">
        <v>118</v>
      </c>
      <c r="C4149" s="5">
        <v>57432</v>
      </c>
      <c r="D4149" s="5">
        <v>1091</v>
      </c>
      <c r="E4149">
        <v>42762</v>
      </c>
      <c r="F4149" s="4" t="s">
        <v>652</v>
      </c>
      <c r="G4149" t="s">
        <v>29</v>
      </c>
      <c r="H4149" t="s">
        <v>653</v>
      </c>
    </row>
    <row r="4150" spans="1:8" x14ac:dyDescent="0.25">
      <c r="A4150" t="s">
        <v>1022</v>
      </c>
      <c r="B4150" t="s">
        <v>121</v>
      </c>
      <c r="C4150" s="5">
        <v>11518</v>
      </c>
      <c r="D4150" s="5">
        <v>100</v>
      </c>
      <c r="E4150">
        <v>3945</v>
      </c>
      <c r="F4150" s="4" t="s">
        <v>498</v>
      </c>
      <c r="G4150" t="s">
        <v>29</v>
      </c>
      <c r="H4150" t="s">
        <v>499</v>
      </c>
    </row>
    <row r="4151" spans="1:8" x14ac:dyDescent="0.25">
      <c r="A4151" t="s">
        <v>1022</v>
      </c>
      <c r="B4151" t="s">
        <v>124</v>
      </c>
      <c r="C4151" s="5">
        <v>16408</v>
      </c>
      <c r="D4151" s="5">
        <v>239</v>
      </c>
      <c r="E4151">
        <v>12674</v>
      </c>
      <c r="F4151" s="4" t="s">
        <v>565</v>
      </c>
      <c r="G4151" t="s">
        <v>29</v>
      </c>
      <c r="H4151" t="s">
        <v>566</v>
      </c>
    </row>
    <row r="4152" spans="1:8" x14ac:dyDescent="0.25">
      <c r="A4152" t="s">
        <v>1022</v>
      </c>
      <c r="B4152" t="s">
        <v>127</v>
      </c>
      <c r="C4152" s="5">
        <v>862411</v>
      </c>
      <c r="D4152" s="5">
        <v>11182</v>
      </c>
      <c r="E4152">
        <v>511775</v>
      </c>
      <c r="F4152" s="4" t="s">
        <v>190</v>
      </c>
      <c r="G4152" t="s">
        <v>29</v>
      </c>
      <c r="H4152" t="s">
        <v>191</v>
      </c>
    </row>
    <row r="4153" spans="1:8" x14ac:dyDescent="0.25">
      <c r="A4153" t="s">
        <v>1022</v>
      </c>
      <c r="B4153" t="s">
        <v>128</v>
      </c>
      <c r="C4153" s="5">
        <v>61152</v>
      </c>
      <c r="D4153" s="5">
        <v>689</v>
      </c>
      <c r="E4153">
        <v>56556</v>
      </c>
      <c r="F4153" s="4" t="s">
        <v>267</v>
      </c>
      <c r="G4153" t="s">
        <v>29</v>
      </c>
      <c r="H4153" t="s">
        <v>268</v>
      </c>
    </row>
    <row r="4154" spans="1:8" x14ac:dyDescent="0.25">
      <c r="A4154" t="s">
        <v>1022</v>
      </c>
      <c r="B4154" t="s">
        <v>131</v>
      </c>
      <c r="C4154" s="5">
        <v>1678023</v>
      </c>
      <c r="D4154" s="5">
        <v>37651</v>
      </c>
      <c r="E4154">
        <v>1046623</v>
      </c>
      <c r="F4154" s="4" t="s">
        <v>603</v>
      </c>
      <c r="G4154" t="s">
        <v>29</v>
      </c>
      <c r="H4154" t="s">
        <v>604</v>
      </c>
    </row>
    <row r="4155" spans="1:8" x14ac:dyDescent="0.25">
      <c r="A4155" t="s">
        <v>1022</v>
      </c>
      <c r="B4155" t="s">
        <v>134</v>
      </c>
      <c r="C4155" s="5">
        <v>100289</v>
      </c>
      <c r="D4155" s="5">
        <v>1600</v>
      </c>
      <c r="E4155">
        <v>14938</v>
      </c>
      <c r="F4155" s="4" t="s">
        <v>313</v>
      </c>
      <c r="G4155" t="s">
        <v>29</v>
      </c>
      <c r="H4155" t="s">
        <v>314</v>
      </c>
    </row>
    <row r="4156" spans="1:8" x14ac:dyDescent="0.25">
      <c r="A4156" t="s">
        <v>1022</v>
      </c>
      <c r="B4156" t="s">
        <v>137</v>
      </c>
      <c r="C4156" s="5">
        <v>96715</v>
      </c>
      <c r="D4156" s="5">
        <v>4636</v>
      </c>
      <c r="E4156">
        <v>36168</v>
      </c>
      <c r="F4156" s="4" t="s">
        <v>988</v>
      </c>
      <c r="G4156" t="s">
        <v>29</v>
      </c>
      <c r="H4156" t="s">
        <v>989</v>
      </c>
    </row>
    <row r="4157" spans="1:8" x14ac:dyDescent="0.25">
      <c r="A4157" t="s">
        <v>1022</v>
      </c>
      <c r="B4157" t="s">
        <v>140</v>
      </c>
      <c r="C4157" s="5">
        <v>4988021</v>
      </c>
      <c r="D4157" s="5">
        <v>126994</v>
      </c>
      <c r="E4157">
        <v>3420545</v>
      </c>
      <c r="F4157" s="4" t="s">
        <v>513</v>
      </c>
      <c r="G4157" t="s">
        <v>29</v>
      </c>
      <c r="H4157" t="s">
        <v>514</v>
      </c>
    </row>
    <row r="4158" spans="1:8" x14ac:dyDescent="0.25">
      <c r="A4158" t="s">
        <v>1022</v>
      </c>
      <c r="B4158" t="s">
        <v>143</v>
      </c>
      <c r="C4158" s="5">
        <v>555970</v>
      </c>
      <c r="D4158" s="5">
        <v>6946</v>
      </c>
      <c r="E4158">
        <v>393250</v>
      </c>
      <c r="F4158" s="4" t="s">
        <v>107</v>
      </c>
      <c r="G4158" t="s">
        <v>29</v>
      </c>
      <c r="H4158" t="s">
        <v>108</v>
      </c>
    </row>
    <row r="4159" spans="1:8" x14ac:dyDescent="0.25">
      <c r="A4159" t="s">
        <v>1022</v>
      </c>
      <c r="B4159" t="s">
        <v>144</v>
      </c>
      <c r="C4159" s="5">
        <v>943038</v>
      </c>
      <c r="D4159" s="5">
        <v>8153</v>
      </c>
      <c r="E4159">
        <v>622043</v>
      </c>
      <c r="F4159" s="4" t="s">
        <v>122</v>
      </c>
      <c r="G4159" t="s">
        <v>29</v>
      </c>
      <c r="H4159" t="s">
        <v>123</v>
      </c>
    </row>
    <row r="4160" spans="1:8" x14ac:dyDescent="0.25">
      <c r="A4160" t="s">
        <v>1022</v>
      </c>
      <c r="B4160" t="s">
        <v>145</v>
      </c>
      <c r="C4160" s="5">
        <v>38098</v>
      </c>
      <c r="D4160" s="5">
        <v>347</v>
      </c>
      <c r="E4160">
        <v>3503</v>
      </c>
      <c r="F4160" s="4" t="s">
        <v>146</v>
      </c>
      <c r="G4160" t="s">
        <v>29</v>
      </c>
      <c r="H4160" t="s">
        <v>147</v>
      </c>
    </row>
    <row r="4161" spans="1:8" x14ac:dyDescent="0.25">
      <c r="A4161" t="s">
        <v>1022</v>
      </c>
      <c r="B4161" t="s">
        <v>148</v>
      </c>
      <c r="C4161" s="5">
        <v>122996</v>
      </c>
      <c r="D4161" s="5">
        <v>568</v>
      </c>
      <c r="E4161">
        <v>110322</v>
      </c>
      <c r="F4161" s="4" t="s">
        <v>149</v>
      </c>
      <c r="G4161" t="s">
        <v>29</v>
      </c>
      <c r="H4161" t="s">
        <v>150</v>
      </c>
    </row>
    <row r="4162" spans="1:8" x14ac:dyDescent="0.25">
      <c r="A4162" t="s">
        <v>1022</v>
      </c>
      <c r="B4162" t="s">
        <v>151</v>
      </c>
      <c r="C4162" s="5">
        <v>1722446</v>
      </c>
      <c r="D4162" s="5">
        <v>30593</v>
      </c>
      <c r="E4162">
        <v>53273</v>
      </c>
      <c r="F4162" s="4" t="s">
        <v>68</v>
      </c>
      <c r="G4162" t="s">
        <v>29</v>
      </c>
      <c r="H4162" t="s">
        <v>69</v>
      </c>
    </row>
    <row r="4163" spans="1:8" x14ac:dyDescent="0.25">
      <c r="A4163" t="s">
        <v>1022</v>
      </c>
      <c r="B4163" t="s">
        <v>154</v>
      </c>
      <c r="C4163" s="5">
        <v>4462324</v>
      </c>
      <c r="D4163" s="5">
        <v>95081</v>
      </c>
      <c r="E4163">
        <v>4091856</v>
      </c>
      <c r="F4163" s="4" t="s">
        <v>650</v>
      </c>
      <c r="G4163" t="s">
        <v>29</v>
      </c>
      <c r="H4163" t="s">
        <v>651</v>
      </c>
    </row>
    <row r="4164" spans="1:8" x14ac:dyDescent="0.25">
      <c r="A4164" t="s">
        <v>1022</v>
      </c>
      <c r="B4164" t="s">
        <v>157</v>
      </c>
      <c r="C4164" s="5">
        <v>13436</v>
      </c>
      <c r="D4164" s="5">
        <v>181</v>
      </c>
      <c r="E4164">
        <v>10360</v>
      </c>
      <c r="F4164" s="4" t="s">
        <v>409</v>
      </c>
      <c r="G4164" t="s">
        <v>29</v>
      </c>
      <c r="H4164" t="s">
        <v>410</v>
      </c>
    </row>
    <row r="4165" spans="1:8" x14ac:dyDescent="0.25">
      <c r="A4165" t="s">
        <v>1022</v>
      </c>
      <c r="B4165" t="s">
        <v>160</v>
      </c>
      <c r="C4165" s="5">
        <v>374534</v>
      </c>
      <c r="D4165" s="5">
        <v>2696</v>
      </c>
      <c r="E4165">
        <v>217446</v>
      </c>
      <c r="F4165" s="4" t="s">
        <v>199</v>
      </c>
      <c r="G4165" t="s">
        <v>29</v>
      </c>
      <c r="H4165" t="s">
        <v>200</v>
      </c>
    </row>
    <row r="4166" spans="1:8" x14ac:dyDescent="0.25">
      <c r="A4166" t="s">
        <v>1022</v>
      </c>
      <c r="B4166" t="s">
        <v>161</v>
      </c>
      <c r="C4166" s="5">
        <v>4508</v>
      </c>
      <c r="D4166" s="5">
        <v>30</v>
      </c>
      <c r="E4166">
        <v>3352</v>
      </c>
      <c r="F4166" s="4" t="s">
        <v>92</v>
      </c>
      <c r="G4166" t="s">
        <v>29</v>
      </c>
      <c r="H4166" t="s">
        <v>93</v>
      </c>
    </row>
    <row r="4167" spans="1:8" x14ac:dyDescent="0.25">
      <c r="A4167" t="s">
        <v>1022</v>
      </c>
      <c r="B4167" t="s">
        <v>164</v>
      </c>
      <c r="C4167" s="5">
        <v>374722</v>
      </c>
      <c r="D4167" s="5">
        <v>4100</v>
      </c>
      <c r="E4167">
        <v>370616</v>
      </c>
      <c r="F4167" s="4" t="s">
        <v>683</v>
      </c>
      <c r="G4167" t="s">
        <v>29</v>
      </c>
      <c r="H4167" t="s">
        <v>684</v>
      </c>
    </row>
    <row r="4168" spans="1:8" x14ac:dyDescent="0.25">
      <c r="A4168" t="s">
        <v>1022</v>
      </c>
      <c r="B4168" t="s">
        <v>167</v>
      </c>
      <c r="C4168" s="5">
        <v>205683</v>
      </c>
      <c r="D4168" s="5">
        <v>5883</v>
      </c>
      <c r="E4168">
        <v>41808</v>
      </c>
      <c r="F4168" s="4" t="s">
        <v>955</v>
      </c>
      <c r="G4168" t="s">
        <v>29</v>
      </c>
      <c r="H4168" t="s">
        <v>956</v>
      </c>
    </row>
    <row r="4169" spans="1:8" x14ac:dyDescent="0.25">
      <c r="A4169" t="s">
        <v>1022</v>
      </c>
      <c r="B4169" t="s">
        <v>170</v>
      </c>
      <c r="C4169" s="5">
        <v>514087</v>
      </c>
      <c r="D4169" s="5">
        <v>32937</v>
      </c>
      <c r="E4169">
        <v>234101</v>
      </c>
      <c r="F4169" s="4" t="s">
        <v>1020</v>
      </c>
      <c r="G4169" t="s">
        <v>29</v>
      </c>
      <c r="H4169" t="s">
        <v>1021</v>
      </c>
    </row>
    <row r="4170" spans="1:8" x14ac:dyDescent="0.25">
      <c r="A4170" t="s">
        <v>1022</v>
      </c>
      <c r="B4170" t="s">
        <v>173</v>
      </c>
      <c r="C4170" s="5">
        <v>178610</v>
      </c>
      <c r="D4170" s="5">
        <v>1449</v>
      </c>
      <c r="E4170">
        <v>58025</v>
      </c>
      <c r="F4170" s="4" t="s">
        <v>1018</v>
      </c>
      <c r="G4170" t="s">
        <v>29</v>
      </c>
      <c r="H4170" t="s">
        <v>1019</v>
      </c>
    </row>
    <row r="4171" spans="1:8" x14ac:dyDescent="0.25">
      <c r="A4171" t="s">
        <v>1022</v>
      </c>
      <c r="B4171" t="s">
        <v>176</v>
      </c>
      <c r="C4171" s="5">
        <v>322852</v>
      </c>
      <c r="D4171" s="5">
        <v>18195</v>
      </c>
      <c r="E4171">
        <v>192286</v>
      </c>
      <c r="F4171" s="4" t="s">
        <v>756</v>
      </c>
      <c r="G4171" t="s">
        <v>29</v>
      </c>
      <c r="H4171" t="s">
        <v>757</v>
      </c>
    </row>
    <row r="4172" spans="1:8" x14ac:dyDescent="0.25">
      <c r="A4172" t="s">
        <v>1022</v>
      </c>
      <c r="B4172" t="s">
        <v>179</v>
      </c>
      <c r="C4172" s="5">
        <v>6788</v>
      </c>
      <c r="D4172" s="5">
        <v>45</v>
      </c>
      <c r="E4172">
        <v>2665</v>
      </c>
      <c r="F4172" s="4" t="s">
        <v>162</v>
      </c>
      <c r="G4172" t="s">
        <v>29</v>
      </c>
      <c r="H4172" t="s">
        <v>163</v>
      </c>
    </row>
    <row r="4173" spans="1:8" x14ac:dyDescent="0.25">
      <c r="A4173" t="s">
        <v>1022</v>
      </c>
      <c r="B4173" t="s">
        <v>182</v>
      </c>
      <c r="C4173" s="5">
        <v>4997732</v>
      </c>
      <c r="D4173" s="5">
        <v>87132</v>
      </c>
      <c r="E4173">
        <v>4012925</v>
      </c>
      <c r="F4173" s="4" t="s">
        <v>183</v>
      </c>
      <c r="G4173" t="s">
        <v>29</v>
      </c>
      <c r="H4173" t="s">
        <v>184</v>
      </c>
    </row>
    <row r="4174" spans="1:8" x14ac:dyDescent="0.25">
      <c r="A4174" t="s">
        <v>1022</v>
      </c>
      <c r="B4174" t="s">
        <v>185</v>
      </c>
      <c r="C4174" s="5">
        <v>361647</v>
      </c>
      <c r="D4174" s="5">
        <v>6333</v>
      </c>
      <c r="E4174">
        <v>290781</v>
      </c>
      <c r="F4174" s="4" t="s">
        <v>545</v>
      </c>
      <c r="G4174" t="s">
        <v>29</v>
      </c>
      <c r="H4174" t="s">
        <v>546</v>
      </c>
    </row>
    <row r="4175" spans="1:8" x14ac:dyDescent="0.25">
      <c r="A4175" t="s">
        <v>1022</v>
      </c>
      <c r="B4175" t="s">
        <v>186</v>
      </c>
      <c r="C4175" s="5">
        <v>153156</v>
      </c>
      <c r="D4175" s="5">
        <v>1139</v>
      </c>
      <c r="E4175">
        <v>44854</v>
      </c>
      <c r="F4175" s="4" t="s">
        <v>819</v>
      </c>
      <c r="G4175" t="s">
        <v>29</v>
      </c>
      <c r="H4175" t="s">
        <v>820</v>
      </c>
    </row>
    <row r="4176" spans="1:8" x14ac:dyDescent="0.25">
      <c r="A4176" t="s">
        <v>1022</v>
      </c>
      <c r="B4176" t="s">
        <v>189</v>
      </c>
      <c r="C4176" s="5">
        <v>51977</v>
      </c>
      <c r="D4176" s="5">
        <v>673</v>
      </c>
      <c r="E4176">
        <v>29653</v>
      </c>
      <c r="F4176" s="4" t="s">
        <v>417</v>
      </c>
      <c r="G4176" t="s">
        <v>29</v>
      </c>
      <c r="H4176" t="s">
        <v>418</v>
      </c>
    </row>
    <row r="4177" spans="1:8" x14ac:dyDescent="0.25">
      <c r="A4177" t="s">
        <v>1022</v>
      </c>
      <c r="B4177" t="s">
        <v>192</v>
      </c>
      <c r="C4177" s="5">
        <v>1448</v>
      </c>
      <c r="D4177" s="5">
        <v>2</v>
      </c>
      <c r="E4177">
        <v>301</v>
      </c>
      <c r="F4177" s="4" t="s">
        <v>821</v>
      </c>
      <c r="G4177" t="s">
        <v>29</v>
      </c>
      <c r="H4177" t="s">
        <v>822</v>
      </c>
    </row>
    <row r="4178" spans="1:8" x14ac:dyDescent="0.25">
      <c r="A4178" t="s">
        <v>1022</v>
      </c>
      <c r="B4178" t="s">
        <v>195</v>
      </c>
      <c r="C4178" s="5">
        <v>6938358</v>
      </c>
      <c r="D4178" s="5">
        <v>115091</v>
      </c>
      <c r="E4178">
        <v>2527602</v>
      </c>
      <c r="F4178" s="4" t="s">
        <v>135</v>
      </c>
      <c r="G4178" t="s">
        <v>29</v>
      </c>
      <c r="H4178" t="s">
        <v>136</v>
      </c>
    </row>
    <row r="4179" spans="1:8" x14ac:dyDescent="0.25">
      <c r="A4179" t="s">
        <v>1022</v>
      </c>
      <c r="B4179" t="s">
        <v>198</v>
      </c>
      <c r="C4179" s="5">
        <v>34601</v>
      </c>
      <c r="D4179" s="5">
        <v>224</v>
      </c>
      <c r="E4179">
        <v>24584</v>
      </c>
      <c r="F4179" s="4" t="s">
        <v>86</v>
      </c>
      <c r="G4179" t="s">
        <v>29</v>
      </c>
      <c r="H4179" t="s">
        <v>87</v>
      </c>
    </row>
    <row r="4180" spans="1:8" x14ac:dyDescent="0.25">
      <c r="A4180" t="s">
        <v>1022</v>
      </c>
      <c r="B4180" t="s">
        <v>201</v>
      </c>
      <c r="C4180" s="5">
        <v>8724945</v>
      </c>
      <c r="D4180" s="5">
        <v>139645</v>
      </c>
      <c r="E4180">
        <v>3165324</v>
      </c>
      <c r="F4180" s="4" t="s">
        <v>313</v>
      </c>
      <c r="G4180" t="s">
        <v>29</v>
      </c>
      <c r="H4180" t="s">
        <v>314</v>
      </c>
    </row>
    <row r="4181" spans="1:8" x14ac:dyDescent="0.25">
      <c r="A4181" t="s">
        <v>1022</v>
      </c>
      <c r="B4181" t="s">
        <v>207</v>
      </c>
      <c r="C4181" s="5">
        <v>684337</v>
      </c>
      <c r="D4181" s="5">
        <v>9657</v>
      </c>
      <c r="E4181">
        <v>577194</v>
      </c>
      <c r="F4181" s="4" t="s">
        <v>345</v>
      </c>
      <c r="G4181" t="s">
        <v>29</v>
      </c>
      <c r="H4181" t="s">
        <v>346</v>
      </c>
    </row>
    <row r="4182" spans="1:8" x14ac:dyDescent="0.25">
      <c r="A4182" t="s">
        <v>1022</v>
      </c>
      <c r="B4182" t="s">
        <v>204</v>
      </c>
      <c r="C4182" s="5">
        <v>5809</v>
      </c>
      <c r="D4182" s="5">
        <v>196</v>
      </c>
      <c r="E4182">
        <v>2641</v>
      </c>
      <c r="F4182" s="4" t="s">
        <v>986</v>
      </c>
      <c r="G4182" t="s">
        <v>29</v>
      </c>
      <c r="H4182" t="s">
        <v>987</v>
      </c>
    </row>
    <row r="4183" spans="1:8" x14ac:dyDescent="0.25">
      <c r="A4183" t="s">
        <v>1022</v>
      </c>
      <c r="B4183" t="s">
        <v>210</v>
      </c>
      <c r="C4183" s="5">
        <v>43938</v>
      </c>
      <c r="D4183" s="5">
        <v>298</v>
      </c>
      <c r="E4183">
        <v>20059</v>
      </c>
      <c r="F4183" s="4" t="s">
        <v>605</v>
      </c>
      <c r="G4183" t="s">
        <v>29</v>
      </c>
      <c r="H4183" t="s">
        <v>606</v>
      </c>
    </row>
    <row r="4184" spans="1:8" x14ac:dyDescent="0.25">
      <c r="A4184" t="s">
        <v>1022</v>
      </c>
      <c r="B4184" t="s">
        <v>213</v>
      </c>
      <c r="C4184" s="5">
        <v>129592</v>
      </c>
      <c r="D4184" s="5">
        <v>1169</v>
      </c>
      <c r="E4184">
        <v>97357</v>
      </c>
      <c r="F4184" s="4" t="s">
        <v>667</v>
      </c>
      <c r="G4184" t="s">
        <v>29</v>
      </c>
      <c r="H4184" t="s">
        <v>668</v>
      </c>
    </row>
    <row r="4185" spans="1:8" x14ac:dyDescent="0.25">
      <c r="A4185" t="s">
        <v>1022</v>
      </c>
      <c r="B4185" t="s">
        <v>216</v>
      </c>
      <c r="C4185" s="5">
        <v>5842</v>
      </c>
      <c r="D4185" s="5">
        <v>98</v>
      </c>
      <c r="E4185">
        <v>3677</v>
      </c>
      <c r="F4185" s="4" t="s">
        <v>116</v>
      </c>
      <c r="G4185" t="s">
        <v>29</v>
      </c>
      <c r="H4185" t="s">
        <v>117</v>
      </c>
    </row>
    <row r="4186" spans="1:8" x14ac:dyDescent="0.25">
      <c r="A4186" t="s">
        <v>1022</v>
      </c>
      <c r="B4186" t="s">
        <v>222</v>
      </c>
      <c r="C4186" s="5">
        <v>30626</v>
      </c>
      <c r="D4186" s="5">
        <v>385</v>
      </c>
      <c r="E4186">
        <v>7305</v>
      </c>
      <c r="F4186" s="4" t="s">
        <v>223</v>
      </c>
      <c r="G4186" t="s">
        <v>29</v>
      </c>
      <c r="H4186" t="s">
        <v>224</v>
      </c>
    </row>
    <row r="4187" spans="1:8" x14ac:dyDescent="0.25">
      <c r="A4187" t="s">
        <v>1022</v>
      </c>
      <c r="B4187" t="s">
        <v>219</v>
      </c>
      <c r="C4187" s="5">
        <v>9956</v>
      </c>
      <c r="D4187" s="5">
        <v>339</v>
      </c>
      <c r="E4187">
        <v>6964</v>
      </c>
      <c r="F4187" s="4" t="s">
        <v>648</v>
      </c>
      <c r="G4187" t="s">
        <v>29</v>
      </c>
      <c r="H4187" t="s">
        <v>649</v>
      </c>
    </row>
    <row r="4188" spans="1:8" x14ac:dyDescent="0.25">
      <c r="A4188" t="s">
        <v>1022</v>
      </c>
      <c r="B4188" t="s">
        <v>225</v>
      </c>
      <c r="C4188" s="5">
        <v>54095</v>
      </c>
      <c r="D4188" s="5">
        <v>809</v>
      </c>
      <c r="E4188">
        <v>34567</v>
      </c>
      <c r="F4188" s="4" t="s">
        <v>226</v>
      </c>
      <c r="G4188" t="s">
        <v>29</v>
      </c>
      <c r="H4188" t="s">
        <v>227</v>
      </c>
    </row>
    <row r="4189" spans="1:8" x14ac:dyDescent="0.25">
      <c r="A4189" t="s">
        <v>1022</v>
      </c>
      <c r="B4189" t="s">
        <v>228</v>
      </c>
      <c r="C4189" s="5">
        <v>13097</v>
      </c>
      <c r="D4189" s="5">
        <v>163</v>
      </c>
      <c r="E4189">
        <v>1057</v>
      </c>
      <c r="F4189" s="4" t="s">
        <v>394</v>
      </c>
      <c r="G4189" t="s">
        <v>29</v>
      </c>
      <c r="H4189" t="s">
        <v>395</v>
      </c>
    </row>
    <row r="4190" spans="1:8" x14ac:dyDescent="0.25">
      <c r="A4190" t="s">
        <v>1022</v>
      </c>
      <c r="B4190" t="s">
        <v>229</v>
      </c>
      <c r="C4190" s="5">
        <v>711128</v>
      </c>
      <c r="D4190" s="5">
        <v>15555</v>
      </c>
      <c r="E4190">
        <v>458767</v>
      </c>
      <c r="F4190" s="4" t="s">
        <v>50</v>
      </c>
      <c r="G4190" t="s">
        <v>29</v>
      </c>
      <c r="H4190" t="s">
        <v>51</v>
      </c>
    </row>
    <row r="4191" spans="1:8" x14ac:dyDescent="0.25">
      <c r="A4191" t="s">
        <v>1022</v>
      </c>
      <c r="B4191" t="s">
        <v>232</v>
      </c>
      <c r="C4191" s="5">
        <v>593459</v>
      </c>
      <c r="D4191" s="5">
        <v>14615</v>
      </c>
      <c r="E4191">
        <v>61260</v>
      </c>
      <c r="F4191" s="4" t="s">
        <v>949</v>
      </c>
      <c r="G4191" t="s">
        <v>29</v>
      </c>
      <c r="H4191" t="s">
        <v>950</v>
      </c>
    </row>
    <row r="4192" spans="1:8" x14ac:dyDescent="0.25">
      <c r="A4192" t="s">
        <v>1022</v>
      </c>
      <c r="B4192" t="s">
        <v>233</v>
      </c>
      <c r="C4192" s="5">
        <v>6131</v>
      </c>
      <c r="D4192" s="5">
        <v>141</v>
      </c>
      <c r="E4192">
        <v>3595</v>
      </c>
      <c r="F4192" s="4" t="s">
        <v>619</v>
      </c>
      <c r="G4192" t="s">
        <v>29</v>
      </c>
      <c r="H4192" t="s">
        <v>620</v>
      </c>
    </row>
    <row r="4193" spans="1:8" x14ac:dyDescent="0.25">
      <c r="A4193" t="s">
        <v>1022</v>
      </c>
      <c r="B4193" t="s">
        <v>236</v>
      </c>
      <c r="C4193" s="5">
        <v>34877</v>
      </c>
      <c r="D4193" s="5">
        <v>893</v>
      </c>
      <c r="E4193">
        <v>12518</v>
      </c>
      <c r="F4193" s="4" t="s">
        <v>38</v>
      </c>
      <c r="G4193" t="s">
        <v>29</v>
      </c>
      <c r="H4193" t="s">
        <v>39</v>
      </c>
    </row>
    <row r="4194" spans="1:8" x14ac:dyDescent="0.25">
      <c r="A4194" t="s">
        <v>1022</v>
      </c>
      <c r="B4194" t="s">
        <v>239</v>
      </c>
      <c r="C4194" s="5">
        <v>12313</v>
      </c>
      <c r="D4194" s="5">
        <v>213</v>
      </c>
      <c r="E4194">
        <v>7872</v>
      </c>
      <c r="F4194" s="4" t="s">
        <v>765</v>
      </c>
      <c r="G4194" t="s">
        <v>29</v>
      </c>
      <c r="H4194" t="s">
        <v>766</v>
      </c>
    </row>
    <row r="4195" spans="1:8" x14ac:dyDescent="0.25">
      <c r="A4195" t="s">
        <v>1022</v>
      </c>
      <c r="B4195" t="s">
        <v>242</v>
      </c>
      <c r="C4195" s="5">
        <v>373838</v>
      </c>
      <c r="D4195" s="5">
        <v>10182</v>
      </c>
      <c r="E4195">
        <v>294110</v>
      </c>
      <c r="F4195" s="4" t="s">
        <v>938</v>
      </c>
      <c r="G4195" t="s">
        <v>29</v>
      </c>
      <c r="H4195" t="s">
        <v>939</v>
      </c>
    </row>
    <row r="4196" spans="1:8" x14ac:dyDescent="0.25">
      <c r="A4196" t="s">
        <v>1022</v>
      </c>
      <c r="B4196" t="s">
        <v>245</v>
      </c>
      <c r="C4196" s="5">
        <v>439447</v>
      </c>
      <c r="D4196" s="5">
        <v>8985</v>
      </c>
      <c r="E4196">
        <v>251878</v>
      </c>
      <c r="F4196" s="4" t="s">
        <v>230</v>
      </c>
      <c r="G4196" t="s">
        <v>29</v>
      </c>
      <c r="H4196" t="s">
        <v>231</v>
      </c>
    </row>
    <row r="4197" spans="1:8" x14ac:dyDescent="0.25">
      <c r="A4197" t="s">
        <v>1022</v>
      </c>
      <c r="B4197" t="s">
        <v>248</v>
      </c>
      <c r="C4197" s="5">
        <v>23406</v>
      </c>
      <c r="D4197" s="5">
        <v>658</v>
      </c>
      <c r="E4197">
        <v>10387</v>
      </c>
      <c r="F4197" s="4" t="s">
        <v>967</v>
      </c>
      <c r="G4197" t="s">
        <v>29</v>
      </c>
      <c r="H4197" t="s">
        <v>968</v>
      </c>
    </row>
    <row r="4198" spans="1:8" x14ac:dyDescent="0.25">
      <c r="A4198" t="s">
        <v>1022</v>
      </c>
      <c r="B4198" t="s">
        <v>251</v>
      </c>
      <c r="C4198" s="5">
        <v>843825</v>
      </c>
      <c r="D4198" s="5">
        <v>30492</v>
      </c>
      <c r="E4198">
        <v>492896</v>
      </c>
      <c r="F4198" s="4" t="s">
        <v>997</v>
      </c>
      <c r="G4198" t="s">
        <v>29</v>
      </c>
      <c r="H4198" t="s">
        <v>998</v>
      </c>
    </row>
    <row r="4199" spans="1:8" x14ac:dyDescent="0.25">
      <c r="A4199" t="s">
        <v>1022</v>
      </c>
      <c r="B4199" t="s">
        <v>254</v>
      </c>
      <c r="C4199" s="5">
        <v>4238594</v>
      </c>
      <c r="D4199" s="5">
        <v>143153</v>
      </c>
      <c r="E4199">
        <v>2912405</v>
      </c>
      <c r="F4199" s="4" t="s">
        <v>255</v>
      </c>
      <c r="G4199" t="s">
        <v>29</v>
      </c>
      <c r="H4199" t="s">
        <v>256</v>
      </c>
    </row>
    <row r="4200" spans="1:8" x14ac:dyDescent="0.25">
      <c r="A4200" t="s">
        <v>1022</v>
      </c>
      <c r="B4200" t="s">
        <v>257</v>
      </c>
      <c r="C4200" s="5">
        <v>425725</v>
      </c>
      <c r="D4200" s="5">
        <v>5369</v>
      </c>
      <c r="E4200">
        <v>94767</v>
      </c>
      <c r="F4200" s="4" t="s">
        <v>223</v>
      </c>
      <c r="G4200" t="s">
        <v>29</v>
      </c>
      <c r="H4200" t="s">
        <v>224</v>
      </c>
    </row>
    <row r="4201" spans="1:8" x14ac:dyDescent="0.25">
      <c r="A4201" t="s">
        <v>1022</v>
      </c>
      <c r="B4201" t="s">
        <v>260</v>
      </c>
      <c r="C4201" s="5">
        <v>1321894</v>
      </c>
      <c r="D4201" s="5">
        <v>8039</v>
      </c>
      <c r="E4201">
        <v>1127794</v>
      </c>
      <c r="F4201" s="4" t="s">
        <v>261</v>
      </c>
      <c r="G4201" t="s">
        <v>29</v>
      </c>
      <c r="H4201" t="s">
        <v>262</v>
      </c>
    </row>
    <row r="4202" spans="1:8" x14ac:dyDescent="0.25">
      <c r="A4202" t="s">
        <v>1022</v>
      </c>
      <c r="B4202" t="s">
        <v>263</v>
      </c>
      <c r="C4202" s="5">
        <v>34159562</v>
      </c>
      <c r="D4202" s="5">
        <v>453708</v>
      </c>
      <c r="E4202">
        <v>3501034</v>
      </c>
      <c r="F4202" s="4" t="s">
        <v>59</v>
      </c>
      <c r="G4202" t="s">
        <v>29</v>
      </c>
      <c r="H4202" t="s">
        <v>60</v>
      </c>
    </row>
    <row r="4203" spans="1:8" x14ac:dyDescent="0.25">
      <c r="A4203" t="s">
        <v>1022</v>
      </c>
      <c r="B4203" t="s">
        <v>266</v>
      </c>
      <c r="C4203" s="5">
        <v>2043963</v>
      </c>
      <c r="D4203" s="5">
        <v>22901</v>
      </c>
      <c r="E4203">
        <v>708962</v>
      </c>
      <c r="F4203" s="4" t="s">
        <v>911</v>
      </c>
      <c r="G4203" t="s">
        <v>29</v>
      </c>
      <c r="H4203" t="s">
        <v>912</v>
      </c>
    </row>
    <row r="4204" spans="1:8" x14ac:dyDescent="0.25">
      <c r="A4204" t="s">
        <v>1022</v>
      </c>
      <c r="B4204" t="s">
        <v>269</v>
      </c>
      <c r="C4204" s="5">
        <v>5844589</v>
      </c>
      <c r="D4204" s="5">
        <v>124928</v>
      </c>
      <c r="E4204">
        <v>5711669</v>
      </c>
      <c r="F4204" s="4" t="s">
        <v>823</v>
      </c>
      <c r="G4204" t="s">
        <v>29</v>
      </c>
      <c r="H4204" t="s">
        <v>824</v>
      </c>
    </row>
    <row r="4205" spans="1:8" x14ac:dyDescent="0.25">
      <c r="A4205" t="s">
        <v>1022</v>
      </c>
      <c r="B4205" t="s">
        <v>272</v>
      </c>
      <c r="C4205" s="5">
        <v>12899</v>
      </c>
      <c r="D4205" s="5">
        <v>33</v>
      </c>
      <c r="E4205">
        <v>10400</v>
      </c>
      <c r="F4205" s="4" t="s">
        <v>794</v>
      </c>
      <c r="G4205" t="s">
        <v>29</v>
      </c>
      <c r="H4205" t="s">
        <v>795</v>
      </c>
    </row>
    <row r="4206" spans="1:8" x14ac:dyDescent="0.25">
      <c r="A4206" t="s">
        <v>1022</v>
      </c>
      <c r="B4206" t="s">
        <v>275</v>
      </c>
      <c r="C4206" s="5">
        <v>4733557</v>
      </c>
      <c r="D4206" s="5">
        <v>131763</v>
      </c>
      <c r="E4206">
        <v>2743667</v>
      </c>
      <c r="F4206" s="4" t="s">
        <v>98</v>
      </c>
      <c r="G4206" t="s">
        <v>29</v>
      </c>
      <c r="H4206" t="s">
        <v>99</v>
      </c>
    </row>
    <row r="4207" spans="1:8" x14ac:dyDescent="0.25">
      <c r="A4207" t="s">
        <v>1022</v>
      </c>
      <c r="B4207" t="s">
        <v>278</v>
      </c>
      <c r="C4207" s="5">
        <v>87970</v>
      </c>
      <c r="D4207" s="5">
        <v>2153</v>
      </c>
      <c r="E4207">
        <v>16314</v>
      </c>
      <c r="F4207" s="4" t="s">
        <v>999</v>
      </c>
      <c r="G4207" t="s">
        <v>29</v>
      </c>
      <c r="H4207" t="s">
        <v>1000</v>
      </c>
    </row>
    <row r="4208" spans="1:8" x14ac:dyDescent="0.25">
      <c r="A4208" t="s">
        <v>1022</v>
      </c>
      <c r="B4208" t="s">
        <v>279</v>
      </c>
      <c r="C4208" s="5">
        <v>849000</v>
      </c>
      <c r="D4208" s="5">
        <v>10930</v>
      </c>
      <c r="E4208">
        <v>71196</v>
      </c>
      <c r="F4208" s="4" t="s">
        <v>417</v>
      </c>
      <c r="G4208" t="s">
        <v>29</v>
      </c>
      <c r="H4208" t="s">
        <v>418</v>
      </c>
    </row>
    <row r="4209" spans="1:8" x14ac:dyDescent="0.25">
      <c r="A4209" t="s">
        <v>1022</v>
      </c>
      <c r="B4209" t="s">
        <v>280</v>
      </c>
      <c r="C4209" s="5">
        <v>1717177</v>
      </c>
      <c r="D4209" s="5">
        <v>18194</v>
      </c>
      <c r="E4209">
        <v>480837</v>
      </c>
      <c r="F4209" s="4" t="s">
        <v>165</v>
      </c>
      <c r="G4209" t="s">
        <v>29</v>
      </c>
      <c r="H4209" t="s">
        <v>166</v>
      </c>
    </row>
    <row r="4210" spans="1:8" x14ac:dyDescent="0.25">
      <c r="A4210" t="s">
        <v>1022</v>
      </c>
      <c r="B4210" t="s">
        <v>281</v>
      </c>
      <c r="C4210" s="5">
        <v>252499</v>
      </c>
      <c r="D4210" s="5">
        <v>5249</v>
      </c>
      <c r="E4210">
        <v>45841</v>
      </c>
      <c r="F4210" s="4" t="s">
        <v>549</v>
      </c>
      <c r="G4210" t="s">
        <v>29</v>
      </c>
      <c r="H4210" t="s">
        <v>550</v>
      </c>
    </row>
    <row r="4211" spans="1:8" x14ac:dyDescent="0.25">
      <c r="A4211" t="s">
        <v>1022</v>
      </c>
      <c r="B4211" t="s">
        <v>284</v>
      </c>
      <c r="C4211" s="5">
        <v>180348</v>
      </c>
      <c r="D4211" s="5">
        <v>2647</v>
      </c>
      <c r="E4211">
        <v>64255</v>
      </c>
      <c r="F4211" s="4" t="s">
        <v>777</v>
      </c>
      <c r="G4211" t="s">
        <v>29</v>
      </c>
      <c r="H4211" t="s">
        <v>778</v>
      </c>
    </row>
    <row r="4212" spans="1:8" x14ac:dyDescent="0.25">
      <c r="A4212" t="s">
        <v>1022</v>
      </c>
      <c r="B4212" t="s">
        <v>290</v>
      </c>
      <c r="C4212" s="5">
        <v>2</v>
      </c>
      <c r="D4212" s="5">
        <v>0</v>
      </c>
      <c r="E4212">
        <v>1</v>
      </c>
      <c r="F4212" s="4" t="s">
        <v>29</v>
      </c>
      <c r="G4212" t="s">
        <v>29</v>
      </c>
      <c r="H4212" t="s">
        <v>291</v>
      </c>
    </row>
    <row r="4213" spans="1:8" x14ac:dyDescent="0.25">
      <c r="A4213" t="s">
        <v>1022</v>
      </c>
      <c r="B4213" t="s">
        <v>287</v>
      </c>
      <c r="C4213" s="5">
        <v>117500</v>
      </c>
      <c r="D4213" s="5">
        <v>2715</v>
      </c>
      <c r="E4213">
        <v>67967</v>
      </c>
      <c r="F4213" s="4" t="s">
        <v>234</v>
      </c>
      <c r="G4213" t="s">
        <v>29</v>
      </c>
      <c r="H4213" t="s">
        <v>235</v>
      </c>
    </row>
    <row r="4214" spans="1:8" x14ac:dyDescent="0.25">
      <c r="A4214" t="s">
        <v>1022</v>
      </c>
      <c r="B4214" t="s">
        <v>292</v>
      </c>
      <c r="C4214" s="5">
        <v>4200</v>
      </c>
      <c r="D4214" s="5">
        <v>147</v>
      </c>
      <c r="E4214">
        <v>3067</v>
      </c>
      <c r="F4214" s="4" t="s">
        <v>677</v>
      </c>
      <c r="G4214" t="s">
        <v>29</v>
      </c>
      <c r="H4214" t="s">
        <v>678</v>
      </c>
    </row>
    <row r="4215" spans="1:8" x14ac:dyDescent="0.25">
      <c r="A4215" t="s">
        <v>1022</v>
      </c>
      <c r="B4215" t="s">
        <v>293</v>
      </c>
      <c r="C4215" s="5">
        <v>2619</v>
      </c>
      <c r="D4215" s="5">
        <v>21</v>
      </c>
      <c r="E4215">
        <v>787</v>
      </c>
      <c r="F4215" s="4" t="s">
        <v>942</v>
      </c>
      <c r="G4215" t="s">
        <v>29</v>
      </c>
      <c r="H4215" t="s">
        <v>943</v>
      </c>
    </row>
    <row r="4216" spans="1:8" x14ac:dyDescent="0.25">
      <c r="A4216" t="s">
        <v>1022</v>
      </c>
      <c r="B4216" t="s">
        <v>296</v>
      </c>
      <c r="C4216" s="5">
        <v>350476</v>
      </c>
      <c r="D4216" s="5">
        <v>2745</v>
      </c>
      <c r="E4216">
        <v>341283</v>
      </c>
      <c r="F4216" s="4" t="s">
        <v>297</v>
      </c>
      <c r="G4216" t="s">
        <v>29</v>
      </c>
      <c r="H4216" t="s">
        <v>298</v>
      </c>
    </row>
    <row r="4217" spans="1:8" x14ac:dyDescent="0.25">
      <c r="A4217" t="s">
        <v>1022</v>
      </c>
      <c r="B4217" t="s">
        <v>299</v>
      </c>
      <c r="C4217" s="5">
        <v>412481</v>
      </c>
      <c r="D4217" s="5">
        <v>2460</v>
      </c>
      <c r="E4217">
        <v>283998</v>
      </c>
      <c r="F4217" s="4" t="s">
        <v>300</v>
      </c>
      <c r="G4217" t="s">
        <v>29</v>
      </c>
      <c r="H4217" t="s">
        <v>301</v>
      </c>
    </row>
    <row r="4218" spans="1:8" x14ac:dyDescent="0.25">
      <c r="A4218" t="s">
        <v>1022</v>
      </c>
      <c r="B4218" t="s">
        <v>302</v>
      </c>
      <c r="C4218" s="5">
        <v>1005130</v>
      </c>
      <c r="D4218" s="5">
        <v>16871</v>
      </c>
      <c r="E4218">
        <v>560474</v>
      </c>
      <c r="F4218" s="4" t="s">
        <v>116</v>
      </c>
      <c r="G4218" t="s">
        <v>29</v>
      </c>
      <c r="H4218" t="s">
        <v>117</v>
      </c>
    </row>
    <row r="4219" spans="1:8" x14ac:dyDescent="0.25">
      <c r="A4219" t="s">
        <v>1022</v>
      </c>
      <c r="B4219" t="s">
        <v>303</v>
      </c>
      <c r="C4219" s="5">
        <v>34518</v>
      </c>
      <c r="D4219" s="5">
        <v>49</v>
      </c>
      <c r="E4219">
        <v>31939</v>
      </c>
      <c r="F4219" s="4" t="s">
        <v>821</v>
      </c>
      <c r="G4219" t="s">
        <v>29</v>
      </c>
      <c r="H4219" t="s">
        <v>822</v>
      </c>
    </row>
    <row r="4220" spans="1:8" x14ac:dyDescent="0.25">
      <c r="A4220" t="s">
        <v>1022</v>
      </c>
      <c r="B4220" t="s">
        <v>306</v>
      </c>
      <c r="C4220" s="5">
        <v>636685</v>
      </c>
      <c r="D4220" s="5">
        <v>8445</v>
      </c>
      <c r="E4220">
        <v>529704</v>
      </c>
      <c r="F4220" s="4" t="s">
        <v>59</v>
      </c>
      <c r="G4220" t="s">
        <v>29</v>
      </c>
      <c r="H4220" t="s">
        <v>60</v>
      </c>
    </row>
    <row r="4221" spans="1:8" x14ac:dyDescent="0.25">
      <c r="A4221" t="s">
        <v>1022</v>
      </c>
      <c r="B4221" t="s">
        <v>309</v>
      </c>
      <c r="C4221" s="5">
        <v>12385</v>
      </c>
      <c r="D4221" s="5">
        <v>239</v>
      </c>
      <c r="E4221">
        <v>11426</v>
      </c>
      <c r="F4221" s="4" t="s">
        <v>946</v>
      </c>
      <c r="G4221" t="s">
        <v>29</v>
      </c>
      <c r="H4221" t="s">
        <v>947</v>
      </c>
    </row>
    <row r="4222" spans="1:8" x14ac:dyDescent="0.25">
      <c r="A4222" t="s">
        <v>1022</v>
      </c>
      <c r="B4222" t="s">
        <v>312</v>
      </c>
      <c r="C4222" s="5">
        <v>3623</v>
      </c>
      <c r="D4222" s="5">
        <v>60</v>
      </c>
      <c r="E4222">
        <v>462</v>
      </c>
      <c r="F4222" s="4" t="s">
        <v>135</v>
      </c>
      <c r="G4222" t="s">
        <v>29</v>
      </c>
      <c r="H4222" t="s">
        <v>136</v>
      </c>
    </row>
    <row r="4223" spans="1:8" x14ac:dyDescent="0.25">
      <c r="A4223" t="s">
        <v>1022</v>
      </c>
      <c r="B4223" t="s">
        <v>315</v>
      </c>
      <c r="C4223" s="5">
        <v>534975</v>
      </c>
      <c r="D4223" s="5">
        <v>13574</v>
      </c>
      <c r="E4223">
        <v>107602</v>
      </c>
      <c r="F4223" s="4" t="s">
        <v>141</v>
      </c>
      <c r="G4223" t="s">
        <v>29</v>
      </c>
      <c r="H4223" t="s">
        <v>142</v>
      </c>
    </row>
    <row r="4224" spans="1:8" x14ac:dyDescent="0.25">
      <c r="A4224" t="s">
        <v>1022</v>
      </c>
      <c r="B4224" t="s">
        <v>316</v>
      </c>
      <c r="C4224" s="5">
        <v>5811</v>
      </c>
      <c r="D4224" s="5">
        <v>287</v>
      </c>
      <c r="E4224">
        <v>1677</v>
      </c>
      <c r="F4224" s="4" t="s">
        <v>644</v>
      </c>
      <c r="G4224" t="s">
        <v>29</v>
      </c>
      <c r="H4224" t="s">
        <v>645</v>
      </c>
    </row>
    <row r="4225" spans="1:8" x14ac:dyDescent="0.25">
      <c r="A4225" t="s">
        <v>1022</v>
      </c>
      <c r="B4225" t="s">
        <v>319</v>
      </c>
      <c r="C4225" s="5">
        <v>21575</v>
      </c>
      <c r="D4225" s="5">
        <v>656</v>
      </c>
      <c r="E4225">
        <v>13593</v>
      </c>
      <c r="F4225" s="4" t="s">
        <v>320</v>
      </c>
      <c r="G4225" t="s">
        <v>29</v>
      </c>
      <c r="H4225" t="s">
        <v>321</v>
      </c>
    </row>
    <row r="4226" spans="1:8" x14ac:dyDescent="0.25">
      <c r="A4226" t="s">
        <v>1022</v>
      </c>
      <c r="B4226" t="s">
        <v>322</v>
      </c>
      <c r="C4226" s="5">
        <v>382454</v>
      </c>
      <c r="D4226" s="5">
        <v>5571</v>
      </c>
      <c r="E4226">
        <v>60361</v>
      </c>
      <c r="F4226" s="4" t="s">
        <v>565</v>
      </c>
      <c r="G4226" t="s">
        <v>29</v>
      </c>
      <c r="H4226" t="s">
        <v>566</v>
      </c>
    </row>
    <row r="4227" spans="1:8" x14ac:dyDescent="0.25">
      <c r="A4227" t="s">
        <v>1022</v>
      </c>
      <c r="B4227" t="s">
        <v>325</v>
      </c>
      <c r="C4227" s="5">
        <v>80603</v>
      </c>
      <c r="D4227" s="5">
        <v>842</v>
      </c>
      <c r="E4227">
        <v>19883</v>
      </c>
      <c r="F4227" s="4" t="s">
        <v>336</v>
      </c>
      <c r="G4227" t="s">
        <v>29</v>
      </c>
      <c r="H4227" t="s">
        <v>337</v>
      </c>
    </row>
    <row r="4228" spans="1:8" x14ac:dyDescent="0.25">
      <c r="A4228" t="s">
        <v>1022</v>
      </c>
      <c r="B4228" t="s">
        <v>328</v>
      </c>
      <c r="C4228" s="5">
        <v>197389</v>
      </c>
      <c r="D4228" s="5">
        <v>2992</v>
      </c>
      <c r="E4228">
        <v>19565</v>
      </c>
      <c r="F4228" s="4" t="s">
        <v>589</v>
      </c>
      <c r="G4228" t="s">
        <v>29</v>
      </c>
      <c r="H4228" t="s">
        <v>590</v>
      </c>
    </row>
    <row r="4229" spans="1:8" x14ac:dyDescent="0.25">
      <c r="A4229" t="s">
        <v>1022</v>
      </c>
      <c r="B4229" t="s">
        <v>329</v>
      </c>
      <c r="C4229" s="5">
        <v>352881</v>
      </c>
      <c r="D4229" s="5">
        <v>4982</v>
      </c>
      <c r="E4229">
        <v>248768</v>
      </c>
      <c r="F4229" s="4" t="s">
        <v>345</v>
      </c>
      <c r="G4229" t="s">
        <v>29</v>
      </c>
      <c r="H4229" t="s">
        <v>346</v>
      </c>
    </row>
    <row r="4230" spans="1:8" x14ac:dyDescent="0.25">
      <c r="A4230" t="s">
        <v>1022</v>
      </c>
      <c r="B4230" t="s">
        <v>332</v>
      </c>
      <c r="C4230" s="5">
        <v>943652</v>
      </c>
      <c r="D4230" s="5">
        <v>14600</v>
      </c>
      <c r="E4230">
        <v>375493</v>
      </c>
      <c r="F4230" s="4" t="s">
        <v>333</v>
      </c>
      <c r="G4230" t="s">
        <v>29</v>
      </c>
      <c r="H4230" t="s">
        <v>334</v>
      </c>
    </row>
    <row r="4231" spans="1:8" x14ac:dyDescent="0.25">
      <c r="A4231" t="s">
        <v>1022</v>
      </c>
      <c r="B4231" t="s">
        <v>335</v>
      </c>
      <c r="C4231" s="5">
        <v>3388</v>
      </c>
      <c r="D4231" s="5">
        <v>35</v>
      </c>
      <c r="E4231">
        <v>2062</v>
      </c>
      <c r="F4231" s="4" t="s">
        <v>687</v>
      </c>
      <c r="G4231" t="s">
        <v>29</v>
      </c>
      <c r="H4231" t="s">
        <v>688</v>
      </c>
    </row>
    <row r="4232" spans="1:8" x14ac:dyDescent="0.25">
      <c r="A4232" t="s">
        <v>1022</v>
      </c>
      <c r="B4232" t="s">
        <v>338</v>
      </c>
      <c r="C4232" s="5">
        <v>325526</v>
      </c>
      <c r="D4232" s="5">
        <v>7424</v>
      </c>
      <c r="E4232">
        <v>278758</v>
      </c>
      <c r="F4232" s="4" t="s">
        <v>892</v>
      </c>
      <c r="G4232" t="s">
        <v>29</v>
      </c>
      <c r="H4232" t="s">
        <v>893</v>
      </c>
    </row>
    <row r="4233" spans="1:8" x14ac:dyDescent="0.25">
      <c r="A4233" t="s">
        <v>1022</v>
      </c>
      <c r="B4233" t="s">
        <v>341</v>
      </c>
      <c r="C4233" s="5">
        <v>139963</v>
      </c>
      <c r="D4233" s="5">
        <v>2057</v>
      </c>
      <c r="E4233">
        <v>73399</v>
      </c>
      <c r="F4233" s="4" t="s">
        <v>777</v>
      </c>
      <c r="G4233" t="s">
        <v>29</v>
      </c>
      <c r="H4233" t="s">
        <v>778</v>
      </c>
    </row>
    <row r="4234" spans="1:8" x14ac:dyDescent="0.25">
      <c r="A4234" t="s">
        <v>1022</v>
      </c>
      <c r="B4234" t="s">
        <v>344</v>
      </c>
      <c r="C4234" s="5">
        <v>3888</v>
      </c>
      <c r="D4234" s="5">
        <v>55</v>
      </c>
      <c r="E4234">
        <v>1123</v>
      </c>
      <c r="F4234" s="4" t="s">
        <v>345</v>
      </c>
      <c r="G4234" t="s">
        <v>29</v>
      </c>
      <c r="H4234" t="s">
        <v>346</v>
      </c>
    </row>
    <row r="4235" spans="1:8" x14ac:dyDescent="0.25">
      <c r="A4235" t="s">
        <v>1022</v>
      </c>
      <c r="B4235" t="s">
        <v>347</v>
      </c>
      <c r="C4235" s="5">
        <v>43622</v>
      </c>
      <c r="D4235" s="5">
        <v>960</v>
      </c>
      <c r="E4235">
        <v>3204</v>
      </c>
      <c r="F4235" s="4" t="s">
        <v>969</v>
      </c>
      <c r="G4235" t="s">
        <v>29</v>
      </c>
      <c r="H4235" t="s">
        <v>970</v>
      </c>
    </row>
    <row r="4236" spans="1:8" x14ac:dyDescent="0.25">
      <c r="A4236" t="s">
        <v>1022</v>
      </c>
      <c r="B4236" t="s">
        <v>348</v>
      </c>
      <c r="C4236" s="5">
        <v>4</v>
      </c>
      <c r="D4236" s="5">
        <v>0</v>
      </c>
      <c r="E4236">
        <v>4</v>
      </c>
      <c r="F4236" s="4" t="s">
        <v>29</v>
      </c>
      <c r="G4236" t="s">
        <v>29</v>
      </c>
      <c r="H4236" t="s">
        <v>291</v>
      </c>
    </row>
    <row r="4237" spans="1:8" x14ac:dyDescent="0.25">
      <c r="A4237" t="s">
        <v>1022</v>
      </c>
      <c r="B4237" t="s">
        <v>349</v>
      </c>
      <c r="C4237" s="5">
        <v>199057</v>
      </c>
      <c r="D4237" s="5">
        <v>7019</v>
      </c>
      <c r="E4237">
        <v>138241</v>
      </c>
      <c r="F4237" s="4" t="s">
        <v>430</v>
      </c>
      <c r="G4237" t="s">
        <v>29</v>
      </c>
      <c r="H4237" t="s">
        <v>431</v>
      </c>
    </row>
    <row r="4238" spans="1:8" x14ac:dyDescent="0.25">
      <c r="A4238" t="s">
        <v>1022</v>
      </c>
      <c r="B4238" t="s">
        <v>352</v>
      </c>
      <c r="C4238" s="5">
        <v>15776</v>
      </c>
      <c r="D4238" s="5">
        <v>558</v>
      </c>
      <c r="E4238">
        <v>11327</v>
      </c>
      <c r="F4238" s="4" t="s">
        <v>494</v>
      </c>
      <c r="G4238" t="s">
        <v>29</v>
      </c>
      <c r="H4238" t="s">
        <v>495</v>
      </c>
    </row>
    <row r="4239" spans="1:8" x14ac:dyDescent="0.25">
      <c r="A4239" t="s">
        <v>1022</v>
      </c>
      <c r="B4239" t="s">
        <v>355</v>
      </c>
      <c r="C4239" s="5">
        <v>492509</v>
      </c>
      <c r="D4239" s="5">
        <v>18491</v>
      </c>
      <c r="E4239">
        <v>327127</v>
      </c>
      <c r="F4239" s="4" t="s">
        <v>963</v>
      </c>
      <c r="G4239" t="s">
        <v>29</v>
      </c>
      <c r="H4239" t="s">
        <v>964</v>
      </c>
    </row>
    <row r="4240" spans="1:8" x14ac:dyDescent="0.25">
      <c r="A4240" t="s">
        <v>1022</v>
      </c>
      <c r="B4240" t="s">
        <v>358</v>
      </c>
      <c r="C4240" s="5">
        <v>348188</v>
      </c>
      <c r="D4240" s="5">
        <v>1643</v>
      </c>
      <c r="E4240">
        <v>39113</v>
      </c>
      <c r="F4240" s="4" t="s">
        <v>932</v>
      </c>
      <c r="G4240" t="s">
        <v>29</v>
      </c>
      <c r="H4240" t="s">
        <v>933</v>
      </c>
    </row>
    <row r="4241" spans="1:8" x14ac:dyDescent="0.25">
      <c r="A4241" t="s">
        <v>1022</v>
      </c>
      <c r="B4241" t="s">
        <v>359</v>
      </c>
      <c r="C4241" s="5">
        <v>77</v>
      </c>
      <c r="D4241" s="5">
        <v>0</v>
      </c>
      <c r="E4241">
        <v>65</v>
      </c>
      <c r="F4241" s="4" t="s">
        <v>29</v>
      </c>
      <c r="G4241" t="s">
        <v>29</v>
      </c>
      <c r="H4241" t="s">
        <v>291</v>
      </c>
    </row>
    <row r="4242" spans="1:8" x14ac:dyDescent="0.25">
      <c r="A4242" t="s">
        <v>1022</v>
      </c>
      <c r="B4242" t="s">
        <v>360</v>
      </c>
      <c r="C4242" s="5">
        <v>42820</v>
      </c>
      <c r="D4242" s="5">
        <v>673</v>
      </c>
      <c r="E4242">
        <v>37734</v>
      </c>
      <c r="F4242" s="4" t="s">
        <v>217</v>
      </c>
      <c r="G4242" t="s">
        <v>29</v>
      </c>
      <c r="H4242" t="s">
        <v>218</v>
      </c>
    </row>
    <row r="4243" spans="1:8" x14ac:dyDescent="0.25">
      <c r="A4243" t="s">
        <v>1022</v>
      </c>
      <c r="B4243" t="s">
        <v>363</v>
      </c>
      <c r="C4243" s="5">
        <v>36866</v>
      </c>
      <c r="D4243" s="5">
        <v>791</v>
      </c>
      <c r="E4243">
        <v>31088</v>
      </c>
      <c r="F4243" s="4" t="s">
        <v>852</v>
      </c>
      <c r="G4243" t="s">
        <v>29</v>
      </c>
      <c r="H4243" t="s">
        <v>853</v>
      </c>
    </row>
    <row r="4244" spans="1:8" x14ac:dyDescent="0.25">
      <c r="A4244" t="s">
        <v>1022</v>
      </c>
      <c r="B4244" t="s">
        <v>364</v>
      </c>
      <c r="C4244" s="5">
        <v>37533</v>
      </c>
      <c r="D4244" s="5">
        <v>459</v>
      </c>
      <c r="E4244">
        <v>10287</v>
      </c>
      <c r="F4244" s="4" t="s">
        <v>365</v>
      </c>
      <c r="G4244" t="s">
        <v>29</v>
      </c>
      <c r="H4244" t="s">
        <v>366</v>
      </c>
    </row>
    <row r="4245" spans="1:8" x14ac:dyDescent="0.25">
      <c r="A4245" t="s">
        <v>1022</v>
      </c>
      <c r="B4245" t="s">
        <v>367</v>
      </c>
      <c r="C4245" s="5">
        <v>17047</v>
      </c>
      <c r="D4245" s="5">
        <v>148</v>
      </c>
      <c r="E4245">
        <v>16084</v>
      </c>
      <c r="F4245" s="4" t="s">
        <v>498</v>
      </c>
      <c r="G4245" t="s">
        <v>29</v>
      </c>
      <c r="H4245" t="s">
        <v>499</v>
      </c>
    </row>
    <row r="4246" spans="1:8" x14ac:dyDescent="0.25">
      <c r="A4246" t="s">
        <v>1022</v>
      </c>
      <c r="B4246" t="s">
        <v>368</v>
      </c>
      <c r="C4246" s="5">
        <v>86605</v>
      </c>
      <c r="D4246" s="5">
        <v>240</v>
      </c>
      <c r="E4246">
        <v>57512</v>
      </c>
      <c r="F4246" s="4" t="s">
        <v>369</v>
      </c>
      <c r="G4246" t="s">
        <v>29</v>
      </c>
      <c r="H4246" t="s">
        <v>370</v>
      </c>
    </row>
    <row r="4247" spans="1:8" x14ac:dyDescent="0.25">
      <c r="A4247" t="s">
        <v>1022</v>
      </c>
      <c r="B4247" t="s">
        <v>371</v>
      </c>
      <c r="C4247" s="5">
        <v>61747</v>
      </c>
      <c r="D4247" s="5">
        <v>2296</v>
      </c>
      <c r="E4247">
        <v>29688</v>
      </c>
      <c r="F4247" s="4" t="s">
        <v>372</v>
      </c>
      <c r="G4247" t="s">
        <v>29</v>
      </c>
      <c r="H4247" t="s">
        <v>373</v>
      </c>
    </row>
    <row r="4248" spans="1:8" x14ac:dyDescent="0.25">
      <c r="A4248" t="s">
        <v>1022</v>
      </c>
      <c r="B4248" t="s">
        <v>374</v>
      </c>
      <c r="C4248" s="5">
        <v>3777209</v>
      </c>
      <c r="D4248" s="5">
        <v>285953</v>
      </c>
      <c r="E4248">
        <v>3398892</v>
      </c>
      <c r="F4248" s="4" t="s">
        <v>375</v>
      </c>
      <c r="G4248" t="s">
        <v>29</v>
      </c>
      <c r="H4248" t="s">
        <v>376</v>
      </c>
    </row>
    <row r="4249" spans="1:8" x14ac:dyDescent="0.25">
      <c r="A4249" t="s">
        <v>1022</v>
      </c>
      <c r="B4249" t="s">
        <v>377</v>
      </c>
      <c r="C4249" s="5">
        <v>2420222</v>
      </c>
      <c r="D4249" s="5">
        <v>28312</v>
      </c>
      <c r="E4249">
        <v>761347</v>
      </c>
      <c r="F4249" s="4" t="s">
        <v>378</v>
      </c>
      <c r="G4249" t="s">
        <v>29</v>
      </c>
      <c r="H4249" t="s">
        <v>379</v>
      </c>
    </row>
    <row r="4250" spans="1:8" x14ac:dyDescent="0.25">
      <c r="A4250" t="s">
        <v>1022</v>
      </c>
      <c r="B4250" t="s">
        <v>380</v>
      </c>
      <c r="C4250" s="5">
        <v>151195</v>
      </c>
      <c r="D4250" s="5">
        <v>1927</v>
      </c>
      <c r="E4250">
        <v>129270</v>
      </c>
      <c r="F4250" s="4" t="s">
        <v>53</v>
      </c>
      <c r="G4250" t="s">
        <v>29</v>
      </c>
      <c r="H4250" t="s">
        <v>54</v>
      </c>
    </row>
    <row r="4251" spans="1:8" x14ac:dyDescent="0.25">
      <c r="A4251" t="s">
        <v>1022</v>
      </c>
      <c r="B4251" t="s">
        <v>383</v>
      </c>
      <c r="C4251" s="5">
        <v>128444</v>
      </c>
      <c r="D4251" s="5">
        <v>3545</v>
      </c>
      <c r="E4251">
        <v>50634</v>
      </c>
      <c r="F4251" s="4" t="s">
        <v>384</v>
      </c>
      <c r="G4251" t="s">
        <v>29</v>
      </c>
      <c r="H4251" t="s">
        <v>385</v>
      </c>
    </row>
    <row r="4252" spans="1:8" x14ac:dyDescent="0.25">
      <c r="A4252" t="s">
        <v>1022</v>
      </c>
      <c r="B4252" t="s">
        <v>386</v>
      </c>
      <c r="C4252" s="5">
        <v>10388</v>
      </c>
      <c r="D4252" s="5">
        <v>252</v>
      </c>
      <c r="E4252">
        <v>1850</v>
      </c>
      <c r="F4252" s="4" t="s">
        <v>917</v>
      </c>
      <c r="G4252" t="s">
        <v>29</v>
      </c>
      <c r="H4252" t="s">
        <v>918</v>
      </c>
    </row>
    <row r="4253" spans="1:8" x14ac:dyDescent="0.25">
      <c r="A4253" t="s">
        <v>1022</v>
      </c>
      <c r="B4253" t="s">
        <v>387</v>
      </c>
      <c r="C4253" s="5">
        <v>6236</v>
      </c>
      <c r="D4253" s="5">
        <v>206</v>
      </c>
      <c r="E4253">
        <v>589</v>
      </c>
      <c r="F4253" s="4" t="s">
        <v>1025</v>
      </c>
      <c r="G4253" t="s">
        <v>29</v>
      </c>
      <c r="H4253" t="s">
        <v>1026</v>
      </c>
    </row>
    <row r="4254" spans="1:8" x14ac:dyDescent="0.25">
      <c r="A4254" t="s">
        <v>1022</v>
      </c>
      <c r="B4254" t="s">
        <v>390</v>
      </c>
      <c r="C4254" s="5">
        <v>210136</v>
      </c>
      <c r="D4254" s="5">
        <v>2855</v>
      </c>
      <c r="E4254">
        <v>190296</v>
      </c>
      <c r="F4254" s="4" t="s">
        <v>630</v>
      </c>
      <c r="G4254" t="s">
        <v>29</v>
      </c>
      <c r="H4254" t="s">
        <v>631</v>
      </c>
    </row>
    <row r="4255" spans="1:8" x14ac:dyDescent="0.25">
      <c r="A4255" t="s">
        <v>1022</v>
      </c>
      <c r="B4255" t="s">
        <v>393</v>
      </c>
      <c r="C4255" s="5">
        <v>16241</v>
      </c>
      <c r="D4255" s="5">
        <v>207</v>
      </c>
      <c r="E4255">
        <v>7578</v>
      </c>
      <c r="F4255" s="4" t="s">
        <v>53</v>
      </c>
      <c r="G4255" t="s">
        <v>29</v>
      </c>
      <c r="H4255" t="s">
        <v>54</v>
      </c>
    </row>
    <row r="4256" spans="1:8" x14ac:dyDescent="0.25">
      <c r="A4256" t="s">
        <v>1022</v>
      </c>
      <c r="B4256" t="s">
        <v>396</v>
      </c>
      <c r="C4256" s="5">
        <v>2110236</v>
      </c>
      <c r="D4256" s="5">
        <v>18727</v>
      </c>
      <c r="E4256">
        <v>1987463</v>
      </c>
      <c r="F4256" s="4" t="s">
        <v>65</v>
      </c>
      <c r="G4256" t="s">
        <v>29</v>
      </c>
      <c r="H4256" t="s">
        <v>66</v>
      </c>
    </row>
    <row r="4257" spans="1:8" x14ac:dyDescent="0.25">
      <c r="A4257" t="s">
        <v>1022</v>
      </c>
      <c r="B4257" t="s">
        <v>399</v>
      </c>
      <c r="C4257" s="5">
        <v>199550</v>
      </c>
      <c r="D4257" s="5">
        <v>894</v>
      </c>
      <c r="E4257">
        <v>135356</v>
      </c>
      <c r="F4257" s="4" t="s">
        <v>888</v>
      </c>
      <c r="G4257" t="s">
        <v>29</v>
      </c>
      <c r="H4257" t="s">
        <v>889</v>
      </c>
    </row>
    <row r="4258" spans="1:8" x14ac:dyDescent="0.25">
      <c r="A4258" t="s">
        <v>1022</v>
      </c>
      <c r="B4258" t="s">
        <v>402</v>
      </c>
      <c r="C4258" s="5">
        <v>808096</v>
      </c>
      <c r="D4258" s="5">
        <v>11337</v>
      </c>
      <c r="E4258">
        <v>319217</v>
      </c>
      <c r="F4258" s="4" t="s">
        <v>403</v>
      </c>
      <c r="G4258" t="s">
        <v>29</v>
      </c>
      <c r="H4258" t="s">
        <v>404</v>
      </c>
    </row>
    <row r="4259" spans="1:8" x14ac:dyDescent="0.25">
      <c r="A4259" t="s">
        <v>1022</v>
      </c>
      <c r="B4259" t="s">
        <v>405</v>
      </c>
      <c r="C4259" s="5">
        <v>5555</v>
      </c>
      <c r="D4259" s="5">
        <v>28</v>
      </c>
      <c r="E4259">
        <v>1699</v>
      </c>
      <c r="F4259" s="4" t="s">
        <v>80</v>
      </c>
      <c r="G4259" t="s">
        <v>29</v>
      </c>
      <c r="H4259" t="s">
        <v>81</v>
      </c>
    </row>
    <row r="4260" spans="1:8" x14ac:dyDescent="0.25">
      <c r="A4260" t="s">
        <v>1022</v>
      </c>
      <c r="B4260" t="s">
        <v>408</v>
      </c>
      <c r="C4260" s="5">
        <v>304116</v>
      </c>
      <c r="D4260" s="5">
        <v>4107</v>
      </c>
      <c r="E4260">
        <v>127372</v>
      </c>
      <c r="F4260" s="4" t="s">
        <v>409</v>
      </c>
      <c r="G4260" t="s">
        <v>29</v>
      </c>
      <c r="H4260" t="s">
        <v>410</v>
      </c>
    </row>
    <row r="4261" spans="1:8" x14ac:dyDescent="0.25">
      <c r="A4261" t="s">
        <v>1022</v>
      </c>
      <c r="B4261" t="s">
        <v>411</v>
      </c>
      <c r="C4261" s="5">
        <v>471253</v>
      </c>
      <c r="D4261" s="5">
        <v>7306</v>
      </c>
      <c r="E4261">
        <v>279638</v>
      </c>
      <c r="F4261" s="4" t="s">
        <v>333</v>
      </c>
      <c r="G4261" t="s">
        <v>29</v>
      </c>
      <c r="H4261" t="s">
        <v>334</v>
      </c>
    </row>
    <row r="4262" spans="1:8" x14ac:dyDescent="0.25">
      <c r="A4262" t="s">
        <v>1022</v>
      </c>
      <c r="B4262" t="s">
        <v>412</v>
      </c>
      <c r="C4262" s="5">
        <v>2194132</v>
      </c>
      <c r="D4262" s="5">
        <v>200003</v>
      </c>
      <c r="E4262">
        <v>757413</v>
      </c>
      <c r="F4262" s="4" t="s">
        <v>1027</v>
      </c>
      <c r="G4262" t="s">
        <v>29</v>
      </c>
      <c r="H4262" t="s">
        <v>1028</v>
      </c>
    </row>
    <row r="4263" spans="1:8" x14ac:dyDescent="0.25">
      <c r="A4263" t="s">
        <v>1022</v>
      </c>
      <c r="B4263" t="s">
        <v>415</v>
      </c>
      <c r="C4263" s="5">
        <v>45515</v>
      </c>
      <c r="D4263" s="5">
        <v>635</v>
      </c>
      <c r="E4263">
        <v>14427</v>
      </c>
      <c r="F4263" s="4" t="s">
        <v>403</v>
      </c>
      <c r="G4263" t="s">
        <v>29</v>
      </c>
      <c r="H4263" t="s">
        <v>404</v>
      </c>
    </row>
    <row r="4264" spans="1:8" x14ac:dyDescent="0.25">
      <c r="A4264" t="s">
        <v>1022</v>
      </c>
      <c r="B4264" t="s">
        <v>416</v>
      </c>
      <c r="C4264" s="5">
        <v>26731</v>
      </c>
      <c r="D4264" s="5">
        <v>329</v>
      </c>
      <c r="E4264">
        <v>15636</v>
      </c>
      <c r="F4264" s="4" t="s">
        <v>798</v>
      </c>
      <c r="G4264" t="s">
        <v>29</v>
      </c>
      <c r="H4264" t="s">
        <v>799</v>
      </c>
    </row>
    <row r="4265" spans="1:8" x14ac:dyDescent="0.25">
      <c r="A4265" t="s">
        <v>1022</v>
      </c>
      <c r="B4265" t="s">
        <v>419</v>
      </c>
      <c r="C4265" s="5">
        <v>2745889</v>
      </c>
      <c r="D4265" s="5">
        <v>41520</v>
      </c>
      <c r="E4265">
        <v>582802</v>
      </c>
      <c r="F4265" s="4" t="s">
        <v>202</v>
      </c>
      <c r="G4265" t="s">
        <v>29</v>
      </c>
      <c r="H4265" t="s">
        <v>203</v>
      </c>
    </row>
    <row r="4266" spans="1:8" x14ac:dyDescent="0.25">
      <c r="A4266" t="s">
        <v>1022</v>
      </c>
      <c r="B4266" t="s">
        <v>420</v>
      </c>
      <c r="C4266" s="5">
        <v>1267945</v>
      </c>
      <c r="D4266" s="5">
        <v>28359</v>
      </c>
      <c r="E4266">
        <v>9441</v>
      </c>
      <c r="F4266" s="4" t="s">
        <v>603</v>
      </c>
      <c r="G4266" t="s">
        <v>29</v>
      </c>
      <c r="H4266" t="s">
        <v>604</v>
      </c>
    </row>
    <row r="4267" spans="1:8" x14ac:dyDescent="0.25">
      <c r="A4267" t="s">
        <v>1022</v>
      </c>
      <c r="B4267" t="s">
        <v>423</v>
      </c>
      <c r="C4267" s="5">
        <v>2961923</v>
      </c>
      <c r="D4267" s="5">
        <v>76359</v>
      </c>
      <c r="E4267">
        <v>2108889</v>
      </c>
      <c r="F4267" s="4" t="s">
        <v>1016</v>
      </c>
      <c r="G4267" t="s">
        <v>29</v>
      </c>
      <c r="H4267" t="s">
        <v>1017</v>
      </c>
    </row>
    <row r="4268" spans="1:8" x14ac:dyDescent="0.25">
      <c r="A4268" t="s">
        <v>1022</v>
      </c>
      <c r="B4268" t="s">
        <v>426</v>
      </c>
      <c r="C4268" s="5">
        <v>450310</v>
      </c>
      <c r="D4268" s="5">
        <v>4611</v>
      </c>
      <c r="E4268">
        <v>81613</v>
      </c>
      <c r="F4268" s="4" t="s">
        <v>326</v>
      </c>
      <c r="G4268" t="s">
        <v>29</v>
      </c>
      <c r="H4268" t="s">
        <v>327</v>
      </c>
    </row>
    <row r="4269" spans="1:8" x14ac:dyDescent="0.25">
      <c r="A4269" t="s">
        <v>1022</v>
      </c>
      <c r="B4269" t="s">
        <v>427</v>
      </c>
      <c r="C4269" s="5">
        <v>1083651</v>
      </c>
      <c r="D4269" s="5">
        <v>18125</v>
      </c>
      <c r="E4269">
        <v>204924</v>
      </c>
      <c r="F4269" s="4" t="s">
        <v>827</v>
      </c>
      <c r="G4269" t="s">
        <v>29</v>
      </c>
      <c r="H4269" t="s">
        <v>828</v>
      </c>
    </row>
    <row r="4270" spans="1:8" x14ac:dyDescent="0.25">
      <c r="A4270" t="s">
        <v>1022</v>
      </c>
      <c r="B4270" t="s">
        <v>428</v>
      </c>
      <c r="C4270" s="5">
        <v>8</v>
      </c>
      <c r="D4270" s="5">
        <v>0</v>
      </c>
      <c r="E4270">
        <v>7</v>
      </c>
      <c r="F4270" s="4" t="s">
        <v>29</v>
      </c>
      <c r="G4270" t="s">
        <v>29</v>
      </c>
      <c r="H4270" t="s">
        <v>291</v>
      </c>
    </row>
    <row r="4271" spans="1:8" x14ac:dyDescent="0.25">
      <c r="A4271" t="s">
        <v>1022</v>
      </c>
      <c r="B4271" t="s">
        <v>429</v>
      </c>
      <c r="C4271" s="5">
        <v>460679</v>
      </c>
      <c r="D4271" s="5">
        <v>16229</v>
      </c>
      <c r="E4271">
        <v>152379</v>
      </c>
      <c r="F4271" s="4" t="s">
        <v>353</v>
      </c>
      <c r="G4271" t="s">
        <v>29</v>
      </c>
      <c r="H4271" t="s">
        <v>354</v>
      </c>
    </row>
    <row r="4272" spans="1:8" x14ac:dyDescent="0.25">
      <c r="A4272" t="s">
        <v>1022</v>
      </c>
      <c r="B4272" t="s">
        <v>432</v>
      </c>
      <c r="C4272" s="5">
        <v>238359</v>
      </c>
      <c r="D4272" s="5">
        <v>608</v>
      </c>
      <c r="E4272">
        <v>110689</v>
      </c>
      <c r="F4272" s="4" t="s">
        <v>794</v>
      </c>
      <c r="G4272" t="s">
        <v>29</v>
      </c>
      <c r="H4272" t="s">
        <v>795</v>
      </c>
    </row>
    <row r="4273" spans="1:8" x14ac:dyDescent="0.25">
      <c r="A4273" t="s">
        <v>1022</v>
      </c>
      <c r="B4273" t="s">
        <v>435</v>
      </c>
      <c r="C4273" s="5">
        <v>54438</v>
      </c>
      <c r="D4273" s="5">
        <v>372</v>
      </c>
      <c r="E4273">
        <v>31136</v>
      </c>
      <c r="F4273" s="4" t="s">
        <v>605</v>
      </c>
      <c r="G4273" t="s">
        <v>29</v>
      </c>
      <c r="H4273" t="s">
        <v>606</v>
      </c>
    </row>
    <row r="4274" spans="1:8" x14ac:dyDescent="0.25">
      <c r="A4274" t="s">
        <v>1022</v>
      </c>
      <c r="B4274" t="s">
        <v>436</v>
      </c>
      <c r="C4274" s="5">
        <v>1534942</v>
      </c>
      <c r="D4274" s="5">
        <v>43844</v>
      </c>
      <c r="E4274">
        <v>1205266</v>
      </c>
      <c r="F4274" s="4" t="s">
        <v>955</v>
      </c>
      <c r="G4274" t="s">
        <v>29</v>
      </c>
      <c r="H4274" t="s">
        <v>956</v>
      </c>
    </row>
    <row r="4275" spans="1:8" x14ac:dyDescent="0.25">
      <c r="A4275" t="s">
        <v>1022</v>
      </c>
      <c r="B4275" t="s">
        <v>439</v>
      </c>
      <c r="C4275" s="5">
        <v>1085728</v>
      </c>
      <c r="D4275" s="5">
        <v>9388</v>
      </c>
      <c r="E4275">
        <v>42635</v>
      </c>
      <c r="F4275" s="4" t="s">
        <v>122</v>
      </c>
      <c r="G4275" t="s">
        <v>29</v>
      </c>
      <c r="H4275" t="s">
        <v>123</v>
      </c>
    </row>
    <row r="4276" spans="1:8" x14ac:dyDescent="0.25">
      <c r="A4276" t="s">
        <v>1022</v>
      </c>
      <c r="B4276" t="s">
        <v>440</v>
      </c>
      <c r="C4276" s="5">
        <v>8041581</v>
      </c>
      <c r="D4276" s="5">
        <v>224369</v>
      </c>
      <c r="E4276">
        <v>7120020</v>
      </c>
      <c r="F4276" s="4" t="s">
        <v>662</v>
      </c>
      <c r="G4276" t="s">
        <v>29</v>
      </c>
      <c r="H4276" t="s">
        <v>663</v>
      </c>
    </row>
    <row r="4277" spans="1:8" x14ac:dyDescent="0.25">
      <c r="A4277" t="s">
        <v>1022</v>
      </c>
      <c r="B4277" t="s">
        <v>443</v>
      </c>
      <c r="C4277" s="5">
        <v>99325</v>
      </c>
      <c r="D4277" s="5">
        <v>1318</v>
      </c>
      <c r="E4277">
        <v>80518</v>
      </c>
      <c r="F4277" s="4" t="s">
        <v>59</v>
      </c>
      <c r="G4277" t="s">
        <v>29</v>
      </c>
      <c r="H4277" t="s">
        <v>60</v>
      </c>
    </row>
    <row r="4278" spans="1:8" x14ac:dyDescent="0.25">
      <c r="A4278" t="s">
        <v>1022</v>
      </c>
      <c r="B4278" t="s">
        <v>444</v>
      </c>
      <c r="C4278" s="5">
        <v>548162</v>
      </c>
      <c r="D4278" s="5">
        <v>8774</v>
      </c>
      <c r="E4278">
        <v>275954</v>
      </c>
      <c r="F4278" s="4" t="s">
        <v>313</v>
      </c>
      <c r="G4278" t="s">
        <v>29</v>
      </c>
      <c r="H4278" t="s">
        <v>314</v>
      </c>
    </row>
    <row r="4279" spans="1:8" x14ac:dyDescent="0.25">
      <c r="A4279" t="s">
        <v>1022</v>
      </c>
      <c r="B4279" t="s">
        <v>445</v>
      </c>
      <c r="C4279" s="5">
        <v>20</v>
      </c>
      <c r="D4279" s="5">
        <v>0</v>
      </c>
      <c r="E4279">
        <v>6</v>
      </c>
      <c r="F4279" s="4" t="s">
        <v>29</v>
      </c>
      <c r="G4279" t="s">
        <v>29</v>
      </c>
      <c r="H4279" t="s">
        <v>291</v>
      </c>
    </row>
    <row r="4280" spans="1:8" x14ac:dyDescent="0.25">
      <c r="A4280" t="s">
        <v>1022</v>
      </c>
      <c r="B4280" t="s">
        <v>446</v>
      </c>
      <c r="C4280" s="5">
        <v>22102</v>
      </c>
      <c r="D4280" s="5">
        <v>119</v>
      </c>
      <c r="E4280">
        <v>14515</v>
      </c>
      <c r="F4280" s="4" t="s">
        <v>919</v>
      </c>
      <c r="G4280" t="s">
        <v>29</v>
      </c>
      <c r="H4280" t="s">
        <v>920</v>
      </c>
    </row>
    <row r="4281" spans="1:8" x14ac:dyDescent="0.25">
      <c r="A4281" t="s">
        <v>1022</v>
      </c>
      <c r="B4281" t="s">
        <v>449</v>
      </c>
      <c r="C4281" s="5">
        <v>40084</v>
      </c>
      <c r="D4281" s="5">
        <v>3038</v>
      </c>
      <c r="E4281">
        <v>25578</v>
      </c>
      <c r="F4281" s="4" t="s">
        <v>1029</v>
      </c>
      <c r="G4281" t="s">
        <v>29</v>
      </c>
      <c r="H4281" t="s">
        <v>1030</v>
      </c>
    </row>
    <row r="4282" spans="1:8" x14ac:dyDescent="0.25">
      <c r="A4282" t="s">
        <v>1022</v>
      </c>
      <c r="B4282" t="s">
        <v>452</v>
      </c>
      <c r="C4282" s="5">
        <v>1165996</v>
      </c>
      <c r="D4282" s="5">
        <v>14993</v>
      </c>
      <c r="E4282">
        <v>526894</v>
      </c>
      <c r="F4282" s="4" t="s">
        <v>417</v>
      </c>
      <c r="G4282" t="s">
        <v>29</v>
      </c>
      <c r="H4282" t="s">
        <v>418</v>
      </c>
    </row>
    <row r="4283" spans="1:8" x14ac:dyDescent="0.25">
      <c r="A4283" t="s">
        <v>1022</v>
      </c>
      <c r="B4283" t="s">
        <v>453</v>
      </c>
      <c r="C4283" s="5">
        <v>165663</v>
      </c>
      <c r="D4283" s="5">
        <v>294</v>
      </c>
      <c r="E4283">
        <v>101600</v>
      </c>
      <c r="F4283" s="4" t="s">
        <v>304</v>
      </c>
      <c r="G4283" t="s">
        <v>29</v>
      </c>
      <c r="H4283" t="s">
        <v>305</v>
      </c>
    </row>
    <row r="4284" spans="1:8" x14ac:dyDescent="0.25">
      <c r="A4284" t="s">
        <v>1022</v>
      </c>
      <c r="B4284" t="s">
        <v>456</v>
      </c>
      <c r="C4284" s="5">
        <v>316138</v>
      </c>
      <c r="D4284" s="5">
        <v>4669</v>
      </c>
      <c r="E4284">
        <v>192192</v>
      </c>
      <c r="F4284" s="4" t="s">
        <v>285</v>
      </c>
      <c r="G4284" t="s">
        <v>29</v>
      </c>
      <c r="H4284" t="s">
        <v>286</v>
      </c>
    </row>
    <row r="4285" spans="1:8" x14ac:dyDescent="0.25">
      <c r="A4285" t="s">
        <v>1022</v>
      </c>
      <c r="B4285" t="s">
        <v>457</v>
      </c>
      <c r="C4285" s="5">
        <v>449775</v>
      </c>
      <c r="D4285" s="5">
        <v>12886</v>
      </c>
      <c r="E4285">
        <v>328503</v>
      </c>
      <c r="F4285" s="4" t="s">
        <v>955</v>
      </c>
      <c r="G4285" t="s">
        <v>29</v>
      </c>
      <c r="H4285" t="s">
        <v>956</v>
      </c>
    </row>
    <row r="4286" spans="1:8" x14ac:dyDescent="0.25">
      <c r="A4286" t="s">
        <v>1022</v>
      </c>
      <c r="B4286" t="s">
        <v>460</v>
      </c>
      <c r="C4286" s="5">
        <v>6397</v>
      </c>
      <c r="D4286" s="5">
        <v>121</v>
      </c>
      <c r="E4286">
        <v>2590</v>
      </c>
      <c r="F4286" s="4" t="s">
        <v>461</v>
      </c>
      <c r="G4286" t="s">
        <v>29</v>
      </c>
      <c r="H4286" t="s">
        <v>462</v>
      </c>
    </row>
    <row r="4287" spans="1:8" x14ac:dyDescent="0.25">
      <c r="A4287" t="s">
        <v>1022</v>
      </c>
      <c r="B4287" t="s">
        <v>463</v>
      </c>
      <c r="C4287" s="5">
        <v>5497</v>
      </c>
      <c r="D4287" s="5">
        <v>91</v>
      </c>
      <c r="E4287">
        <v>1260</v>
      </c>
      <c r="F4287" s="4" t="s">
        <v>135</v>
      </c>
      <c r="G4287" t="s">
        <v>29</v>
      </c>
      <c r="H4287" t="s">
        <v>136</v>
      </c>
    </row>
    <row r="4288" spans="1:8" x14ac:dyDescent="0.25">
      <c r="A4288" t="s">
        <v>1022</v>
      </c>
      <c r="B4288" t="s">
        <v>464</v>
      </c>
      <c r="C4288" s="5">
        <v>73880</v>
      </c>
      <c r="D4288" s="5">
        <v>1876</v>
      </c>
      <c r="E4288">
        <v>25800</v>
      </c>
      <c r="F4288" s="4" t="s">
        <v>141</v>
      </c>
      <c r="G4288" t="s">
        <v>29</v>
      </c>
      <c r="H4288" t="s">
        <v>142</v>
      </c>
    </row>
    <row r="4289" spans="1:8" x14ac:dyDescent="0.25">
      <c r="A4289" t="s">
        <v>1022</v>
      </c>
      <c r="B4289" t="s">
        <v>465</v>
      </c>
      <c r="C4289" s="5">
        <v>21269</v>
      </c>
      <c r="D4289" s="5">
        <v>1180</v>
      </c>
      <c r="E4289">
        <v>8839</v>
      </c>
      <c r="F4289" s="4" t="s">
        <v>1005</v>
      </c>
      <c r="G4289" t="s">
        <v>29</v>
      </c>
      <c r="H4289" t="s">
        <v>1006</v>
      </c>
    </row>
    <row r="4290" spans="1:8" x14ac:dyDescent="0.25">
      <c r="A4290" t="s">
        <v>1022</v>
      </c>
      <c r="B4290" t="s">
        <v>468</v>
      </c>
      <c r="C4290" s="5">
        <v>47875</v>
      </c>
      <c r="D4290" s="5">
        <v>1054</v>
      </c>
      <c r="E4290">
        <v>39421</v>
      </c>
      <c r="F4290" s="4" t="s">
        <v>969</v>
      </c>
      <c r="G4290" t="s">
        <v>29</v>
      </c>
      <c r="H4290" t="s">
        <v>970</v>
      </c>
    </row>
    <row r="4291" spans="1:8" x14ac:dyDescent="0.25">
      <c r="A4291" t="s">
        <v>1022</v>
      </c>
      <c r="B4291" t="s">
        <v>472</v>
      </c>
      <c r="C4291" s="5">
        <v>3691</v>
      </c>
      <c r="D4291" s="5">
        <v>56</v>
      </c>
      <c r="E4291">
        <v>12</v>
      </c>
      <c r="F4291" s="4" t="s">
        <v>589</v>
      </c>
      <c r="G4291" t="s">
        <v>29</v>
      </c>
      <c r="H4291" t="s">
        <v>590</v>
      </c>
    </row>
    <row r="4292" spans="1:8" x14ac:dyDescent="0.25">
      <c r="A4292" t="s">
        <v>1022</v>
      </c>
      <c r="B4292" t="s">
        <v>471</v>
      </c>
      <c r="C4292" s="5">
        <v>12279</v>
      </c>
      <c r="D4292" s="5">
        <v>133</v>
      </c>
      <c r="E4292">
        <v>9019</v>
      </c>
      <c r="F4292" s="4" t="s">
        <v>758</v>
      </c>
      <c r="G4292" t="s">
        <v>29</v>
      </c>
      <c r="H4292" t="s">
        <v>759</v>
      </c>
    </row>
    <row r="4293" spans="1:8" x14ac:dyDescent="0.25">
      <c r="A4293" t="s">
        <v>1022</v>
      </c>
      <c r="B4293" t="s">
        <v>473</v>
      </c>
      <c r="C4293" s="5">
        <v>112290</v>
      </c>
      <c r="D4293" s="5">
        <v>3544</v>
      </c>
      <c r="E4293">
        <v>31081</v>
      </c>
      <c r="F4293" s="4" t="s">
        <v>474</v>
      </c>
      <c r="G4293" t="s">
        <v>29</v>
      </c>
      <c r="H4293" t="s">
        <v>475</v>
      </c>
    </row>
    <row r="4294" spans="1:8" x14ac:dyDescent="0.25">
      <c r="A4294" t="s">
        <v>1022</v>
      </c>
      <c r="B4294" t="s">
        <v>476</v>
      </c>
      <c r="C4294" s="5">
        <v>40922</v>
      </c>
      <c r="D4294" s="5">
        <v>2478</v>
      </c>
      <c r="E4294">
        <v>28436</v>
      </c>
      <c r="F4294" s="4" t="s">
        <v>1031</v>
      </c>
      <c r="G4294" t="s">
        <v>29</v>
      </c>
      <c r="H4294" t="s">
        <v>1032</v>
      </c>
    </row>
    <row r="4295" spans="1:8" x14ac:dyDescent="0.25">
      <c r="A4295" t="s">
        <v>1022</v>
      </c>
      <c r="B4295" t="s">
        <v>479</v>
      </c>
      <c r="C4295" s="5">
        <v>46383</v>
      </c>
      <c r="D4295" s="5">
        <v>1239</v>
      </c>
      <c r="E4295">
        <v>43390</v>
      </c>
      <c r="F4295" s="4" t="s">
        <v>787</v>
      </c>
      <c r="G4295" t="s">
        <v>29</v>
      </c>
      <c r="H4295" t="s">
        <v>788</v>
      </c>
    </row>
    <row r="4296" spans="1:8" x14ac:dyDescent="0.25">
      <c r="A4296" t="s">
        <v>1022</v>
      </c>
      <c r="B4296" t="s">
        <v>482</v>
      </c>
      <c r="C4296" s="5">
        <v>5069</v>
      </c>
      <c r="D4296" s="5">
        <v>174</v>
      </c>
      <c r="E4296">
        <v>1971</v>
      </c>
      <c r="F4296" s="4" t="s">
        <v>252</v>
      </c>
      <c r="G4296" t="s">
        <v>29</v>
      </c>
      <c r="H4296" t="s">
        <v>253</v>
      </c>
    </row>
    <row r="4297" spans="1:8" x14ac:dyDescent="0.25">
      <c r="A4297" t="s">
        <v>1022</v>
      </c>
      <c r="B4297" t="s">
        <v>483</v>
      </c>
      <c r="C4297" s="5">
        <v>25967</v>
      </c>
      <c r="D4297" s="5">
        <v>240</v>
      </c>
      <c r="E4297">
        <v>6657</v>
      </c>
      <c r="F4297" s="4" t="s">
        <v>214</v>
      </c>
      <c r="G4297" t="s">
        <v>29</v>
      </c>
      <c r="H4297" t="s">
        <v>215</v>
      </c>
    </row>
    <row r="4298" spans="1:8" x14ac:dyDescent="0.25">
      <c r="A4298" t="s">
        <v>1022</v>
      </c>
      <c r="B4298" t="s">
        <v>486</v>
      </c>
      <c r="C4298" s="5">
        <v>1831389</v>
      </c>
      <c r="D4298" s="5">
        <v>18625</v>
      </c>
      <c r="E4298">
        <v>643064</v>
      </c>
      <c r="F4298" s="4" t="s">
        <v>326</v>
      </c>
      <c r="G4298" t="s">
        <v>29</v>
      </c>
      <c r="H4298" t="s">
        <v>327</v>
      </c>
    </row>
    <row r="4299" spans="1:8" x14ac:dyDescent="0.25">
      <c r="A4299" t="s">
        <v>1022</v>
      </c>
      <c r="B4299" t="s">
        <v>487</v>
      </c>
      <c r="C4299" s="5">
        <v>17486</v>
      </c>
      <c r="D4299" s="5">
        <v>125</v>
      </c>
      <c r="E4299">
        <v>14478</v>
      </c>
      <c r="F4299" s="4" t="s">
        <v>488</v>
      </c>
      <c r="G4299" t="s">
        <v>29</v>
      </c>
      <c r="H4299" t="s">
        <v>489</v>
      </c>
    </row>
    <row r="4300" spans="1:8" x14ac:dyDescent="0.25">
      <c r="A4300" t="s">
        <v>1022</v>
      </c>
      <c r="B4300" t="s">
        <v>490</v>
      </c>
      <c r="C4300" s="5">
        <v>19759</v>
      </c>
      <c r="D4300" s="5">
        <v>120</v>
      </c>
      <c r="E4300">
        <v>10050</v>
      </c>
      <c r="F4300" s="4" t="s">
        <v>261</v>
      </c>
      <c r="G4300" t="s">
        <v>29</v>
      </c>
      <c r="H4300" t="s">
        <v>262</v>
      </c>
    </row>
    <row r="4301" spans="1:8" x14ac:dyDescent="0.25">
      <c r="A4301" t="s">
        <v>1022</v>
      </c>
      <c r="B4301" t="s">
        <v>493</v>
      </c>
      <c r="C4301" s="5">
        <v>711397</v>
      </c>
      <c r="D4301" s="5">
        <v>25132</v>
      </c>
      <c r="E4301">
        <v>431884</v>
      </c>
      <c r="F4301" s="4" t="s">
        <v>430</v>
      </c>
      <c r="G4301" t="s">
        <v>29</v>
      </c>
      <c r="H4301" t="s">
        <v>431</v>
      </c>
    </row>
    <row r="4302" spans="1:8" x14ac:dyDescent="0.25">
      <c r="A4302" t="s">
        <v>1022</v>
      </c>
      <c r="B4302" t="s">
        <v>497</v>
      </c>
      <c r="C4302" s="5">
        <v>7800766</v>
      </c>
      <c r="D4302" s="5">
        <v>68700</v>
      </c>
      <c r="E4302">
        <v>1003938</v>
      </c>
      <c r="F4302" s="4" t="s">
        <v>609</v>
      </c>
      <c r="G4302" t="s">
        <v>29</v>
      </c>
      <c r="H4302" t="s">
        <v>610</v>
      </c>
    </row>
    <row r="4303" spans="1:8" x14ac:dyDescent="0.25">
      <c r="A4303" t="s">
        <v>1022</v>
      </c>
      <c r="B4303" t="s">
        <v>500</v>
      </c>
      <c r="C4303" s="5">
        <v>55203</v>
      </c>
      <c r="D4303" s="5">
        <v>1633</v>
      </c>
      <c r="E4303">
        <v>8142</v>
      </c>
      <c r="F4303" s="4" t="s">
        <v>731</v>
      </c>
      <c r="G4303" t="s">
        <v>29</v>
      </c>
      <c r="H4303" t="s">
        <v>732</v>
      </c>
    </row>
    <row r="4304" spans="1:8" x14ac:dyDescent="0.25">
      <c r="A4304" t="s">
        <v>1022</v>
      </c>
      <c r="B4304" t="s">
        <v>503</v>
      </c>
      <c r="C4304" s="5">
        <v>16357</v>
      </c>
      <c r="D4304" s="5">
        <v>846</v>
      </c>
      <c r="E4304">
        <v>6954</v>
      </c>
      <c r="F4304" s="4" t="s">
        <v>923</v>
      </c>
      <c r="G4304" t="s">
        <v>29</v>
      </c>
      <c r="H4304" t="s">
        <v>924</v>
      </c>
    </row>
    <row r="4305" spans="1:8" x14ac:dyDescent="0.25">
      <c r="A4305" t="s">
        <v>1022</v>
      </c>
      <c r="B4305" t="s">
        <v>506</v>
      </c>
      <c r="C4305" s="5">
        <v>26034</v>
      </c>
      <c r="D4305" s="5">
        <v>724</v>
      </c>
      <c r="E4305">
        <v>18153</v>
      </c>
      <c r="F4305" s="4" t="s">
        <v>98</v>
      </c>
      <c r="G4305" t="s">
        <v>29</v>
      </c>
      <c r="H4305" t="s">
        <v>99</v>
      </c>
    </row>
    <row r="4306" spans="1:8" x14ac:dyDescent="0.25">
      <c r="A4306" t="s">
        <v>1022</v>
      </c>
      <c r="B4306" t="s">
        <v>509</v>
      </c>
      <c r="C4306" s="5">
        <v>2852109</v>
      </c>
      <c r="D4306" s="5">
        <v>67087</v>
      </c>
      <c r="E4306">
        <v>1728235</v>
      </c>
      <c r="F4306" s="4" t="s">
        <v>591</v>
      </c>
      <c r="G4306" t="s">
        <v>29</v>
      </c>
      <c r="H4306" t="s">
        <v>592</v>
      </c>
    </row>
    <row r="4307" spans="1:8" x14ac:dyDescent="0.25">
      <c r="A4307" t="s">
        <v>1022</v>
      </c>
      <c r="B4307" t="s">
        <v>512</v>
      </c>
      <c r="C4307" s="5">
        <v>125537</v>
      </c>
      <c r="D4307" s="5">
        <v>3194</v>
      </c>
      <c r="E4307">
        <v>78791</v>
      </c>
      <c r="F4307" s="4" t="s">
        <v>141</v>
      </c>
      <c r="G4307" t="s">
        <v>29</v>
      </c>
      <c r="H4307" t="s">
        <v>142</v>
      </c>
    </row>
    <row r="4308" spans="1:8" x14ac:dyDescent="0.25">
      <c r="A4308" t="s">
        <v>1022</v>
      </c>
      <c r="B4308" t="s">
        <v>515</v>
      </c>
      <c r="C4308" s="5">
        <v>45400466</v>
      </c>
      <c r="D4308" s="5">
        <v>735373</v>
      </c>
      <c r="E4308">
        <v>29629985</v>
      </c>
      <c r="F4308" s="4" t="s">
        <v>516</v>
      </c>
      <c r="G4308" t="s">
        <v>29</v>
      </c>
      <c r="H4308" t="s">
        <v>517</v>
      </c>
    </row>
    <row r="4309" spans="1:8" x14ac:dyDescent="0.25">
      <c r="A4309" t="s">
        <v>1022</v>
      </c>
      <c r="B4309" t="s">
        <v>518</v>
      </c>
      <c r="C4309" s="5">
        <v>391890</v>
      </c>
      <c r="D4309" s="5">
        <v>6070</v>
      </c>
      <c r="E4309">
        <v>156322</v>
      </c>
      <c r="F4309" s="4" t="s">
        <v>333</v>
      </c>
      <c r="G4309" t="s">
        <v>29</v>
      </c>
      <c r="H4309" t="s">
        <v>334</v>
      </c>
    </row>
    <row r="4310" spans="1:8" x14ac:dyDescent="0.25">
      <c r="A4310" t="s">
        <v>1022</v>
      </c>
      <c r="B4310" t="s">
        <v>521</v>
      </c>
      <c r="C4310" s="5">
        <v>182819</v>
      </c>
      <c r="D4310" s="5">
        <v>1300</v>
      </c>
      <c r="E4310">
        <v>59251</v>
      </c>
      <c r="F4310" s="4" t="s">
        <v>488</v>
      </c>
      <c r="G4310" t="s">
        <v>29</v>
      </c>
      <c r="H4310" t="s">
        <v>489</v>
      </c>
    </row>
    <row r="4311" spans="1:8" x14ac:dyDescent="0.25">
      <c r="A4311" t="s">
        <v>1022</v>
      </c>
      <c r="B4311" t="s">
        <v>523</v>
      </c>
      <c r="C4311" s="5">
        <v>4814</v>
      </c>
      <c r="D4311" s="5">
        <v>60</v>
      </c>
      <c r="E4311">
        <v>801</v>
      </c>
      <c r="F4311" s="4" t="s">
        <v>107</v>
      </c>
      <c r="G4311" t="s">
        <v>29</v>
      </c>
      <c r="H4311" t="s">
        <v>108</v>
      </c>
    </row>
    <row r="4312" spans="1:8" x14ac:dyDescent="0.25">
      <c r="A4312" t="s">
        <v>1022</v>
      </c>
      <c r="B4312" t="s">
        <v>522</v>
      </c>
      <c r="C4312" s="5">
        <v>27</v>
      </c>
      <c r="D4312" s="5">
        <v>0</v>
      </c>
      <c r="E4312">
        <v>6</v>
      </c>
      <c r="F4312" s="4" t="s">
        <v>29</v>
      </c>
      <c r="G4312" t="s">
        <v>29</v>
      </c>
      <c r="H4312" t="s">
        <v>291</v>
      </c>
    </row>
    <row r="4313" spans="1:8" x14ac:dyDescent="0.25">
      <c r="A4313" t="s">
        <v>1022</v>
      </c>
      <c r="B4313" t="s">
        <v>524</v>
      </c>
      <c r="C4313" s="5">
        <v>397370</v>
      </c>
      <c r="D4313" s="5">
        <v>4775</v>
      </c>
      <c r="E4313">
        <v>351363</v>
      </c>
      <c r="F4313" s="4" t="s">
        <v>525</v>
      </c>
      <c r="G4313" t="s">
        <v>29</v>
      </c>
      <c r="H4313" t="s">
        <v>526</v>
      </c>
    </row>
    <row r="4314" spans="1:8" x14ac:dyDescent="0.25">
      <c r="A4314" t="s">
        <v>1022</v>
      </c>
      <c r="B4314" t="s">
        <v>527</v>
      </c>
      <c r="C4314" s="5">
        <v>881522</v>
      </c>
      <c r="D4314" s="5">
        <v>21543</v>
      </c>
      <c r="E4314">
        <v>733014</v>
      </c>
      <c r="F4314" s="4" t="s">
        <v>934</v>
      </c>
      <c r="G4314" t="s">
        <v>29</v>
      </c>
      <c r="H4314" t="s">
        <v>935</v>
      </c>
    </row>
    <row r="4315" spans="1:8" x14ac:dyDescent="0.25">
      <c r="A4315" t="s">
        <v>1022</v>
      </c>
      <c r="B4315" t="s">
        <v>530</v>
      </c>
      <c r="C4315" s="5">
        <v>4</v>
      </c>
      <c r="D4315" s="5">
        <v>1</v>
      </c>
      <c r="E4315">
        <v>0</v>
      </c>
      <c r="F4315" s="4" t="s">
        <v>973</v>
      </c>
      <c r="G4315" t="s">
        <v>29</v>
      </c>
      <c r="H4315" t="s">
        <v>974</v>
      </c>
    </row>
    <row r="4316" spans="1:8" x14ac:dyDescent="0.25">
      <c r="A4316" t="s">
        <v>1022</v>
      </c>
      <c r="B4316" t="s">
        <v>533</v>
      </c>
      <c r="C4316" s="5">
        <v>3</v>
      </c>
      <c r="D4316" s="5">
        <v>0</v>
      </c>
      <c r="E4316">
        <v>0</v>
      </c>
      <c r="F4316" s="4" t="s">
        <v>29</v>
      </c>
      <c r="G4316" t="s">
        <v>29</v>
      </c>
      <c r="H4316" t="s">
        <v>291</v>
      </c>
    </row>
    <row r="4317" spans="1:8" x14ac:dyDescent="0.25">
      <c r="A4317" t="s">
        <v>1022</v>
      </c>
      <c r="B4317" t="s">
        <v>534</v>
      </c>
      <c r="C4317" s="5">
        <v>160606</v>
      </c>
      <c r="D4317" s="5">
        <v>2974</v>
      </c>
      <c r="E4317">
        <v>103406</v>
      </c>
      <c r="F4317" s="4" t="s">
        <v>535</v>
      </c>
      <c r="G4317" t="s">
        <v>29</v>
      </c>
      <c r="H4317" t="s">
        <v>536</v>
      </c>
    </row>
    <row r="4318" spans="1:8" x14ac:dyDescent="0.25">
      <c r="A4318" t="s">
        <v>1022</v>
      </c>
      <c r="B4318" t="s">
        <v>537</v>
      </c>
      <c r="C4318" s="5">
        <v>9650</v>
      </c>
      <c r="D4318" s="5">
        <v>1835</v>
      </c>
      <c r="E4318">
        <v>7815</v>
      </c>
      <c r="F4318" s="4" t="s">
        <v>1012</v>
      </c>
      <c r="G4318" t="s">
        <v>29</v>
      </c>
      <c r="H4318" t="s">
        <v>1013</v>
      </c>
    </row>
    <row r="4319" spans="1:8" x14ac:dyDescent="0.25">
      <c r="A4319" t="s">
        <v>1022</v>
      </c>
      <c r="B4319" t="s">
        <v>540</v>
      </c>
      <c r="C4319" s="5">
        <v>20485</v>
      </c>
      <c r="D4319" s="5">
        <v>182</v>
      </c>
      <c r="E4319">
        <v>10788</v>
      </c>
      <c r="F4319" s="4" t="s">
        <v>65</v>
      </c>
      <c r="G4319" t="s">
        <v>29</v>
      </c>
      <c r="H4319" t="s">
        <v>66</v>
      </c>
    </row>
    <row r="4320" spans="1:8" x14ac:dyDescent="0.25">
      <c r="A4320" t="s">
        <v>1022</v>
      </c>
      <c r="B4320" t="s">
        <v>541</v>
      </c>
      <c r="C4320" s="5">
        <v>2918883</v>
      </c>
      <c r="D4320" s="5">
        <v>88891</v>
      </c>
      <c r="E4320">
        <v>1403045</v>
      </c>
      <c r="F4320" s="4" t="s">
        <v>698</v>
      </c>
      <c r="G4320" t="s">
        <v>29</v>
      </c>
      <c r="H4320" t="s">
        <v>699</v>
      </c>
    </row>
    <row r="4321" spans="1:8" x14ac:dyDescent="0.25">
      <c r="A4321" t="s">
        <v>1022</v>
      </c>
      <c r="B4321" t="s">
        <v>544</v>
      </c>
      <c r="C4321" s="5">
        <v>209610</v>
      </c>
      <c r="D4321" s="5">
        <v>3658</v>
      </c>
      <c r="E4321">
        <v>117816</v>
      </c>
      <c r="F4321" s="4" t="s">
        <v>545</v>
      </c>
      <c r="G4321" t="s">
        <v>29</v>
      </c>
      <c r="H4321" t="s">
        <v>546</v>
      </c>
    </row>
    <row r="4322" spans="1:8" x14ac:dyDescent="0.25">
      <c r="A4322" t="s">
        <v>1022</v>
      </c>
      <c r="B4322" t="s">
        <v>547</v>
      </c>
      <c r="C4322" s="5">
        <v>132588</v>
      </c>
      <c r="D4322" s="5">
        <v>4663</v>
      </c>
      <c r="E4322">
        <v>39087</v>
      </c>
      <c r="F4322" s="4" t="s">
        <v>353</v>
      </c>
      <c r="G4322" t="s">
        <v>29</v>
      </c>
      <c r="H4322" t="s">
        <v>354</v>
      </c>
    </row>
    <row r="4323" spans="1:8" x14ac:dyDescent="0.25">
      <c r="A4323" t="s">
        <v>1022</v>
      </c>
      <c r="B4323" t="s">
        <v>548</v>
      </c>
      <c r="C4323" s="5">
        <v>721</v>
      </c>
      <c r="D4323" s="5">
        <v>15</v>
      </c>
      <c r="E4323">
        <v>620</v>
      </c>
      <c r="F4323" s="4" t="s">
        <v>549</v>
      </c>
      <c r="G4323" t="s">
        <v>29</v>
      </c>
      <c r="H4323" t="s">
        <v>550</v>
      </c>
    </row>
    <row r="4324" spans="1:8" x14ac:dyDescent="0.25">
      <c r="A4324" t="s">
        <v>1033</v>
      </c>
      <c r="B4324" t="s">
        <v>548</v>
      </c>
      <c r="C4324" s="5">
        <v>721</v>
      </c>
      <c r="D4324" s="5">
        <v>15</v>
      </c>
      <c r="E4324">
        <v>448</v>
      </c>
      <c r="F4324" s="4" t="s">
        <v>549</v>
      </c>
      <c r="G4324" t="s">
        <v>29</v>
      </c>
      <c r="H4324" t="s">
        <v>550</v>
      </c>
    </row>
    <row r="4325" spans="1:8" x14ac:dyDescent="0.25">
      <c r="A4325" t="s">
        <v>1033</v>
      </c>
      <c r="B4325" t="s">
        <v>547</v>
      </c>
      <c r="C4325" s="5">
        <v>132540</v>
      </c>
      <c r="D4325" s="5">
        <v>4662</v>
      </c>
      <c r="E4325">
        <v>36283</v>
      </c>
      <c r="F4325" s="4" t="s">
        <v>353</v>
      </c>
      <c r="G4325" t="s">
        <v>29</v>
      </c>
      <c r="H4325" t="s">
        <v>354</v>
      </c>
    </row>
    <row r="4326" spans="1:8" x14ac:dyDescent="0.25">
      <c r="A4326" t="s">
        <v>1033</v>
      </c>
      <c r="B4326" t="s">
        <v>544</v>
      </c>
      <c r="C4326" s="5">
        <v>209589</v>
      </c>
      <c r="D4326" s="5">
        <v>3658</v>
      </c>
      <c r="E4326">
        <v>104203</v>
      </c>
      <c r="F4326" s="4" t="s">
        <v>545</v>
      </c>
      <c r="G4326" t="s">
        <v>29</v>
      </c>
      <c r="H4326" t="s">
        <v>546</v>
      </c>
    </row>
    <row r="4327" spans="1:8" x14ac:dyDescent="0.25">
      <c r="A4327" t="s">
        <v>1033</v>
      </c>
      <c r="B4327" t="s">
        <v>541</v>
      </c>
      <c r="C4327" s="5">
        <v>2918366</v>
      </c>
      <c r="D4327" s="5">
        <v>88835</v>
      </c>
      <c r="E4327">
        <v>1163160</v>
      </c>
      <c r="F4327" s="4" t="s">
        <v>320</v>
      </c>
      <c r="G4327" t="s">
        <v>29</v>
      </c>
      <c r="H4327" t="s">
        <v>321</v>
      </c>
    </row>
    <row r="4328" spans="1:8" x14ac:dyDescent="0.25">
      <c r="A4328" t="s">
        <v>1033</v>
      </c>
      <c r="B4328" t="s">
        <v>540</v>
      </c>
      <c r="C4328" s="5">
        <v>20464</v>
      </c>
      <c r="D4328" s="5">
        <v>182</v>
      </c>
      <c r="E4328">
        <v>3176</v>
      </c>
      <c r="F4328" s="4" t="s">
        <v>65</v>
      </c>
      <c r="G4328" t="s">
        <v>29</v>
      </c>
      <c r="H4328" t="s">
        <v>66</v>
      </c>
    </row>
    <row r="4329" spans="1:8" x14ac:dyDescent="0.25">
      <c r="A4329" t="s">
        <v>1033</v>
      </c>
      <c r="B4329" t="s">
        <v>537</v>
      </c>
      <c r="C4329" s="5">
        <v>9635</v>
      </c>
      <c r="D4329" s="5">
        <v>1831</v>
      </c>
      <c r="E4329">
        <v>7653</v>
      </c>
      <c r="F4329" s="4" t="s">
        <v>1034</v>
      </c>
      <c r="G4329" t="s">
        <v>29</v>
      </c>
      <c r="H4329" t="s">
        <v>1035</v>
      </c>
    </row>
    <row r="4330" spans="1:8" x14ac:dyDescent="0.25">
      <c r="A4330" t="s">
        <v>1033</v>
      </c>
      <c r="B4330" t="s">
        <v>534</v>
      </c>
      <c r="C4330" s="5">
        <v>160590</v>
      </c>
      <c r="D4330" s="5">
        <v>2974</v>
      </c>
      <c r="E4330">
        <v>76104</v>
      </c>
      <c r="F4330" s="4" t="s">
        <v>535</v>
      </c>
      <c r="G4330" t="s">
        <v>29</v>
      </c>
      <c r="H4330" t="s">
        <v>536</v>
      </c>
    </row>
    <row r="4331" spans="1:8" x14ac:dyDescent="0.25">
      <c r="A4331" t="s">
        <v>1033</v>
      </c>
      <c r="B4331" t="s">
        <v>533</v>
      </c>
      <c r="C4331" s="5">
        <v>3</v>
      </c>
      <c r="D4331" s="5">
        <v>0</v>
      </c>
      <c r="E4331">
        <v>1</v>
      </c>
      <c r="F4331" s="4" t="s">
        <v>29</v>
      </c>
      <c r="G4331" t="s">
        <v>29</v>
      </c>
      <c r="H4331" t="s">
        <v>291</v>
      </c>
    </row>
    <row r="4332" spans="1:8" x14ac:dyDescent="0.25">
      <c r="A4332" t="s">
        <v>1033</v>
      </c>
      <c r="B4332" t="s">
        <v>530</v>
      </c>
      <c r="C4332" s="5">
        <v>4</v>
      </c>
      <c r="D4332" s="5">
        <v>1</v>
      </c>
      <c r="E4332">
        <v>3</v>
      </c>
      <c r="F4332" s="4" t="s">
        <v>973</v>
      </c>
      <c r="G4332" t="s">
        <v>29</v>
      </c>
      <c r="H4332" t="s">
        <v>974</v>
      </c>
    </row>
    <row r="4333" spans="1:8" x14ac:dyDescent="0.25">
      <c r="A4333" t="s">
        <v>1033</v>
      </c>
      <c r="B4333" t="s">
        <v>527</v>
      </c>
      <c r="C4333" s="5">
        <v>877537</v>
      </c>
      <c r="D4333" s="5">
        <v>21487</v>
      </c>
      <c r="E4333">
        <v>167273</v>
      </c>
      <c r="F4333" s="4" t="s">
        <v>999</v>
      </c>
      <c r="G4333" t="s">
        <v>29</v>
      </c>
      <c r="H4333" t="s">
        <v>1000</v>
      </c>
    </row>
    <row r="4334" spans="1:8" x14ac:dyDescent="0.25">
      <c r="A4334" t="s">
        <v>1033</v>
      </c>
      <c r="B4334" t="s">
        <v>524</v>
      </c>
      <c r="C4334" s="5">
        <v>396477</v>
      </c>
      <c r="D4334" s="5">
        <v>4763</v>
      </c>
      <c r="E4334">
        <v>181697</v>
      </c>
      <c r="F4334" s="4" t="s">
        <v>525</v>
      </c>
      <c r="G4334" t="s">
        <v>29</v>
      </c>
      <c r="H4334" t="s">
        <v>526</v>
      </c>
    </row>
    <row r="4335" spans="1:8" x14ac:dyDescent="0.25">
      <c r="A4335" t="s">
        <v>1033</v>
      </c>
      <c r="B4335" t="s">
        <v>522</v>
      </c>
      <c r="C4335" s="5">
        <v>27</v>
      </c>
      <c r="D4335" s="5">
        <v>0</v>
      </c>
      <c r="E4335">
        <v>24</v>
      </c>
      <c r="F4335" s="4" t="s">
        <v>29</v>
      </c>
      <c r="G4335" t="s">
        <v>29</v>
      </c>
      <c r="H4335" t="s">
        <v>291</v>
      </c>
    </row>
    <row r="4336" spans="1:8" x14ac:dyDescent="0.25">
      <c r="A4336" t="s">
        <v>1033</v>
      </c>
      <c r="B4336" t="s">
        <v>523</v>
      </c>
      <c r="C4336" s="5">
        <v>4786</v>
      </c>
      <c r="D4336" s="5">
        <v>56</v>
      </c>
      <c r="E4336">
        <v>4246</v>
      </c>
      <c r="F4336" s="4" t="s">
        <v>378</v>
      </c>
      <c r="G4336" t="s">
        <v>29</v>
      </c>
      <c r="H4336" t="s">
        <v>379</v>
      </c>
    </row>
    <row r="4337" spans="1:8" x14ac:dyDescent="0.25">
      <c r="A4337" t="s">
        <v>1033</v>
      </c>
      <c r="B4337" t="s">
        <v>521</v>
      </c>
      <c r="C4337" s="5">
        <v>182421</v>
      </c>
      <c r="D4337" s="5">
        <v>1297</v>
      </c>
      <c r="E4337">
        <v>168584</v>
      </c>
      <c r="F4337" s="4" t="s">
        <v>488</v>
      </c>
      <c r="G4337" t="s">
        <v>29</v>
      </c>
      <c r="H4337" t="s">
        <v>489</v>
      </c>
    </row>
    <row r="4338" spans="1:8" x14ac:dyDescent="0.25">
      <c r="A4338" t="s">
        <v>1033</v>
      </c>
      <c r="B4338" t="s">
        <v>518</v>
      </c>
      <c r="C4338" s="5">
        <v>391700</v>
      </c>
      <c r="D4338" s="5">
        <v>6069</v>
      </c>
      <c r="E4338">
        <v>124323</v>
      </c>
      <c r="F4338" s="4" t="s">
        <v>333</v>
      </c>
      <c r="G4338" t="s">
        <v>29</v>
      </c>
      <c r="H4338" t="s">
        <v>334</v>
      </c>
    </row>
    <row r="4339" spans="1:8" x14ac:dyDescent="0.25">
      <c r="A4339" t="s">
        <v>1033</v>
      </c>
      <c r="B4339" t="s">
        <v>515</v>
      </c>
      <c r="C4339" s="5">
        <v>45301044</v>
      </c>
      <c r="D4339" s="5">
        <v>733553</v>
      </c>
      <c r="E4339">
        <v>5216722</v>
      </c>
      <c r="F4339" s="4" t="s">
        <v>516</v>
      </c>
      <c r="G4339" t="s">
        <v>29</v>
      </c>
      <c r="H4339" t="s">
        <v>517</v>
      </c>
    </row>
    <row r="4340" spans="1:8" x14ac:dyDescent="0.25">
      <c r="A4340" t="s">
        <v>1033</v>
      </c>
      <c r="B4340" t="s">
        <v>512</v>
      </c>
      <c r="C4340" s="5">
        <v>125426</v>
      </c>
      <c r="D4340" s="5">
        <v>3192</v>
      </c>
      <c r="E4340">
        <v>18974</v>
      </c>
      <c r="F4340" s="4" t="s">
        <v>141</v>
      </c>
      <c r="G4340" t="s">
        <v>29</v>
      </c>
      <c r="H4340" t="s">
        <v>142</v>
      </c>
    </row>
    <row r="4341" spans="1:8" x14ac:dyDescent="0.25">
      <c r="A4341" t="s">
        <v>1033</v>
      </c>
      <c r="B4341" t="s">
        <v>509</v>
      </c>
      <c r="C4341" s="5">
        <v>2827388</v>
      </c>
      <c r="D4341" s="5">
        <v>66447</v>
      </c>
      <c r="E4341">
        <v>1110049</v>
      </c>
      <c r="F4341" s="4" t="s">
        <v>591</v>
      </c>
      <c r="G4341" t="s">
        <v>29</v>
      </c>
      <c r="H4341" t="s">
        <v>592</v>
      </c>
    </row>
    <row r="4342" spans="1:8" x14ac:dyDescent="0.25">
      <c r="A4342" t="s">
        <v>1033</v>
      </c>
      <c r="B4342" t="s">
        <v>506</v>
      </c>
      <c r="C4342" s="5">
        <v>26034</v>
      </c>
      <c r="D4342" s="5">
        <v>724</v>
      </c>
      <c r="E4342">
        <v>1424</v>
      </c>
      <c r="F4342" s="4" t="s">
        <v>98</v>
      </c>
      <c r="G4342" t="s">
        <v>29</v>
      </c>
      <c r="H4342" t="s">
        <v>99</v>
      </c>
    </row>
    <row r="4343" spans="1:8" x14ac:dyDescent="0.25">
      <c r="A4343" t="s">
        <v>1033</v>
      </c>
      <c r="B4343" t="s">
        <v>503</v>
      </c>
      <c r="C4343" s="5">
        <v>16349</v>
      </c>
      <c r="D4343" s="5">
        <v>846</v>
      </c>
      <c r="E4343">
        <v>1184</v>
      </c>
      <c r="F4343" s="4" t="s">
        <v>923</v>
      </c>
      <c r="G4343" t="s">
        <v>29</v>
      </c>
      <c r="H4343" t="s">
        <v>924</v>
      </c>
    </row>
    <row r="4344" spans="1:8" x14ac:dyDescent="0.25">
      <c r="A4344" t="s">
        <v>1033</v>
      </c>
      <c r="B4344" t="s">
        <v>500</v>
      </c>
      <c r="C4344" s="5">
        <v>54881</v>
      </c>
      <c r="D4344" s="5">
        <v>1629</v>
      </c>
      <c r="E4344">
        <v>40409</v>
      </c>
      <c r="F4344" s="4" t="s">
        <v>689</v>
      </c>
      <c r="G4344" t="s">
        <v>29</v>
      </c>
      <c r="H4344" t="s">
        <v>690</v>
      </c>
    </row>
    <row r="4345" spans="1:8" x14ac:dyDescent="0.25">
      <c r="A4345" t="s">
        <v>1033</v>
      </c>
      <c r="B4345" t="s">
        <v>497</v>
      </c>
      <c r="C4345" s="5">
        <v>7772574</v>
      </c>
      <c r="D4345" s="5">
        <v>68472</v>
      </c>
      <c r="E4345">
        <v>3101494</v>
      </c>
      <c r="F4345" s="4" t="s">
        <v>609</v>
      </c>
      <c r="G4345" t="s">
        <v>29</v>
      </c>
      <c r="H4345" t="s">
        <v>610</v>
      </c>
    </row>
    <row r="4346" spans="1:8" x14ac:dyDescent="0.25">
      <c r="A4346" t="s">
        <v>1033</v>
      </c>
      <c r="B4346" t="s">
        <v>493</v>
      </c>
      <c r="C4346" s="5">
        <v>711397</v>
      </c>
      <c r="D4346" s="5">
        <v>25132</v>
      </c>
      <c r="E4346">
        <v>589608</v>
      </c>
      <c r="F4346" s="4" t="s">
        <v>430</v>
      </c>
      <c r="G4346" t="s">
        <v>29</v>
      </c>
      <c r="H4346" t="s">
        <v>431</v>
      </c>
    </row>
    <row r="4347" spans="1:8" x14ac:dyDescent="0.25">
      <c r="A4347" t="s">
        <v>1033</v>
      </c>
      <c r="B4347" t="s">
        <v>490</v>
      </c>
      <c r="C4347" s="5">
        <v>19749</v>
      </c>
      <c r="D4347" s="5">
        <v>120</v>
      </c>
      <c r="E4347">
        <v>10616</v>
      </c>
      <c r="F4347" s="4" t="s">
        <v>261</v>
      </c>
      <c r="G4347" t="s">
        <v>29</v>
      </c>
      <c r="H4347" t="s">
        <v>262</v>
      </c>
    </row>
    <row r="4348" spans="1:8" x14ac:dyDescent="0.25">
      <c r="A4348" t="s">
        <v>1033</v>
      </c>
      <c r="B4348" t="s">
        <v>487</v>
      </c>
      <c r="C4348" s="5">
        <v>17484</v>
      </c>
      <c r="D4348" s="5">
        <v>125</v>
      </c>
      <c r="E4348">
        <v>3594</v>
      </c>
      <c r="F4348" s="4" t="s">
        <v>488</v>
      </c>
      <c r="G4348" t="s">
        <v>29</v>
      </c>
      <c r="H4348" t="s">
        <v>489</v>
      </c>
    </row>
    <row r="4349" spans="1:8" x14ac:dyDescent="0.25">
      <c r="A4349" t="s">
        <v>1033</v>
      </c>
      <c r="B4349" t="s">
        <v>486</v>
      </c>
      <c r="C4349" s="5">
        <v>1821579</v>
      </c>
      <c r="D4349" s="5">
        <v>18559</v>
      </c>
      <c r="E4349">
        <v>158516</v>
      </c>
      <c r="F4349" s="4" t="s">
        <v>326</v>
      </c>
      <c r="G4349" t="s">
        <v>29</v>
      </c>
      <c r="H4349" t="s">
        <v>327</v>
      </c>
    </row>
    <row r="4350" spans="1:8" x14ac:dyDescent="0.25">
      <c r="A4350" t="s">
        <v>1033</v>
      </c>
      <c r="B4350" t="s">
        <v>483</v>
      </c>
      <c r="C4350" s="5">
        <v>25950</v>
      </c>
      <c r="D4350" s="5">
        <v>240</v>
      </c>
      <c r="E4350">
        <v>21316</v>
      </c>
      <c r="F4350" s="4" t="s">
        <v>214</v>
      </c>
      <c r="G4350" t="s">
        <v>29</v>
      </c>
      <c r="H4350" t="s">
        <v>215</v>
      </c>
    </row>
    <row r="4351" spans="1:8" x14ac:dyDescent="0.25">
      <c r="A4351" t="s">
        <v>1033</v>
      </c>
      <c r="B4351" t="s">
        <v>482</v>
      </c>
      <c r="C4351" s="5">
        <v>5069</v>
      </c>
      <c r="D4351" s="5">
        <v>174</v>
      </c>
      <c r="E4351">
        <v>4225</v>
      </c>
      <c r="F4351" s="4" t="s">
        <v>252</v>
      </c>
      <c r="G4351" t="s">
        <v>29</v>
      </c>
      <c r="H4351" t="s">
        <v>253</v>
      </c>
    </row>
    <row r="4352" spans="1:8" x14ac:dyDescent="0.25">
      <c r="A4352" t="s">
        <v>1033</v>
      </c>
      <c r="B4352" t="s">
        <v>479</v>
      </c>
      <c r="C4352" s="5">
        <v>46380</v>
      </c>
      <c r="D4352" s="5">
        <v>1238</v>
      </c>
      <c r="E4352">
        <v>19553</v>
      </c>
      <c r="F4352" s="4" t="s">
        <v>787</v>
      </c>
      <c r="G4352" t="s">
        <v>29</v>
      </c>
      <c r="H4352" t="s">
        <v>788</v>
      </c>
    </row>
    <row r="4353" spans="1:8" x14ac:dyDescent="0.25">
      <c r="A4353" t="s">
        <v>1033</v>
      </c>
      <c r="B4353" t="s">
        <v>476</v>
      </c>
      <c r="C4353" s="5">
        <v>40630</v>
      </c>
      <c r="D4353" s="5">
        <v>2467</v>
      </c>
      <c r="E4353">
        <v>26459</v>
      </c>
      <c r="F4353" s="4" t="s">
        <v>1036</v>
      </c>
      <c r="G4353" t="s">
        <v>29</v>
      </c>
      <c r="H4353" t="s">
        <v>1037</v>
      </c>
    </row>
    <row r="4354" spans="1:8" x14ac:dyDescent="0.25">
      <c r="A4354" t="s">
        <v>1033</v>
      </c>
      <c r="B4354" t="s">
        <v>473</v>
      </c>
      <c r="C4354" s="5">
        <v>110188</v>
      </c>
      <c r="D4354" s="5">
        <v>3532</v>
      </c>
      <c r="E4354">
        <v>6183</v>
      </c>
      <c r="F4354" s="4" t="s">
        <v>835</v>
      </c>
      <c r="G4354" t="s">
        <v>29</v>
      </c>
      <c r="H4354" t="s">
        <v>836</v>
      </c>
    </row>
    <row r="4355" spans="1:8" x14ac:dyDescent="0.25">
      <c r="A4355" t="s">
        <v>1033</v>
      </c>
      <c r="B4355" t="s">
        <v>471</v>
      </c>
      <c r="C4355" s="5">
        <v>12279</v>
      </c>
      <c r="D4355" s="5">
        <v>133</v>
      </c>
      <c r="E4355">
        <v>6120</v>
      </c>
      <c r="F4355" s="4" t="s">
        <v>758</v>
      </c>
      <c r="G4355" t="s">
        <v>29</v>
      </c>
      <c r="H4355" t="s">
        <v>759</v>
      </c>
    </row>
    <row r="4356" spans="1:8" x14ac:dyDescent="0.25">
      <c r="A4356" t="s">
        <v>1033</v>
      </c>
      <c r="B4356" t="s">
        <v>472</v>
      </c>
      <c r="C4356" s="5">
        <v>3689</v>
      </c>
      <c r="D4356" s="5">
        <v>56</v>
      </c>
      <c r="E4356">
        <v>2312</v>
      </c>
      <c r="F4356" s="4" t="s">
        <v>589</v>
      </c>
      <c r="G4356" t="s">
        <v>29</v>
      </c>
      <c r="H4356" t="s">
        <v>590</v>
      </c>
    </row>
    <row r="4357" spans="1:8" x14ac:dyDescent="0.25">
      <c r="A4357" t="s">
        <v>1033</v>
      </c>
      <c r="B4357" t="s">
        <v>468</v>
      </c>
      <c r="C4357" s="5">
        <v>47677</v>
      </c>
      <c r="D4357" s="5">
        <v>1048</v>
      </c>
      <c r="E4357">
        <v>25608</v>
      </c>
      <c r="F4357" s="4" t="s">
        <v>969</v>
      </c>
      <c r="G4357" t="s">
        <v>29</v>
      </c>
      <c r="H4357" t="s">
        <v>970</v>
      </c>
    </row>
    <row r="4358" spans="1:8" x14ac:dyDescent="0.25">
      <c r="A4358" t="s">
        <v>1033</v>
      </c>
      <c r="B4358" t="s">
        <v>465</v>
      </c>
      <c r="C4358" s="5">
        <v>21269</v>
      </c>
      <c r="D4358" s="5">
        <v>1180</v>
      </c>
      <c r="E4358">
        <v>1039</v>
      </c>
      <c r="F4358" s="4" t="s">
        <v>1005</v>
      </c>
      <c r="G4358" t="s">
        <v>29</v>
      </c>
      <c r="H4358" t="s">
        <v>1006</v>
      </c>
    </row>
    <row r="4359" spans="1:8" x14ac:dyDescent="0.25">
      <c r="A4359" t="s">
        <v>1033</v>
      </c>
      <c r="B4359" t="s">
        <v>464</v>
      </c>
      <c r="C4359" s="5">
        <v>73876</v>
      </c>
      <c r="D4359" s="5">
        <v>1876</v>
      </c>
      <c r="E4359">
        <v>50893</v>
      </c>
      <c r="F4359" s="4" t="s">
        <v>141</v>
      </c>
      <c r="G4359" t="s">
        <v>29</v>
      </c>
      <c r="H4359" t="s">
        <v>142</v>
      </c>
    </row>
    <row r="4360" spans="1:8" x14ac:dyDescent="0.25">
      <c r="A4360" t="s">
        <v>1033</v>
      </c>
      <c r="B4360" t="s">
        <v>463</v>
      </c>
      <c r="C4360" s="5">
        <v>5490</v>
      </c>
      <c r="D4360" s="5">
        <v>91</v>
      </c>
      <c r="E4360">
        <v>3082</v>
      </c>
      <c r="F4360" s="4" t="s">
        <v>135</v>
      </c>
      <c r="G4360" t="s">
        <v>29</v>
      </c>
      <c r="H4360" t="s">
        <v>136</v>
      </c>
    </row>
    <row r="4361" spans="1:8" x14ac:dyDescent="0.25">
      <c r="A4361" t="s">
        <v>1033</v>
      </c>
      <c r="B4361" t="s">
        <v>460</v>
      </c>
      <c r="C4361" s="5">
        <v>6397</v>
      </c>
      <c r="D4361" s="5">
        <v>121</v>
      </c>
      <c r="E4361">
        <v>2238</v>
      </c>
      <c r="F4361" s="4" t="s">
        <v>461</v>
      </c>
      <c r="G4361" t="s">
        <v>29</v>
      </c>
      <c r="H4361" t="s">
        <v>462</v>
      </c>
    </row>
    <row r="4362" spans="1:8" x14ac:dyDescent="0.25">
      <c r="A4362" t="s">
        <v>1033</v>
      </c>
      <c r="B4362" t="s">
        <v>457</v>
      </c>
      <c r="C4362" s="5">
        <v>446305</v>
      </c>
      <c r="D4362" s="5">
        <v>12883</v>
      </c>
      <c r="E4362">
        <v>429125</v>
      </c>
      <c r="F4362" s="4" t="s">
        <v>995</v>
      </c>
      <c r="G4362" t="s">
        <v>29</v>
      </c>
      <c r="H4362" t="s">
        <v>996</v>
      </c>
    </row>
    <row r="4363" spans="1:8" x14ac:dyDescent="0.25">
      <c r="A4363" t="s">
        <v>1033</v>
      </c>
      <c r="B4363" t="s">
        <v>456</v>
      </c>
      <c r="C4363" s="5">
        <v>314162</v>
      </c>
      <c r="D4363" s="5">
        <v>4661</v>
      </c>
      <c r="E4363">
        <v>268561</v>
      </c>
      <c r="F4363" s="4" t="s">
        <v>285</v>
      </c>
      <c r="G4363" t="s">
        <v>29</v>
      </c>
      <c r="H4363" t="s">
        <v>286</v>
      </c>
    </row>
    <row r="4364" spans="1:8" x14ac:dyDescent="0.25">
      <c r="A4364" t="s">
        <v>1033</v>
      </c>
      <c r="B4364" t="s">
        <v>453</v>
      </c>
      <c r="C4364" s="5">
        <v>162026</v>
      </c>
      <c r="D4364" s="5">
        <v>280</v>
      </c>
      <c r="E4364">
        <v>73083</v>
      </c>
      <c r="F4364" s="4" t="s">
        <v>679</v>
      </c>
      <c r="G4364" t="s">
        <v>29</v>
      </c>
      <c r="H4364" t="s">
        <v>680</v>
      </c>
    </row>
    <row r="4365" spans="1:8" x14ac:dyDescent="0.25">
      <c r="A4365" t="s">
        <v>1033</v>
      </c>
      <c r="B4365" t="s">
        <v>452</v>
      </c>
      <c r="C4365" s="5">
        <v>1165194</v>
      </c>
      <c r="D4365" s="5">
        <v>14986</v>
      </c>
      <c r="E4365">
        <v>926788</v>
      </c>
      <c r="F4365" s="4" t="s">
        <v>417</v>
      </c>
      <c r="G4365" t="s">
        <v>29</v>
      </c>
      <c r="H4365" t="s">
        <v>418</v>
      </c>
    </row>
    <row r="4366" spans="1:8" x14ac:dyDescent="0.25">
      <c r="A4366" t="s">
        <v>1033</v>
      </c>
      <c r="B4366" t="s">
        <v>449</v>
      </c>
      <c r="C4366" s="5">
        <v>40084</v>
      </c>
      <c r="D4366" s="5">
        <v>3038</v>
      </c>
      <c r="E4366">
        <v>12457</v>
      </c>
      <c r="F4366" s="4" t="s">
        <v>1029</v>
      </c>
      <c r="G4366" t="s">
        <v>29</v>
      </c>
      <c r="H4366" t="s">
        <v>1030</v>
      </c>
    </row>
    <row r="4367" spans="1:8" x14ac:dyDescent="0.25">
      <c r="A4367" t="s">
        <v>1033</v>
      </c>
      <c r="B4367" t="s">
        <v>446</v>
      </c>
      <c r="C4367" s="5">
        <v>22071</v>
      </c>
      <c r="D4367" s="5">
        <v>119</v>
      </c>
      <c r="E4367">
        <v>8780</v>
      </c>
      <c r="F4367" s="4" t="s">
        <v>919</v>
      </c>
      <c r="G4367" t="s">
        <v>29</v>
      </c>
      <c r="H4367" t="s">
        <v>920</v>
      </c>
    </row>
    <row r="4368" spans="1:8" x14ac:dyDescent="0.25">
      <c r="A4368" t="s">
        <v>1033</v>
      </c>
      <c r="B4368" t="s">
        <v>445</v>
      </c>
      <c r="C4368" s="5">
        <v>20</v>
      </c>
      <c r="D4368" s="5">
        <v>0</v>
      </c>
      <c r="E4368">
        <v>20</v>
      </c>
      <c r="F4368" s="4" t="s">
        <v>29</v>
      </c>
      <c r="G4368" t="s">
        <v>29</v>
      </c>
      <c r="H4368" t="s">
        <v>291</v>
      </c>
    </row>
    <row r="4369" spans="1:8" x14ac:dyDescent="0.25">
      <c r="A4369" t="s">
        <v>1033</v>
      </c>
      <c r="B4369" t="s">
        <v>444</v>
      </c>
      <c r="C4369" s="5">
        <v>548111</v>
      </c>
      <c r="D4369" s="5">
        <v>8773</v>
      </c>
      <c r="E4369">
        <v>74551</v>
      </c>
      <c r="F4369" s="4" t="s">
        <v>313</v>
      </c>
      <c r="G4369" t="s">
        <v>29</v>
      </c>
      <c r="H4369" t="s">
        <v>314</v>
      </c>
    </row>
    <row r="4370" spans="1:8" x14ac:dyDescent="0.25">
      <c r="A4370" t="s">
        <v>1033</v>
      </c>
      <c r="B4370" t="s">
        <v>443</v>
      </c>
      <c r="C4370" s="5">
        <v>99288</v>
      </c>
      <c r="D4370" s="5">
        <v>1316</v>
      </c>
      <c r="E4370">
        <v>42036</v>
      </c>
      <c r="F4370" s="4" t="s">
        <v>59</v>
      </c>
      <c r="G4370" t="s">
        <v>29</v>
      </c>
      <c r="H4370" t="s">
        <v>60</v>
      </c>
    </row>
    <row r="4371" spans="1:8" x14ac:dyDescent="0.25">
      <c r="A4371" t="s">
        <v>1033</v>
      </c>
      <c r="B4371" t="s">
        <v>440</v>
      </c>
      <c r="C4371" s="5">
        <v>8005376</v>
      </c>
      <c r="D4371" s="5">
        <v>223331</v>
      </c>
      <c r="E4371">
        <v>7773320</v>
      </c>
      <c r="F4371" s="4" t="s">
        <v>662</v>
      </c>
      <c r="G4371" t="s">
        <v>29</v>
      </c>
      <c r="H4371" t="s">
        <v>663</v>
      </c>
    </row>
    <row r="4372" spans="1:8" x14ac:dyDescent="0.25">
      <c r="A4372" t="s">
        <v>1033</v>
      </c>
      <c r="B4372" t="s">
        <v>439</v>
      </c>
      <c r="C4372" s="5">
        <v>1078032</v>
      </c>
      <c r="D4372" s="5">
        <v>9331</v>
      </c>
      <c r="E4372">
        <v>26131</v>
      </c>
      <c r="F4372" s="4" t="s">
        <v>498</v>
      </c>
      <c r="G4372" t="s">
        <v>29</v>
      </c>
      <c r="H4372" t="s">
        <v>499</v>
      </c>
    </row>
    <row r="4373" spans="1:8" x14ac:dyDescent="0.25">
      <c r="A4373" t="s">
        <v>1033</v>
      </c>
      <c r="B4373" t="s">
        <v>436</v>
      </c>
      <c r="C4373" s="5">
        <v>1519532</v>
      </c>
      <c r="D4373" s="5">
        <v>43487</v>
      </c>
      <c r="E4373">
        <v>698360</v>
      </c>
      <c r="F4373" s="4" t="s">
        <v>955</v>
      </c>
      <c r="G4373" t="s">
        <v>29</v>
      </c>
      <c r="H4373" t="s">
        <v>956</v>
      </c>
    </row>
    <row r="4374" spans="1:8" x14ac:dyDescent="0.25">
      <c r="A4374" t="s">
        <v>1033</v>
      </c>
      <c r="B4374" t="s">
        <v>435</v>
      </c>
      <c r="C4374" s="5">
        <v>54024</v>
      </c>
      <c r="D4374" s="5">
        <v>370</v>
      </c>
      <c r="E4374">
        <v>37315</v>
      </c>
      <c r="F4374" s="4" t="s">
        <v>605</v>
      </c>
      <c r="G4374" t="s">
        <v>29</v>
      </c>
      <c r="H4374" t="s">
        <v>606</v>
      </c>
    </row>
    <row r="4375" spans="1:8" x14ac:dyDescent="0.25">
      <c r="A4375" t="s">
        <v>1033</v>
      </c>
      <c r="B4375" t="s">
        <v>432</v>
      </c>
      <c r="C4375" s="5">
        <v>238271</v>
      </c>
      <c r="D4375" s="5">
        <v>608</v>
      </c>
      <c r="E4375">
        <v>70399</v>
      </c>
      <c r="F4375" s="4" t="s">
        <v>794</v>
      </c>
      <c r="G4375" t="s">
        <v>29</v>
      </c>
      <c r="H4375" t="s">
        <v>795</v>
      </c>
    </row>
    <row r="4376" spans="1:8" x14ac:dyDescent="0.25">
      <c r="A4376" t="s">
        <v>1033</v>
      </c>
      <c r="B4376" t="s">
        <v>429</v>
      </c>
      <c r="C4376" s="5">
        <v>460646</v>
      </c>
      <c r="D4376" s="5">
        <v>16229</v>
      </c>
      <c r="E4376">
        <v>353721</v>
      </c>
      <c r="F4376" s="4" t="s">
        <v>353</v>
      </c>
      <c r="G4376" t="s">
        <v>29</v>
      </c>
      <c r="H4376" t="s">
        <v>354</v>
      </c>
    </row>
    <row r="4377" spans="1:8" x14ac:dyDescent="0.25">
      <c r="A4377" t="s">
        <v>1033</v>
      </c>
      <c r="B4377" t="s">
        <v>428</v>
      </c>
      <c r="C4377" s="5">
        <v>8</v>
      </c>
      <c r="D4377" s="5">
        <v>0</v>
      </c>
      <c r="E4377">
        <v>8</v>
      </c>
      <c r="F4377" s="4" t="s">
        <v>29</v>
      </c>
      <c r="G4377" t="s">
        <v>29</v>
      </c>
      <c r="H4377" t="s">
        <v>291</v>
      </c>
    </row>
    <row r="4378" spans="1:8" x14ac:dyDescent="0.25">
      <c r="A4378" t="s">
        <v>1033</v>
      </c>
      <c r="B4378" t="s">
        <v>427</v>
      </c>
      <c r="C4378" s="5">
        <v>1082721</v>
      </c>
      <c r="D4378" s="5">
        <v>18117</v>
      </c>
      <c r="E4378">
        <v>782396</v>
      </c>
      <c r="F4378" s="4" t="s">
        <v>827</v>
      </c>
      <c r="G4378" t="s">
        <v>29</v>
      </c>
      <c r="H4378" t="s">
        <v>828</v>
      </c>
    </row>
    <row r="4379" spans="1:8" x14ac:dyDescent="0.25">
      <c r="A4379" t="s">
        <v>1033</v>
      </c>
      <c r="B4379" t="s">
        <v>426</v>
      </c>
      <c r="C4379" s="5">
        <v>449980</v>
      </c>
      <c r="D4379" s="5">
        <v>4604</v>
      </c>
      <c r="E4379">
        <v>28084</v>
      </c>
      <c r="F4379" s="4" t="s">
        <v>326</v>
      </c>
      <c r="G4379" t="s">
        <v>29</v>
      </c>
      <c r="H4379" t="s">
        <v>327</v>
      </c>
    </row>
    <row r="4380" spans="1:8" x14ac:dyDescent="0.25">
      <c r="A4380" t="s">
        <v>1033</v>
      </c>
      <c r="B4380" t="s">
        <v>423</v>
      </c>
      <c r="C4380" s="5">
        <v>2956207</v>
      </c>
      <c r="D4380" s="5">
        <v>76300</v>
      </c>
      <c r="E4380">
        <v>2150897</v>
      </c>
      <c r="F4380" s="4" t="s">
        <v>1016</v>
      </c>
      <c r="G4380" t="s">
        <v>29</v>
      </c>
      <c r="H4380" t="s">
        <v>1017</v>
      </c>
    </row>
    <row r="4381" spans="1:8" x14ac:dyDescent="0.25">
      <c r="A4381" t="s">
        <v>1033</v>
      </c>
      <c r="B4381" t="s">
        <v>419</v>
      </c>
      <c r="C4381" s="5">
        <v>2740111</v>
      </c>
      <c r="D4381" s="5">
        <v>41237</v>
      </c>
      <c r="E4381">
        <v>97778</v>
      </c>
      <c r="F4381" s="4" t="s">
        <v>226</v>
      </c>
      <c r="G4381" t="s">
        <v>29</v>
      </c>
      <c r="H4381" t="s">
        <v>227</v>
      </c>
    </row>
    <row r="4382" spans="1:8" x14ac:dyDescent="0.25">
      <c r="A4382" t="s">
        <v>1033</v>
      </c>
      <c r="B4382" t="s">
        <v>420</v>
      </c>
      <c r="C4382" s="5">
        <v>1267393</v>
      </c>
      <c r="D4382" s="5">
        <v>28344</v>
      </c>
      <c r="E4382">
        <v>162277</v>
      </c>
      <c r="F4382" s="4" t="s">
        <v>603</v>
      </c>
      <c r="G4382" t="s">
        <v>29</v>
      </c>
      <c r="H4382" t="s">
        <v>604</v>
      </c>
    </row>
    <row r="4383" spans="1:8" x14ac:dyDescent="0.25">
      <c r="A4383" t="s">
        <v>1033</v>
      </c>
      <c r="B4383" t="s">
        <v>416</v>
      </c>
      <c r="C4383" s="5">
        <v>26154</v>
      </c>
      <c r="D4383" s="5">
        <v>325</v>
      </c>
      <c r="E4383">
        <v>6920</v>
      </c>
      <c r="F4383" s="4" t="s">
        <v>394</v>
      </c>
      <c r="G4383" t="s">
        <v>29</v>
      </c>
      <c r="H4383" t="s">
        <v>395</v>
      </c>
    </row>
    <row r="4384" spans="1:8" x14ac:dyDescent="0.25">
      <c r="A4384" t="s">
        <v>1033</v>
      </c>
      <c r="B4384" t="s">
        <v>415</v>
      </c>
      <c r="C4384" s="5">
        <v>45506</v>
      </c>
      <c r="D4384" s="5">
        <v>635</v>
      </c>
      <c r="E4384">
        <v>7462</v>
      </c>
      <c r="F4384" s="4" t="s">
        <v>403</v>
      </c>
      <c r="G4384" t="s">
        <v>29</v>
      </c>
      <c r="H4384" t="s">
        <v>404</v>
      </c>
    </row>
    <row r="4385" spans="1:8" x14ac:dyDescent="0.25">
      <c r="A4385" t="s">
        <v>1033</v>
      </c>
      <c r="B4385" t="s">
        <v>412</v>
      </c>
      <c r="C4385" s="5">
        <v>2192205</v>
      </c>
      <c r="D4385" s="5">
        <v>199945</v>
      </c>
      <c r="E4385">
        <v>617659</v>
      </c>
      <c r="F4385" s="4" t="s">
        <v>1027</v>
      </c>
      <c r="G4385" t="s">
        <v>29</v>
      </c>
      <c r="H4385" t="s">
        <v>1028</v>
      </c>
    </row>
    <row r="4386" spans="1:8" x14ac:dyDescent="0.25">
      <c r="A4386" t="s">
        <v>1033</v>
      </c>
      <c r="B4386" t="s">
        <v>411</v>
      </c>
      <c r="C4386" s="5">
        <v>471060</v>
      </c>
      <c r="D4386" s="5">
        <v>7303</v>
      </c>
      <c r="E4386">
        <v>287042</v>
      </c>
      <c r="F4386" s="4" t="s">
        <v>333</v>
      </c>
      <c r="G4386" t="s">
        <v>29</v>
      </c>
      <c r="H4386" t="s">
        <v>334</v>
      </c>
    </row>
    <row r="4387" spans="1:8" x14ac:dyDescent="0.25">
      <c r="A4387" t="s">
        <v>1033</v>
      </c>
      <c r="B4387" t="s">
        <v>408</v>
      </c>
      <c r="C4387" s="5">
        <v>304116</v>
      </c>
      <c r="D4387" s="5">
        <v>4107</v>
      </c>
      <c r="E4387">
        <v>178574</v>
      </c>
      <c r="F4387" s="4" t="s">
        <v>409</v>
      </c>
      <c r="G4387" t="s">
        <v>29</v>
      </c>
      <c r="H4387" t="s">
        <v>410</v>
      </c>
    </row>
    <row r="4388" spans="1:8" x14ac:dyDescent="0.25">
      <c r="A4388" t="s">
        <v>1033</v>
      </c>
      <c r="B4388" t="s">
        <v>405</v>
      </c>
      <c r="C4388" s="5">
        <v>5450</v>
      </c>
      <c r="D4388" s="5">
        <v>28</v>
      </c>
      <c r="E4388">
        <v>1544</v>
      </c>
      <c r="F4388" s="4" t="s">
        <v>1038</v>
      </c>
      <c r="G4388" t="s">
        <v>29</v>
      </c>
      <c r="H4388" t="s">
        <v>1039</v>
      </c>
    </row>
    <row r="4389" spans="1:8" x14ac:dyDescent="0.25">
      <c r="A4389" t="s">
        <v>1033</v>
      </c>
      <c r="B4389" t="s">
        <v>402</v>
      </c>
      <c r="C4389" s="5">
        <v>807522</v>
      </c>
      <c r="D4389" s="5">
        <v>11326</v>
      </c>
      <c r="E4389">
        <v>517793</v>
      </c>
      <c r="F4389" s="4" t="s">
        <v>403</v>
      </c>
      <c r="G4389" t="s">
        <v>29</v>
      </c>
      <c r="H4389" t="s">
        <v>404</v>
      </c>
    </row>
    <row r="4390" spans="1:8" x14ac:dyDescent="0.25">
      <c r="A4390" t="s">
        <v>1033</v>
      </c>
      <c r="B4390" t="s">
        <v>399</v>
      </c>
      <c r="C4390" s="5">
        <v>198909</v>
      </c>
      <c r="D4390" s="5">
        <v>893</v>
      </c>
      <c r="E4390">
        <v>110695</v>
      </c>
      <c r="F4390" s="4" t="s">
        <v>888</v>
      </c>
      <c r="G4390" t="s">
        <v>29</v>
      </c>
      <c r="H4390" t="s">
        <v>889</v>
      </c>
    </row>
    <row r="4391" spans="1:8" x14ac:dyDescent="0.25">
      <c r="A4391" t="s">
        <v>1033</v>
      </c>
      <c r="B4391" t="s">
        <v>396</v>
      </c>
      <c r="C4391" s="5">
        <v>2104333</v>
      </c>
      <c r="D4391" s="5">
        <v>18717</v>
      </c>
      <c r="E4391">
        <v>1673123</v>
      </c>
      <c r="F4391" s="4" t="s">
        <v>65</v>
      </c>
      <c r="G4391" t="s">
        <v>29</v>
      </c>
      <c r="H4391" t="s">
        <v>66</v>
      </c>
    </row>
    <row r="4392" spans="1:8" x14ac:dyDescent="0.25">
      <c r="A4392" t="s">
        <v>1033</v>
      </c>
      <c r="B4392" t="s">
        <v>393</v>
      </c>
      <c r="C4392" s="5">
        <v>16241</v>
      </c>
      <c r="D4392" s="5">
        <v>207</v>
      </c>
      <c r="E4392">
        <v>1371</v>
      </c>
      <c r="F4392" s="4" t="s">
        <v>53</v>
      </c>
      <c r="G4392" t="s">
        <v>29</v>
      </c>
      <c r="H4392" t="s">
        <v>54</v>
      </c>
    </row>
    <row r="4393" spans="1:8" x14ac:dyDescent="0.25">
      <c r="A4393" t="s">
        <v>1033</v>
      </c>
      <c r="B4393" t="s">
        <v>390</v>
      </c>
      <c r="C4393" s="5">
        <v>209960</v>
      </c>
      <c r="D4393" s="5">
        <v>2850</v>
      </c>
      <c r="E4393">
        <v>81394</v>
      </c>
      <c r="F4393" s="4" t="s">
        <v>630</v>
      </c>
      <c r="G4393" t="s">
        <v>29</v>
      </c>
      <c r="H4393" t="s">
        <v>631</v>
      </c>
    </row>
    <row r="4394" spans="1:8" x14ac:dyDescent="0.25">
      <c r="A4394" t="s">
        <v>1033</v>
      </c>
      <c r="B4394" t="s">
        <v>387</v>
      </c>
      <c r="C4394" s="5">
        <v>6227</v>
      </c>
      <c r="D4394" s="5">
        <v>206</v>
      </c>
      <c r="E4394">
        <v>1173</v>
      </c>
      <c r="F4394" s="4" t="s">
        <v>1001</v>
      </c>
      <c r="G4394" t="s">
        <v>29</v>
      </c>
      <c r="H4394" t="s">
        <v>1002</v>
      </c>
    </row>
    <row r="4395" spans="1:8" x14ac:dyDescent="0.25">
      <c r="A4395" t="s">
        <v>1033</v>
      </c>
      <c r="B4395" t="s">
        <v>386</v>
      </c>
      <c r="C4395" s="5">
        <v>10305</v>
      </c>
      <c r="D4395" s="5">
        <v>247</v>
      </c>
      <c r="E4395">
        <v>4044</v>
      </c>
      <c r="F4395" s="4" t="s">
        <v>617</v>
      </c>
      <c r="G4395" t="s">
        <v>29</v>
      </c>
      <c r="H4395" t="s">
        <v>618</v>
      </c>
    </row>
    <row r="4396" spans="1:8" x14ac:dyDescent="0.25">
      <c r="A4396" t="s">
        <v>1033</v>
      </c>
      <c r="B4396" t="s">
        <v>383</v>
      </c>
      <c r="C4396" s="5">
        <v>128414</v>
      </c>
      <c r="D4396" s="5">
        <v>3544</v>
      </c>
      <c r="E4396">
        <v>54368</v>
      </c>
      <c r="F4396" s="4" t="s">
        <v>384</v>
      </c>
      <c r="G4396" t="s">
        <v>29</v>
      </c>
      <c r="H4396" t="s">
        <v>385</v>
      </c>
    </row>
    <row r="4397" spans="1:8" x14ac:dyDescent="0.25">
      <c r="A4397" t="s">
        <v>1033</v>
      </c>
      <c r="B4397" t="s">
        <v>380</v>
      </c>
      <c r="C4397" s="5">
        <v>151174</v>
      </c>
      <c r="D4397" s="5">
        <v>1927</v>
      </c>
      <c r="E4397">
        <v>94549</v>
      </c>
      <c r="F4397" s="4" t="s">
        <v>53</v>
      </c>
      <c r="G4397" t="s">
        <v>29</v>
      </c>
      <c r="H4397" t="s">
        <v>54</v>
      </c>
    </row>
    <row r="4398" spans="1:8" x14ac:dyDescent="0.25">
      <c r="A4398" t="s">
        <v>1033</v>
      </c>
      <c r="B4398" t="s">
        <v>377</v>
      </c>
      <c r="C4398" s="5">
        <v>2413592</v>
      </c>
      <c r="D4398" s="5">
        <v>28234</v>
      </c>
      <c r="E4398">
        <v>524403</v>
      </c>
      <c r="F4398" s="4" t="s">
        <v>378</v>
      </c>
      <c r="G4398" t="s">
        <v>29</v>
      </c>
      <c r="H4398" t="s">
        <v>379</v>
      </c>
    </row>
    <row r="4399" spans="1:8" x14ac:dyDescent="0.25">
      <c r="A4399" t="s">
        <v>1033</v>
      </c>
      <c r="B4399" t="s">
        <v>374</v>
      </c>
      <c r="C4399" s="5">
        <v>3772556</v>
      </c>
      <c r="D4399" s="5">
        <v>285669</v>
      </c>
      <c r="E4399">
        <v>1647179</v>
      </c>
      <c r="F4399" s="4" t="s">
        <v>375</v>
      </c>
      <c r="G4399" t="s">
        <v>29</v>
      </c>
      <c r="H4399" t="s">
        <v>376</v>
      </c>
    </row>
    <row r="4400" spans="1:8" x14ac:dyDescent="0.25">
      <c r="A4400" t="s">
        <v>1033</v>
      </c>
      <c r="B4400" t="s">
        <v>371</v>
      </c>
      <c r="C4400" s="5">
        <v>61745</v>
      </c>
      <c r="D4400" s="5">
        <v>2296</v>
      </c>
      <c r="E4400">
        <v>43956</v>
      </c>
      <c r="F4400" s="4" t="s">
        <v>372</v>
      </c>
      <c r="G4400" t="s">
        <v>29</v>
      </c>
      <c r="H4400" t="s">
        <v>373</v>
      </c>
    </row>
    <row r="4401" spans="1:8" x14ac:dyDescent="0.25">
      <c r="A4401" t="s">
        <v>1033</v>
      </c>
      <c r="B4401" t="s">
        <v>368</v>
      </c>
      <c r="C4401" s="5">
        <v>86550</v>
      </c>
      <c r="D4401" s="5">
        <v>240</v>
      </c>
      <c r="E4401">
        <v>81338</v>
      </c>
      <c r="F4401" s="4" t="s">
        <v>369</v>
      </c>
      <c r="G4401" t="s">
        <v>29</v>
      </c>
      <c r="H4401" t="s">
        <v>370</v>
      </c>
    </row>
    <row r="4402" spans="1:8" x14ac:dyDescent="0.25">
      <c r="A4402" t="s">
        <v>1033</v>
      </c>
      <c r="B4402" t="s">
        <v>367</v>
      </c>
      <c r="C4402" s="5">
        <v>16951</v>
      </c>
      <c r="D4402" s="5">
        <v>145</v>
      </c>
      <c r="E4402">
        <v>5059</v>
      </c>
      <c r="F4402" s="4" t="s">
        <v>122</v>
      </c>
      <c r="G4402" t="s">
        <v>29</v>
      </c>
      <c r="H4402" t="s">
        <v>123</v>
      </c>
    </row>
    <row r="4403" spans="1:8" x14ac:dyDescent="0.25">
      <c r="A4403" t="s">
        <v>1033</v>
      </c>
      <c r="B4403" t="s">
        <v>364</v>
      </c>
      <c r="C4403" s="5">
        <v>37523</v>
      </c>
      <c r="D4403" s="5">
        <v>459</v>
      </c>
      <c r="E4403">
        <v>19465</v>
      </c>
      <c r="F4403" s="4" t="s">
        <v>365</v>
      </c>
      <c r="G4403" t="s">
        <v>29</v>
      </c>
      <c r="H4403" t="s">
        <v>366</v>
      </c>
    </row>
    <row r="4404" spans="1:8" x14ac:dyDescent="0.25">
      <c r="A4404" t="s">
        <v>1033</v>
      </c>
      <c r="B4404" t="s">
        <v>363</v>
      </c>
      <c r="C4404" s="5">
        <v>36820</v>
      </c>
      <c r="D4404" s="5">
        <v>791</v>
      </c>
      <c r="E4404">
        <v>6776</v>
      </c>
      <c r="F4404" s="4" t="s">
        <v>852</v>
      </c>
      <c r="G4404" t="s">
        <v>29</v>
      </c>
      <c r="H4404" t="s">
        <v>853</v>
      </c>
    </row>
    <row r="4405" spans="1:8" x14ac:dyDescent="0.25">
      <c r="A4405" t="s">
        <v>1033</v>
      </c>
      <c r="B4405" t="s">
        <v>360</v>
      </c>
      <c r="C4405" s="5">
        <v>42748</v>
      </c>
      <c r="D4405" s="5">
        <v>670</v>
      </c>
      <c r="E4405">
        <v>7150</v>
      </c>
      <c r="F4405" s="4" t="s">
        <v>217</v>
      </c>
      <c r="G4405" t="s">
        <v>29</v>
      </c>
      <c r="H4405" t="s">
        <v>218</v>
      </c>
    </row>
    <row r="4406" spans="1:8" x14ac:dyDescent="0.25">
      <c r="A4406" t="s">
        <v>1033</v>
      </c>
      <c r="B4406" t="s">
        <v>359</v>
      </c>
      <c r="C4406" s="5">
        <v>77</v>
      </c>
      <c r="D4406" s="5">
        <v>0</v>
      </c>
      <c r="E4406">
        <v>1</v>
      </c>
      <c r="F4406" s="4" t="s">
        <v>29</v>
      </c>
      <c r="G4406" t="s">
        <v>29</v>
      </c>
      <c r="H4406" t="s">
        <v>291</v>
      </c>
    </row>
    <row r="4407" spans="1:8" x14ac:dyDescent="0.25">
      <c r="A4407" t="s">
        <v>1033</v>
      </c>
      <c r="B4407" t="s">
        <v>358</v>
      </c>
      <c r="C4407" s="5">
        <v>344736</v>
      </c>
      <c r="D4407" s="5">
        <v>1607</v>
      </c>
      <c r="E4407">
        <v>244752</v>
      </c>
      <c r="F4407" s="4" t="s">
        <v>932</v>
      </c>
      <c r="G4407" t="s">
        <v>29</v>
      </c>
      <c r="H4407" t="s">
        <v>933</v>
      </c>
    </row>
    <row r="4408" spans="1:8" x14ac:dyDescent="0.25">
      <c r="A4408" t="s">
        <v>1033</v>
      </c>
      <c r="B4408" t="s">
        <v>355</v>
      </c>
      <c r="C4408" s="5">
        <v>491584</v>
      </c>
      <c r="D4408" s="5">
        <v>18465</v>
      </c>
      <c r="E4408">
        <v>27248</v>
      </c>
      <c r="F4408" s="4" t="s">
        <v>1040</v>
      </c>
      <c r="G4408" t="s">
        <v>29</v>
      </c>
      <c r="H4408" t="s">
        <v>1041</v>
      </c>
    </row>
    <row r="4409" spans="1:8" x14ac:dyDescent="0.25">
      <c r="A4409" t="s">
        <v>1033</v>
      </c>
      <c r="B4409" t="s">
        <v>352</v>
      </c>
      <c r="C4409" s="5">
        <v>15741</v>
      </c>
      <c r="D4409" s="5">
        <v>558</v>
      </c>
      <c r="E4409">
        <v>2052</v>
      </c>
      <c r="F4409" s="4" t="s">
        <v>494</v>
      </c>
      <c r="G4409" t="s">
        <v>29</v>
      </c>
      <c r="H4409" t="s">
        <v>495</v>
      </c>
    </row>
    <row r="4410" spans="1:8" x14ac:dyDescent="0.25">
      <c r="A4410" t="s">
        <v>1033</v>
      </c>
      <c r="B4410" t="s">
        <v>349</v>
      </c>
      <c r="C4410" s="5">
        <v>198646</v>
      </c>
      <c r="D4410" s="5">
        <v>7012</v>
      </c>
      <c r="E4410">
        <v>118949</v>
      </c>
      <c r="F4410" s="4" t="s">
        <v>430</v>
      </c>
      <c r="G4410" t="s">
        <v>29</v>
      </c>
      <c r="H4410" t="s">
        <v>431</v>
      </c>
    </row>
    <row r="4411" spans="1:8" x14ac:dyDescent="0.25">
      <c r="A4411" t="s">
        <v>1033</v>
      </c>
      <c r="B4411" t="s">
        <v>348</v>
      </c>
      <c r="C4411" s="5">
        <v>4</v>
      </c>
      <c r="D4411" s="5">
        <v>0</v>
      </c>
      <c r="E4411">
        <v>2</v>
      </c>
      <c r="F4411" s="4" t="s">
        <v>29</v>
      </c>
      <c r="G4411" t="s">
        <v>29</v>
      </c>
      <c r="H4411" t="s">
        <v>291</v>
      </c>
    </row>
    <row r="4412" spans="1:8" x14ac:dyDescent="0.25">
      <c r="A4412" t="s">
        <v>1033</v>
      </c>
      <c r="B4412" t="s">
        <v>347</v>
      </c>
      <c r="C4412" s="5">
        <v>43622</v>
      </c>
      <c r="D4412" s="5">
        <v>960</v>
      </c>
      <c r="E4412">
        <v>2753</v>
      </c>
      <c r="F4412" s="4" t="s">
        <v>969</v>
      </c>
      <c r="G4412" t="s">
        <v>29</v>
      </c>
      <c r="H4412" t="s">
        <v>970</v>
      </c>
    </row>
    <row r="4413" spans="1:8" x14ac:dyDescent="0.25">
      <c r="A4413" t="s">
        <v>1033</v>
      </c>
      <c r="B4413" t="s">
        <v>344</v>
      </c>
      <c r="C4413" s="5">
        <v>3888</v>
      </c>
      <c r="D4413" s="5">
        <v>55</v>
      </c>
      <c r="E4413">
        <v>1620</v>
      </c>
      <c r="F4413" s="4" t="s">
        <v>345</v>
      </c>
      <c r="G4413" t="s">
        <v>29</v>
      </c>
      <c r="H4413" t="s">
        <v>346</v>
      </c>
    </row>
    <row r="4414" spans="1:8" x14ac:dyDescent="0.25">
      <c r="A4414" t="s">
        <v>1033</v>
      </c>
      <c r="B4414" t="s">
        <v>341</v>
      </c>
      <c r="C4414" s="5">
        <v>139488</v>
      </c>
      <c r="D4414" s="5">
        <v>2054</v>
      </c>
      <c r="E4414">
        <v>91493</v>
      </c>
      <c r="F4414" s="4" t="s">
        <v>777</v>
      </c>
      <c r="G4414" t="s">
        <v>29</v>
      </c>
      <c r="H4414" t="s">
        <v>778</v>
      </c>
    </row>
    <row r="4415" spans="1:8" x14ac:dyDescent="0.25">
      <c r="A4415" t="s">
        <v>1033</v>
      </c>
      <c r="B4415" t="s">
        <v>338</v>
      </c>
      <c r="C4415" s="5">
        <v>323469</v>
      </c>
      <c r="D4415" s="5">
        <v>7386</v>
      </c>
      <c r="E4415">
        <v>267932</v>
      </c>
      <c r="F4415" s="4" t="s">
        <v>892</v>
      </c>
      <c r="G4415" t="s">
        <v>29</v>
      </c>
      <c r="H4415" t="s">
        <v>893</v>
      </c>
    </row>
    <row r="4416" spans="1:8" x14ac:dyDescent="0.25">
      <c r="A4416" t="s">
        <v>1033</v>
      </c>
      <c r="B4416" t="s">
        <v>335</v>
      </c>
      <c r="C4416" s="5">
        <v>3387</v>
      </c>
      <c r="D4416" s="5">
        <v>35</v>
      </c>
      <c r="E4416">
        <v>2300</v>
      </c>
      <c r="F4416" s="4" t="s">
        <v>687</v>
      </c>
      <c r="G4416" t="s">
        <v>29</v>
      </c>
      <c r="H4416" t="s">
        <v>688</v>
      </c>
    </row>
    <row r="4417" spans="1:8" x14ac:dyDescent="0.25">
      <c r="A4417" t="s">
        <v>1033</v>
      </c>
      <c r="B4417" t="s">
        <v>332</v>
      </c>
      <c r="C4417" s="5">
        <v>943222</v>
      </c>
      <c r="D4417" s="5">
        <v>14593</v>
      </c>
      <c r="E4417">
        <v>505407</v>
      </c>
      <c r="F4417" s="4" t="s">
        <v>333</v>
      </c>
      <c r="G4417" t="s">
        <v>29</v>
      </c>
      <c r="H4417" t="s">
        <v>334</v>
      </c>
    </row>
    <row r="4418" spans="1:8" x14ac:dyDescent="0.25">
      <c r="A4418" t="s">
        <v>1033</v>
      </c>
      <c r="B4418" t="s">
        <v>329</v>
      </c>
      <c r="C4418" s="5">
        <v>352192</v>
      </c>
      <c r="D4418" s="5">
        <v>4962</v>
      </c>
      <c r="E4418">
        <v>206628</v>
      </c>
      <c r="F4418" s="4" t="s">
        <v>345</v>
      </c>
      <c r="G4418" t="s">
        <v>29</v>
      </c>
      <c r="H4418" t="s">
        <v>346</v>
      </c>
    </row>
    <row r="4419" spans="1:8" x14ac:dyDescent="0.25">
      <c r="A4419" t="s">
        <v>1033</v>
      </c>
      <c r="B4419" t="s">
        <v>328</v>
      </c>
      <c r="C4419" s="5">
        <v>194256</v>
      </c>
      <c r="D4419" s="5">
        <v>2967</v>
      </c>
      <c r="E4419">
        <v>102444</v>
      </c>
      <c r="F4419" s="4" t="s">
        <v>74</v>
      </c>
      <c r="G4419" t="s">
        <v>29</v>
      </c>
      <c r="H4419" t="s">
        <v>75</v>
      </c>
    </row>
    <row r="4420" spans="1:8" x14ac:dyDescent="0.25">
      <c r="A4420" t="s">
        <v>1033</v>
      </c>
      <c r="B4420" t="s">
        <v>325</v>
      </c>
      <c r="C4420" s="5">
        <v>80462</v>
      </c>
      <c r="D4420" s="5">
        <v>842</v>
      </c>
      <c r="E4420">
        <v>16023</v>
      </c>
      <c r="F4420" s="4" t="s">
        <v>642</v>
      </c>
      <c r="G4420" t="s">
        <v>29</v>
      </c>
      <c r="H4420" t="s">
        <v>643</v>
      </c>
    </row>
    <row r="4421" spans="1:8" x14ac:dyDescent="0.25">
      <c r="A4421" t="s">
        <v>1033</v>
      </c>
      <c r="B4421" t="s">
        <v>322</v>
      </c>
      <c r="C4421" s="5">
        <v>379438</v>
      </c>
      <c r="D4421" s="5">
        <v>5544</v>
      </c>
      <c r="E4421">
        <v>70395</v>
      </c>
      <c r="F4421" s="4" t="s">
        <v>565</v>
      </c>
      <c r="G4421" t="s">
        <v>29</v>
      </c>
      <c r="H4421" t="s">
        <v>566</v>
      </c>
    </row>
    <row r="4422" spans="1:8" x14ac:dyDescent="0.25">
      <c r="A4422" t="s">
        <v>1033</v>
      </c>
      <c r="B4422" t="s">
        <v>319</v>
      </c>
      <c r="C4422" s="5">
        <v>21566</v>
      </c>
      <c r="D4422" s="5">
        <v>655</v>
      </c>
      <c r="E4422">
        <v>19907</v>
      </c>
      <c r="F4422" s="4" t="s">
        <v>320</v>
      </c>
      <c r="G4422" t="s">
        <v>29</v>
      </c>
      <c r="H4422" t="s">
        <v>321</v>
      </c>
    </row>
    <row r="4423" spans="1:8" x14ac:dyDescent="0.25">
      <c r="A4423" t="s">
        <v>1033</v>
      </c>
      <c r="B4423" t="s">
        <v>316</v>
      </c>
      <c r="C4423" s="5">
        <v>5811</v>
      </c>
      <c r="D4423" s="5">
        <v>287</v>
      </c>
      <c r="E4423">
        <v>2200</v>
      </c>
      <c r="F4423" s="4" t="s">
        <v>644</v>
      </c>
      <c r="G4423" t="s">
        <v>29</v>
      </c>
      <c r="H4423" t="s">
        <v>645</v>
      </c>
    </row>
    <row r="4424" spans="1:8" x14ac:dyDescent="0.25">
      <c r="A4424" t="s">
        <v>1033</v>
      </c>
      <c r="B4424" t="s">
        <v>315</v>
      </c>
      <c r="C4424" s="5">
        <v>533860</v>
      </c>
      <c r="D4424" s="5">
        <v>13562</v>
      </c>
      <c r="E4424">
        <v>382087</v>
      </c>
      <c r="F4424" s="4" t="s">
        <v>141</v>
      </c>
      <c r="G4424" t="s">
        <v>29</v>
      </c>
      <c r="H4424" t="s">
        <v>142</v>
      </c>
    </row>
    <row r="4425" spans="1:8" x14ac:dyDescent="0.25">
      <c r="A4425" t="s">
        <v>1033</v>
      </c>
      <c r="B4425" t="s">
        <v>312</v>
      </c>
      <c r="C4425" s="5">
        <v>3619</v>
      </c>
      <c r="D4425" s="5">
        <v>60</v>
      </c>
      <c r="E4425">
        <v>2852</v>
      </c>
      <c r="F4425" s="4" t="s">
        <v>135</v>
      </c>
      <c r="G4425" t="s">
        <v>29</v>
      </c>
      <c r="H4425" t="s">
        <v>136</v>
      </c>
    </row>
    <row r="4426" spans="1:8" x14ac:dyDescent="0.25">
      <c r="A4426" t="s">
        <v>1033</v>
      </c>
      <c r="B4426" t="s">
        <v>309</v>
      </c>
      <c r="C4426" s="5">
        <v>12331</v>
      </c>
      <c r="D4426" s="5">
        <v>238</v>
      </c>
      <c r="E4426">
        <v>999</v>
      </c>
      <c r="F4426" s="4" t="s">
        <v>946</v>
      </c>
      <c r="G4426" t="s">
        <v>29</v>
      </c>
      <c r="H4426" t="s">
        <v>947</v>
      </c>
    </row>
    <row r="4427" spans="1:8" x14ac:dyDescent="0.25">
      <c r="A4427" t="s">
        <v>1033</v>
      </c>
      <c r="B4427" t="s">
        <v>306</v>
      </c>
      <c r="C4427" s="5">
        <v>636147</v>
      </c>
      <c r="D4427" s="5">
        <v>8441</v>
      </c>
      <c r="E4427">
        <v>313702</v>
      </c>
      <c r="F4427" s="4" t="s">
        <v>59</v>
      </c>
      <c r="G4427" t="s">
        <v>29</v>
      </c>
      <c r="H4427" t="s">
        <v>60</v>
      </c>
    </row>
    <row r="4428" spans="1:8" x14ac:dyDescent="0.25">
      <c r="A4428" t="s">
        <v>1033</v>
      </c>
      <c r="B4428" t="s">
        <v>303</v>
      </c>
      <c r="C4428" s="5">
        <v>33998</v>
      </c>
      <c r="D4428" s="5">
        <v>49</v>
      </c>
      <c r="E4428">
        <v>20478</v>
      </c>
      <c r="F4428" s="4" t="s">
        <v>821</v>
      </c>
      <c r="G4428" t="s">
        <v>29</v>
      </c>
      <c r="H4428" t="s">
        <v>822</v>
      </c>
    </row>
    <row r="4429" spans="1:8" x14ac:dyDescent="0.25">
      <c r="A4429" t="s">
        <v>1033</v>
      </c>
      <c r="B4429" t="s">
        <v>302</v>
      </c>
      <c r="C4429" s="5">
        <v>1003262</v>
      </c>
      <c r="D4429" s="5">
        <v>16835</v>
      </c>
      <c r="E4429">
        <v>86018</v>
      </c>
      <c r="F4429" s="4" t="s">
        <v>116</v>
      </c>
      <c r="G4429" t="s">
        <v>29</v>
      </c>
      <c r="H4429" t="s">
        <v>117</v>
      </c>
    </row>
    <row r="4430" spans="1:8" x14ac:dyDescent="0.25">
      <c r="A4430" t="s">
        <v>1033</v>
      </c>
      <c r="B4430" t="s">
        <v>299</v>
      </c>
      <c r="C4430" s="5">
        <v>412449</v>
      </c>
      <c r="D4430" s="5">
        <v>2459</v>
      </c>
      <c r="E4430">
        <v>44948</v>
      </c>
      <c r="F4430" s="4" t="s">
        <v>300</v>
      </c>
      <c r="G4430" t="s">
        <v>29</v>
      </c>
      <c r="H4430" t="s">
        <v>301</v>
      </c>
    </row>
    <row r="4431" spans="1:8" x14ac:dyDescent="0.25">
      <c r="A4431" t="s">
        <v>1033</v>
      </c>
      <c r="B4431" t="s">
        <v>296</v>
      </c>
      <c r="C4431" s="5">
        <v>348969</v>
      </c>
      <c r="D4431" s="5">
        <v>2725</v>
      </c>
      <c r="E4431">
        <v>265439</v>
      </c>
      <c r="F4431" s="4" t="s">
        <v>297</v>
      </c>
      <c r="G4431" t="s">
        <v>29</v>
      </c>
      <c r="H4431" t="s">
        <v>298</v>
      </c>
    </row>
    <row r="4432" spans="1:8" x14ac:dyDescent="0.25">
      <c r="A4432" t="s">
        <v>1033</v>
      </c>
      <c r="B4432" t="s">
        <v>293</v>
      </c>
      <c r="C4432" s="5">
        <v>2591</v>
      </c>
      <c r="D4432" s="5">
        <v>21</v>
      </c>
      <c r="E4432">
        <v>1427</v>
      </c>
      <c r="F4432" s="4" t="s">
        <v>1018</v>
      </c>
      <c r="G4432" t="s">
        <v>29</v>
      </c>
      <c r="H4432" t="s">
        <v>1019</v>
      </c>
    </row>
    <row r="4433" spans="1:8" x14ac:dyDescent="0.25">
      <c r="A4433" t="s">
        <v>1033</v>
      </c>
      <c r="B4433" t="s">
        <v>292</v>
      </c>
      <c r="C4433" s="5">
        <v>4197</v>
      </c>
      <c r="D4433" s="5">
        <v>147</v>
      </c>
      <c r="E4433">
        <v>3470</v>
      </c>
      <c r="F4433" s="4" t="s">
        <v>677</v>
      </c>
      <c r="G4433" t="s">
        <v>29</v>
      </c>
      <c r="H4433" t="s">
        <v>678</v>
      </c>
    </row>
    <row r="4434" spans="1:8" x14ac:dyDescent="0.25">
      <c r="A4434" t="s">
        <v>1033</v>
      </c>
      <c r="B4434" t="s">
        <v>287</v>
      </c>
      <c r="C4434" s="5">
        <v>117352</v>
      </c>
      <c r="D4434" s="5">
        <v>2704</v>
      </c>
      <c r="E4434">
        <v>109053</v>
      </c>
      <c r="F4434" s="4" t="s">
        <v>619</v>
      </c>
      <c r="G4434" t="s">
        <v>29</v>
      </c>
      <c r="H4434" t="s">
        <v>620</v>
      </c>
    </row>
    <row r="4435" spans="1:8" x14ac:dyDescent="0.25">
      <c r="A4435" t="s">
        <v>1033</v>
      </c>
      <c r="B4435" t="s">
        <v>290</v>
      </c>
      <c r="C4435" s="5">
        <v>2</v>
      </c>
      <c r="D4435" s="5">
        <v>0</v>
      </c>
      <c r="E4435">
        <v>2</v>
      </c>
      <c r="F4435" s="4" t="s">
        <v>29</v>
      </c>
      <c r="G4435" t="s">
        <v>29</v>
      </c>
      <c r="H4435" t="s">
        <v>291</v>
      </c>
    </row>
    <row r="4436" spans="1:8" x14ac:dyDescent="0.25">
      <c r="A4436" t="s">
        <v>1033</v>
      </c>
      <c r="B4436" t="s">
        <v>284</v>
      </c>
      <c r="C4436" s="5">
        <v>180223</v>
      </c>
      <c r="D4436" s="5">
        <v>2643</v>
      </c>
      <c r="E4436">
        <v>8764</v>
      </c>
      <c r="F4436" s="4" t="s">
        <v>777</v>
      </c>
      <c r="G4436" t="s">
        <v>29</v>
      </c>
      <c r="H4436" t="s">
        <v>778</v>
      </c>
    </row>
    <row r="4437" spans="1:8" x14ac:dyDescent="0.25">
      <c r="A4437" t="s">
        <v>1033</v>
      </c>
      <c r="B4437" t="s">
        <v>281</v>
      </c>
      <c r="C4437" s="5">
        <v>252375</v>
      </c>
      <c r="D4437" s="5">
        <v>5238</v>
      </c>
      <c r="E4437">
        <v>26722</v>
      </c>
      <c r="F4437" s="4" t="s">
        <v>549</v>
      </c>
      <c r="G4437" t="s">
        <v>29</v>
      </c>
      <c r="H4437" t="s">
        <v>550</v>
      </c>
    </row>
    <row r="4438" spans="1:8" x14ac:dyDescent="0.25">
      <c r="A4438" t="s">
        <v>1033</v>
      </c>
      <c r="B4438" t="s">
        <v>280</v>
      </c>
      <c r="C4438" s="5">
        <v>1716858</v>
      </c>
      <c r="D4438" s="5">
        <v>18182</v>
      </c>
      <c r="E4438">
        <v>530167</v>
      </c>
      <c r="F4438" s="4" t="s">
        <v>165</v>
      </c>
      <c r="G4438" t="s">
        <v>29</v>
      </c>
      <c r="H4438" t="s">
        <v>166</v>
      </c>
    </row>
    <row r="4439" spans="1:8" x14ac:dyDescent="0.25">
      <c r="A4439" t="s">
        <v>1033</v>
      </c>
      <c r="B4439" t="s">
        <v>279</v>
      </c>
      <c r="C4439" s="5">
        <v>846033</v>
      </c>
      <c r="D4439" s="5">
        <v>10903</v>
      </c>
      <c r="E4439">
        <v>809992</v>
      </c>
      <c r="F4439" s="4" t="s">
        <v>417</v>
      </c>
      <c r="G4439" t="s">
        <v>29</v>
      </c>
      <c r="H4439" t="s">
        <v>418</v>
      </c>
    </row>
    <row r="4440" spans="1:8" x14ac:dyDescent="0.25">
      <c r="A4440" t="s">
        <v>1033</v>
      </c>
      <c r="B4440" t="s">
        <v>278</v>
      </c>
      <c r="C4440" s="5">
        <v>87797</v>
      </c>
      <c r="D4440" s="5">
        <v>2133</v>
      </c>
      <c r="E4440">
        <v>69847</v>
      </c>
      <c r="F4440" s="4" t="s">
        <v>917</v>
      </c>
      <c r="G4440" t="s">
        <v>29</v>
      </c>
      <c r="H4440" t="s">
        <v>918</v>
      </c>
    </row>
    <row r="4441" spans="1:8" x14ac:dyDescent="0.25">
      <c r="A4441" t="s">
        <v>1033</v>
      </c>
      <c r="B4441" t="s">
        <v>275</v>
      </c>
      <c r="C4441" s="5">
        <v>4729678</v>
      </c>
      <c r="D4441" s="5">
        <v>131724</v>
      </c>
      <c r="E4441">
        <v>2035586</v>
      </c>
      <c r="F4441" s="4" t="s">
        <v>662</v>
      </c>
      <c r="G4441" t="s">
        <v>29</v>
      </c>
      <c r="H4441" t="s">
        <v>663</v>
      </c>
    </row>
    <row r="4442" spans="1:8" x14ac:dyDescent="0.25">
      <c r="A4442" t="s">
        <v>1033</v>
      </c>
      <c r="B4442" t="s">
        <v>272</v>
      </c>
      <c r="C4442" s="5">
        <v>12827</v>
      </c>
      <c r="D4442" s="5">
        <v>33</v>
      </c>
      <c r="E4442">
        <v>1620</v>
      </c>
      <c r="F4442" s="4" t="s">
        <v>794</v>
      </c>
      <c r="G4442" t="s">
        <v>29</v>
      </c>
      <c r="H4442" t="s">
        <v>795</v>
      </c>
    </row>
    <row r="4443" spans="1:8" x14ac:dyDescent="0.25">
      <c r="A4443" t="s">
        <v>1033</v>
      </c>
      <c r="B4443" t="s">
        <v>269</v>
      </c>
      <c r="C4443" s="5">
        <v>5833525</v>
      </c>
      <c r="D4443" s="5">
        <v>124763</v>
      </c>
      <c r="E4443">
        <v>606783</v>
      </c>
      <c r="F4443" s="4" t="s">
        <v>823</v>
      </c>
      <c r="G4443" t="s">
        <v>29</v>
      </c>
      <c r="H4443" t="s">
        <v>824</v>
      </c>
    </row>
    <row r="4444" spans="1:8" x14ac:dyDescent="0.25">
      <c r="A4444" t="s">
        <v>1033</v>
      </c>
      <c r="B4444" t="s">
        <v>266</v>
      </c>
      <c r="C4444" s="5">
        <v>2042117</v>
      </c>
      <c r="D4444" s="5">
        <v>22875</v>
      </c>
      <c r="E4444">
        <v>418809</v>
      </c>
      <c r="F4444" s="4" t="s">
        <v>911</v>
      </c>
      <c r="G4444" t="s">
        <v>29</v>
      </c>
      <c r="H4444" t="s">
        <v>912</v>
      </c>
    </row>
    <row r="4445" spans="1:8" x14ac:dyDescent="0.25">
      <c r="A4445" t="s">
        <v>1033</v>
      </c>
      <c r="B4445" t="s">
        <v>263</v>
      </c>
      <c r="C4445" s="5">
        <v>34143236</v>
      </c>
      <c r="D4445" s="5">
        <v>453042</v>
      </c>
      <c r="E4445">
        <v>5477734</v>
      </c>
      <c r="F4445" s="4" t="s">
        <v>59</v>
      </c>
      <c r="G4445" t="s">
        <v>29</v>
      </c>
      <c r="H4445" t="s">
        <v>60</v>
      </c>
    </row>
    <row r="4446" spans="1:8" x14ac:dyDescent="0.25">
      <c r="A4446" t="s">
        <v>1033</v>
      </c>
      <c r="B4446" t="s">
        <v>260</v>
      </c>
      <c r="C4446" s="5">
        <v>1320962</v>
      </c>
      <c r="D4446" s="5">
        <v>8036</v>
      </c>
      <c r="E4446">
        <v>1150</v>
      </c>
      <c r="F4446" s="4" t="s">
        <v>261</v>
      </c>
      <c r="G4446" t="s">
        <v>29</v>
      </c>
      <c r="H4446" t="s">
        <v>262</v>
      </c>
    </row>
    <row r="4447" spans="1:8" x14ac:dyDescent="0.25">
      <c r="A4447" t="s">
        <v>1033</v>
      </c>
      <c r="B4447" t="s">
        <v>257</v>
      </c>
      <c r="C4447" s="5">
        <v>423260</v>
      </c>
      <c r="D4447" s="5">
        <v>5369</v>
      </c>
      <c r="E4447">
        <v>98616</v>
      </c>
      <c r="F4447" s="4" t="s">
        <v>53</v>
      </c>
      <c r="G4447" t="s">
        <v>29</v>
      </c>
      <c r="H4447" t="s">
        <v>54</v>
      </c>
    </row>
    <row r="4448" spans="1:8" x14ac:dyDescent="0.25">
      <c r="A4448" t="s">
        <v>1033</v>
      </c>
      <c r="B4448" t="s">
        <v>254</v>
      </c>
      <c r="C4448" s="5">
        <v>4237834</v>
      </c>
      <c r="D4448" s="5">
        <v>143120</v>
      </c>
      <c r="E4448">
        <v>1442874</v>
      </c>
      <c r="F4448" s="4" t="s">
        <v>255</v>
      </c>
      <c r="G4448" t="s">
        <v>29</v>
      </c>
      <c r="H4448" t="s">
        <v>256</v>
      </c>
    </row>
    <row r="4449" spans="1:8" x14ac:dyDescent="0.25">
      <c r="A4449" t="s">
        <v>1033</v>
      </c>
      <c r="B4449" t="s">
        <v>251</v>
      </c>
      <c r="C4449" s="5">
        <v>841277</v>
      </c>
      <c r="D4449" s="5">
        <v>30468</v>
      </c>
      <c r="E4449">
        <v>104294</v>
      </c>
      <c r="F4449" s="4" t="s">
        <v>1042</v>
      </c>
      <c r="G4449" t="s">
        <v>29</v>
      </c>
      <c r="H4449" t="s">
        <v>1043</v>
      </c>
    </row>
    <row r="4450" spans="1:8" x14ac:dyDescent="0.25">
      <c r="A4450" t="s">
        <v>1033</v>
      </c>
      <c r="B4450" t="s">
        <v>248</v>
      </c>
      <c r="C4450" s="5">
        <v>23406</v>
      </c>
      <c r="D4450" s="5">
        <v>658</v>
      </c>
      <c r="E4450">
        <v>1750</v>
      </c>
      <c r="F4450" s="4" t="s">
        <v>967</v>
      </c>
      <c r="G4450" t="s">
        <v>29</v>
      </c>
      <c r="H4450" t="s">
        <v>968</v>
      </c>
    </row>
    <row r="4451" spans="1:8" x14ac:dyDescent="0.25">
      <c r="A4451" t="s">
        <v>1033</v>
      </c>
      <c r="B4451" t="s">
        <v>245</v>
      </c>
      <c r="C4451" s="5">
        <v>436189</v>
      </c>
      <c r="D4451" s="5">
        <v>8968</v>
      </c>
      <c r="E4451">
        <v>188582</v>
      </c>
      <c r="F4451" s="4" t="s">
        <v>750</v>
      </c>
      <c r="G4451" t="s">
        <v>29</v>
      </c>
      <c r="H4451" t="s">
        <v>751</v>
      </c>
    </row>
    <row r="4452" spans="1:8" x14ac:dyDescent="0.25">
      <c r="A4452" t="s">
        <v>1033</v>
      </c>
      <c r="B4452" t="s">
        <v>242</v>
      </c>
      <c r="C4452" s="5">
        <v>373589</v>
      </c>
      <c r="D4452" s="5">
        <v>10170</v>
      </c>
      <c r="E4452">
        <v>340786</v>
      </c>
      <c r="F4452" s="4" t="s">
        <v>938</v>
      </c>
      <c r="G4452" t="s">
        <v>29</v>
      </c>
      <c r="H4452" t="s">
        <v>939</v>
      </c>
    </row>
    <row r="4453" spans="1:8" x14ac:dyDescent="0.25">
      <c r="A4453" t="s">
        <v>1033</v>
      </c>
      <c r="B4453" t="s">
        <v>239</v>
      </c>
      <c r="C4453" s="5">
        <v>12311</v>
      </c>
      <c r="D4453" s="5">
        <v>213</v>
      </c>
      <c r="E4453">
        <v>7031</v>
      </c>
      <c r="F4453" s="4" t="s">
        <v>765</v>
      </c>
      <c r="G4453" t="s">
        <v>29</v>
      </c>
      <c r="H4453" t="s">
        <v>766</v>
      </c>
    </row>
    <row r="4454" spans="1:8" x14ac:dyDescent="0.25">
      <c r="A4454" t="s">
        <v>1033</v>
      </c>
      <c r="B4454" t="s">
        <v>236</v>
      </c>
      <c r="C4454" s="5">
        <v>34800</v>
      </c>
      <c r="D4454" s="5">
        <v>887</v>
      </c>
      <c r="E4454">
        <v>21483</v>
      </c>
      <c r="F4454" s="4" t="s">
        <v>513</v>
      </c>
      <c r="G4454" t="s">
        <v>29</v>
      </c>
      <c r="H4454" t="s">
        <v>514</v>
      </c>
    </row>
    <row r="4455" spans="1:8" x14ac:dyDescent="0.25">
      <c r="A4455" t="s">
        <v>1033</v>
      </c>
      <c r="B4455" t="s">
        <v>233</v>
      </c>
      <c r="C4455" s="5">
        <v>6131</v>
      </c>
      <c r="D4455" s="5">
        <v>141</v>
      </c>
      <c r="E4455">
        <v>2065</v>
      </c>
      <c r="F4455" s="4" t="s">
        <v>619</v>
      </c>
      <c r="G4455" t="s">
        <v>29</v>
      </c>
      <c r="H4455" t="s">
        <v>620</v>
      </c>
    </row>
    <row r="4456" spans="1:8" x14ac:dyDescent="0.25">
      <c r="A4456" t="s">
        <v>1033</v>
      </c>
      <c r="B4456" t="s">
        <v>232</v>
      </c>
      <c r="C4456" s="5">
        <v>591767</v>
      </c>
      <c r="D4456" s="5">
        <v>14566</v>
      </c>
      <c r="E4456">
        <v>202860</v>
      </c>
      <c r="F4456" s="4" t="s">
        <v>949</v>
      </c>
      <c r="G4456" t="s">
        <v>29</v>
      </c>
      <c r="H4456" t="s">
        <v>950</v>
      </c>
    </row>
    <row r="4457" spans="1:8" x14ac:dyDescent="0.25">
      <c r="A4457" t="s">
        <v>1033</v>
      </c>
      <c r="B4457" t="s">
        <v>229</v>
      </c>
      <c r="C4457" s="5">
        <v>707587</v>
      </c>
      <c r="D4457" s="5">
        <v>15519</v>
      </c>
      <c r="E4457">
        <v>185579</v>
      </c>
      <c r="F4457" s="4" t="s">
        <v>50</v>
      </c>
      <c r="G4457" t="s">
        <v>29</v>
      </c>
      <c r="H4457" t="s">
        <v>51</v>
      </c>
    </row>
    <row r="4458" spans="1:8" x14ac:dyDescent="0.25">
      <c r="A4458" t="s">
        <v>1033</v>
      </c>
      <c r="B4458" t="s">
        <v>228</v>
      </c>
      <c r="C4458" s="5">
        <v>13097</v>
      </c>
      <c r="D4458" s="5">
        <v>163</v>
      </c>
      <c r="E4458">
        <v>10430</v>
      </c>
      <c r="F4458" s="4" t="s">
        <v>394</v>
      </c>
      <c r="G4458" t="s">
        <v>29</v>
      </c>
      <c r="H4458" t="s">
        <v>395</v>
      </c>
    </row>
    <row r="4459" spans="1:8" x14ac:dyDescent="0.25">
      <c r="A4459" t="s">
        <v>1033</v>
      </c>
      <c r="B4459" t="s">
        <v>225</v>
      </c>
      <c r="C4459" s="5">
        <v>54095</v>
      </c>
      <c r="D4459" s="5">
        <v>809</v>
      </c>
      <c r="E4459">
        <v>30391</v>
      </c>
      <c r="F4459" s="4" t="s">
        <v>226</v>
      </c>
      <c r="G4459" t="s">
        <v>29</v>
      </c>
      <c r="H4459" t="s">
        <v>227</v>
      </c>
    </row>
    <row r="4460" spans="1:8" x14ac:dyDescent="0.25">
      <c r="A4460" t="s">
        <v>1033</v>
      </c>
      <c r="B4460" t="s">
        <v>219</v>
      </c>
      <c r="C4460" s="5">
        <v>9946</v>
      </c>
      <c r="D4460" s="5">
        <v>339</v>
      </c>
      <c r="E4460">
        <v>8680</v>
      </c>
      <c r="F4460" s="4" t="s">
        <v>205</v>
      </c>
      <c r="G4460" t="s">
        <v>29</v>
      </c>
      <c r="H4460" t="s">
        <v>206</v>
      </c>
    </row>
    <row r="4461" spans="1:8" x14ac:dyDescent="0.25">
      <c r="A4461" t="s">
        <v>1033</v>
      </c>
      <c r="B4461" t="s">
        <v>222</v>
      </c>
      <c r="C4461" s="5">
        <v>30605</v>
      </c>
      <c r="D4461" s="5">
        <v>385</v>
      </c>
      <c r="E4461">
        <v>6315</v>
      </c>
      <c r="F4461" s="4" t="s">
        <v>223</v>
      </c>
      <c r="G4461" t="s">
        <v>29</v>
      </c>
      <c r="H4461" t="s">
        <v>224</v>
      </c>
    </row>
    <row r="4462" spans="1:8" x14ac:dyDescent="0.25">
      <c r="A4462" t="s">
        <v>1033</v>
      </c>
      <c r="B4462" t="s">
        <v>216</v>
      </c>
      <c r="C4462" s="5">
        <v>5824</v>
      </c>
      <c r="D4462" s="5">
        <v>98</v>
      </c>
      <c r="E4462">
        <v>5096</v>
      </c>
      <c r="F4462" s="4" t="s">
        <v>116</v>
      </c>
      <c r="G4462" t="s">
        <v>29</v>
      </c>
      <c r="H4462" t="s">
        <v>117</v>
      </c>
    </row>
    <row r="4463" spans="1:8" x14ac:dyDescent="0.25">
      <c r="A4463" t="s">
        <v>1033</v>
      </c>
      <c r="B4463" t="s">
        <v>213</v>
      </c>
      <c r="C4463" s="5">
        <v>129592</v>
      </c>
      <c r="D4463" s="5">
        <v>1169</v>
      </c>
      <c r="E4463">
        <v>81212</v>
      </c>
      <c r="F4463" s="4" t="s">
        <v>667</v>
      </c>
      <c r="G4463" t="s">
        <v>29</v>
      </c>
      <c r="H4463" t="s">
        <v>668</v>
      </c>
    </row>
    <row r="4464" spans="1:8" x14ac:dyDescent="0.25">
      <c r="A4464" t="s">
        <v>1033</v>
      </c>
      <c r="B4464" t="s">
        <v>210</v>
      </c>
      <c r="C4464" s="5">
        <v>43690</v>
      </c>
      <c r="D4464" s="5">
        <v>297</v>
      </c>
      <c r="E4464">
        <v>34301</v>
      </c>
      <c r="F4464" s="4" t="s">
        <v>605</v>
      </c>
      <c r="G4464" t="s">
        <v>29</v>
      </c>
      <c r="H4464" t="s">
        <v>606</v>
      </c>
    </row>
    <row r="4465" spans="1:8" x14ac:dyDescent="0.25">
      <c r="A4465" t="s">
        <v>1033</v>
      </c>
      <c r="B4465" t="s">
        <v>204</v>
      </c>
      <c r="C4465" s="5">
        <v>5795</v>
      </c>
      <c r="D4465" s="5">
        <v>194</v>
      </c>
      <c r="E4465">
        <v>1407</v>
      </c>
      <c r="F4465" s="4" t="s">
        <v>831</v>
      </c>
      <c r="G4465" t="s">
        <v>29</v>
      </c>
      <c r="H4465" t="s">
        <v>832</v>
      </c>
    </row>
    <row r="4466" spans="1:8" x14ac:dyDescent="0.25">
      <c r="A4466" t="s">
        <v>1033</v>
      </c>
      <c r="B4466" t="s">
        <v>207</v>
      </c>
      <c r="C4466" s="5">
        <v>680182</v>
      </c>
      <c r="D4466" s="5">
        <v>9617</v>
      </c>
      <c r="E4466">
        <v>512533</v>
      </c>
      <c r="F4466" s="4" t="s">
        <v>345</v>
      </c>
      <c r="G4466" t="s">
        <v>29</v>
      </c>
      <c r="H4466" t="s">
        <v>346</v>
      </c>
    </row>
    <row r="4467" spans="1:8" x14ac:dyDescent="0.25">
      <c r="A4467" t="s">
        <v>1033</v>
      </c>
      <c r="B4467" t="s">
        <v>201</v>
      </c>
      <c r="C4467" s="5">
        <v>8675971</v>
      </c>
      <c r="D4467" s="5">
        <v>139464</v>
      </c>
      <c r="E4467">
        <v>7159830</v>
      </c>
      <c r="F4467" s="4" t="s">
        <v>587</v>
      </c>
      <c r="G4467" t="s">
        <v>29</v>
      </c>
      <c r="H4467" t="s">
        <v>588</v>
      </c>
    </row>
    <row r="4468" spans="1:8" x14ac:dyDescent="0.25">
      <c r="A4468" t="s">
        <v>1033</v>
      </c>
      <c r="B4468" t="s">
        <v>198</v>
      </c>
      <c r="C4468" s="5">
        <v>34281</v>
      </c>
      <c r="D4468" s="5">
        <v>219</v>
      </c>
      <c r="E4468">
        <v>11413</v>
      </c>
      <c r="F4468" s="4" t="s">
        <v>953</v>
      </c>
      <c r="G4468" t="s">
        <v>29</v>
      </c>
      <c r="H4468" t="s">
        <v>954</v>
      </c>
    </row>
    <row r="4469" spans="1:8" x14ac:dyDescent="0.25">
      <c r="A4469" t="s">
        <v>1033</v>
      </c>
      <c r="B4469" t="s">
        <v>195</v>
      </c>
      <c r="C4469" s="5">
        <v>6932747</v>
      </c>
      <c r="D4469" s="5">
        <v>115068</v>
      </c>
      <c r="E4469">
        <v>5794382</v>
      </c>
      <c r="F4469" s="4" t="s">
        <v>135</v>
      </c>
      <c r="G4469" t="s">
        <v>29</v>
      </c>
      <c r="H4469" t="s">
        <v>136</v>
      </c>
    </row>
    <row r="4470" spans="1:8" x14ac:dyDescent="0.25">
      <c r="A4470" t="s">
        <v>1033</v>
      </c>
      <c r="B4470" t="s">
        <v>192</v>
      </c>
      <c r="C4470" s="5">
        <v>1410</v>
      </c>
      <c r="D4470" s="5">
        <v>2</v>
      </c>
      <c r="E4470">
        <v>448</v>
      </c>
      <c r="F4470" s="4" t="s">
        <v>821</v>
      </c>
      <c r="G4470" t="s">
        <v>29</v>
      </c>
      <c r="H4470" t="s">
        <v>822</v>
      </c>
    </row>
    <row r="4471" spans="1:8" x14ac:dyDescent="0.25">
      <c r="A4471" t="s">
        <v>1033</v>
      </c>
      <c r="B4471" t="s">
        <v>189</v>
      </c>
      <c r="C4471" s="5">
        <v>51909</v>
      </c>
      <c r="D4471" s="5">
        <v>663</v>
      </c>
      <c r="E4471">
        <v>29441</v>
      </c>
      <c r="F4471" s="4" t="s">
        <v>381</v>
      </c>
      <c r="G4471" t="s">
        <v>29</v>
      </c>
      <c r="H4471" t="s">
        <v>382</v>
      </c>
    </row>
    <row r="4472" spans="1:8" x14ac:dyDescent="0.25">
      <c r="A4472" t="s">
        <v>1033</v>
      </c>
      <c r="B4472" t="s">
        <v>186</v>
      </c>
      <c r="C4472" s="5">
        <v>152707</v>
      </c>
      <c r="D4472" s="5">
        <v>1135</v>
      </c>
      <c r="E4472">
        <v>101520</v>
      </c>
      <c r="F4472" s="4" t="s">
        <v>819</v>
      </c>
      <c r="G4472" t="s">
        <v>29</v>
      </c>
      <c r="H4472" t="s">
        <v>820</v>
      </c>
    </row>
    <row r="4473" spans="1:8" x14ac:dyDescent="0.25">
      <c r="A4473" t="s">
        <v>1033</v>
      </c>
      <c r="B4473" t="s">
        <v>185</v>
      </c>
      <c r="C4473" s="5">
        <v>361027</v>
      </c>
      <c r="D4473" s="5">
        <v>6316</v>
      </c>
      <c r="E4473">
        <v>222547</v>
      </c>
      <c r="F4473" s="4" t="s">
        <v>545</v>
      </c>
      <c r="G4473" t="s">
        <v>29</v>
      </c>
      <c r="H4473" t="s">
        <v>546</v>
      </c>
    </row>
    <row r="4474" spans="1:8" x14ac:dyDescent="0.25">
      <c r="A4474" t="s">
        <v>1033</v>
      </c>
      <c r="B4474" t="s">
        <v>182</v>
      </c>
      <c r="C4474" s="5">
        <v>4995176</v>
      </c>
      <c r="D4474" s="5">
        <v>87102</v>
      </c>
      <c r="E4474">
        <v>100061</v>
      </c>
      <c r="F4474" s="4" t="s">
        <v>183</v>
      </c>
      <c r="G4474" t="s">
        <v>29</v>
      </c>
      <c r="H4474" t="s">
        <v>184</v>
      </c>
    </row>
    <row r="4475" spans="1:8" x14ac:dyDescent="0.25">
      <c r="A4475" t="s">
        <v>1033</v>
      </c>
      <c r="B4475" t="s">
        <v>179</v>
      </c>
      <c r="C4475" s="5">
        <v>6788</v>
      </c>
      <c r="D4475" s="5">
        <v>45</v>
      </c>
      <c r="E4475">
        <v>423</v>
      </c>
      <c r="F4475" s="4" t="s">
        <v>162</v>
      </c>
      <c r="G4475" t="s">
        <v>29</v>
      </c>
      <c r="H4475" t="s">
        <v>163</v>
      </c>
    </row>
    <row r="4476" spans="1:8" x14ac:dyDescent="0.25">
      <c r="A4476" t="s">
        <v>1033</v>
      </c>
      <c r="B4476" t="s">
        <v>176</v>
      </c>
      <c r="C4476" s="5">
        <v>321967</v>
      </c>
      <c r="D4476" s="5">
        <v>18151</v>
      </c>
      <c r="E4476">
        <v>244818</v>
      </c>
      <c r="F4476" s="4" t="s">
        <v>756</v>
      </c>
      <c r="G4476" t="s">
        <v>29</v>
      </c>
      <c r="H4476" t="s">
        <v>757</v>
      </c>
    </row>
    <row r="4477" spans="1:8" x14ac:dyDescent="0.25">
      <c r="A4477" t="s">
        <v>1033</v>
      </c>
      <c r="B4477" t="s">
        <v>173</v>
      </c>
      <c r="C4477" s="5">
        <v>177287</v>
      </c>
      <c r="D4477" s="5">
        <v>1444</v>
      </c>
      <c r="E4477">
        <v>85173</v>
      </c>
      <c r="F4477" s="4" t="s">
        <v>1018</v>
      </c>
      <c r="G4477" t="s">
        <v>29</v>
      </c>
      <c r="H4477" t="s">
        <v>1019</v>
      </c>
    </row>
    <row r="4478" spans="1:8" x14ac:dyDescent="0.25">
      <c r="A4478" t="s">
        <v>1033</v>
      </c>
      <c r="B4478" t="s">
        <v>170</v>
      </c>
      <c r="C4478" s="5">
        <v>514087</v>
      </c>
      <c r="D4478" s="5">
        <v>32937</v>
      </c>
      <c r="E4478">
        <v>12273</v>
      </c>
      <c r="F4478" s="4" t="s">
        <v>1020</v>
      </c>
      <c r="G4478" t="s">
        <v>29</v>
      </c>
      <c r="H4478" t="s">
        <v>1021</v>
      </c>
    </row>
    <row r="4479" spans="1:8" x14ac:dyDescent="0.25">
      <c r="A4479" t="s">
        <v>1033</v>
      </c>
      <c r="B4479" t="s">
        <v>167</v>
      </c>
      <c r="C4479" s="5">
        <v>205599</v>
      </c>
      <c r="D4479" s="5">
        <v>5881</v>
      </c>
      <c r="E4479">
        <v>46859</v>
      </c>
      <c r="F4479" s="4" t="s">
        <v>955</v>
      </c>
      <c r="G4479" t="s">
        <v>29</v>
      </c>
      <c r="H4479" t="s">
        <v>956</v>
      </c>
    </row>
    <row r="4480" spans="1:8" x14ac:dyDescent="0.25">
      <c r="A4480" t="s">
        <v>1033</v>
      </c>
      <c r="B4480" t="s">
        <v>164</v>
      </c>
      <c r="C4480" s="5">
        <v>373929</v>
      </c>
      <c r="D4480" s="5">
        <v>4097</v>
      </c>
      <c r="E4480">
        <v>193818</v>
      </c>
      <c r="F4480" s="4" t="s">
        <v>1044</v>
      </c>
      <c r="G4480" t="s">
        <v>29</v>
      </c>
      <c r="H4480" t="s">
        <v>1045</v>
      </c>
    </row>
    <row r="4481" spans="1:8" x14ac:dyDescent="0.25">
      <c r="A4481" t="s">
        <v>1033</v>
      </c>
      <c r="B4481" t="s">
        <v>161</v>
      </c>
      <c r="C4481" s="5">
        <v>4465</v>
      </c>
      <c r="D4481" s="5">
        <v>30</v>
      </c>
      <c r="E4481">
        <v>2806</v>
      </c>
      <c r="F4481" s="4" t="s">
        <v>92</v>
      </c>
      <c r="G4481" t="s">
        <v>29</v>
      </c>
      <c r="H4481" t="s">
        <v>93</v>
      </c>
    </row>
    <row r="4482" spans="1:8" x14ac:dyDescent="0.25">
      <c r="A4482" t="s">
        <v>1033</v>
      </c>
      <c r="B4482" t="s">
        <v>160</v>
      </c>
      <c r="C4482" s="5">
        <v>373249</v>
      </c>
      <c r="D4482" s="5">
        <v>2696</v>
      </c>
      <c r="E4482">
        <v>162186</v>
      </c>
      <c r="F4482" s="4" t="s">
        <v>199</v>
      </c>
      <c r="G4482" t="s">
        <v>29</v>
      </c>
      <c r="H4482" t="s">
        <v>200</v>
      </c>
    </row>
    <row r="4483" spans="1:8" x14ac:dyDescent="0.25">
      <c r="A4483" t="s">
        <v>1033</v>
      </c>
      <c r="B4483" t="s">
        <v>157</v>
      </c>
      <c r="C4483" s="5">
        <v>13423</v>
      </c>
      <c r="D4483" s="5">
        <v>181</v>
      </c>
      <c r="E4483">
        <v>8345</v>
      </c>
      <c r="F4483" s="4" t="s">
        <v>409</v>
      </c>
      <c r="G4483" t="s">
        <v>29</v>
      </c>
      <c r="H4483" t="s">
        <v>410</v>
      </c>
    </row>
    <row r="4484" spans="1:8" x14ac:dyDescent="0.25">
      <c r="A4484" t="s">
        <v>1033</v>
      </c>
      <c r="B4484" t="s">
        <v>154</v>
      </c>
      <c r="C4484" s="5">
        <v>4447231</v>
      </c>
      <c r="D4484" s="5">
        <v>94995</v>
      </c>
      <c r="E4484">
        <v>641922</v>
      </c>
      <c r="F4484" s="4" t="s">
        <v>823</v>
      </c>
      <c r="G4484" t="s">
        <v>29</v>
      </c>
      <c r="H4484" t="s">
        <v>824</v>
      </c>
    </row>
    <row r="4485" spans="1:8" x14ac:dyDescent="0.25">
      <c r="A4485" t="s">
        <v>1033</v>
      </c>
      <c r="B4485" t="s">
        <v>151</v>
      </c>
      <c r="C4485" s="5">
        <v>1718808</v>
      </c>
      <c r="D4485" s="5">
        <v>30587</v>
      </c>
      <c r="E4485">
        <v>498664</v>
      </c>
      <c r="F4485" s="4" t="s">
        <v>68</v>
      </c>
      <c r="G4485" t="s">
        <v>29</v>
      </c>
      <c r="H4485" t="s">
        <v>69</v>
      </c>
    </row>
    <row r="4486" spans="1:8" x14ac:dyDescent="0.25">
      <c r="A4486" t="s">
        <v>1033</v>
      </c>
      <c r="B4486" t="s">
        <v>148</v>
      </c>
      <c r="C4486" s="5">
        <v>122852</v>
      </c>
      <c r="D4486" s="5">
        <v>567</v>
      </c>
      <c r="E4486">
        <v>59537</v>
      </c>
      <c r="F4486" s="4" t="s">
        <v>149</v>
      </c>
      <c r="G4486" t="s">
        <v>29</v>
      </c>
      <c r="H4486" t="s">
        <v>150</v>
      </c>
    </row>
    <row r="4487" spans="1:8" x14ac:dyDescent="0.25">
      <c r="A4487" t="s">
        <v>1033</v>
      </c>
      <c r="B4487" t="s">
        <v>145</v>
      </c>
      <c r="C4487" s="5">
        <v>38098</v>
      </c>
      <c r="D4487" s="5">
        <v>347</v>
      </c>
      <c r="E4487">
        <v>17181</v>
      </c>
      <c r="F4487" s="4" t="s">
        <v>146</v>
      </c>
      <c r="G4487" t="s">
        <v>29</v>
      </c>
      <c r="H4487" t="s">
        <v>147</v>
      </c>
    </row>
    <row r="4488" spans="1:8" x14ac:dyDescent="0.25">
      <c r="A4488" t="s">
        <v>1033</v>
      </c>
      <c r="B4488" t="s">
        <v>144</v>
      </c>
      <c r="C4488" s="5">
        <v>941562</v>
      </c>
      <c r="D4488" s="5">
        <v>8133</v>
      </c>
      <c r="E4488">
        <v>109218</v>
      </c>
      <c r="F4488" s="4" t="s">
        <v>122</v>
      </c>
      <c r="G4488" t="s">
        <v>29</v>
      </c>
      <c r="H4488" t="s">
        <v>123</v>
      </c>
    </row>
    <row r="4489" spans="1:8" x14ac:dyDescent="0.25">
      <c r="A4489" t="s">
        <v>1033</v>
      </c>
      <c r="B4489" t="s">
        <v>143</v>
      </c>
      <c r="C4489" s="5">
        <v>554604</v>
      </c>
      <c r="D4489" s="5">
        <v>6895</v>
      </c>
      <c r="E4489">
        <v>396975</v>
      </c>
      <c r="F4489" s="4" t="s">
        <v>394</v>
      </c>
      <c r="G4489" t="s">
        <v>29</v>
      </c>
      <c r="H4489" t="s">
        <v>395</v>
      </c>
    </row>
    <row r="4490" spans="1:8" x14ac:dyDescent="0.25">
      <c r="A4490" t="s">
        <v>1033</v>
      </c>
      <c r="B4490" t="s">
        <v>140</v>
      </c>
      <c r="C4490" s="5">
        <v>4986249</v>
      </c>
      <c r="D4490" s="5">
        <v>126959</v>
      </c>
      <c r="E4490">
        <v>3948557</v>
      </c>
      <c r="F4490" s="4" t="s">
        <v>513</v>
      </c>
      <c r="G4490" t="s">
        <v>29</v>
      </c>
      <c r="H4490" t="s">
        <v>514</v>
      </c>
    </row>
    <row r="4491" spans="1:8" x14ac:dyDescent="0.25">
      <c r="A4491" t="s">
        <v>1033</v>
      </c>
      <c r="B4491" t="s">
        <v>137</v>
      </c>
      <c r="C4491" s="5">
        <v>96670</v>
      </c>
      <c r="D4491" s="5">
        <v>4636</v>
      </c>
      <c r="E4491">
        <v>72750</v>
      </c>
      <c r="F4491" s="4" t="s">
        <v>1046</v>
      </c>
      <c r="G4491" t="s">
        <v>29</v>
      </c>
      <c r="H4491" t="s">
        <v>1047</v>
      </c>
    </row>
    <row r="4492" spans="1:8" x14ac:dyDescent="0.25">
      <c r="A4492" t="s">
        <v>1033</v>
      </c>
      <c r="B4492" t="s">
        <v>134</v>
      </c>
      <c r="C4492" s="5">
        <v>100289</v>
      </c>
      <c r="D4492" s="5">
        <v>1600</v>
      </c>
      <c r="E4492">
        <v>94543</v>
      </c>
      <c r="F4492" s="4" t="s">
        <v>313</v>
      </c>
      <c r="G4492" t="s">
        <v>29</v>
      </c>
      <c r="H4492" t="s">
        <v>314</v>
      </c>
    </row>
    <row r="4493" spans="1:8" x14ac:dyDescent="0.25">
      <c r="A4493" t="s">
        <v>1033</v>
      </c>
      <c r="B4493" t="s">
        <v>131</v>
      </c>
      <c r="C4493" s="5">
        <v>1676019</v>
      </c>
      <c r="D4493" s="5">
        <v>37640</v>
      </c>
      <c r="E4493">
        <v>1570765</v>
      </c>
      <c r="F4493" s="4" t="s">
        <v>613</v>
      </c>
      <c r="G4493" t="s">
        <v>29</v>
      </c>
      <c r="H4493" t="s">
        <v>614</v>
      </c>
    </row>
    <row r="4494" spans="1:8" x14ac:dyDescent="0.25">
      <c r="A4494" t="s">
        <v>1033</v>
      </c>
      <c r="B4494" t="s">
        <v>128</v>
      </c>
      <c r="C4494" s="5">
        <v>61139</v>
      </c>
      <c r="D4494" s="5">
        <v>689</v>
      </c>
      <c r="E4494">
        <v>25117</v>
      </c>
      <c r="F4494" s="4" t="s">
        <v>267</v>
      </c>
      <c r="G4494" t="s">
        <v>29</v>
      </c>
      <c r="H4494" t="s">
        <v>268</v>
      </c>
    </row>
    <row r="4495" spans="1:8" x14ac:dyDescent="0.25">
      <c r="A4495" t="s">
        <v>1033</v>
      </c>
      <c r="B4495" t="s">
        <v>127</v>
      </c>
      <c r="C4495" s="5">
        <v>861123</v>
      </c>
      <c r="D4495" s="5">
        <v>11178</v>
      </c>
      <c r="E4495">
        <v>741528</v>
      </c>
      <c r="F4495" s="4" t="s">
        <v>190</v>
      </c>
      <c r="G4495" t="s">
        <v>29</v>
      </c>
      <c r="H4495" t="s">
        <v>191</v>
      </c>
    </row>
    <row r="4496" spans="1:8" x14ac:dyDescent="0.25">
      <c r="A4496" t="s">
        <v>1033</v>
      </c>
      <c r="B4496" t="s">
        <v>124</v>
      </c>
      <c r="C4496" s="5">
        <v>16408</v>
      </c>
      <c r="D4496" s="5">
        <v>239</v>
      </c>
      <c r="E4496">
        <v>4565</v>
      </c>
      <c r="F4496" s="4" t="s">
        <v>565</v>
      </c>
      <c r="G4496" t="s">
        <v>29</v>
      </c>
      <c r="H4496" t="s">
        <v>566</v>
      </c>
    </row>
    <row r="4497" spans="1:8" x14ac:dyDescent="0.25">
      <c r="A4497" t="s">
        <v>1033</v>
      </c>
      <c r="B4497" t="s">
        <v>121</v>
      </c>
      <c r="C4497" s="5">
        <v>11478</v>
      </c>
      <c r="D4497" s="5">
        <v>100</v>
      </c>
      <c r="E4497">
        <v>1456</v>
      </c>
      <c r="F4497" s="4" t="s">
        <v>498</v>
      </c>
      <c r="G4497" t="s">
        <v>29</v>
      </c>
      <c r="H4497" t="s">
        <v>499</v>
      </c>
    </row>
    <row r="4498" spans="1:8" x14ac:dyDescent="0.25">
      <c r="A4498" t="s">
        <v>1033</v>
      </c>
      <c r="B4498" t="s">
        <v>118</v>
      </c>
      <c r="C4498" s="5">
        <v>57402</v>
      </c>
      <c r="D4498" s="5">
        <v>1091</v>
      </c>
      <c r="E4498">
        <v>16469</v>
      </c>
      <c r="F4498" s="4" t="s">
        <v>652</v>
      </c>
      <c r="G4498" t="s">
        <v>29</v>
      </c>
      <c r="H4498" t="s">
        <v>653</v>
      </c>
    </row>
    <row r="4499" spans="1:8" x14ac:dyDescent="0.25">
      <c r="A4499" t="s">
        <v>1033</v>
      </c>
      <c r="B4499" t="s">
        <v>115</v>
      </c>
      <c r="C4499" s="5">
        <v>1701354</v>
      </c>
      <c r="D4499" s="5">
        <v>28722</v>
      </c>
      <c r="E4499">
        <v>209885</v>
      </c>
      <c r="F4499" s="4" t="s">
        <v>152</v>
      </c>
      <c r="G4499" t="s">
        <v>29</v>
      </c>
      <c r="H4499" t="s">
        <v>153</v>
      </c>
    </row>
    <row r="4500" spans="1:8" x14ac:dyDescent="0.25">
      <c r="A4500" t="s">
        <v>1033</v>
      </c>
      <c r="B4500" t="s">
        <v>112</v>
      </c>
      <c r="C4500" s="5">
        <v>25244</v>
      </c>
      <c r="D4500" s="5">
        <v>473</v>
      </c>
      <c r="E4500">
        <v>23485</v>
      </c>
      <c r="F4500" s="4" t="s">
        <v>763</v>
      </c>
      <c r="G4500" t="s">
        <v>29</v>
      </c>
      <c r="H4500" t="s">
        <v>764</v>
      </c>
    </row>
    <row r="4501" spans="1:8" x14ac:dyDescent="0.25">
      <c r="A4501" t="s">
        <v>1033</v>
      </c>
      <c r="B4501" t="s">
        <v>109</v>
      </c>
      <c r="C4501" s="5">
        <v>580029</v>
      </c>
      <c r="D4501" s="5">
        <v>4466</v>
      </c>
      <c r="E4501">
        <v>345964</v>
      </c>
      <c r="F4501" s="4" t="s">
        <v>110</v>
      </c>
      <c r="G4501" t="s">
        <v>29</v>
      </c>
      <c r="H4501" t="s">
        <v>111</v>
      </c>
    </row>
    <row r="4502" spans="1:8" x14ac:dyDescent="0.25">
      <c r="A4502" t="s">
        <v>1033</v>
      </c>
      <c r="B4502" t="s">
        <v>106</v>
      </c>
      <c r="C4502" s="5">
        <v>184919</v>
      </c>
      <c r="D4502" s="5">
        <v>2396</v>
      </c>
      <c r="E4502">
        <v>164297</v>
      </c>
      <c r="F4502" s="4" t="s">
        <v>190</v>
      </c>
      <c r="G4502" t="s">
        <v>29</v>
      </c>
      <c r="H4502" t="s">
        <v>191</v>
      </c>
    </row>
    <row r="4503" spans="1:8" x14ac:dyDescent="0.25">
      <c r="A4503" t="s">
        <v>1033</v>
      </c>
      <c r="B4503" t="s">
        <v>103</v>
      </c>
      <c r="C4503" s="5">
        <v>2617</v>
      </c>
      <c r="D4503" s="5">
        <v>3</v>
      </c>
      <c r="E4503">
        <v>2009</v>
      </c>
      <c r="F4503" s="4" t="s">
        <v>104</v>
      </c>
      <c r="G4503" t="s">
        <v>29</v>
      </c>
      <c r="H4503" t="s">
        <v>105</v>
      </c>
    </row>
    <row r="4504" spans="1:8" x14ac:dyDescent="0.25">
      <c r="A4504" t="s">
        <v>1033</v>
      </c>
      <c r="B4504" t="s">
        <v>100</v>
      </c>
      <c r="C4504" s="5">
        <v>22154</v>
      </c>
      <c r="D4504" s="5">
        <v>630</v>
      </c>
      <c r="E4504">
        <v>17228</v>
      </c>
      <c r="F4504" s="4" t="s">
        <v>1048</v>
      </c>
      <c r="G4504" t="s">
        <v>29</v>
      </c>
      <c r="H4504" t="s">
        <v>1049</v>
      </c>
    </row>
    <row r="4505" spans="1:8" x14ac:dyDescent="0.25">
      <c r="A4505" t="s">
        <v>1033</v>
      </c>
      <c r="B4505" t="s">
        <v>97</v>
      </c>
      <c r="C4505" s="5">
        <v>21697341</v>
      </c>
      <c r="D4505" s="5">
        <v>604679</v>
      </c>
      <c r="E4505">
        <v>3174117</v>
      </c>
      <c r="F4505" s="4" t="s">
        <v>662</v>
      </c>
      <c r="G4505" t="s">
        <v>29</v>
      </c>
      <c r="H4505" t="s">
        <v>663</v>
      </c>
    </row>
    <row r="4506" spans="1:8" x14ac:dyDescent="0.25">
      <c r="A4506" t="s">
        <v>1033</v>
      </c>
      <c r="B4506" t="s">
        <v>94</v>
      </c>
      <c r="C4506" s="5">
        <v>508702</v>
      </c>
      <c r="D4506" s="5">
        <v>18891</v>
      </c>
      <c r="E4506">
        <v>38065</v>
      </c>
      <c r="F4506" s="4" t="s">
        <v>593</v>
      </c>
      <c r="G4506" t="s">
        <v>29</v>
      </c>
      <c r="H4506" t="s">
        <v>594</v>
      </c>
    </row>
    <row r="4507" spans="1:8" x14ac:dyDescent="0.25">
      <c r="A4507" t="s">
        <v>1033</v>
      </c>
      <c r="B4507" t="s">
        <v>91</v>
      </c>
      <c r="C4507" s="5">
        <v>11542</v>
      </c>
      <c r="D4507" s="5">
        <v>79</v>
      </c>
      <c r="E4507">
        <v>3250</v>
      </c>
      <c r="F4507" s="4" t="s">
        <v>605</v>
      </c>
      <c r="G4507" t="s">
        <v>29</v>
      </c>
      <c r="H4507" t="s">
        <v>606</v>
      </c>
    </row>
    <row r="4508" spans="1:8" x14ac:dyDescent="0.25">
      <c r="A4508" t="s">
        <v>1033</v>
      </c>
      <c r="B4508" t="s">
        <v>88</v>
      </c>
      <c r="C4508" s="5">
        <v>1659</v>
      </c>
      <c r="D4508" s="5">
        <v>6</v>
      </c>
      <c r="E4508">
        <v>308</v>
      </c>
      <c r="F4508" s="4" t="s">
        <v>89</v>
      </c>
      <c r="G4508" t="s">
        <v>29</v>
      </c>
      <c r="H4508" t="s">
        <v>90</v>
      </c>
    </row>
    <row r="4509" spans="1:8" x14ac:dyDescent="0.25">
      <c r="A4509" t="s">
        <v>1033</v>
      </c>
      <c r="B4509" t="s">
        <v>85</v>
      </c>
      <c r="C4509" s="5">
        <v>24560</v>
      </c>
      <c r="D4509" s="5">
        <v>161</v>
      </c>
      <c r="E4509">
        <v>10980</v>
      </c>
      <c r="F4509" s="4" t="s">
        <v>162</v>
      </c>
      <c r="G4509" t="s">
        <v>29</v>
      </c>
      <c r="H4509" t="s">
        <v>163</v>
      </c>
    </row>
    <row r="4510" spans="1:8" x14ac:dyDescent="0.25">
      <c r="A4510" t="s">
        <v>1033</v>
      </c>
      <c r="B4510" t="s">
        <v>82</v>
      </c>
      <c r="C4510" s="5">
        <v>19867</v>
      </c>
      <c r="D4510" s="5">
        <v>38</v>
      </c>
      <c r="E4510">
        <v>14159</v>
      </c>
      <c r="F4510" s="4" t="s">
        <v>83</v>
      </c>
      <c r="G4510" t="s">
        <v>29</v>
      </c>
      <c r="H4510" t="s">
        <v>84</v>
      </c>
    </row>
    <row r="4511" spans="1:8" x14ac:dyDescent="0.25">
      <c r="A4511" t="s">
        <v>1033</v>
      </c>
      <c r="B4511" t="s">
        <v>79</v>
      </c>
      <c r="C4511" s="5">
        <v>276395</v>
      </c>
      <c r="D4511" s="5">
        <v>1392</v>
      </c>
      <c r="E4511">
        <v>64804</v>
      </c>
      <c r="F4511" s="4" t="s">
        <v>80</v>
      </c>
      <c r="G4511" t="s">
        <v>29</v>
      </c>
      <c r="H4511" t="s">
        <v>81</v>
      </c>
    </row>
    <row r="4512" spans="1:8" x14ac:dyDescent="0.25">
      <c r="A4512" t="s">
        <v>1033</v>
      </c>
      <c r="B4512" t="s">
        <v>76</v>
      </c>
      <c r="C4512" s="5">
        <v>559893</v>
      </c>
      <c r="D4512" s="5">
        <v>22839</v>
      </c>
      <c r="E4512">
        <v>365840</v>
      </c>
      <c r="F4512" s="4" t="s">
        <v>1050</v>
      </c>
      <c r="G4512" t="s">
        <v>29</v>
      </c>
      <c r="H4512" t="s">
        <v>1051</v>
      </c>
    </row>
    <row r="4513" spans="1:8" x14ac:dyDescent="0.25">
      <c r="A4513" t="s">
        <v>1033</v>
      </c>
      <c r="B4513" t="s">
        <v>73</v>
      </c>
      <c r="C4513" s="5">
        <v>14793</v>
      </c>
      <c r="D4513" s="5">
        <v>214</v>
      </c>
      <c r="E4513">
        <v>102</v>
      </c>
      <c r="F4513" s="4" t="s">
        <v>342</v>
      </c>
      <c r="G4513" t="s">
        <v>29</v>
      </c>
      <c r="H4513" t="s">
        <v>343</v>
      </c>
    </row>
    <row r="4514" spans="1:8" x14ac:dyDescent="0.25">
      <c r="A4514" t="s">
        <v>1033</v>
      </c>
      <c r="B4514" t="s">
        <v>70</v>
      </c>
      <c r="C4514" s="5">
        <v>1305678</v>
      </c>
      <c r="D4514" s="5">
        <v>25835</v>
      </c>
      <c r="E4514">
        <v>229104</v>
      </c>
      <c r="F4514" s="4" t="s">
        <v>155</v>
      </c>
      <c r="G4514" t="s">
        <v>29</v>
      </c>
      <c r="H4514" t="s">
        <v>156</v>
      </c>
    </row>
    <row r="4515" spans="1:8" x14ac:dyDescent="0.25">
      <c r="A4515" t="s">
        <v>1033</v>
      </c>
      <c r="B4515" t="s">
        <v>67</v>
      </c>
      <c r="C4515" s="5">
        <v>1566907</v>
      </c>
      <c r="D4515" s="5">
        <v>27801</v>
      </c>
      <c r="E4515">
        <v>149629</v>
      </c>
      <c r="F4515" s="4" t="s">
        <v>769</v>
      </c>
      <c r="G4515" t="s">
        <v>29</v>
      </c>
      <c r="H4515" t="s">
        <v>770</v>
      </c>
    </row>
    <row r="4516" spans="1:8" x14ac:dyDescent="0.25">
      <c r="A4516" t="s">
        <v>1033</v>
      </c>
      <c r="B4516" t="s">
        <v>64</v>
      </c>
      <c r="C4516" s="5">
        <v>14326</v>
      </c>
      <c r="D4516" s="5">
        <v>124</v>
      </c>
      <c r="E4516">
        <v>8576</v>
      </c>
      <c r="F4516" s="4" t="s">
        <v>498</v>
      </c>
      <c r="G4516" t="s">
        <v>29</v>
      </c>
      <c r="H4516" t="s">
        <v>499</v>
      </c>
    </row>
    <row r="4517" spans="1:8" x14ac:dyDescent="0.25">
      <c r="A4517" t="s">
        <v>1033</v>
      </c>
      <c r="B4517" t="s">
        <v>61</v>
      </c>
      <c r="C4517" s="5">
        <v>247182</v>
      </c>
      <c r="D4517" s="5">
        <v>11283</v>
      </c>
      <c r="E4517">
        <v>17719</v>
      </c>
      <c r="F4517" s="4" t="s">
        <v>664</v>
      </c>
      <c r="G4517" t="s">
        <v>29</v>
      </c>
      <c r="H4517" t="s">
        <v>665</v>
      </c>
    </row>
    <row r="4518" spans="1:8" x14ac:dyDescent="0.25">
      <c r="A4518" t="s">
        <v>1033</v>
      </c>
      <c r="B4518" t="s">
        <v>58</v>
      </c>
      <c r="C4518" s="5">
        <v>509862</v>
      </c>
      <c r="D4518" s="5">
        <v>6829</v>
      </c>
      <c r="E4518">
        <v>100463</v>
      </c>
      <c r="F4518" s="4" t="s">
        <v>264</v>
      </c>
      <c r="G4518" t="s">
        <v>29</v>
      </c>
      <c r="H4518" t="s">
        <v>265</v>
      </c>
    </row>
    <row r="4519" spans="1:8" x14ac:dyDescent="0.25">
      <c r="A4519" t="s">
        <v>1033</v>
      </c>
      <c r="B4519" t="s">
        <v>55</v>
      </c>
      <c r="C4519" s="5">
        <v>154489</v>
      </c>
      <c r="D4519" s="5">
        <v>1611</v>
      </c>
      <c r="E4519">
        <v>118663</v>
      </c>
      <c r="F4519" s="4" t="s">
        <v>336</v>
      </c>
      <c r="G4519" t="s">
        <v>29</v>
      </c>
      <c r="H4519" t="s">
        <v>337</v>
      </c>
    </row>
    <row r="4520" spans="1:8" x14ac:dyDescent="0.25">
      <c r="A4520" t="s">
        <v>1033</v>
      </c>
      <c r="B4520" t="s">
        <v>52</v>
      </c>
      <c r="C4520" s="5">
        <v>787644</v>
      </c>
      <c r="D4520" s="5">
        <v>11220</v>
      </c>
      <c r="E4520">
        <v>681351</v>
      </c>
      <c r="F4520" s="4" t="s">
        <v>640</v>
      </c>
      <c r="G4520" t="s">
        <v>29</v>
      </c>
      <c r="H4520" t="s">
        <v>641</v>
      </c>
    </row>
    <row r="4521" spans="1:8" x14ac:dyDescent="0.25">
      <c r="A4521" t="s">
        <v>1033</v>
      </c>
      <c r="B4521" t="s">
        <v>49</v>
      </c>
      <c r="C4521" s="5">
        <v>5277525</v>
      </c>
      <c r="D4521" s="5">
        <v>115796</v>
      </c>
      <c r="E4521">
        <v>1011835</v>
      </c>
      <c r="F4521" s="4" t="s">
        <v>50</v>
      </c>
      <c r="G4521" t="s">
        <v>29</v>
      </c>
      <c r="H4521" t="s">
        <v>51</v>
      </c>
    </row>
    <row r="4522" spans="1:8" x14ac:dyDescent="0.25">
      <c r="A4522" t="s">
        <v>1033</v>
      </c>
      <c r="B4522" t="s">
        <v>46</v>
      </c>
      <c r="C4522" s="5">
        <v>63567</v>
      </c>
      <c r="D4522" s="5">
        <v>1685</v>
      </c>
      <c r="E4522">
        <v>51810</v>
      </c>
      <c r="F4522" s="4" t="s">
        <v>862</v>
      </c>
      <c r="G4522" t="s">
        <v>29</v>
      </c>
      <c r="H4522" t="s">
        <v>863</v>
      </c>
    </row>
    <row r="4523" spans="1:8" x14ac:dyDescent="0.25">
      <c r="A4523" t="s">
        <v>1033</v>
      </c>
      <c r="B4523" t="s">
        <v>43</v>
      </c>
      <c r="C4523" s="5">
        <v>288906</v>
      </c>
      <c r="D4523" s="5">
        <v>5902</v>
      </c>
      <c r="E4523">
        <v>203169</v>
      </c>
      <c r="F4523" s="4" t="s">
        <v>230</v>
      </c>
      <c r="G4523" t="s">
        <v>29</v>
      </c>
      <c r="H4523" t="s">
        <v>231</v>
      </c>
    </row>
    <row r="4524" spans="1:8" x14ac:dyDescent="0.25">
      <c r="A4524" t="s">
        <v>1033</v>
      </c>
      <c r="B4524" t="s">
        <v>40</v>
      </c>
      <c r="C4524" s="5">
        <v>180029</v>
      </c>
      <c r="D4524" s="5">
        <v>2855</v>
      </c>
      <c r="E4524">
        <v>150332</v>
      </c>
      <c r="F4524" s="4" t="s">
        <v>361</v>
      </c>
      <c r="G4524" t="s">
        <v>29</v>
      </c>
      <c r="H4524" t="s">
        <v>362</v>
      </c>
    </row>
    <row r="4525" spans="1:8" x14ac:dyDescent="0.25">
      <c r="A4525" t="s">
        <v>1033</v>
      </c>
      <c r="B4525" t="s">
        <v>37</v>
      </c>
      <c r="C4525" s="5">
        <v>3984</v>
      </c>
      <c r="D4525" s="5">
        <v>97</v>
      </c>
      <c r="E4525">
        <v>714</v>
      </c>
      <c r="F4525" s="4" t="s">
        <v>917</v>
      </c>
      <c r="G4525" t="s">
        <v>29</v>
      </c>
      <c r="H4525" t="s">
        <v>918</v>
      </c>
    </row>
    <row r="4526" spans="1:8" x14ac:dyDescent="0.25">
      <c r="A4526" t="s">
        <v>1033</v>
      </c>
      <c r="B4526" t="s">
        <v>34</v>
      </c>
      <c r="C4526" s="5">
        <v>155891</v>
      </c>
      <c r="D4526" s="5">
        <v>7249</v>
      </c>
      <c r="E4526">
        <v>36978</v>
      </c>
      <c r="F4526" s="4" t="s">
        <v>900</v>
      </c>
      <c r="G4526" t="s">
        <v>29</v>
      </c>
      <c r="H4526" t="s">
        <v>901</v>
      </c>
    </row>
    <row r="4527" spans="1:8" x14ac:dyDescent="0.25">
      <c r="A4527" t="s">
        <v>1033</v>
      </c>
      <c r="B4527" t="s">
        <v>31</v>
      </c>
      <c r="C4527" s="5">
        <v>739018</v>
      </c>
      <c r="D4527" s="5">
        <v>2126</v>
      </c>
      <c r="E4527">
        <v>328022</v>
      </c>
      <c r="F4527" s="4" t="s">
        <v>32</v>
      </c>
      <c r="G4527" t="s">
        <v>29</v>
      </c>
      <c r="H4527" t="s">
        <v>33</v>
      </c>
    </row>
    <row r="4528" spans="1:8" x14ac:dyDescent="0.25">
      <c r="A4528" t="s">
        <v>1033</v>
      </c>
      <c r="B4528" t="s">
        <v>27</v>
      </c>
      <c r="C4528" s="5">
        <v>15382</v>
      </c>
      <c r="D4528" s="5">
        <v>130</v>
      </c>
      <c r="E4528">
        <v>8078</v>
      </c>
      <c r="F4528" s="4" t="s">
        <v>685</v>
      </c>
      <c r="G4528" t="s">
        <v>29</v>
      </c>
      <c r="H4528" t="s">
        <v>686</v>
      </c>
    </row>
    <row r="4529" spans="1:8" x14ac:dyDescent="0.25">
      <c r="A4529" t="s">
        <v>1052</v>
      </c>
      <c r="B4529" t="s">
        <v>27</v>
      </c>
      <c r="C4529" s="5">
        <v>15382</v>
      </c>
      <c r="D4529" s="5">
        <v>130</v>
      </c>
      <c r="E4529">
        <v>8448</v>
      </c>
      <c r="F4529" s="4" t="s">
        <v>685</v>
      </c>
      <c r="G4529" t="s">
        <v>29</v>
      </c>
      <c r="H4529" t="s">
        <v>686</v>
      </c>
    </row>
    <row r="4530" spans="1:8" x14ac:dyDescent="0.25">
      <c r="A4530" t="s">
        <v>1052</v>
      </c>
      <c r="B4530" t="s">
        <v>31</v>
      </c>
      <c r="C4530" s="5">
        <v>738924</v>
      </c>
      <c r="D4530" s="5">
        <v>2124</v>
      </c>
      <c r="E4530">
        <v>232068</v>
      </c>
      <c r="F4530" s="4" t="s">
        <v>32</v>
      </c>
      <c r="G4530" t="s">
        <v>29</v>
      </c>
      <c r="H4530" t="s">
        <v>33</v>
      </c>
    </row>
    <row r="4531" spans="1:8" x14ac:dyDescent="0.25">
      <c r="A4531" t="s">
        <v>1052</v>
      </c>
      <c r="B4531" t="s">
        <v>34</v>
      </c>
      <c r="C4531" s="5">
        <v>155859</v>
      </c>
      <c r="D4531" s="5">
        <v>7247</v>
      </c>
      <c r="E4531">
        <v>105915</v>
      </c>
      <c r="F4531" s="4" t="s">
        <v>900</v>
      </c>
      <c r="G4531" t="s">
        <v>29</v>
      </c>
      <c r="H4531" t="s">
        <v>901</v>
      </c>
    </row>
    <row r="4532" spans="1:8" x14ac:dyDescent="0.25">
      <c r="A4532" t="s">
        <v>1052</v>
      </c>
      <c r="B4532" t="s">
        <v>37</v>
      </c>
      <c r="C4532" s="5">
        <v>3939</v>
      </c>
      <c r="D4532" s="5">
        <v>97</v>
      </c>
      <c r="E4532">
        <v>1271</v>
      </c>
      <c r="F4532" s="4" t="s">
        <v>949</v>
      </c>
      <c r="G4532" t="s">
        <v>29</v>
      </c>
      <c r="H4532" t="s">
        <v>950</v>
      </c>
    </row>
    <row r="4533" spans="1:8" x14ac:dyDescent="0.25">
      <c r="A4533" t="s">
        <v>1052</v>
      </c>
      <c r="B4533" t="s">
        <v>40</v>
      </c>
      <c r="C4533" s="5">
        <v>179463</v>
      </c>
      <c r="D4533" s="5">
        <v>2849</v>
      </c>
      <c r="E4533">
        <v>149945</v>
      </c>
      <c r="F4533" s="4" t="s">
        <v>361</v>
      </c>
      <c r="G4533" t="s">
        <v>29</v>
      </c>
      <c r="H4533" t="s">
        <v>362</v>
      </c>
    </row>
    <row r="4534" spans="1:8" x14ac:dyDescent="0.25">
      <c r="A4534" t="s">
        <v>1052</v>
      </c>
      <c r="B4534" t="s">
        <v>43</v>
      </c>
      <c r="C4534" s="5">
        <v>286303</v>
      </c>
      <c r="D4534" s="5">
        <v>5870</v>
      </c>
      <c r="E4534">
        <v>36585</v>
      </c>
      <c r="F4534" s="4" t="s">
        <v>579</v>
      </c>
      <c r="G4534" t="s">
        <v>29</v>
      </c>
      <c r="H4534" t="s">
        <v>580</v>
      </c>
    </row>
    <row r="4535" spans="1:8" x14ac:dyDescent="0.25">
      <c r="A4535" t="s">
        <v>1052</v>
      </c>
      <c r="B4535" t="s">
        <v>46</v>
      </c>
      <c r="C4535" s="5">
        <v>63340</v>
      </c>
      <c r="D4535" s="5">
        <v>1682</v>
      </c>
      <c r="E4535">
        <v>48511</v>
      </c>
      <c r="F4535" s="4" t="s">
        <v>47</v>
      </c>
      <c r="G4535" t="s">
        <v>29</v>
      </c>
      <c r="H4535" t="s">
        <v>48</v>
      </c>
    </row>
    <row r="4536" spans="1:8" x14ac:dyDescent="0.25">
      <c r="A4536" t="s">
        <v>1052</v>
      </c>
      <c r="B4536" t="s">
        <v>49</v>
      </c>
      <c r="C4536" s="5">
        <v>5275984</v>
      </c>
      <c r="D4536" s="5">
        <v>115770</v>
      </c>
      <c r="E4536">
        <v>1792899</v>
      </c>
      <c r="F4536" s="4" t="s">
        <v>50</v>
      </c>
      <c r="G4536" t="s">
        <v>29</v>
      </c>
      <c r="H4536" t="s">
        <v>51</v>
      </c>
    </row>
    <row r="4537" spans="1:8" x14ac:dyDescent="0.25">
      <c r="A4537" t="s">
        <v>1052</v>
      </c>
      <c r="B4537" t="s">
        <v>52</v>
      </c>
      <c r="C4537" s="5">
        <v>783996</v>
      </c>
      <c r="D4537" s="5">
        <v>11209</v>
      </c>
      <c r="E4537">
        <v>134882</v>
      </c>
      <c r="F4537" s="4" t="s">
        <v>323</v>
      </c>
      <c r="G4537" t="s">
        <v>29</v>
      </c>
      <c r="H4537" t="s">
        <v>324</v>
      </c>
    </row>
    <row r="4538" spans="1:8" x14ac:dyDescent="0.25">
      <c r="A4538" t="s">
        <v>1052</v>
      </c>
      <c r="B4538" t="s">
        <v>55</v>
      </c>
      <c r="C4538" s="5">
        <v>151942</v>
      </c>
      <c r="D4538" s="5">
        <v>1590</v>
      </c>
      <c r="E4538">
        <v>44472</v>
      </c>
      <c r="F4538" s="4" t="s">
        <v>642</v>
      </c>
      <c r="G4538" t="s">
        <v>29</v>
      </c>
      <c r="H4538" t="s">
        <v>643</v>
      </c>
    </row>
    <row r="4539" spans="1:8" x14ac:dyDescent="0.25">
      <c r="A4539" t="s">
        <v>1052</v>
      </c>
      <c r="B4539" t="s">
        <v>58</v>
      </c>
      <c r="C4539" s="5">
        <v>507857</v>
      </c>
      <c r="D4539" s="5">
        <v>6809</v>
      </c>
      <c r="E4539">
        <v>492743</v>
      </c>
      <c r="F4539" s="4" t="s">
        <v>264</v>
      </c>
      <c r="G4539" t="s">
        <v>29</v>
      </c>
      <c r="H4539" t="s">
        <v>265</v>
      </c>
    </row>
    <row r="4540" spans="1:8" x14ac:dyDescent="0.25">
      <c r="A4540" t="s">
        <v>1052</v>
      </c>
      <c r="B4540" t="s">
        <v>61</v>
      </c>
      <c r="C4540" s="5">
        <v>246555</v>
      </c>
      <c r="D4540" s="5">
        <v>11253</v>
      </c>
      <c r="E4540">
        <v>235184</v>
      </c>
      <c r="F4540" s="4" t="s">
        <v>664</v>
      </c>
      <c r="G4540" t="s">
        <v>29</v>
      </c>
      <c r="H4540" t="s">
        <v>665</v>
      </c>
    </row>
    <row r="4541" spans="1:8" x14ac:dyDescent="0.25">
      <c r="A4541" t="s">
        <v>1052</v>
      </c>
      <c r="B4541" t="s">
        <v>64</v>
      </c>
      <c r="C4541" s="5">
        <v>13934</v>
      </c>
      <c r="D4541" s="5">
        <v>123</v>
      </c>
      <c r="E4541">
        <v>12681</v>
      </c>
      <c r="F4541" s="4" t="s">
        <v>609</v>
      </c>
      <c r="G4541" t="s">
        <v>29</v>
      </c>
      <c r="H4541" t="s">
        <v>610</v>
      </c>
    </row>
    <row r="4542" spans="1:8" x14ac:dyDescent="0.25">
      <c r="A4542" t="s">
        <v>1052</v>
      </c>
      <c r="B4542" t="s">
        <v>67</v>
      </c>
      <c r="C4542" s="5">
        <v>1566664</v>
      </c>
      <c r="D4542" s="5">
        <v>27791</v>
      </c>
      <c r="E4542">
        <v>799101</v>
      </c>
      <c r="F4542" s="4" t="s">
        <v>769</v>
      </c>
      <c r="G4542" t="s">
        <v>29</v>
      </c>
      <c r="H4542" t="s">
        <v>770</v>
      </c>
    </row>
    <row r="4543" spans="1:8" x14ac:dyDescent="0.25">
      <c r="A4543" t="s">
        <v>1052</v>
      </c>
      <c r="B4543" t="s">
        <v>70</v>
      </c>
      <c r="C4543" s="5">
        <v>1299439</v>
      </c>
      <c r="D4543" s="5">
        <v>25816</v>
      </c>
      <c r="E4543">
        <v>1192306</v>
      </c>
      <c r="F4543" s="4" t="s">
        <v>1053</v>
      </c>
      <c r="G4543" t="s">
        <v>29</v>
      </c>
      <c r="H4543" t="s">
        <v>1054</v>
      </c>
    </row>
    <row r="4544" spans="1:8" x14ac:dyDescent="0.25">
      <c r="A4544" t="s">
        <v>1052</v>
      </c>
      <c r="B4544" t="s">
        <v>73</v>
      </c>
      <c r="C4544" s="5">
        <v>14793</v>
      </c>
      <c r="D4544" s="5">
        <v>214</v>
      </c>
      <c r="E4544">
        <v>10973</v>
      </c>
      <c r="F4544" s="4" t="s">
        <v>342</v>
      </c>
      <c r="G4544" t="s">
        <v>29</v>
      </c>
      <c r="H4544" t="s">
        <v>343</v>
      </c>
    </row>
    <row r="4545" spans="1:8" x14ac:dyDescent="0.25">
      <c r="A4545" t="s">
        <v>1052</v>
      </c>
      <c r="B4545" t="s">
        <v>76</v>
      </c>
      <c r="C4545" s="5">
        <v>555077</v>
      </c>
      <c r="D4545" s="5">
        <v>22719</v>
      </c>
      <c r="E4545">
        <v>168309</v>
      </c>
      <c r="F4545" s="4" t="s">
        <v>1055</v>
      </c>
      <c r="G4545" t="s">
        <v>29</v>
      </c>
      <c r="H4545" t="s">
        <v>1056</v>
      </c>
    </row>
    <row r="4546" spans="1:8" x14ac:dyDescent="0.25">
      <c r="A4546" t="s">
        <v>1052</v>
      </c>
      <c r="B4546" t="s">
        <v>79</v>
      </c>
      <c r="C4546" s="5">
        <v>276336</v>
      </c>
      <c r="D4546" s="5">
        <v>1392</v>
      </c>
      <c r="E4546">
        <v>61253</v>
      </c>
      <c r="F4546" s="4" t="s">
        <v>80</v>
      </c>
      <c r="G4546" t="s">
        <v>29</v>
      </c>
      <c r="H4546" t="s">
        <v>81</v>
      </c>
    </row>
    <row r="4547" spans="1:8" x14ac:dyDescent="0.25">
      <c r="A4547" t="s">
        <v>1052</v>
      </c>
      <c r="B4547" t="s">
        <v>82</v>
      </c>
      <c r="C4547" s="5">
        <v>19819</v>
      </c>
      <c r="D4547" s="5">
        <v>38</v>
      </c>
      <c r="E4547">
        <v>16597</v>
      </c>
      <c r="F4547" s="4" t="s">
        <v>83</v>
      </c>
      <c r="G4547" t="s">
        <v>29</v>
      </c>
      <c r="H4547" t="s">
        <v>84</v>
      </c>
    </row>
    <row r="4548" spans="1:8" x14ac:dyDescent="0.25">
      <c r="A4548" t="s">
        <v>1052</v>
      </c>
      <c r="B4548" t="s">
        <v>85</v>
      </c>
      <c r="C4548" s="5">
        <v>24560</v>
      </c>
      <c r="D4548" s="5">
        <v>161</v>
      </c>
      <c r="E4548">
        <v>5885</v>
      </c>
      <c r="F4548" s="4" t="s">
        <v>162</v>
      </c>
      <c r="G4548" t="s">
        <v>29</v>
      </c>
      <c r="H4548" t="s">
        <v>163</v>
      </c>
    </row>
    <row r="4549" spans="1:8" x14ac:dyDescent="0.25">
      <c r="A4549" t="s">
        <v>1052</v>
      </c>
      <c r="B4549" t="s">
        <v>88</v>
      </c>
      <c r="C4549" s="5">
        <v>1659</v>
      </c>
      <c r="D4549" s="5">
        <v>6</v>
      </c>
      <c r="E4549">
        <v>471</v>
      </c>
      <c r="F4549" s="4" t="s">
        <v>89</v>
      </c>
      <c r="G4549" t="s">
        <v>29</v>
      </c>
      <c r="H4549" t="s">
        <v>90</v>
      </c>
    </row>
    <row r="4550" spans="1:8" x14ac:dyDescent="0.25">
      <c r="A4550" t="s">
        <v>1052</v>
      </c>
      <c r="B4550" t="s">
        <v>91</v>
      </c>
      <c r="C4550" s="5">
        <v>11386</v>
      </c>
      <c r="D4550" s="5">
        <v>78</v>
      </c>
      <c r="E4550">
        <v>3159</v>
      </c>
      <c r="F4550" s="4" t="s">
        <v>180</v>
      </c>
      <c r="G4550" t="s">
        <v>29</v>
      </c>
      <c r="H4550" t="s">
        <v>181</v>
      </c>
    </row>
    <row r="4551" spans="1:8" x14ac:dyDescent="0.25">
      <c r="A4551" t="s">
        <v>1052</v>
      </c>
      <c r="B4551" t="s">
        <v>94</v>
      </c>
      <c r="C4551" s="5">
        <v>508166</v>
      </c>
      <c r="D4551" s="5">
        <v>18887</v>
      </c>
      <c r="E4551">
        <v>78324</v>
      </c>
      <c r="F4551" s="4" t="s">
        <v>372</v>
      </c>
      <c r="G4551" t="s">
        <v>29</v>
      </c>
      <c r="H4551" t="s">
        <v>373</v>
      </c>
    </row>
    <row r="4552" spans="1:8" x14ac:dyDescent="0.25">
      <c r="A4552" t="s">
        <v>1052</v>
      </c>
      <c r="B4552" t="s">
        <v>97</v>
      </c>
      <c r="C4552" s="5">
        <v>21680488</v>
      </c>
      <c r="D4552" s="5">
        <v>604228</v>
      </c>
      <c r="E4552">
        <v>19458928</v>
      </c>
      <c r="F4552" s="4" t="s">
        <v>662</v>
      </c>
      <c r="G4552" t="s">
        <v>29</v>
      </c>
      <c r="H4552" t="s">
        <v>663</v>
      </c>
    </row>
    <row r="4553" spans="1:8" x14ac:dyDescent="0.25">
      <c r="A4553" t="s">
        <v>1052</v>
      </c>
      <c r="B4553" t="s">
        <v>100</v>
      </c>
      <c r="C4553" s="5">
        <v>22092</v>
      </c>
      <c r="D4553" s="5">
        <v>626</v>
      </c>
      <c r="E4553">
        <v>7507</v>
      </c>
      <c r="F4553" s="4" t="s">
        <v>752</v>
      </c>
      <c r="G4553" t="s">
        <v>29</v>
      </c>
      <c r="H4553" t="s">
        <v>753</v>
      </c>
    </row>
    <row r="4554" spans="1:8" x14ac:dyDescent="0.25">
      <c r="A4554" t="s">
        <v>1052</v>
      </c>
      <c r="B4554" t="s">
        <v>103</v>
      </c>
      <c r="C4554" s="5">
        <v>2617</v>
      </c>
      <c r="D4554" s="5">
        <v>3</v>
      </c>
      <c r="E4554">
        <v>1491</v>
      </c>
      <c r="F4554" s="4" t="s">
        <v>104</v>
      </c>
      <c r="G4554" t="s">
        <v>29</v>
      </c>
      <c r="H4554" t="s">
        <v>105</v>
      </c>
    </row>
    <row r="4555" spans="1:8" x14ac:dyDescent="0.25">
      <c r="A4555" t="s">
        <v>1052</v>
      </c>
      <c r="B4555" t="s">
        <v>106</v>
      </c>
      <c r="C4555" s="5">
        <v>184051</v>
      </c>
      <c r="D4555" s="5">
        <v>2389</v>
      </c>
      <c r="E4555">
        <v>9142</v>
      </c>
      <c r="F4555" s="4" t="s">
        <v>190</v>
      </c>
      <c r="G4555" t="s">
        <v>29</v>
      </c>
      <c r="H4555" t="s">
        <v>191</v>
      </c>
    </row>
    <row r="4556" spans="1:8" x14ac:dyDescent="0.25">
      <c r="A4556" t="s">
        <v>1052</v>
      </c>
      <c r="B4556" t="s">
        <v>109</v>
      </c>
      <c r="C4556" s="5">
        <v>577932</v>
      </c>
      <c r="D4556" s="5">
        <v>4449</v>
      </c>
      <c r="E4556">
        <v>10037</v>
      </c>
      <c r="F4556" s="4" t="s">
        <v>110</v>
      </c>
      <c r="G4556" t="s">
        <v>29</v>
      </c>
      <c r="H4556" t="s">
        <v>111</v>
      </c>
    </row>
    <row r="4557" spans="1:8" x14ac:dyDescent="0.25">
      <c r="A4557" t="s">
        <v>1052</v>
      </c>
      <c r="B4557" t="s">
        <v>112</v>
      </c>
      <c r="C4557" s="5">
        <v>24948</v>
      </c>
      <c r="D4557" s="5">
        <v>471</v>
      </c>
      <c r="E4557">
        <v>5398</v>
      </c>
      <c r="F4557" s="4" t="s">
        <v>461</v>
      </c>
      <c r="G4557" t="s">
        <v>29</v>
      </c>
      <c r="H4557" t="s">
        <v>462</v>
      </c>
    </row>
    <row r="4558" spans="1:8" x14ac:dyDescent="0.25">
      <c r="A4558" t="s">
        <v>1052</v>
      </c>
      <c r="B4558" t="s">
        <v>115</v>
      </c>
      <c r="C4558" s="5">
        <v>1698515</v>
      </c>
      <c r="D4558" s="5">
        <v>28698</v>
      </c>
      <c r="E4558">
        <v>1288393</v>
      </c>
      <c r="F4558" s="4" t="s">
        <v>152</v>
      </c>
      <c r="G4558" t="s">
        <v>29</v>
      </c>
      <c r="H4558" t="s">
        <v>153</v>
      </c>
    </row>
    <row r="4559" spans="1:8" x14ac:dyDescent="0.25">
      <c r="A4559" t="s">
        <v>1052</v>
      </c>
      <c r="B4559" t="s">
        <v>118</v>
      </c>
      <c r="C4559" s="5">
        <v>57402</v>
      </c>
      <c r="D4559" s="5">
        <v>1091</v>
      </c>
      <c r="E4559">
        <v>45636</v>
      </c>
      <c r="F4559" s="4" t="s">
        <v>652</v>
      </c>
      <c r="G4559" t="s">
        <v>29</v>
      </c>
      <c r="H4559" t="s">
        <v>653</v>
      </c>
    </row>
    <row r="4560" spans="1:8" x14ac:dyDescent="0.25">
      <c r="A4560" t="s">
        <v>1052</v>
      </c>
      <c r="B4560" t="s">
        <v>121</v>
      </c>
      <c r="C4560" s="5">
        <v>11478</v>
      </c>
      <c r="D4560" s="5">
        <v>100</v>
      </c>
      <c r="E4560">
        <v>11195</v>
      </c>
      <c r="F4560" s="4" t="s">
        <v>498</v>
      </c>
      <c r="G4560" t="s">
        <v>29</v>
      </c>
      <c r="H4560" t="s">
        <v>499</v>
      </c>
    </row>
    <row r="4561" spans="1:8" x14ac:dyDescent="0.25">
      <c r="A4561" t="s">
        <v>1052</v>
      </c>
      <c r="B4561" t="s">
        <v>124</v>
      </c>
      <c r="C4561" s="5">
        <v>15962</v>
      </c>
      <c r="D4561" s="5">
        <v>231</v>
      </c>
      <c r="E4561">
        <v>15509</v>
      </c>
      <c r="F4561" s="4" t="s">
        <v>342</v>
      </c>
      <c r="G4561" t="s">
        <v>29</v>
      </c>
      <c r="H4561" t="s">
        <v>343</v>
      </c>
    </row>
    <row r="4562" spans="1:8" x14ac:dyDescent="0.25">
      <c r="A4562" t="s">
        <v>1052</v>
      </c>
      <c r="B4562" t="s">
        <v>127</v>
      </c>
      <c r="C4562" s="5">
        <v>859646</v>
      </c>
      <c r="D4562" s="5">
        <v>11173</v>
      </c>
      <c r="E4562">
        <v>746692</v>
      </c>
      <c r="F4562" s="4" t="s">
        <v>190</v>
      </c>
      <c r="G4562" t="s">
        <v>29</v>
      </c>
      <c r="H4562" t="s">
        <v>191</v>
      </c>
    </row>
    <row r="4563" spans="1:8" x14ac:dyDescent="0.25">
      <c r="A4563" t="s">
        <v>1052</v>
      </c>
      <c r="B4563" t="s">
        <v>128</v>
      </c>
      <c r="C4563" s="5">
        <v>61113</v>
      </c>
      <c r="D4563" s="5">
        <v>689</v>
      </c>
      <c r="E4563">
        <v>7880</v>
      </c>
      <c r="F4563" s="4" t="s">
        <v>267</v>
      </c>
      <c r="G4563" t="s">
        <v>29</v>
      </c>
      <c r="H4563" t="s">
        <v>268</v>
      </c>
    </row>
    <row r="4564" spans="1:8" x14ac:dyDescent="0.25">
      <c r="A4564" t="s">
        <v>1052</v>
      </c>
      <c r="B4564" t="s">
        <v>131</v>
      </c>
      <c r="C4564" s="5">
        <v>1674226</v>
      </c>
      <c r="D4564" s="5">
        <v>37628</v>
      </c>
      <c r="E4564">
        <v>441885</v>
      </c>
      <c r="F4564" s="4" t="s">
        <v>613</v>
      </c>
      <c r="G4564" t="s">
        <v>29</v>
      </c>
      <c r="H4564" t="s">
        <v>614</v>
      </c>
    </row>
    <row r="4565" spans="1:8" x14ac:dyDescent="0.25">
      <c r="A4565" t="s">
        <v>1052</v>
      </c>
      <c r="B4565" t="s">
        <v>134</v>
      </c>
      <c r="C4565" s="5">
        <v>100289</v>
      </c>
      <c r="D4565" s="5">
        <v>1600</v>
      </c>
      <c r="E4565">
        <v>62783</v>
      </c>
      <c r="F4565" s="4" t="s">
        <v>313</v>
      </c>
      <c r="G4565" t="s">
        <v>29</v>
      </c>
      <c r="H4565" t="s">
        <v>314</v>
      </c>
    </row>
    <row r="4566" spans="1:8" x14ac:dyDescent="0.25">
      <c r="A4566" t="s">
        <v>1052</v>
      </c>
      <c r="B4566" t="s">
        <v>137</v>
      </c>
      <c r="C4566" s="5">
        <v>96622</v>
      </c>
      <c r="D4566" s="5">
        <v>4636</v>
      </c>
      <c r="E4566">
        <v>68285</v>
      </c>
      <c r="F4566" s="4" t="s">
        <v>1046</v>
      </c>
      <c r="G4566" t="s">
        <v>29</v>
      </c>
      <c r="H4566" t="s">
        <v>1047</v>
      </c>
    </row>
    <row r="4567" spans="1:8" x14ac:dyDescent="0.25">
      <c r="A4567" t="s">
        <v>1052</v>
      </c>
      <c r="B4567" t="s">
        <v>140</v>
      </c>
      <c r="C4567" s="5">
        <v>4984751</v>
      </c>
      <c r="D4567" s="5">
        <v>126931</v>
      </c>
      <c r="E4567">
        <v>324712</v>
      </c>
      <c r="F4567" s="4" t="s">
        <v>513</v>
      </c>
      <c r="G4567" t="s">
        <v>29</v>
      </c>
      <c r="H4567" t="s">
        <v>514</v>
      </c>
    </row>
    <row r="4568" spans="1:8" x14ac:dyDescent="0.25">
      <c r="A4568" t="s">
        <v>1052</v>
      </c>
      <c r="B4568" t="s">
        <v>143</v>
      </c>
      <c r="C4568" s="5">
        <v>554604</v>
      </c>
      <c r="D4568" s="5">
        <v>6895</v>
      </c>
      <c r="E4568">
        <v>58069</v>
      </c>
      <c r="F4568" s="4" t="s">
        <v>394</v>
      </c>
      <c r="G4568" t="s">
        <v>29</v>
      </c>
      <c r="H4568" t="s">
        <v>395</v>
      </c>
    </row>
    <row r="4569" spans="1:8" x14ac:dyDescent="0.25">
      <c r="A4569" t="s">
        <v>1052</v>
      </c>
      <c r="B4569" t="s">
        <v>144</v>
      </c>
      <c r="C4569" s="5">
        <v>940127</v>
      </c>
      <c r="D4569" s="5">
        <v>8114</v>
      </c>
      <c r="E4569">
        <v>536962</v>
      </c>
      <c r="F4569" s="4" t="s">
        <v>122</v>
      </c>
      <c r="G4569" t="s">
        <v>29</v>
      </c>
      <c r="H4569" t="s">
        <v>123</v>
      </c>
    </row>
    <row r="4570" spans="1:8" x14ac:dyDescent="0.25">
      <c r="A4570" t="s">
        <v>1052</v>
      </c>
      <c r="B4570" t="s">
        <v>145</v>
      </c>
      <c r="C4570" s="5">
        <v>38082</v>
      </c>
      <c r="D4570" s="5">
        <v>347</v>
      </c>
      <c r="E4570">
        <v>31349</v>
      </c>
      <c r="F4570" s="4" t="s">
        <v>146</v>
      </c>
      <c r="G4570" t="s">
        <v>29</v>
      </c>
      <c r="H4570" t="s">
        <v>147</v>
      </c>
    </row>
    <row r="4571" spans="1:8" x14ac:dyDescent="0.25">
      <c r="A4571" t="s">
        <v>1052</v>
      </c>
      <c r="B4571" t="s">
        <v>148</v>
      </c>
      <c r="C4571" s="5">
        <v>122709</v>
      </c>
      <c r="D4571" s="5">
        <v>567</v>
      </c>
      <c r="E4571">
        <v>28360</v>
      </c>
      <c r="F4571" s="4" t="s">
        <v>149</v>
      </c>
      <c r="G4571" t="s">
        <v>29</v>
      </c>
      <c r="H4571" t="s">
        <v>150</v>
      </c>
    </row>
    <row r="4572" spans="1:8" x14ac:dyDescent="0.25">
      <c r="A4572" t="s">
        <v>1052</v>
      </c>
      <c r="B4572" t="s">
        <v>151</v>
      </c>
      <c r="C4572" s="5">
        <v>1715515</v>
      </c>
      <c r="D4572" s="5">
        <v>30574</v>
      </c>
      <c r="E4572">
        <v>462026</v>
      </c>
      <c r="F4572" s="4" t="s">
        <v>68</v>
      </c>
      <c r="G4572" t="s">
        <v>29</v>
      </c>
      <c r="H4572" t="s">
        <v>69</v>
      </c>
    </row>
    <row r="4573" spans="1:8" x14ac:dyDescent="0.25">
      <c r="A4573" t="s">
        <v>1052</v>
      </c>
      <c r="B4573" t="s">
        <v>154</v>
      </c>
      <c r="C4573" s="5">
        <v>4429723</v>
      </c>
      <c r="D4573" s="5">
        <v>94886</v>
      </c>
      <c r="E4573">
        <v>3568564</v>
      </c>
      <c r="F4573" s="4" t="s">
        <v>823</v>
      </c>
      <c r="G4573" t="s">
        <v>29</v>
      </c>
      <c r="H4573" t="s">
        <v>824</v>
      </c>
    </row>
    <row r="4574" spans="1:8" x14ac:dyDescent="0.25">
      <c r="A4574" t="s">
        <v>1052</v>
      </c>
      <c r="B4574" t="s">
        <v>157</v>
      </c>
      <c r="C4574" s="5">
        <v>13423</v>
      </c>
      <c r="D4574" s="5">
        <v>181</v>
      </c>
      <c r="E4574">
        <v>3327</v>
      </c>
      <c r="F4574" s="4" t="s">
        <v>409</v>
      </c>
      <c r="G4574" t="s">
        <v>29</v>
      </c>
      <c r="H4574" t="s">
        <v>410</v>
      </c>
    </row>
    <row r="4575" spans="1:8" x14ac:dyDescent="0.25">
      <c r="A4575" t="s">
        <v>1052</v>
      </c>
      <c r="B4575" t="s">
        <v>160</v>
      </c>
      <c r="C4575" s="5">
        <v>371986</v>
      </c>
      <c r="D4575" s="5">
        <v>2694</v>
      </c>
      <c r="E4575">
        <v>117827</v>
      </c>
      <c r="F4575" s="4" t="s">
        <v>199</v>
      </c>
      <c r="G4575" t="s">
        <v>29</v>
      </c>
      <c r="H4575" t="s">
        <v>200</v>
      </c>
    </row>
    <row r="4576" spans="1:8" x14ac:dyDescent="0.25">
      <c r="A4576" t="s">
        <v>1052</v>
      </c>
      <c r="B4576" t="s">
        <v>161</v>
      </c>
      <c r="C4576" s="5">
        <v>4412</v>
      </c>
      <c r="D4576" s="5">
        <v>30</v>
      </c>
      <c r="E4576">
        <v>610</v>
      </c>
      <c r="F4576" s="4" t="s">
        <v>605</v>
      </c>
      <c r="G4576" t="s">
        <v>29</v>
      </c>
      <c r="H4576" t="s">
        <v>606</v>
      </c>
    </row>
    <row r="4577" spans="1:8" x14ac:dyDescent="0.25">
      <c r="A4577" t="s">
        <v>1052</v>
      </c>
      <c r="B4577" t="s">
        <v>164</v>
      </c>
      <c r="C4577" s="5">
        <v>373040</v>
      </c>
      <c r="D4577" s="5">
        <v>4093</v>
      </c>
      <c r="E4577">
        <v>221259</v>
      </c>
      <c r="F4577" s="4" t="s">
        <v>1044</v>
      </c>
      <c r="G4577" t="s">
        <v>29</v>
      </c>
      <c r="H4577" t="s">
        <v>1045</v>
      </c>
    </row>
    <row r="4578" spans="1:8" x14ac:dyDescent="0.25">
      <c r="A4578" t="s">
        <v>1052</v>
      </c>
      <c r="B4578" t="s">
        <v>167</v>
      </c>
      <c r="C4578" s="5">
        <v>205529</v>
      </c>
      <c r="D4578" s="5">
        <v>5878</v>
      </c>
      <c r="E4578">
        <v>154545</v>
      </c>
      <c r="F4578" s="4" t="s">
        <v>955</v>
      </c>
      <c r="G4578" t="s">
        <v>29</v>
      </c>
      <c r="H4578" t="s">
        <v>956</v>
      </c>
    </row>
    <row r="4579" spans="1:8" x14ac:dyDescent="0.25">
      <c r="A4579" t="s">
        <v>1052</v>
      </c>
      <c r="B4579" t="s">
        <v>170</v>
      </c>
      <c r="C4579" s="5">
        <v>514087</v>
      </c>
      <c r="D4579" s="5">
        <v>32937</v>
      </c>
      <c r="E4579">
        <v>424767</v>
      </c>
      <c r="F4579" s="4" t="s">
        <v>1020</v>
      </c>
      <c r="G4579" t="s">
        <v>29</v>
      </c>
      <c r="H4579" t="s">
        <v>1021</v>
      </c>
    </row>
    <row r="4580" spans="1:8" x14ac:dyDescent="0.25">
      <c r="A4580" t="s">
        <v>1052</v>
      </c>
      <c r="B4580" t="s">
        <v>173</v>
      </c>
      <c r="C4580" s="5">
        <v>175782</v>
      </c>
      <c r="D4580" s="5">
        <v>1438</v>
      </c>
      <c r="E4580">
        <v>115235</v>
      </c>
      <c r="F4580" s="4" t="s">
        <v>1057</v>
      </c>
      <c r="G4580" t="s">
        <v>29</v>
      </c>
      <c r="H4580" t="s">
        <v>1058</v>
      </c>
    </row>
    <row r="4581" spans="1:8" x14ac:dyDescent="0.25">
      <c r="A4581" t="s">
        <v>1052</v>
      </c>
      <c r="B4581" t="s">
        <v>176</v>
      </c>
      <c r="C4581" s="5">
        <v>321084</v>
      </c>
      <c r="D4581" s="5">
        <v>18105</v>
      </c>
      <c r="E4581">
        <v>173295</v>
      </c>
      <c r="F4581" s="4" t="s">
        <v>756</v>
      </c>
      <c r="G4581" t="s">
        <v>29</v>
      </c>
      <c r="H4581" t="s">
        <v>757</v>
      </c>
    </row>
    <row r="4582" spans="1:8" x14ac:dyDescent="0.25">
      <c r="A4582" t="s">
        <v>1052</v>
      </c>
      <c r="B4582" t="s">
        <v>179</v>
      </c>
      <c r="C4582" s="5">
        <v>6780</v>
      </c>
      <c r="D4582" s="5">
        <v>45</v>
      </c>
      <c r="E4582">
        <v>2248</v>
      </c>
      <c r="F4582" s="4" t="s">
        <v>162</v>
      </c>
      <c r="G4582" t="s">
        <v>29</v>
      </c>
      <c r="H4582" t="s">
        <v>163</v>
      </c>
    </row>
    <row r="4583" spans="1:8" x14ac:dyDescent="0.25">
      <c r="A4583" t="s">
        <v>1052</v>
      </c>
      <c r="B4583" t="s">
        <v>182</v>
      </c>
      <c r="C4583" s="5">
        <v>4993295</v>
      </c>
      <c r="D4583" s="5">
        <v>87082</v>
      </c>
      <c r="E4583">
        <v>2983396</v>
      </c>
      <c r="F4583" s="4" t="s">
        <v>183</v>
      </c>
      <c r="G4583" t="s">
        <v>29</v>
      </c>
      <c r="H4583" t="s">
        <v>184</v>
      </c>
    </row>
    <row r="4584" spans="1:8" x14ac:dyDescent="0.25">
      <c r="A4584" t="s">
        <v>1052</v>
      </c>
      <c r="B4584" t="s">
        <v>185</v>
      </c>
      <c r="C4584" s="5">
        <v>360503</v>
      </c>
      <c r="D4584" s="5">
        <v>6287</v>
      </c>
      <c r="E4584">
        <v>46197</v>
      </c>
      <c r="F4584" s="4" t="s">
        <v>183</v>
      </c>
      <c r="G4584" t="s">
        <v>29</v>
      </c>
      <c r="H4584" t="s">
        <v>184</v>
      </c>
    </row>
    <row r="4585" spans="1:8" x14ac:dyDescent="0.25">
      <c r="A4585" t="s">
        <v>1052</v>
      </c>
      <c r="B4585" t="s">
        <v>186</v>
      </c>
      <c r="C4585" s="5">
        <v>152099</v>
      </c>
      <c r="D4585" s="5">
        <v>1133</v>
      </c>
      <c r="E4585">
        <v>111750</v>
      </c>
      <c r="F4585" s="4" t="s">
        <v>819</v>
      </c>
      <c r="G4585" t="s">
        <v>29</v>
      </c>
      <c r="H4585" t="s">
        <v>820</v>
      </c>
    </row>
    <row r="4586" spans="1:8" x14ac:dyDescent="0.25">
      <c r="A4586" t="s">
        <v>1052</v>
      </c>
      <c r="B4586" t="s">
        <v>189</v>
      </c>
      <c r="C4586" s="5">
        <v>51909</v>
      </c>
      <c r="D4586" s="5">
        <v>663</v>
      </c>
      <c r="E4586">
        <v>8174</v>
      </c>
      <c r="F4586" s="4" t="s">
        <v>381</v>
      </c>
      <c r="G4586" t="s">
        <v>29</v>
      </c>
      <c r="H4586" t="s">
        <v>382</v>
      </c>
    </row>
    <row r="4587" spans="1:8" x14ac:dyDescent="0.25">
      <c r="A4587" t="s">
        <v>1052</v>
      </c>
      <c r="B4587" t="s">
        <v>192</v>
      </c>
      <c r="C4587" s="5">
        <v>1350</v>
      </c>
      <c r="D4587" s="5">
        <v>2</v>
      </c>
      <c r="E4587">
        <v>196</v>
      </c>
      <c r="F4587" s="4" t="s">
        <v>915</v>
      </c>
      <c r="G4587" t="s">
        <v>29</v>
      </c>
      <c r="H4587" t="s">
        <v>916</v>
      </c>
    </row>
    <row r="4588" spans="1:8" x14ac:dyDescent="0.25">
      <c r="A4588" t="s">
        <v>1052</v>
      </c>
      <c r="B4588" t="s">
        <v>195</v>
      </c>
      <c r="C4588" s="5">
        <v>6926734</v>
      </c>
      <c r="D4588" s="5">
        <v>115031</v>
      </c>
      <c r="E4588">
        <v>1380885</v>
      </c>
      <c r="F4588" s="4" t="s">
        <v>135</v>
      </c>
      <c r="G4588" t="s">
        <v>29</v>
      </c>
      <c r="H4588" t="s">
        <v>136</v>
      </c>
    </row>
    <row r="4589" spans="1:8" x14ac:dyDescent="0.25">
      <c r="A4589" t="s">
        <v>1052</v>
      </c>
      <c r="B4589" t="s">
        <v>198</v>
      </c>
      <c r="C4589" s="5">
        <v>34281</v>
      </c>
      <c r="D4589" s="5">
        <v>219</v>
      </c>
      <c r="E4589">
        <v>2555</v>
      </c>
      <c r="F4589" s="4" t="s">
        <v>953</v>
      </c>
      <c r="G4589" t="s">
        <v>29</v>
      </c>
      <c r="H4589" t="s">
        <v>954</v>
      </c>
    </row>
    <row r="4590" spans="1:8" x14ac:dyDescent="0.25">
      <c r="A4590" t="s">
        <v>1052</v>
      </c>
      <c r="B4590" t="s">
        <v>201</v>
      </c>
      <c r="C4590" s="5">
        <v>8624273</v>
      </c>
      <c r="D4590" s="5">
        <v>139346</v>
      </c>
      <c r="E4590">
        <v>4469543</v>
      </c>
      <c r="F4590" s="4" t="s">
        <v>516</v>
      </c>
      <c r="G4590" t="s">
        <v>29</v>
      </c>
      <c r="H4590" t="s">
        <v>517</v>
      </c>
    </row>
    <row r="4591" spans="1:8" x14ac:dyDescent="0.25">
      <c r="A4591" t="s">
        <v>1052</v>
      </c>
      <c r="B4591" t="s">
        <v>207</v>
      </c>
      <c r="C4591" s="5">
        <v>675771</v>
      </c>
      <c r="D4591" s="5">
        <v>9588</v>
      </c>
      <c r="E4591">
        <v>511150</v>
      </c>
      <c r="F4591" s="4" t="s">
        <v>640</v>
      </c>
      <c r="G4591" t="s">
        <v>29</v>
      </c>
      <c r="H4591" t="s">
        <v>641</v>
      </c>
    </row>
    <row r="4592" spans="1:8" x14ac:dyDescent="0.25">
      <c r="A4592" t="s">
        <v>1052</v>
      </c>
      <c r="B4592" t="s">
        <v>204</v>
      </c>
      <c r="C4592" s="5">
        <v>5790</v>
      </c>
      <c r="D4592" s="5">
        <v>193</v>
      </c>
      <c r="E4592">
        <v>594</v>
      </c>
      <c r="F4592" s="4" t="s">
        <v>1059</v>
      </c>
      <c r="G4592" t="s">
        <v>29</v>
      </c>
      <c r="H4592" t="s">
        <v>1060</v>
      </c>
    </row>
    <row r="4593" spans="1:8" x14ac:dyDescent="0.25">
      <c r="A4593" t="s">
        <v>1052</v>
      </c>
      <c r="B4593" t="s">
        <v>210</v>
      </c>
      <c r="C4593" s="5">
        <v>43690</v>
      </c>
      <c r="D4593" s="5">
        <v>297</v>
      </c>
      <c r="E4593">
        <v>36752</v>
      </c>
      <c r="F4593" s="4" t="s">
        <v>605</v>
      </c>
      <c r="G4593" t="s">
        <v>29</v>
      </c>
      <c r="H4593" t="s">
        <v>606</v>
      </c>
    </row>
    <row r="4594" spans="1:8" x14ac:dyDescent="0.25">
      <c r="A4594" t="s">
        <v>1052</v>
      </c>
      <c r="B4594" t="s">
        <v>213</v>
      </c>
      <c r="C4594" s="5">
        <v>129592</v>
      </c>
      <c r="D4594" s="5">
        <v>1169</v>
      </c>
      <c r="E4594">
        <v>94106</v>
      </c>
      <c r="F4594" s="4" t="s">
        <v>667</v>
      </c>
      <c r="G4594" t="s">
        <v>29</v>
      </c>
      <c r="H4594" t="s">
        <v>668</v>
      </c>
    </row>
    <row r="4595" spans="1:8" x14ac:dyDescent="0.25">
      <c r="A4595" t="s">
        <v>1052</v>
      </c>
      <c r="B4595" t="s">
        <v>216</v>
      </c>
      <c r="C4595" s="5">
        <v>5803</v>
      </c>
      <c r="D4595" s="5">
        <v>98</v>
      </c>
      <c r="E4595">
        <v>2185</v>
      </c>
      <c r="F4595" s="4" t="s">
        <v>152</v>
      </c>
      <c r="G4595" t="s">
        <v>29</v>
      </c>
      <c r="H4595" t="s">
        <v>153</v>
      </c>
    </row>
    <row r="4596" spans="1:8" x14ac:dyDescent="0.25">
      <c r="A4596" t="s">
        <v>1052</v>
      </c>
      <c r="B4596" t="s">
        <v>222</v>
      </c>
      <c r="C4596" s="5">
        <v>30605</v>
      </c>
      <c r="D4596" s="5">
        <v>385</v>
      </c>
      <c r="E4596">
        <v>6090</v>
      </c>
      <c r="F4596" s="4" t="s">
        <v>223</v>
      </c>
      <c r="G4596" t="s">
        <v>29</v>
      </c>
      <c r="H4596" t="s">
        <v>224</v>
      </c>
    </row>
    <row r="4597" spans="1:8" x14ac:dyDescent="0.25">
      <c r="A4597" t="s">
        <v>1052</v>
      </c>
      <c r="B4597" t="s">
        <v>219</v>
      </c>
      <c r="C4597" s="5">
        <v>9946</v>
      </c>
      <c r="D4597" s="5">
        <v>339</v>
      </c>
      <c r="E4597">
        <v>5756</v>
      </c>
      <c r="F4597" s="4" t="s">
        <v>205</v>
      </c>
      <c r="G4597" t="s">
        <v>29</v>
      </c>
      <c r="H4597" t="s">
        <v>206</v>
      </c>
    </row>
    <row r="4598" spans="1:8" x14ac:dyDescent="0.25">
      <c r="A4598" t="s">
        <v>1052</v>
      </c>
      <c r="B4598" t="s">
        <v>225</v>
      </c>
      <c r="C4598" s="5">
        <v>54095</v>
      </c>
      <c r="D4598" s="5">
        <v>809</v>
      </c>
      <c r="E4598">
        <v>17691</v>
      </c>
      <c r="F4598" s="4" t="s">
        <v>226</v>
      </c>
      <c r="G4598" t="s">
        <v>29</v>
      </c>
      <c r="H4598" t="s">
        <v>227</v>
      </c>
    </row>
    <row r="4599" spans="1:8" x14ac:dyDescent="0.25">
      <c r="A4599" t="s">
        <v>1052</v>
      </c>
      <c r="B4599" t="s">
        <v>228</v>
      </c>
      <c r="C4599" s="5">
        <v>13097</v>
      </c>
      <c r="D4599" s="5">
        <v>163</v>
      </c>
      <c r="E4599">
        <v>7970</v>
      </c>
      <c r="F4599" s="4" t="s">
        <v>394</v>
      </c>
      <c r="G4599" t="s">
        <v>29</v>
      </c>
      <c r="H4599" t="s">
        <v>395</v>
      </c>
    </row>
    <row r="4600" spans="1:8" x14ac:dyDescent="0.25">
      <c r="A4600" t="s">
        <v>1052</v>
      </c>
      <c r="B4600" t="s">
        <v>229</v>
      </c>
      <c r="C4600" s="5">
        <v>704211</v>
      </c>
      <c r="D4600" s="5">
        <v>15485</v>
      </c>
      <c r="E4600">
        <v>591767</v>
      </c>
      <c r="F4600" s="4" t="s">
        <v>969</v>
      </c>
      <c r="G4600" t="s">
        <v>29</v>
      </c>
      <c r="H4600" t="s">
        <v>970</v>
      </c>
    </row>
    <row r="4601" spans="1:8" x14ac:dyDescent="0.25">
      <c r="A4601" t="s">
        <v>1052</v>
      </c>
      <c r="B4601" t="s">
        <v>232</v>
      </c>
      <c r="C4601" s="5">
        <v>591460</v>
      </c>
      <c r="D4601" s="5">
        <v>14515</v>
      </c>
      <c r="E4601">
        <v>246175</v>
      </c>
      <c r="F4601" s="4" t="s">
        <v>999</v>
      </c>
      <c r="G4601" t="s">
        <v>29</v>
      </c>
      <c r="H4601" t="s">
        <v>1000</v>
      </c>
    </row>
    <row r="4602" spans="1:8" x14ac:dyDescent="0.25">
      <c r="A4602" t="s">
        <v>1052</v>
      </c>
      <c r="B4602" t="s">
        <v>233</v>
      </c>
      <c r="C4602" s="5">
        <v>6131</v>
      </c>
      <c r="D4602" s="5">
        <v>141</v>
      </c>
      <c r="E4602">
        <v>193</v>
      </c>
      <c r="F4602" s="4" t="s">
        <v>619</v>
      </c>
      <c r="G4602" t="s">
        <v>29</v>
      </c>
      <c r="H4602" t="s">
        <v>620</v>
      </c>
    </row>
    <row r="4603" spans="1:8" x14ac:dyDescent="0.25">
      <c r="A4603" t="s">
        <v>1052</v>
      </c>
      <c r="B4603" t="s">
        <v>236</v>
      </c>
      <c r="C4603" s="5">
        <v>34726</v>
      </c>
      <c r="D4603" s="5">
        <v>881</v>
      </c>
      <c r="E4603">
        <v>23074</v>
      </c>
      <c r="F4603" s="4" t="s">
        <v>141</v>
      </c>
      <c r="G4603" t="s">
        <v>29</v>
      </c>
      <c r="H4603" t="s">
        <v>142</v>
      </c>
    </row>
    <row r="4604" spans="1:8" x14ac:dyDescent="0.25">
      <c r="A4604" t="s">
        <v>1052</v>
      </c>
      <c r="B4604" t="s">
        <v>239</v>
      </c>
      <c r="C4604" s="5">
        <v>12305</v>
      </c>
      <c r="D4604" s="5">
        <v>213</v>
      </c>
      <c r="E4604">
        <v>9590</v>
      </c>
      <c r="F4604" s="4" t="s">
        <v>765</v>
      </c>
      <c r="G4604" t="s">
        <v>29</v>
      </c>
      <c r="H4604" t="s">
        <v>766</v>
      </c>
    </row>
    <row r="4605" spans="1:8" x14ac:dyDescent="0.25">
      <c r="A4605" t="s">
        <v>1052</v>
      </c>
      <c r="B4605" t="s">
        <v>242</v>
      </c>
      <c r="C4605" s="5">
        <v>373206</v>
      </c>
      <c r="D4605" s="5">
        <v>10147</v>
      </c>
      <c r="E4605">
        <v>95924</v>
      </c>
      <c r="F4605" s="4" t="s">
        <v>938</v>
      </c>
      <c r="G4605" t="s">
        <v>29</v>
      </c>
      <c r="H4605" t="s">
        <v>939</v>
      </c>
    </row>
    <row r="4606" spans="1:8" x14ac:dyDescent="0.25">
      <c r="A4606" t="s">
        <v>1052</v>
      </c>
      <c r="B4606" t="s">
        <v>245</v>
      </c>
      <c r="C4606" s="5">
        <v>433136</v>
      </c>
      <c r="D4606" s="5">
        <v>8951</v>
      </c>
      <c r="E4606">
        <v>181735</v>
      </c>
      <c r="F4606" s="4" t="s">
        <v>310</v>
      </c>
      <c r="G4606" t="s">
        <v>29</v>
      </c>
      <c r="H4606" t="s">
        <v>311</v>
      </c>
    </row>
    <row r="4607" spans="1:8" x14ac:dyDescent="0.25">
      <c r="A4607" t="s">
        <v>1052</v>
      </c>
      <c r="B4607" t="s">
        <v>248</v>
      </c>
      <c r="C4607" s="5">
        <v>23406</v>
      </c>
      <c r="D4607" s="5">
        <v>658</v>
      </c>
      <c r="E4607">
        <v>4689</v>
      </c>
      <c r="F4607" s="4" t="s">
        <v>967</v>
      </c>
      <c r="G4607" t="s">
        <v>29</v>
      </c>
      <c r="H4607" t="s">
        <v>968</v>
      </c>
    </row>
    <row r="4608" spans="1:8" x14ac:dyDescent="0.25">
      <c r="A4608" t="s">
        <v>1052</v>
      </c>
      <c r="B4608" t="s">
        <v>251</v>
      </c>
      <c r="C4608" s="5">
        <v>838916</v>
      </c>
      <c r="D4608" s="5">
        <v>30448</v>
      </c>
      <c r="E4608">
        <v>668228</v>
      </c>
      <c r="F4608" s="4" t="s">
        <v>1061</v>
      </c>
      <c r="G4608" t="s">
        <v>29</v>
      </c>
      <c r="H4608" t="s">
        <v>1062</v>
      </c>
    </row>
    <row r="4609" spans="1:8" x14ac:dyDescent="0.25">
      <c r="A4609" t="s">
        <v>1052</v>
      </c>
      <c r="B4609" t="s">
        <v>254</v>
      </c>
      <c r="C4609" s="5">
        <v>4237201</v>
      </c>
      <c r="D4609" s="5">
        <v>143077</v>
      </c>
      <c r="E4609">
        <v>80858</v>
      </c>
      <c r="F4609" s="4" t="s">
        <v>255</v>
      </c>
      <c r="G4609" t="s">
        <v>29</v>
      </c>
      <c r="H4609" t="s">
        <v>256</v>
      </c>
    </row>
    <row r="4610" spans="1:8" x14ac:dyDescent="0.25">
      <c r="A4610" t="s">
        <v>1052</v>
      </c>
      <c r="B4610" t="s">
        <v>257</v>
      </c>
      <c r="C4610" s="5">
        <v>421234</v>
      </c>
      <c r="D4610" s="5">
        <v>5369</v>
      </c>
      <c r="E4610">
        <v>226724</v>
      </c>
      <c r="F4610" s="4" t="s">
        <v>53</v>
      </c>
      <c r="G4610" t="s">
        <v>29</v>
      </c>
      <c r="H4610" t="s">
        <v>54</v>
      </c>
    </row>
    <row r="4611" spans="1:8" x14ac:dyDescent="0.25">
      <c r="A4611" t="s">
        <v>1052</v>
      </c>
      <c r="B4611" t="s">
        <v>260</v>
      </c>
      <c r="C4611" s="5">
        <v>1319902</v>
      </c>
      <c r="D4611" s="5">
        <v>8029</v>
      </c>
      <c r="E4611">
        <v>191338</v>
      </c>
      <c r="F4611" s="4" t="s">
        <v>261</v>
      </c>
      <c r="G4611" t="s">
        <v>29</v>
      </c>
      <c r="H4611" t="s">
        <v>262</v>
      </c>
    </row>
    <row r="4612" spans="1:8" x14ac:dyDescent="0.25">
      <c r="A4612" t="s">
        <v>1052</v>
      </c>
      <c r="B4612" t="s">
        <v>263</v>
      </c>
      <c r="C4612" s="5">
        <v>34127450</v>
      </c>
      <c r="D4612" s="5">
        <v>452811</v>
      </c>
      <c r="E4612">
        <v>27513363</v>
      </c>
      <c r="F4612" s="4" t="s">
        <v>59</v>
      </c>
      <c r="G4612" t="s">
        <v>29</v>
      </c>
      <c r="H4612" t="s">
        <v>60</v>
      </c>
    </row>
    <row r="4613" spans="1:8" x14ac:dyDescent="0.25">
      <c r="A4613" t="s">
        <v>1052</v>
      </c>
      <c r="B4613" t="s">
        <v>266</v>
      </c>
      <c r="C4613" s="5">
        <v>2040235</v>
      </c>
      <c r="D4613" s="5">
        <v>22836</v>
      </c>
      <c r="E4613">
        <v>1441670</v>
      </c>
      <c r="F4613" s="4" t="s">
        <v>911</v>
      </c>
      <c r="G4613" t="s">
        <v>29</v>
      </c>
      <c r="H4613" t="s">
        <v>912</v>
      </c>
    </row>
    <row r="4614" spans="1:8" x14ac:dyDescent="0.25">
      <c r="A4614" t="s">
        <v>1052</v>
      </c>
      <c r="B4614" t="s">
        <v>269</v>
      </c>
      <c r="C4614" s="5">
        <v>5821737</v>
      </c>
      <c r="D4614" s="5">
        <v>124585</v>
      </c>
      <c r="E4614">
        <v>5061943</v>
      </c>
      <c r="F4614" s="4" t="s">
        <v>823</v>
      </c>
      <c r="G4614" t="s">
        <v>29</v>
      </c>
      <c r="H4614" t="s">
        <v>824</v>
      </c>
    </row>
    <row r="4615" spans="1:8" x14ac:dyDescent="0.25">
      <c r="A4615" t="s">
        <v>1052</v>
      </c>
      <c r="B4615" t="s">
        <v>272</v>
      </c>
      <c r="C4615" s="5">
        <v>12775</v>
      </c>
      <c r="D4615" s="5">
        <v>33</v>
      </c>
      <c r="E4615">
        <v>1979</v>
      </c>
      <c r="F4615" s="4" t="s">
        <v>794</v>
      </c>
      <c r="G4615" t="s">
        <v>29</v>
      </c>
      <c r="H4615" t="s">
        <v>795</v>
      </c>
    </row>
    <row r="4616" spans="1:8" x14ac:dyDescent="0.25">
      <c r="A4616" t="s">
        <v>1052</v>
      </c>
      <c r="B4616" t="s">
        <v>275</v>
      </c>
      <c r="C4616" s="5">
        <v>4725887</v>
      </c>
      <c r="D4616" s="5">
        <v>131688</v>
      </c>
      <c r="E4616">
        <v>1549570</v>
      </c>
      <c r="F4616" s="4" t="s">
        <v>662</v>
      </c>
      <c r="G4616" t="s">
        <v>29</v>
      </c>
      <c r="H4616" t="s">
        <v>663</v>
      </c>
    </row>
    <row r="4617" spans="1:8" x14ac:dyDescent="0.25">
      <c r="A4617" t="s">
        <v>1052</v>
      </c>
      <c r="B4617" t="s">
        <v>278</v>
      </c>
      <c r="C4617" s="5">
        <v>87723</v>
      </c>
      <c r="D4617" s="5">
        <v>2129</v>
      </c>
      <c r="E4617">
        <v>20002</v>
      </c>
      <c r="F4617" s="4" t="s">
        <v>917</v>
      </c>
      <c r="G4617" t="s">
        <v>29</v>
      </c>
      <c r="H4617" t="s">
        <v>918</v>
      </c>
    </row>
    <row r="4618" spans="1:8" x14ac:dyDescent="0.25">
      <c r="A4618" t="s">
        <v>1052</v>
      </c>
      <c r="B4618" t="s">
        <v>279</v>
      </c>
      <c r="C4618" s="5">
        <v>846033</v>
      </c>
      <c r="D4618" s="5">
        <v>10903</v>
      </c>
      <c r="E4618">
        <v>521522</v>
      </c>
      <c r="F4618" s="4" t="s">
        <v>417</v>
      </c>
      <c r="G4618" t="s">
        <v>29</v>
      </c>
      <c r="H4618" t="s">
        <v>418</v>
      </c>
    </row>
    <row r="4619" spans="1:8" x14ac:dyDescent="0.25">
      <c r="A4619" t="s">
        <v>1052</v>
      </c>
      <c r="B4619" t="s">
        <v>280</v>
      </c>
      <c r="C4619" s="5">
        <v>1716508</v>
      </c>
      <c r="D4619" s="5">
        <v>18166</v>
      </c>
      <c r="E4619">
        <v>1032145</v>
      </c>
      <c r="F4619" s="4" t="s">
        <v>165</v>
      </c>
      <c r="G4619" t="s">
        <v>29</v>
      </c>
      <c r="H4619" t="s">
        <v>166</v>
      </c>
    </row>
    <row r="4620" spans="1:8" x14ac:dyDescent="0.25">
      <c r="A4620" t="s">
        <v>1052</v>
      </c>
      <c r="B4620" t="s">
        <v>281</v>
      </c>
      <c r="C4620" s="5">
        <v>252308</v>
      </c>
      <c r="D4620" s="5">
        <v>5238</v>
      </c>
      <c r="E4620">
        <v>92427</v>
      </c>
      <c r="F4620" s="4" t="s">
        <v>549</v>
      </c>
      <c r="G4620" t="s">
        <v>29</v>
      </c>
      <c r="H4620" t="s">
        <v>550</v>
      </c>
    </row>
    <row r="4621" spans="1:8" x14ac:dyDescent="0.25">
      <c r="A4621" t="s">
        <v>1052</v>
      </c>
      <c r="B4621" t="s">
        <v>284</v>
      </c>
      <c r="C4621" s="5">
        <v>180109</v>
      </c>
      <c r="D4621" s="5">
        <v>2641</v>
      </c>
      <c r="E4621">
        <v>40091</v>
      </c>
      <c r="F4621" s="4" t="s">
        <v>777</v>
      </c>
      <c r="G4621" t="s">
        <v>29</v>
      </c>
      <c r="H4621" t="s">
        <v>778</v>
      </c>
    </row>
    <row r="4622" spans="1:8" x14ac:dyDescent="0.25">
      <c r="A4622" t="s">
        <v>1052</v>
      </c>
      <c r="B4622" t="s">
        <v>290</v>
      </c>
      <c r="C4622" s="5">
        <v>2</v>
      </c>
      <c r="D4622" s="5">
        <v>0</v>
      </c>
      <c r="E4622">
        <v>0</v>
      </c>
      <c r="F4622" s="4" t="s">
        <v>29</v>
      </c>
      <c r="G4622" t="s">
        <v>29</v>
      </c>
      <c r="H4622" t="s">
        <v>291</v>
      </c>
    </row>
    <row r="4623" spans="1:8" x14ac:dyDescent="0.25">
      <c r="A4623" t="s">
        <v>1052</v>
      </c>
      <c r="B4623" t="s">
        <v>287</v>
      </c>
      <c r="C4623" s="5">
        <v>117201</v>
      </c>
      <c r="D4623" s="5">
        <v>2693</v>
      </c>
      <c r="E4623">
        <v>29978</v>
      </c>
      <c r="F4623" s="4" t="s">
        <v>619</v>
      </c>
      <c r="G4623" t="s">
        <v>29</v>
      </c>
      <c r="H4623" t="s">
        <v>620</v>
      </c>
    </row>
    <row r="4624" spans="1:8" x14ac:dyDescent="0.25">
      <c r="A4624" t="s">
        <v>1052</v>
      </c>
      <c r="B4624" t="s">
        <v>292</v>
      </c>
      <c r="C4624" s="5">
        <v>4194</v>
      </c>
      <c r="D4624" s="5">
        <v>147</v>
      </c>
      <c r="E4624">
        <v>821</v>
      </c>
      <c r="F4624" s="4" t="s">
        <v>350</v>
      </c>
      <c r="G4624" t="s">
        <v>29</v>
      </c>
      <c r="H4624" t="s">
        <v>351</v>
      </c>
    </row>
    <row r="4625" spans="1:8" x14ac:dyDescent="0.25">
      <c r="A4625" t="s">
        <v>1052</v>
      </c>
      <c r="B4625" t="s">
        <v>293</v>
      </c>
      <c r="C4625" s="5">
        <v>2589</v>
      </c>
      <c r="D4625" s="5">
        <v>21</v>
      </c>
      <c r="E4625">
        <v>1768</v>
      </c>
      <c r="F4625" s="4" t="s">
        <v>1018</v>
      </c>
      <c r="G4625" t="s">
        <v>29</v>
      </c>
      <c r="H4625" t="s">
        <v>1019</v>
      </c>
    </row>
    <row r="4626" spans="1:8" x14ac:dyDescent="0.25">
      <c r="A4626" t="s">
        <v>1052</v>
      </c>
      <c r="B4626" t="s">
        <v>296</v>
      </c>
      <c r="C4626" s="5">
        <v>347529</v>
      </c>
      <c r="D4626" s="5">
        <v>2709</v>
      </c>
      <c r="E4626">
        <v>65631</v>
      </c>
      <c r="F4626" s="4" t="s">
        <v>297</v>
      </c>
      <c r="G4626" t="s">
        <v>29</v>
      </c>
      <c r="H4626" t="s">
        <v>298</v>
      </c>
    </row>
    <row r="4627" spans="1:8" x14ac:dyDescent="0.25">
      <c r="A4627" t="s">
        <v>1052</v>
      </c>
      <c r="B4627" t="s">
        <v>299</v>
      </c>
      <c r="C4627" s="5">
        <v>412424</v>
      </c>
      <c r="D4627" s="5">
        <v>2458</v>
      </c>
      <c r="E4627">
        <v>195730</v>
      </c>
      <c r="F4627" s="4" t="s">
        <v>300</v>
      </c>
      <c r="G4627" t="s">
        <v>29</v>
      </c>
      <c r="H4627" t="s">
        <v>301</v>
      </c>
    </row>
    <row r="4628" spans="1:8" x14ac:dyDescent="0.25">
      <c r="A4628" t="s">
        <v>1052</v>
      </c>
      <c r="B4628" t="s">
        <v>302</v>
      </c>
      <c r="C4628" s="5">
        <v>1001369</v>
      </c>
      <c r="D4628" s="5">
        <v>16794</v>
      </c>
      <c r="E4628">
        <v>455369</v>
      </c>
      <c r="F4628" s="4" t="s">
        <v>116</v>
      </c>
      <c r="G4628" t="s">
        <v>29</v>
      </c>
      <c r="H4628" t="s">
        <v>117</v>
      </c>
    </row>
    <row r="4629" spans="1:8" x14ac:dyDescent="0.25">
      <c r="A4629" t="s">
        <v>1052</v>
      </c>
      <c r="B4629" t="s">
        <v>303</v>
      </c>
      <c r="C4629" s="5">
        <v>33606</v>
      </c>
      <c r="D4629" s="5">
        <v>47</v>
      </c>
      <c r="E4629">
        <v>13662</v>
      </c>
      <c r="F4629" s="4" t="s">
        <v>821</v>
      </c>
      <c r="G4629" t="s">
        <v>29</v>
      </c>
      <c r="H4629" t="s">
        <v>822</v>
      </c>
    </row>
    <row r="4630" spans="1:8" x14ac:dyDescent="0.25">
      <c r="A4630" t="s">
        <v>1052</v>
      </c>
      <c r="B4630" t="s">
        <v>306</v>
      </c>
      <c r="C4630" s="5">
        <v>635447</v>
      </c>
      <c r="D4630" s="5">
        <v>8438</v>
      </c>
      <c r="E4630">
        <v>332839</v>
      </c>
      <c r="F4630" s="4" t="s">
        <v>59</v>
      </c>
      <c r="G4630" t="s">
        <v>29</v>
      </c>
      <c r="H4630" t="s">
        <v>60</v>
      </c>
    </row>
    <row r="4631" spans="1:8" x14ac:dyDescent="0.25">
      <c r="A4631" t="s">
        <v>1052</v>
      </c>
      <c r="B4631" t="s">
        <v>309</v>
      </c>
      <c r="C4631" s="5">
        <v>12313</v>
      </c>
      <c r="D4631" s="5">
        <v>237</v>
      </c>
      <c r="E4631">
        <v>7827</v>
      </c>
      <c r="F4631" s="4" t="s">
        <v>721</v>
      </c>
      <c r="G4631" t="s">
        <v>29</v>
      </c>
      <c r="H4631" t="s">
        <v>722</v>
      </c>
    </row>
    <row r="4632" spans="1:8" x14ac:dyDescent="0.25">
      <c r="A4632" t="s">
        <v>1052</v>
      </c>
      <c r="B4632" t="s">
        <v>312</v>
      </c>
      <c r="C4632" s="5">
        <v>3610</v>
      </c>
      <c r="D4632" s="5">
        <v>60</v>
      </c>
      <c r="E4632">
        <v>269</v>
      </c>
      <c r="F4632" s="4" t="s">
        <v>135</v>
      </c>
      <c r="G4632" t="s">
        <v>29</v>
      </c>
      <c r="H4632" t="s">
        <v>136</v>
      </c>
    </row>
    <row r="4633" spans="1:8" x14ac:dyDescent="0.25">
      <c r="A4633" t="s">
        <v>1052</v>
      </c>
      <c r="B4633" t="s">
        <v>315</v>
      </c>
      <c r="C4633" s="5">
        <v>533305</v>
      </c>
      <c r="D4633" s="5">
        <v>13543</v>
      </c>
      <c r="E4633">
        <v>367374</v>
      </c>
      <c r="F4633" s="4" t="s">
        <v>141</v>
      </c>
      <c r="G4633" t="s">
        <v>29</v>
      </c>
      <c r="H4633" t="s">
        <v>142</v>
      </c>
    </row>
    <row r="4634" spans="1:8" x14ac:dyDescent="0.25">
      <c r="A4634" t="s">
        <v>1052</v>
      </c>
      <c r="B4634" t="s">
        <v>316</v>
      </c>
      <c r="C4634" s="5">
        <v>5808</v>
      </c>
      <c r="D4634" s="5">
        <v>286</v>
      </c>
      <c r="E4634">
        <v>5222</v>
      </c>
      <c r="F4634" s="4" t="s">
        <v>1063</v>
      </c>
      <c r="G4634" t="s">
        <v>29</v>
      </c>
      <c r="H4634" t="s">
        <v>1064</v>
      </c>
    </row>
    <row r="4635" spans="1:8" x14ac:dyDescent="0.25">
      <c r="A4635" t="s">
        <v>1052</v>
      </c>
      <c r="B4635" t="s">
        <v>319</v>
      </c>
      <c r="C4635" s="5">
        <v>21566</v>
      </c>
      <c r="D4635" s="5">
        <v>655</v>
      </c>
      <c r="E4635">
        <v>1845</v>
      </c>
      <c r="F4635" s="4" t="s">
        <v>320</v>
      </c>
      <c r="G4635" t="s">
        <v>29</v>
      </c>
      <c r="H4635" t="s">
        <v>321</v>
      </c>
    </row>
    <row r="4636" spans="1:8" x14ac:dyDescent="0.25">
      <c r="A4636" t="s">
        <v>1052</v>
      </c>
      <c r="B4636" t="s">
        <v>322</v>
      </c>
      <c r="C4636" s="5">
        <v>376089</v>
      </c>
      <c r="D4636" s="5">
        <v>5511</v>
      </c>
      <c r="E4636">
        <v>321375</v>
      </c>
      <c r="F4636" s="4" t="s">
        <v>777</v>
      </c>
      <c r="G4636" t="s">
        <v>29</v>
      </c>
      <c r="H4636" t="s">
        <v>778</v>
      </c>
    </row>
    <row r="4637" spans="1:8" x14ac:dyDescent="0.25">
      <c r="A4637" t="s">
        <v>1052</v>
      </c>
      <c r="B4637" t="s">
        <v>325</v>
      </c>
      <c r="C4637" s="5">
        <v>80331</v>
      </c>
      <c r="D4637" s="5">
        <v>842</v>
      </c>
      <c r="E4637">
        <v>21960</v>
      </c>
      <c r="F4637" s="4" t="s">
        <v>642</v>
      </c>
      <c r="G4637" t="s">
        <v>29</v>
      </c>
      <c r="H4637" t="s">
        <v>643</v>
      </c>
    </row>
    <row r="4638" spans="1:8" x14ac:dyDescent="0.25">
      <c r="A4638" t="s">
        <v>1052</v>
      </c>
      <c r="B4638" t="s">
        <v>328</v>
      </c>
      <c r="C4638" s="5">
        <v>191321</v>
      </c>
      <c r="D4638" s="5">
        <v>2944</v>
      </c>
      <c r="E4638">
        <v>104518</v>
      </c>
      <c r="F4638" s="4" t="s">
        <v>519</v>
      </c>
      <c r="G4638" t="s">
        <v>29</v>
      </c>
      <c r="H4638" t="s">
        <v>520</v>
      </c>
    </row>
    <row r="4639" spans="1:8" x14ac:dyDescent="0.25">
      <c r="A4639" t="s">
        <v>1052</v>
      </c>
      <c r="B4639" t="s">
        <v>329</v>
      </c>
      <c r="C4639" s="5">
        <v>351756</v>
      </c>
      <c r="D4639" s="5">
        <v>4945</v>
      </c>
      <c r="E4639">
        <v>18035</v>
      </c>
      <c r="F4639" s="4" t="s">
        <v>345</v>
      </c>
      <c r="G4639" t="s">
        <v>29</v>
      </c>
      <c r="H4639" t="s">
        <v>346</v>
      </c>
    </row>
    <row r="4640" spans="1:8" x14ac:dyDescent="0.25">
      <c r="A4640" t="s">
        <v>1052</v>
      </c>
      <c r="B4640" t="s">
        <v>332</v>
      </c>
      <c r="C4640" s="5">
        <v>942967</v>
      </c>
      <c r="D4640" s="5">
        <v>14580</v>
      </c>
      <c r="E4640">
        <v>513540</v>
      </c>
      <c r="F4640" s="4" t="s">
        <v>333</v>
      </c>
      <c r="G4640" t="s">
        <v>29</v>
      </c>
      <c r="H4640" t="s">
        <v>334</v>
      </c>
    </row>
    <row r="4641" spans="1:8" x14ac:dyDescent="0.25">
      <c r="A4641" t="s">
        <v>1052</v>
      </c>
      <c r="B4641" t="s">
        <v>335</v>
      </c>
      <c r="C4641" s="5">
        <v>3382</v>
      </c>
      <c r="D4641" s="5">
        <v>35</v>
      </c>
      <c r="E4641">
        <v>569</v>
      </c>
      <c r="F4641" s="4" t="s">
        <v>687</v>
      </c>
      <c r="G4641" t="s">
        <v>29</v>
      </c>
      <c r="H4641" t="s">
        <v>688</v>
      </c>
    </row>
    <row r="4642" spans="1:8" x14ac:dyDescent="0.25">
      <c r="A4642" t="s">
        <v>1052</v>
      </c>
      <c r="B4642" t="s">
        <v>338</v>
      </c>
      <c r="C4642" s="5">
        <v>321682</v>
      </c>
      <c r="D4642" s="5">
        <v>7346</v>
      </c>
      <c r="E4642">
        <v>274846</v>
      </c>
      <c r="F4642" s="4" t="s">
        <v>892</v>
      </c>
      <c r="G4642" t="s">
        <v>29</v>
      </c>
      <c r="H4642" t="s">
        <v>893</v>
      </c>
    </row>
    <row r="4643" spans="1:8" x14ac:dyDescent="0.25">
      <c r="A4643" t="s">
        <v>1052</v>
      </c>
      <c r="B4643" t="s">
        <v>341</v>
      </c>
      <c r="C4643" s="5">
        <v>139066</v>
      </c>
      <c r="D4643" s="5">
        <v>2050</v>
      </c>
      <c r="E4643">
        <v>42219</v>
      </c>
      <c r="F4643" s="4" t="s">
        <v>777</v>
      </c>
      <c r="G4643" t="s">
        <v>29</v>
      </c>
      <c r="H4643" t="s">
        <v>778</v>
      </c>
    </row>
    <row r="4644" spans="1:8" x14ac:dyDescent="0.25">
      <c r="A4644" t="s">
        <v>1052</v>
      </c>
      <c r="B4644" t="s">
        <v>344</v>
      </c>
      <c r="C4644" s="5">
        <v>3888</v>
      </c>
      <c r="D4644" s="5">
        <v>55</v>
      </c>
      <c r="E4644">
        <v>2506</v>
      </c>
      <c r="F4644" s="4" t="s">
        <v>345</v>
      </c>
      <c r="G4644" t="s">
        <v>29</v>
      </c>
      <c r="H4644" t="s">
        <v>346</v>
      </c>
    </row>
    <row r="4645" spans="1:8" x14ac:dyDescent="0.25">
      <c r="A4645" t="s">
        <v>1052</v>
      </c>
      <c r="B4645" t="s">
        <v>347</v>
      </c>
      <c r="C4645" s="5">
        <v>43622</v>
      </c>
      <c r="D4645" s="5">
        <v>960</v>
      </c>
      <c r="E4645">
        <v>27750</v>
      </c>
      <c r="F4645" s="4" t="s">
        <v>969</v>
      </c>
      <c r="G4645" t="s">
        <v>29</v>
      </c>
      <c r="H4645" t="s">
        <v>970</v>
      </c>
    </row>
    <row r="4646" spans="1:8" x14ac:dyDescent="0.25">
      <c r="A4646" t="s">
        <v>1052</v>
      </c>
      <c r="B4646" t="s">
        <v>348</v>
      </c>
      <c r="C4646" s="5">
        <v>4</v>
      </c>
      <c r="D4646" s="5">
        <v>0</v>
      </c>
      <c r="E4646">
        <v>1</v>
      </c>
      <c r="F4646" s="4" t="s">
        <v>29</v>
      </c>
      <c r="G4646" t="s">
        <v>29</v>
      </c>
      <c r="H4646" t="s">
        <v>291</v>
      </c>
    </row>
    <row r="4647" spans="1:8" x14ac:dyDescent="0.25">
      <c r="A4647" t="s">
        <v>1052</v>
      </c>
      <c r="B4647" t="s">
        <v>349</v>
      </c>
      <c r="C4647" s="5">
        <v>198156</v>
      </c>
      <c r="D4647" s="5">
        <v>6998</v>
      </c>
      <c r="E4647">
        <v>118031</v>
      </c>
      <c r="F4647" s="4" t="s">
        <v>430</v>
      </c>
      <c r="G4647" t="s">
        <v>29</v>
      </c>
      <c r="H4647" t="s">
        <v>431</v>
      </c>
    </row>
    <row r="4648" spans="1:8" x14ac:dyDescent="0.25">
      <c r="A4648" t="s">
        <v>1052</v>
      </c>
      <c r="B4648" t="s">
        <v>352</v>
      </c>
      <c r="C4648" s="5">
        <v>15697</v>
      </c>
      <c r="D4648" s="5">
        <v>558</v>
      </c>
      <c r="E4648">
        <v>13528</v>
      </c>
      <c r="F4648" s="4" t="s">
        <v>1065</v>
      </c>
      <c r="G4648" t="s">
        <v>29</v>
      </c>
      <c r="H4648" t="s">
        <v>1066</v>
      </c>
    </row>
    <row r="4649" spans="1:8" x14ac:dyDescent="0.25">
      <c r="A4649" t="s">
        <v>1052</v>
      </c>
      <c r="B4649" t="s">
        <v>355</v>
      </c>
      <c r="C4649" s="5">
        <v>490901</v>
      </c>
      <c r="D4649" s="5">
        <v>18444</v>
      </c>
      <c r="E4649">
        <v>42982</v>
      </c>
      <c r="F4649" s="4" t="s">
        <v>1040</v>
      </c>
      <c r="G4649" t="s">
        <v>29</v>
      </c>
      <c r="H4649" t="s">
        <v>1041</v>
      </c>
    </row>
    <row r="4650" spans="1:8" x14ac:dyDescent="0.25">
      <c r="A4650" t="s">
        <v>1052</v>
      </c>
      <c r="B4650" t="s">
        <v>358</v>
      </c>
      <c r="C4650" s="5">
        <v>344736</v>
      </c>
      <c r="D4650" s="5">
        <v>1607</v>
      </c>
      <c r="E4650">
        <v>294979</v>
      </c>
      <c r="F4650" s="4" t="s">
        <v>932</v>
      </c>
      <c r="G4650" t="s">
        <v>29</v>
      </c>
      <c r="H4650" t="s">
        <v>933</v>
      </c>
    </row>
    <row r="4651" spans="1:8" x14ac:dyDescent="0.25">
      <c r="A4651" t="s">
        <v>1052</v>
      </c>
      <c r="B4651" t="s">
        <v>359</v>
      </c>
      <c r="C4651" s="5">
        <v>77</v>
      </c>
      <c r="D4651" s="5">
        <v>0</v>
      </c>
      <c r="E4651">
        <v>55</v>
      </c>
      <c r="F4651" s="4" t="s">
        <v>29</v>
      </c>
      <c r="G4651" t="s">
        <v>29</v>
      </c>
      <c r="H4651" t="s">
        <v>291</v>
      </c>
    </row>
    <row r="4652" spans="1:8" x14ac:dyDescent="0.25">
      <c r="A4652" t="s">
        <v>1052</v>
      </c>
      <c r="B4652" t="s">
        <v>360</v>
      </c>
      <c r="C4652" s="5">
        <v>42634</v>
      </c>
      <c r="D4652" s="5">
        <v>670</v>
      </c>
      <c r="E4652">
        <v>6740</v>
      </c>
      <c r="F4652" s="4" t="s">
        <v>217</v>
      </c>
      <c r="G4652" t="s">
        <v>29</v>
      </c>
      <c r="H4652" t="s">
        <v>218</v>
      </c>
    </row>
    <row r="4653" spans="1:8" x14ac:dyDescent="0.25">
      <c r="A4653" t="s">
        <v>1052</v>
      </c>
      <c r="B4653" t="s">
        <v>363</v>
      </c>
      <c r="C4653" s="5">
        <v>36783</v>
      </c>
      <c r="D4653" s="5">
        <v>791</v>
      </c>
      <c r="E4653">
        <v>6775</v>
      </c>
      <c r="F4653" s="4" t="s">
        <v>852</v>
      </c>
      <c r="G4653" t="s">
        <v>29</v>
      </c>
      <c r="H4653" t="s">
        <v>853</v>
      </c>
    </row>
    <row r="4654" spans="1:8" x14ac:dyDescent="0.25">
      <c r="A4654" t="s">
        <v>1052</v>
      </c>
      <c r="B4654" t="s">
        <v>364</v>
      </c>
      <c r="C4654" s="5">
        <v>37506</v>
      </c>
      <c r="D4654" s="5">
        <v>459</v>
      </c>
      <c r="E4654">
        <v>24103</v>
      </c>
      <c r="F4654" s="4" t="s">
        <v>365</v>
      </c>
      <c r="G4654" t="s">
        <v>29</v>
      </c>
      <c r="H4654" t="s">
        <v>366</v>
      </c>
    </row>
    <row r="4655" spans="1:8" x14ac:dyDescent="0.25">
      <c r="A4655" t="s">
        <v>1052</v>
      </c>
      <c r="B4655" t="s">
        <v>367</v>
      </c>
      <c r="C4655" s="5">
        <v>16805</v>
      </c>
      <c r="D4655" s="5">
        <v>141</v>
      </c>
      <c r="E4655">
        <v>3972</v>
      </c>
      <c r="F4655" s="4" t="s">
        <v>397</v>
      </c>
      <c r="G4655" t="s">
        <v>29</v>
      </c>
      <c r="H4655" t="s">
        <v>398</v>
      </c>
    </row>
    <row r="4656" spans="1:8" x14ac:dyDescent="0.25">
      <c r="A4656" t="s">
        <v>1052</v>
      </c>
      <c r="B4656" t="s">
        <v>368</v>
      </c>
      <c r="C4656" s="5">
        <v>86419</v>
      </c>
      <c r="D4656" s="5">
        <v>239</v>
      </c>
      <c r="E4656">
        <v>9620</v>
      </c>
      <c r="F4656" s="4" t="s">
        <v>369</v>
      </c>
      <c r="G4656" t="s">
        <v>29</v>
      </c>
      <c r="H4656" t="s">
        <v>370</v>
      </c>
    </row>
    <row r="4657" spans="1:8" x14ac:dyDescent="0.25">
      <c r="A4657" t="s">
        <v>1052</v>
      </c>
      <c r="B4657" t="s">
        <v>371</v>
      </c>
      <c r="C4657" s="5">
        <v>61738</v>
      </c>
      <c r="D4657" s="5">
        <v>2296</v>
      </c>
      <c r="E4657">
        <v>52266</v>
      </c>
      <c r="F4657" s="4" t="s">
        <v>372</v>
      </c>
      <c r="G4657" t="s">
        <v>29</v>
      </c>
      <c r="H4657" t="s">
        <v>373</v>
      </c>
    </row>
    <row r="4658" spans="1:8" x14ac:dyDescent="0.25">
      <c r="A4658" t="s">
        <v>1052</v>
      </c>
      <c r="B4658" t="s">
        <v>374</v>
      </c>
      <c r="C4658" s="5">
        <v>3767758</v>
      </c>
      <c r="D4658" s="5">
        <v>285347</v>
      </c>
      <c r="E4658">
        <v>3245089</v>
      </c>
      <c r="F4658" s="4" t="s">
        <v>375</v>
      </c>
      <c r="G4658" t="s">
        <v>29</v>
      </c>
      <c r="H4658" t="s">
        <v>376</v>
      </c>
    </row>
    <row r="4659" spans="1:8" x14ac:dyDescent="0.25">
      <c r="A4659" t="s">
        <v>1052</v>
      </c>
      <c r="B4659" t="s">
        <v>377</v>
      </c>
      <c r="C4659" s="5">
        <v>2407382</v>
      </c>
      <c r="D4659" s="5">
        <v>28138</v>
      </c>
      <c r="E4659">
        <v>1637511</v>
      </c>
      <c r="F4659" s="4" t="s">
        <v>378</v>
      </c>
      <c r="G4659" t="s">
        <v>29</v>
      </c>
      <c r="H4659" t="s">
        <v>379</v>
      </c>
    </row>
    <row r="4660" spans="1:8" x14ac:dyDescent="0.25">
      <c r="A4660" t="s">
        <v>1052</v>
      </c>
      <c r="B4660" t="s">
        <v>380</v>
      </c>
      <c r="C4660" s="5">
        <v>151157</v>
      </c>
      <c r="D4660" s="5">
        <v>1927</v>
      </c>
      <c r="E4660">
        <v>59203</v>
      </c>
      <c r="F4660" s="4" t="s">
        <v>53</v>
      </c>
      <c r="G4660" t="s">
        <v>29</v>
      </c>
      <c r="H4660" t="s">
        <v>54</v>
      </c>
    </row>
    <row r="4661" spans="1:8" x14ac:dyDescent="0.25">
      <c r="A4661" t="s">
        <v>1052</v>
      </c>
      <c r="B4661" t="s">
        <v>383</v>
      </c>
      <c r="C4661" s="5">
        <v>128395</v>
      </c>
      <c r="D4661" s="5">
        <v>3543</v>
      </c>
      <c r="E4661">
        <v>37038</v>
      </c>
      <c r="F4661" s="4" t="s">
        <v>384</v>
      </c>
      <c r="G4661" t="s">
        <v>29</v>
      </c>
      <c r="H4661" t="s">
        <v>385</v>
      </c>
    </row>
    <row r="4662" spans="1:8" x14ac:dyDescent="0.25">
      <c r="A4662" t="s">
        <v>1052</v>
      </c>
      <c r="B4662" t="s">
        <v>386</v>
      </c>
      <c r="C4662" s="5">
        <v>10213</v>
      </c>
      <c r="D4662" s="5">
        <v>245</v>
      </c>
      <c r="E4662">
        <v>5750</v>
      </c>
      <c r="F4662" s="4" t="s">
        <v>617</v>
      </c>
      <c r="G4662" t="s">
        <v>29</v>
      </c>
      <c r="H4662" t="s">
        <v>618</v>
      </c>
    </row>
    <row r="4663" spans="1:8" x14ac:dyDescent="0.25">
      <c r="A4663" t="s">
        <v>1052</v>
      </c>
      <c r="B4663" t="s">
        <v>387</v>
      </c>
      <c r="C4663" s="5">
        <v>6203</v>
      </c>
      <c r="D4663" s="5">
        <v>205</v>
      </c>
      <c r="E4663">
        <v>5193</v>
      </c>
      <c r="F4663" s="4" t="s">
        <v>1025</v>
      </c>
      <c r="G4663" t="s">
        <v>29</v>
      </c>
      <c r="H4663" t="s">
        <v>1026</v>
      </c>
    </row>
    <row r="4664" spans="1:8" x14ac:dyDescent="0.25">
      <c r="A4664" t="s">
        <v>1052</v>
      </c>
      <c r="B4664" t="s">
        <v>390</v>
      </c>
      <c r="C4664" s="5">
        <v>209713</v>
      </c>
      <c r="D4664" s="5">
        <v>2840</v>
      </c>
      <c r="E4664">
        <v>123333</v>
      </c>
      <c r="F4664" s="4" t="s">
        <v>409</v>
      </c>
      <c r="G4664" t="s">
        <v>29</v>
      </c>
      <c r="H4664" t="s">
        <v>410</v>
      </c>
    </row>
    <row r="4665" spans="1:8" x14ac:dyDescent="0.25">
      <c r="A4665" t="s">
        <v>1052</v>
      </c>
      <c r="B4665" t="s">
        <v>393</v>
      </c>
      <c r="C4665" s="5">
        <v>16241</v>
      </c>
      <c r="D4665" s="5">
        <v>207</v>
      </c>
      <c r="E4665">
        <v>2849</v>
      </c>
      <c r="F4665" s="4" t="s">
        <v>53</v>
      </c>
      <c r="G4665" t="s">
        <v>29</v>
      </c>
      <c r="H4665" t="s">
        <v>54</v>
      </c>
    </row>
    <row r="4666" spans="1:8" x14ac:dyDescent="0.25">
      <c r="A4666" t="s">
        <v>1052</v>
      </c>
      <c r="B4666" t="s">
        <v>396</v>
      </c>
      <c r="C4666" s="5">
        <v>2099103</v>
      </c>
      <c r="D4666" s="5">
        <v>18709</v>
      </c>
      <c r="E4666">
        <v>157681</v>
      </c>
      <c r="F4666" s="4" t="s">
        <v>65</v>
      </c>
      <c r="G4666" t="s">
        <v>29</v>
      </c>
      <c r="H4666" t="s">
        <v>66</v>
      </c>
    </row>
    <row r="4667" spans="1:8" x14ac:dyDescent="0.25">
      <c r="A4667" t="s">
        <v>1052</v>
      </c>
      <c r="B4667" t="s">
        <v>399</v>
      </c>
      <c r="C4667" s="5">
        <v>198161</v>
      </c>
      <c r="D4667" s="5">
        <v>893</v>
      </c>
      <c r="E4667">
        <v>185097</v>
      </c>
      <c r="F4667" s="4" t="s">
        <v>888</v>
      </c>
      <c r="G4667" t="s">
        <v>29</v>
      </c>
      <c r="H4667" t="s">
        <v>889</v>
      </c>
    </row>
    <row r="4668" spans="1:8" x14ac:dyDescent="0.25">
      <c r="A4668" t="s">
        <v>1052</v>
      </c>
      <c r="B4668" t="s">
        <v>402</v>
      </c>
      <c r="C4668" s="5">
        <v>807052</v>
      </c>
      <c r="D4668" s="5">
        <v>11318</v>
      </c>
      <c r="E4668">
        <v>551155</v>
      </c>
      <c r="F4668" s="4" t="s">
        <v>403</v>
      </c>
      <c r="G4668" t="s">
        <v>29</v>
      </c>
      <c r="H4668" t="s">
        <v>404</v>
      </c>
    </row>
    <row r="4669" spans="1:8" x14ac:dyDescent="0.25">
      <c r="A4669" t="s">
        <v>1052</v>
      </c>
      <c r="B4669" t="s">
        <v>405</v>
      </c>
      <c r="C4669" s="5">
        <v>5316</v>
      </c>
      <c r="D4669" s="5">
        <v>28</v>
      </c>
      <c r="E4669">
        <v>4253</v>
      </c>
      <c r="F4669" s="4" t="s">
        <v>447</v>
      </c>
      <c r="G4669" t="s">
        <v>29</v>
      </c>
      <c r="H4669" t="s">
        <v>448</v>
      </c>
    </row>
    <row r="4670" spans="1:8" x14ac:dyDescent="0.25">
      <c r="A4670" t="s">
        <v>1052</v>
      </c>
      <c r="B4670" t="s">
        <v>408</v>
      </c>
      <c r="C4670" s="5">
        <v>304101</v>
      </c>
      <c r="D4670" s="5">
        <v>4107</v>
      </c>
      <c r="E4670">
        <v>263199</v>
      </c>
      <c r="F4670" s="4" t="s">
        <v>409</v>
      </c>
      <c r="G4670" t="s">
        <v>29</v>
      </c>
      <c r="H4670" t="s">
        <v>410</v>
      </c>
    </row>
    <row r="4671" spans="1:8" x14ac:dyDescent="0.25">
      <c r="A4671" t="s">
        <v>1052</v>
      </c>
      <c r="B4671" t="s">
        <v>411</v>
      </c>
      <c r="C4671" s="5">
        <v>470855</v>
      </c>
      <c r="D4671" s="5">
        <v>7300</v>
      </c>
      <c r="E4671">
        <v>200338</v>
      </c>
      <c r="F4671" s="4" t="s">
        <v>333</v>
      </c>
      <c r="G4671" t="s">
        <v>29</v>
      </c>
      <c r="H4671" t="s">
        <v>334</v>
      </c>
    </row>
    <row r="4672" spans="1:8" x14ac:dyDescent="0.25">
      <c r="A4672" t="s">
        <v>1052</v>
      </c>
      <c r="B4672" t="s">
        <v>412</v>
      </c>
      <c r="C4672" s="5">
        <v>2192205</v>
      </c>
      <c r="D4672" s="5">
        <v>199945</v>
      </c>
      <c r="E4672">
        <v>1851503</v>
      </c>
      <c r="F4672" s="4" t="s">
        <v>1027</v>
      </c>
      <c r="G4672" t="s">
        <v>29</v>
      </c>
      <c r="H4672" t="s">
        <v>1028</v>
      </c>
    </row>
    <row r="4673" spans="1:8" x14ac:dyDescent="0.25">
      <c r="A4673" t="s">
        <v>1052</v>
      </c>
      <c r="B4673" t="s">
        <v>415</v>
      </c>
      <c r="C4673" s="5">
        <v>45439</v>
      </c>
      <c r="D4673" s="5">
        <v>635</v>
      </c>
      <c r="E4673">
        <v>29934</v>
      </c>
      <c r="F4673" s="4" t="s">
        <v>403</v>
      </c>
      <c r="G4673" t="s">
        <v>29</v>
      </c>
      <c r="H4673" t="s">
        <v>404</v>
      </c>
    </row>
    <row r="4674" spans="1:8" x14ac:dyDescent="0.25">
      <c r="A4674" t="s">
        <v>1052</v>
      </c>
      <c r="B4674" t="s">
        <v>416</v>
      </c>
      <c r="C4674" s="5">
        <v>25769</v>
      </c>
      <c r="D4674" s="5">
        <v>312</v>
      </c>
      <c r="E4674">
        <v>15828</v>
      </c>
      <c r="F4674" s="4" t="s">
        <v>775</v>
      </c>
      <c r="G4674" t="s">
        <v>29</v>
      </c>
      <c r="H4674" t="s">
        <v>776</v>
      </c>
    </row>
    <row r="4675" spans="1:8" x14ac:dyDescent="0.25">
      <c r="A4675" t="s">
        <v>1052</v>
      </c>
      <c r="B4675" t="s">
        <v>420</v>
      </c>
      <c r="C4675" s="5">
        <v>1266826</v>
      </c>
      <c r="D4675" s="5">
        <v>28328</v>
      </c>
      <c r="E4675">
        <v>749340</v>
      </c>
      <c r="F4675" s="4" t="s">
        <v>603</v>
      </c>
      <c r="G4675" t="s">
        <v>29</v>
      </c>
      <c r="H4675" t="s">
        <v>604</v>
      </c>
    </row>
    <row r="4676" spans="1:8" x14ac:dyDescent="0.25">
      <c r="A4676" t="s">
        <v>1052</v>
      </c>
      <c r="B4676" t="s">
        <v>419</v>
      </c>
      <c r="C4676" s="5">
        <v>2735369</v>
      </c>
      <c r="D4676" s="5">
        <v>40977</v>
      </c>
      <c r="E4676">
        <v>791249</v>
      </c>
      <c r="F4676" s="4" t="s">
        <v>226</v>
      </c>
      <c r="G4676" t="s">
        <v>29</v>
      </c>
      <c r="H4676" t="s">
        <v>227</v>
      </c>
    </row>
    <row r="4677" spans="1:8" x14ac:dyDescent="0.25">
      <c r="A4677" t="s">
        <v>1052</v>
      </c>
      <c r="B4677" t="s">
        <v>423</v>
      </c>
      <c r="C4677" s="5">
        <v>2950616</v>
      </c>
      <c r="D4677" s="5">
        <v>76254</v>
      </c>
      <c r="E4677">
        <v>2015008</v>
      </c>
      <c r="F4677" s="4" t="s">
        <v>1016</v>
      </c>
      <c r="G4677" t="s">
        <v>29</v>
      </c>
      <c r="H4677" t="s">
        <v>1017</v>
      </c>
    </row>
    <row r="4678" spans="1:8" x14ac:dyDescent="0.25">
      <c r="A4678" t="s">
        <v>1052</v>
      </c>
      <c r="B4678" t="s">
        <v>426</v>
      </c>
      <c r="C4678" s="5">
        <v>449705</v>
      </c>
      <c r="D4678" s="5">
        <v>4599</v>
      </c>
      <c r="E4678">
        <v>128892</v>
      </c>
      <c r="F4678" s="4" t="s">
        <v>326</v>
      </c>
      <c r="G4678" t="s">
        <v>29</v>
      </c>
      <c r="H4678" t="s">
        <v>327</v>
      </c>
    </row>
    <row r="4679" spans="1:8" x14ac:dyDescent="0.25">
      <c r="A4679" t="s">
        <v>1052</v>
      </c>
      <c r="B4679" t="s">
        <v>427</v>
      </c>
      <c r="C4679" s="5">
        <v>1081856</v>
      </c>
      <c r="D4679" s="5">
        <v>18109</v>
      </c>
      <c r="E4679">
        <v>258570</v>
      </c>
      <c r="F4679" s="4" t="s">
        <v>827</v>
      </c>
      <c r="G4679" t="s">
        <v>29</v>
      </c>
      <c r="H4679" t="s">
        <v>828</v>
      </c>
    </row>
    <row r="4680" spans="1:8" x14ac:dyDescent="0.25">
      <c r="A4680" t="s">
        <v>1052</v>
      </c>
      <c r="B4680" t="s">
        <v>428</v>
      </c>
      <c r="C4680" s="5">
        <v>8</v>
      </c>
      <c r="D4680" s="5">
        <v>0</v>
      </c>
      <c r="E4680">
        <v>8</v>
      </c>
      <c r="F4680" s="4" t="s">
        <v>29</v>
      </c>
      <c r="G4680" t="s">
        <v>29</v>
      </c>
      <c r="H4680" t="s">
        <v>291</v>
      </c>
    </row>
    <row r="4681" spans="1:8" x14ac:dyDescent="0.25">
      <c r="A4681" t="s">
        <v>1052</v>
      </c>
      <c r="B4681" t="s">
        <v>429</v>
      </c>
      <c r="C4681" s="5">
        <v>460615</v>
      </c>
      <c r="D4681" s="5">
        <v>16228</v>
      </c>
      <c r="E4681">
        <v>436789</v>
      </c>
      <c r="F4681" s="4" t="s">
        <v>353</v>
      </c>
      <c r="G4681" t="s">
        <v>29</v>
      </c>
      <c r="H4681" t="s">
        <v>354</v>
      </c>
    </row>
    <row r="4682" spans="1:8" x14ac:dyDescent="0.25">
      <c r="A4682" t="s">
        <v>1052</v>
      </c>
      <c r="B4682" t="s">
        <v>432</v>
      </c>
      <c r="C4682" s="5">
        <v>238165</v>
      </c>
      <c r="D4682" s="5">
        <v>608</v>
      </c>
      <c r="E4682">
        <v>178616</v>
      </c>
      <c r="F4682" s="4" t="s">
        <v>794</v>
      </c>
      <c r="G4682" t="s">
        <v>29</v>
      </c>
      <c r="H4682" t="s">
        <v>795</v>
      </c>
    </row>
    <row r="4683" spans="1:8" x14ac:dyDescent="0.25">
      <c r="A4683" t="s">
        <v>1052</v>
      </c>
      <c r="B4683" t="s">
        <v>435</v>
      </c>
      <c r="C4683" s="5">
        <v>54024</v>
      </c>
      <c r="D4683" s="5">
        <v>370</v>
      </c>
      <c r="E4683">
        <v>3256</v>
      </c>
      <c r="F4683" s="4" t="s">
        <v>605</v>
      </c>
      <c r="G4683" t="s">
        <v>29</v>
      </c>
      <c r="H4683" t="s">
        <v>606</v>
      </c>
    </row>
    <row r="4684" spans="1:8" x14ac:dyDescent="0.25">
      <c r="A4684" t="s">
        <v>1052</v>
      </c>
      <c r="B4684" t="s">
        <v>436</v>
      </c>
      <c r="C4684" s="5">
        <v>1503422</v>
      </c>
      <c r="D4684" s="5">
        <v>43039</v>
      </c>
      <c r="E4684">
        <v>1330341</v>
      </c>
      <c r="F4684" s="4" t="s">
        <v>955</v>
      </c>
      <c r="G4684" t="s">
        <v>29</v>
      </c>
      <c r="H4684" t="s">
        <v>956</v>
      </c>
    </row>
    <row r="4685" spans="1:8" x14ac:dyDescent="0.25">
      <c r="A4685" t="s">
        <v>1052</v>
      </c>
      <c r="B4685" t="s">
        <v>439</v>
      </c>
      <c r="C4685" s="5">
        <v>1070705</v>
      </c>
      <c r="D4685" s="5">
        <v>9272</v>
      </c>
      <c r="E4685">
        <v>291321</v>
      </c>
      <c r="F4685" s="4" t="s">
        <v>498</v>
      </c>
      <c r="G4685" t="s">
        <v>29</v>
      </c>
      <c r="H4685" t="s">
        <v>499</v>
      </c>
    </row>
    <row r="4686" spans="1:8" x14ac:dyDescent="0.25">
      <c r="A4686" t="s">
        <v>1052</v>
      </c>
      <c r="B4686" t="s">
        <v>440</v>
      </c>
      <c r="C4686" s="5">
        <v>7969960</v>
      </c>
      <c r="D4686" s="5">
        <v>222320</v>
      </c>
      <c r="E4686">
        <v>4480157</v>
      </c>
      <c r="F4686" s="4" t="s">
        <v>662</v>
      </c>
      <c r="G4686" t="s">
        <v>29</v>
      </c>
      <c r="H4686" t="s">
        <v>663</v>
      </c>
    </row>
    <row r="4687" spans="1:8" x14ac:dyDescent="0.25">
      <c r="A4687" t="s">
        <v>1052</v>
      </c>
      <c r="B4687" t="s">
        <v>443</v>
      </c>
      <c r="C4687" s="5">
        <v>99252</v>
      </c>
      <c r="D4687" s="5">
        <v>1314</v>
      </c>
      <c r="E4687">
        <v>4867</v>
      </c>
      <c r="F4687" s="4" t="s">
        <v>307</v>
      </c>
      <c r="G4687" t="s">
        <v>29</v>
      </c>
      <c r="H4687" t="s">
        <v>308</v>
      </c>
    </row>
    <row r="4688" spans="1:8" x14ac:dyDescent="0.25">
      <c r="A4688" t="s">
        <v>1052</v>
      </c>
      <c r="B4688" t="s">
        <v>444</v>
      </c>
      <c r="C4688" s="5">
        <v>548065</v>
      </c>
      <c r="D4688" s="5">
        <v>8770</v>
      </c>
      <c r="E4688">
        <v>118237</v>
      </c>
      <c r="F4688" s="4" t="s">
        <v>313</v>
      </c>
      <c r="G4688" t="s">
        <v>29</v>
      </c>
      <c r="H4688" t="s">
        <v>314</v>
      </c>
    </row>
    <row r="4689" spans="1:8" x14ac:dyDescent="0.25">
      <c r="A4689" t="s">
        <v>1052</v>
      </c>
      <c r="B4689" t="s">
        <v>445</v>
      </c>
      <c r="C4689" s="5">
        <v>20</v>
      </c>
      <c r="D4689" s="5">
        <v>0</v>
      </c>
      <c r="E4689">
        <v>1</v>
      </c>
      <c r="F4689" s="4" t="s">
        <v>29</v>
      </c>
      <c r="G4689" t="s">
        <v>29</v>
      </c>
      <c r="H4689" t="s">
        <v>291</v>
      </c>
    </row>
    <row r="4690" spans="1:8" x14ac:dyDescent="0.25">
      <c r="A4690" t="s">
        <v>1052</v>
      </c>
      <c r="B4690" t="s">
        <v>446</v>
      </c>
      <c r="C4690" s="5">
        <v>22039</v>
      </c>
      <c r="D4690" s="5">
        <v>119</v>
      </c>
      <c r="E4690">
        <v>14639</v>
      </c>
      <c r="F4690" s="4" t="s">
        <v>919</v>
      </c>
      <c r="G4690" t="s">
        <v>29</v>
      </c>
      <c r="H4690" t="s">
        <v>920</v>
      </c>
    </row>
    <row r="4691" spans="1:8" x14ac:dyDescent="0.25">
      <c r="A4691" t="s">
        <v>1052</v>
      </c>
      <c r="B4691" t="s">
        <v>449</v>
      </c>
      <c r="C4691" s="5">
        <v>39839</v>
      </c>
      <c r="D4691" s="5">
        <v>3038</v>
      </c>
      <c r="E4691">
        <v>26054</v>
      </c>
      <c r="F4691" s="4" t="s">
        <v>1067</v>
      </c>
      <c r="G4691" t="s">
        <v>29</v>
      </c>
      <c r="H4691" t="s">
        <v>1068</v>
      </c>
    </row>
    <row r="4692" spans="1:8" x14ac:dyDescent="0.25">
      <c r="A4692" t="s">
        <v>1052</v>
      </c>
      <c r="B4692" t="s">
        <v>452</v>
      </c>
      <c r="C4692" s="5">
        <v>1164402</v>
      </c>
      <c r="D4692" s="5">
        <v>14985</v>
      </c>
      <c r="E4692">
        <v>61131</v>
      </c>
      <c r="F4692" s="4" t="s">
        <v>417</v>
      </c>
      <c r="G4692" t="s">
        <v>29</v>
      </c>
      <c r="H4692" t="s">
        <v>418</v>
      </c>
    </row>
    <row r="4693" spans="1:8" x14ac:dyDescent="0.25">
      <c r="A4693" t="s">
        <v>1052</v>
      </c>
      <c r="B4693" t="s">
        <v>453</v>
      </c>
      <c r="C4693" s="5">
        <v>158587</v>
      </c>
      <c r="D4693" s="5">
        <v>264</v>
      </c>
      <c r="E4693">
        <v>109286</v>
      </c>
      <c r="F4693" s="4" t="s">
        <v>679</v>
      </c>
      <c r="G4693" t="s">
        <v>29</v>
      </c>
      <c r="H4693" t="s">
        <v>680</v>
      </c>
    </row>
    <row r="4694" spans="1:8" x14ac:dyDescent="0.25">
      <c r="A4694" t="s">
        <v>1052</v>
      </c>
      <c r="B4694" t="s">
        <v>456</v>
      </c>
      <c r="C4694" s="5">
        <v>312316</v>
      </c>
      <c r="D4694" s="5">
        <v>4654</v>
      </c>
      <c r="E4694">
        <v>140817</v>
      </c>
      <c r="F4694" s="4" t="s">
        <v>800</v>
      </c>
      <c r="G4694" t="s">
        <v>29</v>
      </c>
      <c r="H4694" t="s">
        <v>801</v>
      </c>
    </row>
    <row r="4695" spans="1:8" x14ac:dyDescent="0.25">
      <c r="A4695" t="s">
        <v>1052</v>
      </c>
      <c r="B4695" t="s">
        <v>457</v>
      </c>
      <c r="C4695" s="5">
        <v>443214</v>
      </c>
      <c r="D4695" s="5">
        <v>12872</v>
      </c>
      <c r="E4695">
        <v>157661</v>
      </c>
      <c r="F4695" s="4" t="s">
        <v>249</v>
      </c>
      <c r="G4695" t="s">
        <v>29</v>
      </c>
      <c r="H4695" t="s">
        <v>250</v>
      </c>
    </row>
    <row r="4696" spans="1:8" x14ac:dyDescent="0.25">
      <c r="A4696" t="s">
        <v>1052</v>
      </c>
      <c r="B4696" t="s">
        <v>460</v>
      </c>
      <c r="C4696" s="5">
        <v>6397</v>
      </c>
      <c r="D4696" s="5">
        <v>121</v>
      </c>
      <c r="E4696">
        <v>5018</v>
      </c>
      <c r="F4696" s="4" t="s">
        <v>461</v>
      </c>
      <c r="G4696" t="s">
        <v>29</v>
      </c>
      <c r="H4696" t="s">
        <v>462</v>
      </c>
    </row>
    <row r="4697" spans="1:8" x14ac:dyDescent="0.25">
      <c r="A4697" t="s">
        <v>1052</v>
      </c>
      <c r="B4697" t="s">
        <v>463</v>
      </c>
      <c r="C4697" s="5">
        <v>5481</v>
      </c>
      <c r="D4697" s="5">
        <v>91</v>
      </c>
      <c r="E4697">
        <v>4252</v>
      </c>
      <c r="F4697" s="4" t="s">
        <v>135</v>
      </c>
      <c r="G4697" t="s">
        <v>29</v>
      </c>
      <c r="H4697" t="s">
        <v>136</v>
      </c>
    </row>
    <row r="4698" spans="1:8" x14ac:dyDescent="0.25">
      <c r="A4698" t="s">
        <v>1052</v>
      </c>
      <c r="B4698" t="s">
        <v>464</v>
      </c>
      <c r="C4698" s="5">
        <v>73875</v>
      </c>
      <c r="D4698" s="5">
        <v>1873</v>
      </c>
      <c r="E4698">
        <v>39859</v>
      </c>
      <c r="F4698" s="4" t="s">
        <v>141</v>
      </c>
      <c r="G4698" t="s">
        <v>29</v>
      </c>
      <c r="H4698" t="s">
        <v>142</v>
      </c>
    </row>
    <row r="4699" spans="1:8" x14ac:dyDescent="0.25">
      <c r="A4699" t="s">
        <v>1052</v>
      </c>
      <c r="B4699" t="s">
        <v>465</v>
      </c>
      <c r="C4699" s="5">
        <v>21269</v>
      </c>
      <c r="D4699" s="5">
        <v>1180</v>
      </c>
      <c r="E4699">
        <v>15906</v>
      </c>
      <c r="F4699" s="4" t="s">
        <v>1005</v>
      </c>
      <c r="G4699" t="s">
        <v>29</v>
      </c>
      <c r="H4699" t="s">
        <v>1006</v>
      </c>
    </row>
    <row r="4700" spans="1:8" x14ac:dyDescent="0.25">
      <c r="A4700" t="s">
        <v>1052</v>
      </c>
      <c r="B4700" t="s">
        <v>468</v>
      </c>
      <c r="C4700" s="5">
        <v>47477</v>
      </c>
      <c r="D4700" s="5">
        <v>1044</v>
      </c>
      <c r="E4700">
        <v>19766</v>
      </c>
      <c r="F4700" s="4" t="s">
        <v>969</v>
      </c>
      <c r="G4700" t="s">
        <v>29</v>
      </c>
      <c r="H4700" t="s">
        <v>970</v>
      </c>
    </row>
    <row r="4701" spans="1:8" x14ac:dyDescent="0.25">
      <c r="A4701" t="s">
        <v>1052</v>
      </c>
      <c r="B4701" t="s">
        <v>472</v>
      </c>
      <c r="C4701" s="5">
        <v>3687</v>
      </c>
      <c r="D4701" s="5">
        <v>56</v>
      </c>
      <c r="E4701">
        <v>3083</v>
      </c>
      <c r="F4701" s="4" t="s">
        <v>589</v>
      </c>
      <c r="G4701" t="s">
        <v>29</v>
      </c>
      <c r="H4701" t="s">
        <v>590</v>
      </c>
    </row>
    <row r="4702" spans="1:8" x14ac:dyDescent="0.25">
      <c r="A4702" t="s">
        <v>1052</v>
      </c>
      <c r="B4702" t="s">
        <v>471</v>
      </c>
      <c r="C4702" s="5">
        <v>12270</v>
      </c>
      <c r="D4702" s="5">
        <v>133</v>
      </c>
      <c r="E4702">
        <v>11448</v>
      </c>
      <c r="F4702" s="4" t="s">
        <v>758</v>
      </c>
      <c r="G4702" t="s">
        <v>29</v>
      </c>
      <c r="H4702" t="s">
        <v>759</v>
      </c>
    </row>
    <row r="4703" spans="1:8" x14ac:dyDescent="0.25">
      <c r="A4703" t="s">
        <v>1052</v>
      </c>
      <c r="B4703" t="s">
        <v>473</v>
      </c>
      <c r="C4703" s="5">
        <v>110188</v>
      </c>
      <c r="D4703" s="5">
        <v>3520</v>
      </c>
      <c r="E4703">
        <v>101799</v>
      </c>
      <c r="F4703" s="4" t="s">
        <v>877</v>
      </c>
      <c r="G4703" t="s">
        <v>29</v>
      </c>
      <c r="H4703" t="s">
        <v>878</v>
      </c>
    </row>
    <row r="4704" spans="1:8" x14ac:dyDescent="0.25">
      <c r="A4704" t="s">
        <v>1052</v>
      </c>
      <c r="B4704" t="s">
        <v>476</v>
      </c>
      <c r="C4704" s="5">
        <v>40294</v>
      </c>
      <c r="D4704" s="5">
        <v>2457</v>
      </c>
      <c r="E4704">
        <v>34747</v>
      </c>
      <c r="F4704" s="4" t="s">
        <v>1069</v>
      </c>
      <c r="G4704" t="s">
        <v>29</v>
      </c>
      <c r="H4704" t="s">
        <v>1070</v>
      </c>
    </row>
    <row r="4705" spans="1:8" x14ac:dyDescent="0.25">
      <c r="A4705" t="s">
        <v>1052</v>
      </c>
      <c r="B4705" t="s">
        <v>479</v>
      </c>
      <c r="C4705" s="5">
        <v>46376</v>
      </c>
      <c r="D4705" s="5">
        <v>1236</v>
      </c>
      <c r="E4705">
        <v>28603</v>
      </c>
      <c r="F4705" s="4" t="s">
        <v>787</v>
      </c>
      <c r="G4705" t="s">
        <v>29</v>
      </c>
      <c r="H4705" t="s">
        <v>788</v>
      </c>
    </row>
    <row r="4706" spans="1:8" x14ac:dyDescent="0.25">
      <c r="A4706" t="s">
        <v>1052</v>
      </c>
      <c r="B4706" t="s">
        <v>482</v>
      </c>
      <c r="C4706" s="5">
        <v>5069</v>
      </c>
      <c r="D4706" s="5">
        <v>174</v>
      </c>
      <c r="E4706">
        <v>1396</v>
      </c>
      <c r="F4706" s="4" t="s">
        <v>252</v>
      </c>
      <c r="G4706" t="s">
        <v>29</v>
      </c>
      <c r="H4706" t="s">
        <v>253</v>
      </c>
    </row>
    <row r="4707" spans="1:8" x14ac:dyDescent="0.25">
      <c r="A4707" t="s">
        <v>1052</v>
      </c>
      <c r="B4707" t="s">
        <v>483</v>
      </c>
      <c r="C4707" s="5">
        <v>25936</v>
      </c>
      <c r="D4707" s="5">
        <v>240</v>
      </c>
      <c r="E4707">
        <v>19122</v>
      </c>
      <c r="F4707" s="4" t="s">
        <v>484</v>
      </c>
      <c r="G4707" t="s">
        <v>29</v>
      </c>
      <c r="H4707" t="s">
        <v>485</v>
      </c>
    </row>
    <row r="4708" spans="1:8" x14ac:dyDescent="0.25">
      <c r="A4708" t="s">
        <v>1052</v>
      </c>
      <c r="B4708" t="s">
        <v>486</v>
      </c>
      <c r="C4708" s="5">
        <v>1811852</v>
      </c>
      <c r="D4708" s="5">
        <v>18486</v>
      </c>
      <c r="E4708">
        <v>902632</v>
      </c>
      <c r="F4708" s="4" t="s">
        <v>326</v>
      </c>
      <c r="G4708" t="s">
        <v>29</v>
      </c>
      <c r="H4708" t="s">
        <v>327</v>
      </c>
    </row>
    <row r="4709" spans="1:8" x14ac:dyDescent="0.25">
      <c r="A4709" t="s">
        <v>1052</v>
      </c>
      <c r="B4709" t="s">
        <v>487</v>
      </c>
      <c r="C4709" s="5">
        <v>17484</v>
      </c>
      <c r="D4709" s="5">
        <v>125</v>
      </c>
      <c r="E4709">
        <v>10605</v>
      </c>
      <c r="F4709" s="4" t="s">
        <v>488</v>
      </c>
      <c r="G4709" t="s">
        <v>29</v>
      </c>
      <c r="H4709" t="s">
        <v>489</v>
      </c>
    </row>
    <row r="4710" spans="1:8" x14ac:dyDescent="0.25">
      <c r="A4710" t="s">
        <v>1052</v>
      </c>
      <c r="B4710" t="s">
        <v>490</v>
      </c>
      <c r="C4710" s="5">
        <v>19746</v>
      </c>
      <c r="D4710" s="5">
        <v>120</v>
      </c>
      <c r="E4710">
        <v>5746</v>
      </c>
      <c r="F4710" s="4" t="s">
        <v>261</v>
      </c>
      <c r="G4710" t="s">
        <v>29</v>
      </c>
      <c r="H4710" t="s">
        <v>262</v>
      </c>
    </row>
    <row r="4711" spans="1:8" x14ac:dyDescent="0.25">
      <c r="A4711" t="s">
        <v>1052</v>
      </c>
      <c r="B4711" t="s">
        <v>493</v>
      </c>
      <c r="C4711" s="5">
        <v>711164</v>
      </c>
      <c r="D4711" s="5">
        <v>25121</v>
      </c>
      <c r="E4711">
        <v>340864</v>
      </c>
      <c r="F4711" s="4" t="s">
        <v>430</v>
      </c>
      <c r="G4711" t="s">
        <v>29</v>
      </c>
      <c r="H4711" t="s">
        <v>431</v>
      </c>
    </row>
    <row r="4712" spans="1:8" x14ac:dyDescent="0.25">
      <c r="A4712" t="s">
        <v>1052</v>
      </c>
      <c r="B4712" t="s">
        <v>497</v>
      </c>
      <c r="C4712" s="5">
        <v>7744109</v>
      </c>
      <c r="D4712" s="5">
        <v>68274</v>
      </c>
      <c r="E4712">
        <v>5192280</v>
      </c>
      <c r="F4712" s="4" t="s">
        <v>609</v>
      </c>
      <c r="G4712" t="s">
        <v>29</v>
      </c>
      <c r="H4712" t="s">
        <v>610</v>
      </c>
    </row>
    <row r="4713" spans="1:8" x14ac:dyDescent="0.25">
      <c r="A4713" t="s">
        <v>1052</v>
      </c>
      <c r="B4713" t="s">
        <v>500</v>
      </c>
      <c r="C4713" s="5">
        <v>54623</v>
      </c>
      <c r="D4713" s="5">
        <v>1621</v>
      </c>
      <c r="E4713">
        <v>26436</v>
      </c>
      <c r="F4713" s="4" t="s">
        <v>689</v>
      </c>
      <c r="G4713" t="s">
        <v>29</v>
      </c>
      <c r="H4713" t="s">
        <v>690</v>
      </c>
    </row>
    <row r="4714" spans="1:8" x14ac:dyDescent="0.25">
      <c r="A4714" t="s">
        <v>1052</v>
      </c>
      <c r="B4714" t="s">
        <v>503</v>
      </c>
      <c r="C4714" s="5">
        <v>16347</v>
      </c>
      <c r="D4714" s="5">
        <v>846</v>
      </c>
      <c r="E4714">
        <v>3673</v>
      </c>
      <c r="F4714" s="4" t="s">
        <v>1071</v>
      </c>
      <c r="G4714" t="s">
        <v>29</v>
      </c>
      <c r="H4714" t="s">
        <v>1072</v>
      </c>
    </row>
    <row r="4715" spans="1:8" x14ac:dyDescent="0.25">
      <c r="A4715" t="s">
        <v>1052</v>
      </c>
      <c r="B4715" t="s">
        <v>506</v>
      </c>
      <c r="C4715" s="5">
        <v>26034</v>
      </c>
      <c r="D4715" s="5">
        <v>724</v>
      </c>
      <c r="E4715">
        <v>21772</v>
      </c>
      <c r="F4715" s="4" t="s">
        <v>98</v>
      </c>
      <c r="G4715" t="s">
        <v>29</v>
      </c>
      <c r="H4715" t="s">
        <v>99</v>
      </c>
    </row>
    <row r="4716" spans="1:8" x14ac:dyDescent="0.25">
      <c r="A4716" t="s">
        <v>1052</v>
      </c>
      <c r="B4716" t="s">
        <v>509</v>
      </c>
      <c r="C4716" s="5">
        <v>2804050</v>
      </c>
      <c r="D4716" s="5">
        <v>65876</v>
      </c>
      <c r="E4716">
        <v>1928087</v>
      </c>
      <c r="F4716" s="4" t="s">
        <v>591</v>
      </c>
      <c r="G4716" t="s">
        <v>29</v>
      </c>
      <c r="H4716" t="s">
        <v>592</v>
      </c>
    </row>
    <row r="4717" spans="1:8" x14ac:dyDescent="0.25">
      <c r="A4717" t="s">
        <v>1052</v>
      </c>
      <c r="B4717" t="s">
        <v>512</v>
      </c>
      <c r="C4717" s="5">
        <v>125364</v>
      </c>
      <c r="D4717" s="5">
        <v>3188</v>
      </c>
      <c r="E4717">
        <v>80001</v>
      </c>
      <c r="F4717" s="4" t="s">
        <v>141</v>
      </c>
      <c r="G4717" t="s">
        <v>29</v>
      </c>
      <c r="H4717" t="s">
        <v>142</v>
      </c>
    </row>
    <row r="4718" spans="1:8" x14ac:dyDescent="0.25">
      <c r="A4718" t="s">
        <v>1052</v>
      </c>
      <c r="B4718" t="s">
        <v>515</v>
      </c>
      <c r="C4718" s="5">
        <v>45220898</v>
      </c>
      <c r="D4718" s="5">
        <v>731649</v>
      </c>
      <c r="E4718">
        <v>17652766</v>
      </c>
      <c r="F4718" s="4" t="s">
        <v>516</v>
      </c>
      <c r="G4718" t="s">
        <v>29</v>
      </c>
      <c r="H4718" t="s">
        <v>517</v>
      </c>
    </row>
    <row r="4719" spans="1:8" x14ac:dyDescent="0.25">
      <c r="A4719" t="s">
        <v>1052</v>
      </c>
      <c r="B4719" t="s">
        <v>518</v>
      </c>
      <c r="C4719" s="5">
        <v>391522</v>
      </c>
      <c r="D4719" s="5">
        <v>6069</v>
      </c>
      <c r="E4719">
        <v>349596</v>
      </c>
      <c r="F4719" s="4" t="s">
        <v>333</v>
      </c>
      <c r="G4719" t="s">
        <v>29</v>
      </c>
      <c r="H4719" t="s">
        <v>334</v>
      </c>
    </row>
    <row r="4720" spans="1:8" x14ac:dyDescent="0.25">
      <c r="A4720" t="s">
        <v>1052</v>
      </c>
      <c r="B4720" t="s">
        <v>521</v>
      </c>
      <c r="C4720" s="5">
        <v>182060</v>
      </c>
      <c r="D4720" s="5">
        <v>1295</v>
      </c>
      <c r="E4720">
        <v>180384</v>
      </c>
      <c r="F4720" s="4" t="s">
        <v>488</v>
      </c>
      <c r="G4720" t="s">
        <v>29</v>
      </c>
      <c r="H4720" t="s">
        <v>489</v>
      </c>
    </row>
    <row r="4721" spans="1:8" x14ac:dyDescent="0.25">
      <c r="A4721" t="s">
        <v>1052</v>
      </c>
      <c r="B4721" t="s">
        <v>523</v>
      </c>
      <c r="C4721" s="5">
        <v>4729</v>
      </c>
      <c r="D4721" s="5">
        <v>56</v>
      </c>
      <c r="E4721">
        <v>2139</v>
      </c>
      <c r="F4721" s="4" t="s">
        <v>702</v>
      </c>
      <c r="G4721" t="s">
        <v>29</v>
      </c>
      <c r="H4721" t="s">
        <v>703</v>
      </c>
    </row>
    <row r="4722" spans="1:8" x14ac:dyDescent="0.25">
      <c r="A4722" t="s">
        <v>1052</v>
      </c>
      <c r="B4722" t="s">
        <v>522</v>
      </c>
      <c r="C4722" s="5">
        <v>27</v>
      </c>
      <c r="D4722" s="5">
        <v>0</v>
      </c>
      <c r="E4722">
        <v>24</v>
      </c>
      <c r="F4722" s="4" t="s">
        <v>29</v>
      </c>
      <c r="G4722" t="s">
        <v>29</v>
      </c>
      <c r="H4722" t="s">
        <v>291</v>
      </c>
    </row>
    <row r="4723" spans="1:8" x14ac:dyDescent="0.25">
      <c r="A4723" t="s">
        <v>1052</v>
      </c>
      <c r="B4723" t="s">
        <v>524</v>
      </c>
      <c r="C4723" s="5">
        <v>396477</v>
      </c>
      <c r="D4723" s="5">
        <v>4763</v>
      </c>
      <c r="E4723">
        <v>379551</v>
      </c>
      <c r="F4723" s="4" t="s">
        <v>525</v>
      </c>
      <c r="G4723" t="s">
        <v>29</v>
      </c>
      <c r="H4723" t="s">
        <v>526</v>
      </c>
    </row>
    <row r="4724" spans="1:8" x14ac:dyDescent="0.25">
      <c r="A4724" t="s">
        <v>1052</v>
      </c>
      <c r="B4724" t="s">
        <v>527</v>
      </c>
      <c r="C4724" s="5">
        <v>873901</v>
      </c>
      <c r="D4724" s="5">
        <v>21416</v>
      </c>
      <c r="E4724">
        <v>209339</v>
      </c>
      <c r="F4724" s="4" t="s">
        <v>999</v>
      </c>
      <c r="G4724" t="s">
        <v>29</v>
      </c>
      <c r="H4724" t="s">
        <v>1000</v>
      </c>
    </row>
    <row r="4725" spans="1:8" x14ac:dyDescent="0.25">
      <c r="A4725" t="s">
        <v>1052</v>
      </c>
      <c r="B4725" t="s">
        <v>530</v>
      </c>
      <c r="C4725" s="5">
        <v>4</v>
      </c>
      <c r="D4725" s="5">
        <v>1</v>
      </c>
      <c r="E4725">
        <v>1</v>
      </c>
      <c r="F4725" s="4" t="s">
        <v>973</v>
      </c>
      <c r="G4725" t="s">
        <v>29</v>
      </c>
      <c r="H4725" t="s">
        <v>974</v>
      </c>
    </row>
    <row r="4726" spans="1:8" x14ac:dyDescent="0.25">
      <c r="A4726" t="s">
        <v>1052</v>
      </c>
      <c r="B4726" t="s">
        <v>533</v>
      </c>
      <c r="C4726" s="5">
        <v>3</v>
      </c>
      <c r="D4726" s="5">
        <v>0</v>
      </c>
      <c r="E4726">
        <v>0</v>
      </c>
      <c r="F4726" s="4" t="s">
        <v>29</v>
      </c>
      <c r="G4726" t="s">
        <v>29</v>
      </c>
      <c r="H4726" t="s">
        <v>291</v>
      </c>
    </row>
    <row r="4727" spans="1:8" x14ac:dyDescent="0.25">
      <c r="A4727" t="s">
        <v>1052</v>
      </c>
      <c r="B4727" t="s">
        <v>534</v>
      </c>
      <c r="C4727" s="5">
        <v>160572</v>
      </c>
      <c r="D4727" s="5">
        <v>2974</v>
      </c>
      <c r="E4727">
        <v>141474</v>
      </c>
      <c r="F4727" s="4" t="s">
        <v>535</v>
      </c>
      <c r="G4727" t="s">
        <v>29</v>
      </c>
      <c r="H4727" t="s">
        <v>536</v>
      </c>
    </row>
    <row r="4728" spans="1:8" x14ac:dyDescent="0.25">
      <c r="A4728" t="s">
        <v>1052</v>
      </c>
      <c r="B4728" t="s">
        <v>537</v>
      </c>
      <c r="C4728" s="5">
        <v>9596</v>
      </c>
      <c r="D4728" s="5">
        <v>1821</v>
      </c>
      <c r="E4728">
        <v>1913</v>
      </c>
      <c r="F4728" s="4" t="s">
        <v>1073</v>
      </c>
      <c r="G4728" t="s">
        <v>29</v>
      </c>
      <c r="H4728" t="s">
        <v>1074</v>
      </c>
    </row>
    <row r="4729" spans="1:8" x14ac:dyDescent="0.25">
      <c r="A4729" t="s">
        <v>1052</v>
      </c>
      <c r="B4729" t="s">
        <v>540</v>
      </c>
      <c r="C4729" s="5">
        <v>20464</v>
      </c>
      <c r="D4729" s="5">
        <v>182</v>
      </c>
      <c r="E4729">
        <v>734</v>
      </c>
      <c r="F4729" s="4" t="s">
        <v>65</v>
      </c>
      <c r="G4729" t="s">
        <v>29</v>
      </c>
      <c r="H4729" t="s">
        <v>66</v>
      </c>
    </row>
    <row r="4730" spans="1:8" x14ac:dyDescent="0.25">
      <c r="A4730" t="s">
        <v>1052</v>
      </c>
      <c r="B4730" t="s">
        <v>541</v>
      </c>
      <c r="C4730" s="5">
        <v>2917846</v>
      </c>
      <c r="D4730" s="5">
        <v>88754</v>
      </c>
      <c r="E4730">
        <v>2782881</v>
      </c>
      <c r="F4730" s="4" t="s">
        <v>320</v>
      </c>
      <c r="G4730" t="s">
        <v>29</v>
      </c>
      <c r="H4730" t="s">
        <v>321</v>
      </c>
    </row>
    <row r="4731" spans="1:8" x14ac:dyDescent="0.25">
      <c r="A4731" t="s">
        <v>1052</v>
      </c>
      <c r="B4731" t="s">
        <v>544</v>
      </c>
      <c r="C4731" s="5">
        <v>209571</v>
      </c>
      <c r="D4731" s="5">
        <v>3658</v>
      </c>
      <c r="E4731">
        <v>11230</v>
      </c>
      <c r="F4731" s="4" t="s">
        <v>545</v>
      </c>
      <c r="G4731" t="s">
        <v>29</v>
      </c>
      <c r="H4731" t="s">
        <v>546</v>
      </c>
    </row>
    <row r="4732" spans="1:8" x14ac:dyDescent="0.25">
      <c r="A4732" t="s">
        <v>1052</v>
      </c>
      <c r="B4732" t="s">
        <v>547</v>
      </c>
      <c r="C4732" s="5">
        <v>132437</v>
      </c>
      <c r="D4732" s="5">
        <v>4659</v>
      </c>
      <c r="E4732">
        <v>78591</v>
      </c>
      <c r="F4732" s="4" t="s">
        <v>353</v>
      </c>
      <c r="G4732" t="s">
        <v>29</v>
      </c>
      <c r="H4732" t="s">
        <v>354</v>
      </c>
    </row>
    <row r="4733" spans="1:8" x14ac:dyDescent="0.25">
      <c r="A4733" t="s">
        <v>1052</v>
      </c>
      <c r="B4733" t="s">
        <v>548</v>
      </c>
      <c r="C4733" s="5">
        <v>721</v>
      </c>
      <c r="D4733" s="5">
        <v>15</v>
      </c>
      <c r="E4733">
        <v>220</v>
      </c>
      <c r="F4733" s="4" t="s">
        <v>549</v>
      </c>
      <c r="G4733" t="s">
        <v>29</v>
      </c>
      <c r="H4733" t="s">
        <v>550</v>
      </c>
    </row>
    <row r="4734" spans="1:8" x14ac:dyDescent="0.25">
      <c r="A4734" t="s">
        <v>1075</v>
      </c>
      <c r="B4734" t="s">
        <v>548</v>
      </c>
      <c r="C4734" s="5">
        <v>721</v>
      </c>
      <c r="D4734" s="5">
        <v>15</v>
      </c>
      <c r="E4734">
        <v>280</v>
      </c>
      <c r="F4734" s="4" t="s">
        <v>549</v>
      </c>
      <c r="G4734" t="s">
        <v>29</v>
      </c>
      <c r="H4734" t="s">
        <v>550</v>
      </c>
    </row>
    <row r="4735" spans="1:8" x14ac:dyDescent="0.25">
      <c r="A4735" t="s">
        <v>1075</v>
      </c>
      <c r="B4735" t="s">
        <v>547</v>
      </c>
      <c r="C4735" s="5">
        <v>132405</v>
      </c>
      <c r="D4735" s="5">
        <v>4659</v>
      </c>
      <c r="E4735">
        <v>33870</v>
      </c>
      <c r="F4735" s="4" t="s">
        <v>353</v>
      </c>
      <c r="G4735" t="s">
        <v>29</v>
      </c>
      <c r="H4735" t="s">
        <v>354</v>
      </c>
    </row>
    <row r="4736" spans="1:8" x14ac:dyDescent="0.25">
      <c r="A4736" t="s">
        <v>1075</v>
      </c>
      <c r="B4736" t="s">
        <v>544</v>
      </c>
      <c r="C4736" s="5">
        <v>209549</v>
      </c>
      <c r="D4736" s="5">
        <v>3658</v>
      </c>
      <c r="E4736">
        <v>196851</v>
      </c>
      <c r="F4736" s="4" t="s">
        <v>545</v>
      </c>
      <c r="G4736" t="s">
        <v>29</v>
      </c>
      <c r="H4736" t="s">
        <v>546</v>
      </c>
    </row>
    <row r="4737" spans="1:8" x14ac:dyDescent="0.25">
      <c r="A4737" t="s">
        <v>1075</v>
      </c>
      <c r="B4737" t="s">
        <v>541</v>
      </c>
      <c r="C4737" s="5">
        <v>2917255</v>
      </c>
      <c r="D4737" s="5">
        <v>88674</v>
      </c>
      <c r="E4737">
        <v>1961488</v>
      </c>
      <c r="F4737" s="4" t="s">
        <v>320</v>
      </c>
      <c r="G4737" t="s">
        <v>29</v>
      </c>
      <c r="H4737" t="s">
        <v>321</v>
      </c>
    </row>
    <row r="4738" spans="1:8" x14ac:dyDescent="0.25">
      <c r="A4738" t="s">
        <v>1075</v>
      </c>
      <c r="B4738" t="s">
        <v>540</v>
      </c>
      <c r="C4738" s="5">
        <v>20439</v>
      </c>
      <c r="D4738" s="5">
        <v>181</v>
      </c>
      <c r="E4738">
        <v>11058</v>
      </c>
      <c r="F4738" s="4" t="s">
        <v>65</v>
      </c>
      <c r="G4738" t="s">
        <v>29</v>
      </c>
      <c r="H4738" t="s">
        <v>66</v>
      </c>
    </row>
    <row r="4739" spans="1:8" x14ac:dyDescent="0.25">
      <c r="A4739" t="s">
        <v>1075</v>
      </c>
      <c r="B4739" t="s">
        <v>537</v>
      </c>
      <c r="C4739" s="5">
        <v>9575</v>
      </c>
      <c r="D4739" s="5">
        <v>1813</v>
      </c>
      <c r="E4739">
        <v>6005</v>
      </c>
      <c r="F4739" s="4" t="s">
        <v>1076</v>
      </c>
      <c r="G4739" t="s">
        <v>29</v>
      </c>
      <c r="H4739" t="s">
        <v>1077</v>
      </c>
    </row>
    <row r="4740" spans="1:8" x14ac:dyDescent="0.25">
      <c r="A4740" t="s">
        <v>1075</v>
      </c>
      <c r="B4740" t="s">
        <v>534</v>
      </c>
      <c r="C4740" s="5">
        <v>160558</v>
      </c>
      <c r="D4740" s="5">
        <v>2974</v>
      </c>
      <c r="E4740">
        <v>32716</v>
      </c>
      <c r="F4740" s="4" t="s">
        <v>535</v>
      </c>
      <c r="G4740" t="s">
        <v>29</v>
      </c>
      <c r="H4740" t="s">
        <v>536</v>
      </c>
    </row>
    <row r="4741" spans="1:8" x14ac:dyDescent="0.25">
      <c r="A4741" t="s">
        <v>1075</v>
      </c>
      <c r="B4741" t="s">
        <v>533</v>
      </c>
      <c r="C4741" s="5">
        <v>3</v>
      </c>
      <c r="D4741" s="5">
        <v>0</v>
      </c>
      <c r="E4741">
        <v>1</v>
      </c>
      <c r="F4741" s="4" t="s">
        <v>29</v>
      </c>
      <c r="G4741" t="s">
        <v>29</v>
      </c>
      <c r="H4741" t="s">
        <v>291</v>
      </c>
    </row>
    <row r="4742" spans="1:8" x14ac:dyDescent="0.25">
      <c r="A4742" t="s">
        <v>1075</v>
      </c>
      <c r="B4742" t="s">
        <v>530</v>
      </c>
      <c r="C4742" s="5">
        <v>4</v>
      </c>
      <c r="D4742" s="5">
        <v>1</v>
      </c>
      <c r="E4742">
        <v>3</v>
      </c>
      <c r="F4742" s="4" t="s">
        <v>973</v>
      </c>
      <c r="G4742" t="s">
        <v>29</v>
      </c>
      <c r="H4742" t="s">
        <v>974</v>
      </c>
    </row>
    <row r="4743" spans="1:8" x14ac:dyDescent="0.25">
      <c r="A4743" t="s">
        <v>1075</v>
      </c>
      <c r="B4743" t="s">
        <v>527</v>
      </c>
      <c r="C4743" s="5">
        <v>870255</v>
      </c>
      <c r="D4743" s="5">
        <v>21344</v>
      </c>
      <c r="E4743">
        <v>643570</v>
      </c>
      <c r="F4743" s="4" t="s">
        <v>999</v>
      </c>
      <c r="G4743" t="s">
        <v>29</v>
      </c>
      <c r="H4743" t="s">
        <v>1000</v>
      </c>
    </row>
    <row r="4744" spans="1:8" x14ac:dyDescent="0.25">
      <c r="A4744" t="s">
        <v>1075</v>
      </c>
      <c r="B4744" t="s">
        <v>524</v>
      </c>
      <c r="C4744" s="5">
        <v>395223</v>
      </c>
      <c r="D4744" s="5">
        <v>4748</v>
      </c>
      <c r="E4744">
        <v>283837</v>
      </c>
      <c r="F4744" s="4" t="s">
        <v>525</v>
      </c>
      <c r="G4744" t="s">
        <v>29</v>
      </c>
      <c r="H4744" t="s">
        <v>526</v>
      </c>
    </row>
    <row r="4745" spans="1:8" x14ac:dyDescent="0.25">
      <c r="A4745" t="s">
        <v>1075</v>
      </c>
      <c r="B4745" t="s">
        <v>522</v>
      </c>
      <c r="C4745" s="5">
        <v>27</v>
      </c>
      <c r="D4745" s="5">
        <v>0</v>
      </c>
      <c r="E4745">
        <v>10</v>
      </c>
      <c r="F4745" s="4" t="s">
        <v>29</v>
      </c>
      <c r="G4745" t="s">
        <v>29</v>
      </c>
      <c r="H4745" t="s">
        <v>291</v>
      </c>
    </row>
    <row r="4746" spans="1:8" x14ac:dyDescent="0.25">
      <c r="A4746" t="s">
        <v>1075</v>
      </c>
      <c r="B4746" t="s">
        <v>523</v>
      </c>
      <c r="C4746" s="5">
        <v>4637</v>
      </c>
      <c r="D4746" s="5">
        <v>54</v>
      </c>
      <c r="E4746">
        <v>981</v>
      </c>
      <c r="F4746" s="4" t="s">
        <v>258</v>
      </c>
      <c r="G4746" t="s">
        <v>29</v>
      </c>
      <c r="H4746" t="s">
        <v>259</v>
      </c>
    </row>
    <row r="4747" spans="1:8" x14ac:dyDescent="0.25">
      <c r="A4747" t="s">
        <v>1075</v>
      </c>
      <c r="B4747" t="s">
        <v>521</v>
      </c>
      <c r="C4747" s="5">
        <v>181654</v>
      </c>
      <c r="D4747" s="5">
        <v>1292</v>
      </c>
      <c r="E4747">
        <v>75774</v>
      </c>
      <c r="F4747" s="4" t="s">
        <v>488</v>
      </c>
      <c r="G4747" t="s">
        <v>29</v>
      </c>
      <c r="H4747" t="s">
        <v>489</v>
      </c>
    </row>
    <row r="4748" spans="1:8" x14ac:dyDescent="0.25">
      <c r="A4748" t="s">
        <v>1075</v>
      </c>
      <c r="B4748" t="s">
        <v>518</v>
      </c>
      <c r="C4748" s="5">
        <v>391358</v>
      </c>
      <c r="D4748" s="5">
        <v>6069</v>
      </c>
      <c r="E4748">
        <v>131736</v>
      </c>
      <c r="F4748" s="4" t="s">
        <v>333</v>
      </c>
      <c r="G4748" t="s">
        <v>29</v>
      </c>
      <c r="H4748" t="s">
        <v>334</v>
      </c>
    </row>
    <row r="4749" spans="1:8" x14ac:dyDescent="0.25">
      <c r="A4749" t="s">
        <v>1075</v>
      </c>
      <c r="B4749" t="s">
        <v>515</v>
      </c>
      <c r="C4749" s="5">
        <v>45132148</v>
      </c>
      <c r="D4749" s="5">
        <v>728531</v>
      </c>
      <c r="E4749">
        <v>8380924</v>
      </c>
      <c r="F4749" s="4" t="s">
        <v>587</v>
      </c>
      <c r="G4749" t="s">
        <v>29</v>
      </c>
      <c r="H4749" t="s">
        <v>588</v>
      </c>
    </row>
    <row r="4750" spans="1:8" x14ac:dyDescent="0.25">
      <c r="A4750" t="s">
        <v>1075</v>
      </c>
      <c r="B4750" t="s">
        <v>512</v>
      </c>
      <c r="C4750" s="5">
        <v>125283</v>
      </c>
      <c r="D4750" s="5">
        <v>3187</v>
      </c>
      <c r="E4750">
        <v>75950</v>
      </c>
      <c r="F4750" s="4" t="s">
        <v>141</v>
      </c>
      <c r="G4750" t="s">
        <v>29</v>
      </c>
      <c r="H4750" t="s">
        <v>142</v>
      </c>
    </row>
    <row r="4751" spans="1:8" x14ac:dyDescent="0.25">
      <c r="A4751" t="s">
        <v>1075</v>
      </c>
      <c r="B4751" t="s">
        <v>509</v>
      </c>
      <c r="C4751" s="5">
        <v>2784227</v>
      </c>
      <c r="D4751" s="5">
        <v>65359</v>
      </c>
      <c r="E4751">
        <v>219482</v>
      </c>
      <c r="F4751" s="4" t="s">
        <v>591</v>
      </c>
      <c r="G4751" t="s">
        <v>29</v>
      </c>
      <c r="H4751" t="s">
        <v>592</v>
      </c>
    </row>
    <row r="4752" spans="1:8" x14ac:dyDescent="0.25">
      <c r="A4752" t="s">
        <v>1075</v>
      </c>
      <c r="B4752" t="s">
        <v>506</v>
      </c>
      <c r="C4752" s="5">
        <v>26034</v>
      </c>
      <c r="D4752" s="5">
        <v>724</v>
      </c>
      <c r="E4752">
        <v>16873</v>
      </c>
      <c r="F4752" s="4" t="s">
        <v>98</v>
      </c>
      <c r="G4752" t="s">
        <v>29</v>
      </c>
      <c r="H4752" t="s">
        <v>99</v>
      </c>
    </row>
    <row r="4753" spans="1:8" x14ac:dyDescent="0.25">
      <c r="A4753" t="s">
        <v>1075</v>
      </c>
      <c r="B4753" t="s">
        <v>503</v>
      </c>
      <c r="C4753" s="5">
        <v>16343</v>
      </c>
      <c r="D4753" s="5">
        <v>846</v>
      </c>
      <c r="E4753">
        <v>492</v>
      </c>
      <c r="F4753" s="4" t="s">
        <v>1071</v>
      </c>
      <c r="G4753" t="s">
        <v>29</v>
      </c>
      <c r="H4753" t="s">
        <v>1072</v>
      </c>
    </row>
    <row r="4754" spans="1:8" x14ac:dyDescent="0.25">
      <c r="A4754" t="s">
        <v>1075</v>
      </c>
      <c r="B4754" t="s">
        <v>500</v>
      </c>
      <c r="C4754" s="5">
        <v>54405</v>
      </c>
      <c r="D4754" s="5">
        <v>1613</v>
      </c>
      <c r="E4754">
        <v>9461</v>
      </c>
      <c r="F4754" s="4" t="s">
        <v>731</v>
      </c>
      <c r="G4754" t="s">
        <v>29</v>
      </c>
      <c r="H4754" t="s">
        <v>732</v>
      </c>
    </row>
    <row r="4755" spans="1:8" x14ac:dyDescent="0.25">
      <c r="A4755" t="s">
        <v>1075</v>
      </c>
      <c r="B4755" t="s">
        <v>497</v>
      </c>
      <c r="C4755" s="5">
        <v>7714349</v>
      </c>
      <c r="D4755" s="5">
        <v>68060</v>
      </c>
      <c r="E4755">
        <v>6395365</v>
      </c>
      <c r="F4755" s="4" t="s">
        <v>609</v>
      </c>
      <c r="G4755" t="s">
        <v>29</v>
      </c>
      <c r="H4755" t="s">
        <v>610</v>
      </c>
    </row>
    <row r="4756" spans="1:8" x14ac:dyDescent="0.25">
      <c r="A4756" t="s">
        <v>1075</v>
      </c>
      <c r="B4756" t="s">
        <v>493</v>
      </c>
      <c r="C4756" s="5">
        <v>711007</v>
      </c>
      <c r="D4756" s="5">
        <v>25103</v>
      </c>
      <c r="E4756">
        <v>491646</v>
      </c>
      <c r="F4756" s="4" t="s">
        <v>430</v>
      </c>
      <c r="G4756" t="s">
        <v>29</v>
      </c>
      <c r="H4756" t="s">
        <v>431</v>
      </c>
    </row>
    <row r="4757" spans="1:8" x14ac:dyDescent="0.25">
      <c r="A4757" t="s">
        <v>1075</v>
      </c>
      <c r="B4757" t="s">
        <v>490</v>
      </c>
      <c r="C4757" s="5">
        <v>19730</v>
      </c>
      <c r="D4757" s="5">
        <v>120</v>
      </c>
      <c r="E4757">
        <v>15912</v>
      </c>
      <c r="F4757" s="4" t="s">
        <v>261</v>
      </c>
      <c r="G4757" t="s">
        <v>29</v>
      </c>
      <c r="H4757" t="s">
        <v>262</v>
      </c>
    </row>
    <row r="4758" spans="1:8" x14ac:dyDescent="0.25">
      <c r="A4758" t="s">
        <v>1075</v>
      </c>
      <c r="B4758" t="s">
        <v>487</v>
      </c>
      <c r="C4758" s="5">
        <v>17484</v>
      </c>
      <c r="D4758" s="5">
        <v>125</v>
      </c>
      <c r="E4758">
        <v>9576</v>
      </c>
      <c r="F4758" s="4" t="s">
        <v>488</v>
      </c>
      <c r="G4758" t="s">
        <v>29</v>
      </c>
      <c r="H4758" t="s">
        <v>489</v>
      </c>
    </row>
    <row r="4759" spans="1:8" x14ac:dyDescent="0.25">
      <c r="A4759" t="s">
        <v>1075</v>
      </c>
      <c r="B4759" t="s">
        <v>486</v>
      </c>
      <c r="C4759" s="5">
        <v>1802934</v>
      </c>
      <c r="D4759" s="5">
        <v>18407</v>
      </c>
      <c r="E4759">
        <v>1215279</v>
      </c>
      <c r="F4759" s="4" t="s">
        <v>326</v>
      </c>
      <c r="G4759" t="s">
        <v>29</v>
      </c>
      <c r="H4759" t="s">
        <v>327</v>
      </c>
    </row>
    <row r="4760" spans="1:8" x14ac:dyDescent="0.25">
      <c r="A4760" t="s">
        <v>1075</v>
      </c>
      <c r="B4760" t="s">
        <v>483</v>
      </c>
      <c r="C4760" s="5">
        <v>25926</v>
      </c>
      <c r="D4760" s="5">
        <v>240</v>
      </c>
      <c r="E4760">
        <v>5374</v>
      </c>
      <c r="F4760" s="4" t="s">
        <v>484</v>
      </c>
      <c r="G4760" t="s">
        <v>29</v>
      </c>
      <c r="H4760" t="s">
        <v>485</v>
      </c>
    </row>
    <row r="4761" spans="1:8" x14ac:dyDescent="0.25">
      <c r="A4761" t="s">
        <v>1075</v>
      </c>
      <c r="B4761" t="s">
        <v>482</v>
      </c>
      <c r="C4761" s="5">
        <v>5069</v>
      </c>
      <c r="D4761" s="5">
        <v>174</v>
      </c>
      <c r="E4761">
        <v>4276</v>
      </c>
      <c r="F4761" s="4" t="s">
        <v>252</v>
      </c>
      <c r="G4761" t="s">
        <v>29</v>
      </c>
      <c r="H4761" t="s">
        <v>253</v>
      </c>
    </row>
    <row r="4762" spans="1:8" x14ac:dyDescent="0.25">
      <c r="A4762" t="s">
        <v>1075</v>
      </c>
      <c r="B4762" t="s">
        <v>479</v>
      </c>
      <c r="C4762" s="5">
        <v>46372</v>
      </c>
      <c r="D4762" s="5">
        <v>1236</v>
      </c>
      <c r="E4762">
        <v>4657</v>
      </c>
      <c r="F4762" s="4" t="s">
        <v>787</v>
      </c>
      <c r="G4762" t="s">
        <v>29</v>
      </c>
      <c r="H4762" t="s">
        <v>788</v>
      </c>
    </row>
    <row r="4763" spans="1:8" x14ac:dyDescent="0.25">
      <c r="A4763" t="s">
        <v>1075</v>
      </c>
      <c r="B4763" t="s">
        <v>476</v>
      </c>
      <c r="C4763" s="5">
        <v>39902</v>
      </c>
      <c r="D4763" s="5">
        <v>2446</v>
      </c>
      <c r="E4763">
        <v>20474</v>
      </c>
      <c r="F4763" s="4" t="s">
        <v>1078</v>
      </c>
      <c r="G4763" t="s">
        <v>29</v>
      </c>
      <c r="H4763" t="s">
        <v>1079</v>
      </c>
    </row>
    <row r="4764" spans="1:8" x14ac:dyDescent="0.25">
      <c r="A4764" t="s">
        <v>1075</v>
      </c>
      <c r="B4764" t="s">
        <v>473</v>
      </c>
      <c r="C4764" s="5">
        <v>110188</v>
      </c>
      <c r="D4764" s="5">
        <v>3505</v>
      </c>
      <c r="E4764">
        <v>95559</v>
      </c>
      <c r="F4764" s="4" t="s">
        <v>615</v>
      </c>
      <c r="G4764" t="s">
        <v>29</v>
      </c>
      <c r="H4764" t="s">
        <v>616</v>
      </c>
    </row>
    <row r="4765" spans="1:8" x14ac:dyDescent="0.25">
      <c r="A4765" t="s">
        <v>1075</v>
      </c>
      <c r="B4765" t="s">
        <v>471</v>
      </c>
      <c r="C4765" s="5">
        <v>12250</v>
      </c>
      <c r="D4765" s="5">
        <v>130</v>
      </c>
      <c r="E4765">
        <v>9355</v>
      </c>
      <c r="F4765" s="4" t="s">
        <v>165</v>
      </c>
      <c r="G4765" t="s">
        <v>29</v>
      </c>
      <c r="H4765" t="s">
        <v>166</v>
      </c>
    </row>
    <row r="4766" spans="1:8" x14ac:dyDescent="0.25">
      <c r="A4766" t="s">
        <v>1075</v>
      </c>
      <c r="B4766" t="s">
        <v>472</v>
      </c>
      <c r="C4766" s="5">
        <v>3685</v>
      </c>
      <c r="D4766" s="5">
        <v>56</v>
      </c>
      <c r="E4766">
        <v>3458</v>
      </c>
      <c r="F4766" s="4" t="s">
        <v>589</v>
      </c>
      <c r="G4766" t="s">
        <v>29</v>
      </c>
      <c r="H4766" t="s">
        <v>590</v>
      </c>
    </row>
    <row r="4767" spans="1:8" x14ac:dyDescent="0.25">
      <c r="A4767" t="s">
        <v>1075</v>
      </c>
      <c r="B4767" t="s">
        <v>468</v>
      </c>
      <c r="C4767" s="5">
        <v>47284</v>
      </c>
      <c r="D4767" s="5">
        <v>1040</v>
      </c>
      <c r="E4767">
        <v>44477</v>
      </c>
      <c r="F4767" s="4" t="s">
        <v>969</v>
      </c>
      <c r="G4767" t="s">
        <v>29</v>
      </c>
      <c r="H4767" t="s">
        <v>970</v>
      </c>
    </row>
    <row r="4768" spans="1:8" x14ac:dyDescent="0.25">
      <c r="A4768" t="s">
        <v>1075</v>
      </c>
      <c r="B4768" t="s">
        <v>465</v>
      </c>
      <c r="C4768" s="5">
        <v>21269</v>
      </c>
      <c r="D4768" s="5">
        <v>1180</v>
      </c>
      <c r="E4768">
        <v>10198</v>
      </c>
      <c r="F4768" s="4" t="s">
        <v>1005</v>
      </c>
      <c r="G4768" t="s">
        <v>29</v>
      </c>
      <c r="H4768" t="s">
        <v>1006</v>
      </c>
    </row>
    <row r="4769" spans="1:8" x14ac:dyDescent="0.25">
      <c r="A4769" t="s">
        <v>1075</v>
      </c>
      <c r="B4769" t="s">
        <v>464</v>
      </c>
      <c r="C4769" s="5">
        <v>73875</v>
      </c>
      <c r="D4769" s="5">
        <v>1872</v>
      </c>
      <c r="E4769">
        <v>18431</v>
      </c>
      <c r="F4769" s="4" t="s">
        <v>611</v>
      </c>
      <c r="G4769" t="s">
        <v>29</v>
      </c>
      <c r="H4769" t="s">
        <v>612</v>
      </c>
    </row>
    <row r="4770" spans="1:8" x14ac:dyDescent="0.25">
      <c r="A4770" t="s">
        <v>1075</v>
      </c>
      <c r="B4770" t="s">
        <v>463</v>
      </c>
      <c r="C4770" s="5">
        <v>5479</v>
      </c>
      <c r="D4770" s="5">
        <v>91</v>
      </c>
      <c r="E4770">
        <v>840</v>
      </c>
      <c r="F4770" s="4" t="s">
        <v>135</v>
      </c>
      <c r="G4770" t="s">
        <v>29</v>
      </c>
      <c r="H4770" t="s">
        <v>136</v>
      </c>
    </row>
    <row r="4771" spans="1:8" x14ac:dyDescent="0.25">
      <c r="A4771" t="s">
        <v>1075</v>
      </c>
      <c r="B4771" t="s">
        <v>460</v>
      </c>
      <c r="C4771" s="5">
        <v>6397</v>
      </c>
      <c r="D4771" s="5">
        <v>121</v>
      </c>
      <c r="E4771">
        <v>1627</v>
      </c>
      <c r="F4771" s="4" t="s">
        <v>461</v>
      </c>
      <c r="G4771" t="s">
        <v>29</v>
      </c>
      <c r="H4771" t="s">
        <v>462</v>
      </c>
    </row>
    <row r="4772" spans="1:8" x14ac:dyDescent="0.25">
      <c r="A4772" t="s">
        <v>1075</v>
      </c>
      <c r="B4772" t="s">
        <v>457</v>
      </c>
      <c r="C4772" s="5">
        <v>439735</v>
      </c>
      <c r="D4772" s="5">
        <v>12864</v>
      </c>
      <c r="E4772">
        <v>405555</v>
      </c>
      <c r="F4772" s="4" t="s">
        <v>101</v>
      </c>
      <c r="G4772" t="s">
        <v>29</v>
      </c>
      <c r="H4772" t="s">
        <v>102</v>
      </c>
    </row>
    <row r="4773" spans="1:8" x14ac:dyDescent="0.25">
      <c r="A4773" t="s">
        <v>1075</v>
      </c>
      <c r="B4773" t="s">
        <v>456</v>
      </c>
      <c r="C4773" s="5">
        <v>310170</v>
      </c>
      <c r="D4773" s="5">
        <v>4645</v>
      </c>
      <c r="E4773">
        <v>94296</v>
      </c>
      <c r="F4773" s="4" t="s">
        <v>226</v>
      </c>
      <c r="G4773" t="s">
        <v>29</v>
      </c>
      <c r="H4773" t="s">
        <v>227</v>
      </c>
    </row>
    <row r="4774" spans="1:8" x14ac:dyDescent="0.25">
      <c r="A4774" t="s">
        <v>1075</v>
      </c>
      <c r="B4774" t="s">
        <v>453</v>
      </c>
      <c r="C4774" s="5">
        <v>154725</v>
      </c>
      <c r="D4774" s="5">
        <v>246</v>
      </c>
      <c r="E4774">
        <v>124515</v>
      </c>
      <c r="F4774" s="4" t="s">
        <v>825</v>
      </c>
      <c r="G4774" t="s">
        <v>29</v>
      </c>
      <c r="H4774" t="s">
        <v>826</v>
      </c>
    </row>
    <row r="4775" spans="1:8" x14ac:dyDescent="0.25">
      <c r="A4775" t="s">
        <v>1075</v>
      </c>
      <c r="B4775" t="s">
        <v>452</v>
      </c>
      <c r="C4775" s="5">
        <v>1163595</v>
      </c>
      <c r="D4775" s="5">
        <v>14963</v>
      </c>
      <c r="E4775">
        <v>608179</v>
      </c>
      <c r="F4775" s="4" t="s">
        <v>417</v>
      </c>
      <c r="G4775" t="s">
        <v>29</v>
      </c>
      <c r="H4775" t="s">
        <v>418</v>
      </c>
    </row>
    <row r="4776" spans="1:8" x14ac:dyDescent="0.25">
      <c r="A4776" t="s">
        <v>1075</v>
      </c>
      <c r="B4776" t="s">
        <v>449</v>
      </c>
      <c r="C4776" s="5">
        <v>39839</v>
      </c>
      <c r="D4776" s="5">
        <v>3038</v>
      </c>
      <c r="E4776">
        <v>27196</v>
      </c>
      <c r="F4776" s="4" t="s">
        <v>1067</v>
      </c>
      <c r="G4776" t="s">
        <v>29</v>
      </c>
      <c r="H4776" t="s">
        <v>1068</v>
      </c>
    </row>
    <row r="4777" spans="1:8" x14ac:dyDescent="0.25">
      <c r="A4777" t="s">
        <v>1075</v>
      </c>
      <c r="B4777" t="s">
        <v>446</v>
      </c>
      <c r="C4777" s="5">
        <v>21991</v>
      </c>
      <c r="D4777" s="5">
        <v>119</v>
      </c>
      <c r="E4777">
        <v>20487</v>
      </c>
      <c r="F4777" s="4" t="s">
        <v>919</v>
      </c>
      <c r="G4777" t="s">
        <v>29</v>
      </c>
      <c r="H4777" t="s">
        <v>920</v>
      </c>
    </row>
    <row r="4778" spans="1:8" x14ac:dyDescent="0.25">
      <c r="A4778" t="s">
        <v>1075</v>
      </c>
      <c r="B4778" t="s">
        <v>445</v>
      </c>
      <c r="C4778" s="5">
        <v>20</v>
      </c>
      <c r="D4778" s="5">
        <v>0</v>
      </c>
      <c r="E4778">
        <v>0</v>
      </c>
      <c r="F4778" s="4" t="s">
        <v>29</v>
      </c>
      <c r="G4778" t="s">
        <v>29</v>
      </c>
      <c r="H4778" t="s">
        <v>291</v>
      </c>
    </row>
    <row r="4779" spans="1:8" x14ac:dyDescent="0.25">
      <c r="A4779" t="s">
        <v>1075</v>
      </c>
      <c r="B4779" t="s">
        <v>444</v>
      </c>
      <c r="C4779" s="5">
        <v>548018</v>
      </c>
      <c r="D4779" s="5">
        <v>8767</v>
      </c>
      <c r="E4779">
        <v>271388</v>
      </c>
      <c r="F4779" s="4" t="s">
        <v>313</v>
      </c>
      <c r="G4779" t="s">
        <v>29</v>
      </c>
      <c r="H4779" t="s">
        <v>314</v>
      </c>
    </row>
    <row r="4780" spans="1:8" x14ac:dyDescent="0.25">
      <c r="A4780" t="s">
        <v>1075</v>
      </c>
      <c r="B4780" t="s">
        <v>443</v>
      </c>
      <c r="C4780" s="5">
        <v>99213</v>
      </c>
      <c r="D4780" s="5">
        <v>1314</v>
      </c>
      <c r="E4780">
        <v>8357</v>
      </c>
      <c r="F4780" s="4" t="s">
        <v>307</v>
      </c>
      <c r="G4780" t="s">
        <v>29</v>
      </c>
      <c r="H4780" t="s">
        <v>308</v>
      </c>
    </row>
    <row r="4781" spans="1:8" x14ac:dyDescent="0.25">
      <c r="A4781" t="s">
        <v>1075</v>
      </c>
      <c r="B4781" t="s">
        <v>440</v>
      </c>
      <c r="C4781" s="5">
        <v>7936798</v>
      </c>
      <c r="D4781" s="5">
        <v>221314</v>
      </c>
      <c r="E4781">
        <v>5599366</v>
      </c>
      <c r="F4781" s="4" t="s">
        <v>662</v>
      </c>
      <c r="G4781" t="s">
        <v>29</v>
      </c>
      <c r="H4781" t="s">
        <v>663</v>
      </c>
    </row>
    <row r="4782" spans="1:8" x14ac:dyDescent="0.25">
      <c r="A4782" t="s">
        <v>1075</v>
      </c>
      <c r="B4782" t="s">
        <v>439</v>
      </c>
      <c r="C4782" s="5">
        <v>1062960</v>
      </c>
      <c r="D4782" s="5">
        <v>9214</v>
      </c>
      <c r="E4782">
        <v>388396</v>
      </c>
      <c r="F4782" s="4" t="s">
        <v>498</v>
      </c>
      <c r="G4782" t="s">
        <v>29</v>
      </c>
      <c r="H4782" t="s">
        <v>499</v>
      </c>
    </row>
    <row r="4783" spans="1:8" x14ac:dyDescent="0.25">
      <c r="A4783" t="s">
        <v>1075</v>
      </c>
      <c r="B4783" t="s">
        <v>436</v>
      </c>
      <c r="C4783" s="5">
        <v>1486264</v>
      </c>
      <c r="D4783" s="5">
        <v>42616</v>
      </c>
      <c r="E4783">
        <v>717363</v>
      </c>
      <c r="F4783" s="4" t="s">
        <v>168</v>
      </c>
      <c r="G4783" t="s">
        <v>29</v>
      </c>
      <c r="H4783" t="s">
        <v>169</v>
      </c>
    </row>
    <row r="4784" spans="1:8" x14ac:dyDescent="0.25">
      <c r="A4784" t="s">
        <v>1075</v>
      </c>
      <c r="B4784" t="s">
        <v>435</v>
      </c>
      <c r="C4784" s="5">
        <v>54024</v>
      </c>
      <c r="D4784" s="5">
        <v>370</v>
      </c>
      <c r="E4784">
        <v>38207</v>
      </c>
      <c r="F4784" s="4" t="s">
        <v>605</v>
      </c>
      <c r="G4784" t="s">
        <v>29</v>
      </c>
      <c r="H4784" t="s">
        <v>606</v>
      </c>
    </row>
    <row r="4785" spans="1:8" x14ac:dyDescent="0.25">
      <c r="A4785" t="s">
        <v>1075</v>
      </c>
      <c r="B4785" t="s">
        <v>432</v>
      </c>
      <c r="C4785" s="5">
        <v>238079</v>
      </c>
      <c r="D4785" s="5">
        <v>608</v>
      </c>
      <c r="E4785">
        <v>35987</v>
      </c>
      <c r="F4785" s="4" t="s">
        <v>794</v>
      </c>
      <c r="G4785" t="s">
        <v>29</v>
      </c>
      <c r="H4785" t="s">
        <v>795</v>
      </c>
    </row>
    <row r="4786" spans="1:8" x14ac:dyDescent="0.25">
      <c r="A4786" t="s">
        <v>1075</v>
      </c>
      <c r="B4786" t="s">
        <v>429</v>
      </c>
      <c r="C4786" s="5">
        <v>460582</v>
      </c>
      <c r="D4786" s="5">
        <v>16228</v>
      </c>
      <c r="E4786">
        <v>392767</v>
      </c>
      <c r="F4786" s="4" t="s">
        <v>353</v>
      </c>
      <c r="G4786" t="s">
        <v>29</v>
      </c>
      <c r="H4786" t="s">
        <v>354</v>
      </c>
    </row>
    <row r="4787" spans="1:8" x14ac:dyDescent="0.25">
      <c r="A4787" t="s">
        <v>1075</v>
      </c>
      <c r="B4787" t="s">
        <v>428</v>
      </c>
      <c r="C4787" s="5">
        <v>8</v>
      </c>
      <c r="D4787" s="5">
        <v>0</v>
      </c>
      <c r="E4787">
        <v>1</v>
      </c>
      <c r="F4787" s="4" t="s">
        <v>29</v>
      </c>
      <c r="G4787" t="s">
        <v>29</v>
      </c>
      <c r="H4787" t="s">
        <v>291</v>
      </c>
    </row>
    <row r="4788" spans="1:8" x14ac:dyDescent="0.25">
      <c r="A4788" t="s">
        <v>1075</v>
      </c>
      <c r="B4788" t="s">
        <v>427</v>
      </c>
      <c r="C4788" s="5">
        <v>1080929</v>
      </c>
      <c r="D4788" s="5">
        <v>18106</v>
      </c>
      <c r="E4788">
        <v>767347</v>
      </c>
      <c r="F4788" s="4" t="s">
        <v>116</v>
      </c>
      <c r="G4788" t="s">
        <v>29</v>
      </c>
      <c r="H4788" t="s">
        <v>117</v>
      </c>
    </row>
    <row r="4789" spans="1:8" x14ac:dyDescent="0.25">
      <c r="A4789" t="s">
        <v>1075</v>
      </c>
      <c r="B4789" t="s">
        <v>426</v>
      </c>
      <c r="C4789" s="5">
        <v>449031</v>
      </c>
      <c r="D4789" s="5">
        <v>4590</v>
      </c>
      <c r="E4789">
        <v>123699</v>
      </c>
      <c r="F4789" s="4" t="s">
        <v>326</v>
      </c>
      <c r="G4789" t="s">
        <v>29</v>
      </c>
      <c r="H4789" t="s">
        <v>327</v>
      </c>
    </row>
    <row r="4790" spans="1:8" x14ac:dyDescent="0.25">
      <c r="A4790" t="s">
        <v>1075</v>
      </c>
      <c r="B4790" t="s">
        <v>423</v>
      </c>
      <c r="C4790" s="5">
        <v>2945056</v>
      </c>
      <c r="D4790" s="5">
        <v>76179</v>
      </c>
      <c r="E4790">
        <v>217436</v>
      </c>
      <c r="F4790" s="4" t="s">
        <v>719</v>
      </c>
      <c r="G4790" t="s">
        <v>29</v>
      </c>
      <c r="H4790" t="s">
        <v>720</v>
      </c>
    </row>
    <row r="4791" spans="1:8" x14ac:dyDescent="0.25">
      <c r="A4791" t="s">
        <v>1075</v>
      </c>
      <c r="B4791" t="s">
        <v>419</v>
      </c>
      <c r="C4791" s="5">
        <v>2731735</v>
      </c>
      <c r="D4791" s="5">
        <v>40972</v>
      </c>
      <c r="E4791">
        <v>2331639</v>
      </c>
      <c r="F4791" s="4" t="s">
        <v>226</v>
      </c>
      <c r="G4791" t="s">
        <v>29</v>
      </c>
      <c r="H4791" t="s">
        <v>227</v>
      </c>
    </row>
    <row r="4792" spans="1:8" x14ac:dyDescent="0.25">
      <c r="A4792" t="s">
        <v>1075</v>
      </c>
      <c r="B4792" t="s">
        <v>420</v>
      </c>
      <c r="C4792" s="5">
        <v>1266204</v>
      </c>
      <c r="D4792" s="5">
        <v>28312</v>
      </c>
      <c r="E4792">
        <v>326618</v>
      </c>
      <c r="F4792" s="4" t="s">
        <v>603</v>
      </c>
      <c r="G4792" t="s">
        <v>29</v>
      </c>
      <c r="H4792" t="s">
        <v>604</v>
      </c>
    </row>
    <row r="4793" spans="1:8" x14ac:dyDescent="0.25">
      <c r="A4793" t="s">
        <v>1075</v>
      </c>
      <c r="B4793" t="s">
        <v>416</v>
      </c>
      <c r="C4793" s="5">
        <v>25356</v>
      </c>
      <c r="D4793" s="5">
        <v>312</v>
      </c>
      <c r="E4793">
        <v>6708</v>
      </c>
      <c r="F4793" s="4" t="s">
        <v>798</v>
      </c>
      <c r="G4793" t="s">
        <v>29</v>
      </c>
      <c r="H4793" t="s">
        <v>799</v>
      </c>
    </row>
    <row r="4794" spans="1:8" x14ac:dyDescent="0.25">
      <c r="A4794" t="s">
        <v>1075</v>
      </c>
      <c r="B4794" t="s">
        <v>415</v>
      </c>
      <c r="C4794" s="5">
        <v>45439</v>
      </c>
      <c r="D4794" s="5">
        <v>635</v>
      </c>
      <c r="E4794">
        <v>40325</v>
      </c>
      <c r="F4794" s="4" t="s">
        <v>403</v>
      </c>
      <c r="G4794" t="s">
        <v>29</v>
      </c>
      <c r="H4794" t="s">
        <v>404</v>
      </c>
    </row>
    <row r="4795" spans="1:8" x14ac:dyDescent="0.25">
      <c r="A4795" t="s">
        <v>1075</v>
      </c>
      <c r="B4795" t="s">
        <v>412</v>
      </c>
      <c r="C4795" s="5">
        <v>2191171</v>
      </c>
      <c r="D4795" s="5">
        <v>199928</v>
      </c>
      <c r="E4795">
        <v>1072486</v>
      </c>
      <c r="F4795" s="4" t="s">
        <v>1027</v>
      </c>
      <c r="G4795" t="s">
        <v>29</v>
      </c>
      <c r="H4795" t="s">
        <v>1028</v>
      </c>
    </row>
    <row r="4796" spans="1:8" x14ac:dyDescent="0.25">
      <c r="A4796" t="s">
        <v>1075</v>
      </c>
      <c r="B4796" t="s">
        <v>411</v>
      </c>
      <c r="C4796" s="5">
        <v>470395</v>
      </c>
      <c r="D4796" s="5">
        <v>7294</v>
      </c>
      <c r="E4796">
        <v>325184</v>
      </c>
      <c r="F4796" s="4" t="s">
        <v>333</v>
      </c>
      <c r="G4796" t="s">
        <v>29</v>
      </c>
      <c r="H4796" t="s">
        <v>334</v>
      </c>
    </row>
    <row r="4797" spans="1:8" x14ac:dyDescent="0.25">
      <c r="A4797" t="s">
        <v>1075</v>
      </c>
      <c r="B4797" t="s">
        <v>408</v>
      </c>
      <c r="C4797" s="5">
        <v>304066</v>
      </c>
      <c r="D4797" s="5">
        <v>4106</v>
      </c>
      <c r="E4797">
        <v>2962</v>
      </c>
      <c r="F4797" s="4" t="s">
        <v>409</v>
      </c>
      <c r="G4797" t="s">
        <v>29</v>
      </c>
      <c r="H4797" t="s">
        <v>410</v>
      </c>
    </row>
    <row r="4798" spans="1:8" x14ac:dyDescent="0.25">
      <c r="A4798" t="s">
        <v>1075</v>
      </c>
      <c r="B4798" t="s">
        <v>405</v>
      </c>
      <c r="C4798" s="5">
        <v>5214</v>
      </c>
      <c r="D4798" s="5">
        <v>28</v>
      </c>
      <c r="E4798">
        <v>2566</v>
      </c>
      <c r="F4798" s="4" t="s">
        <v>919</v>
      </c>
      <c r="G4798" t="s">
        <v>29</v>
      </c>
      <c r="H4798" t="s">
        <v>920</v>
      </c>
    </row>
    <row r="4799" spans="1:8" x14ac:dyDescent="0.25">
      <c r="A4799" t="s">
        <v>1075</v>
      </c>
      <c r="B4799" t="s">
        <v>402</v>
      </c>
      <c r="C4799" s="5">
        <v>806517</v>
      </c>
      <c r="D4799" s="5">
        <v>11305</v>
      </c>
      <c r="E4799">
        <v>552971</v>
      </c>
      <c r="F4799" s="4" t="s">
        <v>403</v>
      </c>
      <c r="G4799" t="s">
        <v>29</v>
      </c>
      <c r="H4799" t="s">
        <v>404</v>
      </c>
    </row>
    <row r="4800" spans="1:8" x14ac:dyDescent="0.25">
      <c r="A4800" t="s">
        <v>1075</v>
      </c>
      <c r="B4800" t="s">
        <v>399</v>
      </c>
      <c r="C4800" s="5">
        <v>197504</v>
      </c>
      <c r="D4800" s="5">
        <v>884</v>
      </c>
      <c r="E4800">
        <v>39730</v>
      </c>
      <c r="F4800" s="4" t="s">
        <v>888</v>
      </c>
      <c r="G4800" t="s">
        <v>29</v>
      </c>
      <c r="H4800" t="s">
        <v>889</v>
      </c>
    </row>
    <row r="4801" spans="1:8" x14ac:dyDescent="0.25">
      <c r="A4801" t="s">
        <v>1075</v>
      </c>
      <c r="B4801" t="s">
        <v>396</v>
      </c>
      <c r="C4801" s="5">
        <v>2094470</v>
      </c>
      <c r="D4801" s="5">
        <v>18698</v>
      </c>
      <c r="E4801">
        <v>1944616</v>
      </c>
      <c r="F4801" s="4" t="s">
        <v>65</v>
      </c>
      <c r="G4801" t="s">
        <v>29</v>
      </c>
      <c r="H4801" t="s">
        <v>66</v>
      </c>
    </row>
    <row r="4802" spans="1:8" x14ac:dyDescent="0.25">
      <c r="A4802" t="s">
        <v>1075</v>
      </c>
      <c r="B4802" t="s">
        <v>393</v>
      </c>
      <c r="C4802" s="5">
        <v>16241</v>
      </c>
      <c r="D4802" s="5">
        <v>207</v>
      </c>
      <c r="E4802">
        <v>9262</v>
      </c>
      <c r="F4802" s="4" t="s">
        <v>53</v>
      </c>
      <c r="G4802" t="s">
        <v>29</v>
      </c>
      <c r="H4802" t="s">
        <v>54</v>
      </c>
    </row>
    <row r="4803" spans="1:8" x14ac:dyDescent="0.25">
      <c r="A4803" t="s">
        <v>1075</v>
      </c>
      <c r="B4803" t="s">
        <v>390</v>
      </c>
      <c r="C4803" s="5">
        <v>209546</v>
      </c>
      <c r="D4803" s="5">
        <v>2838</v>
      </c>
      <c r="E4803">
        <v>186706</v>
      </c>
      <c r="F4803" s="4" t="s">
        <v>409</v>
      </c>
      <c r="G4803" t="s">
        <v>29</v>
      </c>
      <c r="H4803" t="s">
        <v>410</v>
      </c>
    </row>
    <row r="4804" spans="1:8" x14ac:dyDescent="0.25">
      <c r="A4804" t="s">
        <v>1075</v>
      </c>
      <c r="B4804" t="s">
        <v>387</v>
      </c>
      <c r="C4804" s="5">
        <v>6193</v>
      </c>
      <c r="D4804" s="5">
        <v>205</v>
      </c>
      <c r="E4804">
        <v>2280</v>
      </c>
      <c r="F4804" s="4" t="s">
        <v>1001</v>
      </c>
      <c r="G4804" t="s">
        <v>29</v>
      </c>
      <c r="H4804" t="s">
        <v>1002</v>
      </c>
    </row>
    <row r="4805" spans="1:8" x14ac:dyDescent="0.25">
      <c r="A4805" t="s">
        <v>1075</v>
      </c>
      <c r="B4805" t="s">
        <v>386</v>
      </c>
      <c r="C4805" s="5">
        <v>10163</v>
      </c>
      <c r="D4805" s="5">
        <v>243</v>
      </c>
      <c r="E4805">
        <v>6736</v>
      </c>
      <c r="F4805" s="4" t="s">
        <v>288</v>
      </c>
      <c r="G4805" t="s">
        <v>29</v>
      </c>
      <c r="H4805" t="s">
        <v>289</v>
      </c>
    </row>
    <row r="4806" spans="1:8" x14ac:dyDescent="0.25">
      <c r="A4806" t="s">
        <v>1075</v>
      </c>
      <c r="B4806" t="s">
        <v>383</v>
      </c>
      <c r="C4806" s="5">
        <v>128377</v>
      </c>
      <c r="D4806" s="5">
        <v>3540</v>
      </c>
      <c r="E4806">
        <v>121661</v>
      </c>
      <c r="F4806" s="4" t="s">
        <v>384</v>
      </c>
      <c r="G4806" t="s">
        <v>29</v>
      </c>
      <c r="H4806" t="s">
        <v>385</v>
      </c>
    </row>
    <row r="4807" spans="1:8" x14ac:dyDescent="0.25">
      <c r="A4807" t="s">
        <v>1075</v>
      </c>
      <c r="B4807" t="s">
        <v>380</v>
      </c>
      <c r="C4807" s="5">
        <v>151136</v>
      </c>
      <c r="D4807" s="5">
        <v>1927</v>
      </c>
      <c r="E4807">
        <v>34525</v>
      </c>
      <c r="F4807" s="4" t="s">
        <v>381</v>
      </c>
      <c r="G4807" t="s">
        <v>29</v>
      </c>
      <c r="H4807" t="s">
        <v>382</v>
      </c>
    </row>
    <row r="4808" spans="1:8" x14ac:dyDescent="0.25">
      <c r="A4808" t="s">
        <v>1075</v>
      </c>
      <c r="B4808" t="s">
        <v>377</v>
      </c>
      <c r="C4808" s="5">
        <v>2401866</v>
      </c>
      <c r="D4808" s="5">
        <v>28062</v>
      </c>
      <c r="E4808">
        <v>901503</v>
      </c>
      <c r="F4808" s="4" t="s">
        <v>378</v>
      </c>
      <c r="G4808" t="s">
        <v>29</v>
      </c>
      <c r="H4808" t="s">
        <v>379</v>
      </c>
    </row>
    <row r="4809" spans="1:8" x14ac:dyDescent="0.25">
      <c r="A4809" t="s">
        <v>1075</v>
      </c>
      <c r="B4809" t="s">
        <v>374</v>
      </c>
      <c r="C4809" s="5">
        <v>3762689</v>
      </c>
      <c r="D4809" s="5">
        <v>284925</v>
      </c>
      <c r="E4809">
        <v>1357649</v>
      </c>
      <c r="F4809" s="4" t="s">
        <v>375</v>
      </c>
      <c r="G4809" t="s">
        <v>29</v>
      </c>
      <c r="H4809" t="s">
        <v>376</v>
      </c>
    </row>
    <row r="4810" spans="1:8" x14ac:dyDescent="0.25">
      <c r="A4810" t="s">
        <v>1075</v>
      </c>
      <c r="B4810" t="s">
        <v>371</v>
      </c>
      <c r="C4810" s="5">
        <v>61732</v>
      </c>
      <c r="D4810" s="5">
        <v>2295</v>
      </c>
      <c r="E4810">
        <v>47267</v>
      </c>
      <c r="F4810" s="4" t="s">
        <v>372</v>
      </c>
      <c r="G4810" t="s">
        <v>29</v>
      </c>
      <c r="H4810" t="s">
        <v>373</v>
      </c>
    </row>
    <row r="4811" spans="1:8" x14ac:dyDescent="0.25">
      <c r="A4811" t="s">
        <v>1075</v>
      </c>
      <c r="B4811" t="s">
        <v>368</v>
      </c>
      <c r="C4811" s="5">
        <v>86324</v>
      </c>
      <c r="D4811" s="5">
        <v>239</v>
      </c>
      <c r="E4811">
        <v>9088</v>
      </c>
      <c r="F4811" s="4" t="s">
        <v>369</v>
      </c>
      <c r="G4811" t="s">
        <v>29</v>
      </c>
      <c r="H4811" t="s">
        <v>370</v>
      </c>
    </row>
    <row r="4812" spans="1:8" x14ac:dyDescent="0.25">
      <c r="A4812" t="s">
        <v>1075</v>
      </c>
      <c r="B4812" t="s">
        <v>367</v>
      </c>
      <c r="C4812" s="5">
        <v>16805</v>
      </c>
      <c r="D4812" s="5">
        <v>141</v>
      </c>
      <c r="E4812">
        <v>228</v>
      </c>
      <c r="F4812" s="4" t="s">
        <v>397</v>
      </c>
      <c r="G4812" t="s">
        <v>29</v>
      </c>
      <c r="H4812" t="s">
        <v>398</v>
      </c>
    </row>
    <row r="4813" spans="1:8" x14ac:dyDescent="0.25">
      <c r="A4813" t="s">
        <v>1075</v>
      </c>
      <c r="B4813" t="s">
        <v>364</v>
      </c>
      <c r="C4813" s="5">
        <v>37486</v>
      </c>
      <c r="D4813" s="5">
        <v>459</v>
      </c>
      <c r="E4813">
        <v>6106</v>
      </c>
      <c r="F4813" s="4" t="s">
        <v>365</v>
      </c>
      <c r="G4813" t="s">
        <v>29</v>
      </c>
      <c r="H4813" t="s">
        <v>366</v>
      </c>
    </row>
    <row r="4814" spans="1:8" x14ac:dyDescent="0.25">
      <c r="A4814" t="s">
        <v>1075</v>
      </c>
      <c r="B4814" t="s">
        <v>363</v>
      </c>
      <c r="C4814" s="5">
        <v>36759</v>
      </c>
      <c r="D4814" s="5">
        <v>790</v>
      </c>
      <c r="E4814">
        <v>33095</v>
      </c>
      <c r="F4814" s="4" t="s">
        <v>852</v>
      </c>
      <c r="G4814" t="s">
        <v>29</v>
      </c>
      <c r="H4814" t="s">
        <v>853</v>
      </c>
    </row>
    <row r="4815" spans="1:8" x14ac:dyDescent="0.25">
      <c r="A4815" t="s">
        <v>1075</v>
      </c>
      <c r="B4815" t="s">
        <v>360</v>
      </c>
      <c r="C4815" s="5">
        <v>42543</v>
      </c>
      <c r="D4815" s="5">
        <v>668</v>
      </c>
      <c r="E4815">
        <v>3017</v>
      </c>
      <c r="F4815" s="4" t="s">
        <v>217</v>
      </c>
      <c r="G4815" t="s">
        <v>29</v>
      </c>
      <c r="H4815" t="s">
        <v>218</v>
      </c>
    </row>
    <row r="4816" spans="1:8" x14ac:dyDescent="0.25">
      <c r="A4816" t="s">
        <v>1075</v>
      </c>
      <c r="B4816" t="s">
        <v>359</v>
      </c>
      <c r="C4816" s="5">
        <v>77</v>
      </c>
      <c r="D4816" s="5">
        <v>0</v>
      </c>
      <c r="E4816">
        <v>13</v>
      </c>
      <c r="F4816" s="4" t="s">
        <v>29</v>
      </c>
      <c r="G4816" t="s">
        <v>29</v>
      </c>
      <c r="H4816" t="s">
        <v>291</v>
      </c>
    </row>
    <row r="4817" spans="1:8" x14ac:dyDescent="0.25">
      <c r="A4817" t="s">
        <v>1075</v>
      </c>
      <c r="B4817" t="s">
        <v>358</v>
      </c>
      <c r="C4817" s="5">
        <v>342992</v>
      </c>
      <c r="D4817" s="5">
        <v>1591</v>
      </c>
      <c r="E4817">
        <v>154688</v>
      </c>
      <c r="F4817" s="4" t="s">
        <v>149</v>
      </c>
      <c r="G4817" t="s">
        <v>29</v>
      </c>
      <c r="H4817" t="s">
        <v>150</v>
      </c>
    </row>
    <row r="4818" spans="1:8" x14ac:dyDescent="0.25">
      <c r="A4818" t="s">
        <v>1075</v>
      </c>
      <c r="B4818" t="s">
        <v>355</v>
      </c>
      <c r="C4818" s="5">
        <v>490008</v>
      </c>
      <c r="D4818" s="5">
        <v>18416</v>
      </c>
      <c r="E4818">
        <v>160588</v>
      </c>
      <c r="F4818" s="4" t="s">
        <v>1040</v>
      </c>
      <c r="G4818" t="s">
        <v>29</v>
      </c>
      <c r="H4818" t="s">
        <v>1041</v>
      </c>
    </row>
    <row r="4819" spans="1:8" x14ac:dyDescent="0.25">
      <c r="A4819" t="s">
        <v>1075</v>
      </c>
      <c r="B4819" t="s">
        <v>352</v>
      </c>
      <c r="C4819" s="5">
        <v>15674</v>
      </c>
      <c r="D4819" s="5">
        <v>558</v>
      </c>
      <c r="E4819">
        <v>6843</v>
      </c>
      <c r="F4819" s="4" t="s">
        <v>850</v>
      </c>
      <c r="G4819" t="s">
        <v>29</v>
      </c>
      <c r="H4819" t="s">
        <v>851</v>
      </c>
    </row>
    <row r="4820" spans="1:8" x14ac:dyDescent="0.25">
      <c r="A4820" t="s">
        <v>1075</v>
      </c>
      <c r="B4820" t="s">
        <v>349</v>
      </c>
      <c r="C4820" s="5">
        <v>197669</v>
      </c>
      <c r="D4820" s="5">
        <v>6978</v>
      </c>
      <c r="E4820">
        <v>85225</v>
      </c>
      <c r="F4820" s="4" t="s">
        <v>430</v>
      </c>
      <c r="G4820" t="s">
        <v>29</v>
      </c>
      <c r="H4820" t="s">
        <v>431</v>
      </c>
    </row>
    <row r="4821" spans="1:8" x14ac:dyDescent="0.25">
      <c r="A4821" t="s">
        <v>1075</v>
      </c>
      <c r="B4821" t="s">
        <v>348</v>
      </c>
      <c r="C4821" s="5">
        <v>4</v>
      </c>
      <c r="D4821" s="5">
        <v>0</v>
      </c>
      <c r="E4821">
        <v>1</v>
      </c>
      <c r="F4821" s="4" t="s">
        <v>29</v>
      </c>
      <c r="G4821" t="s">
        <v>29</v>
      </c>
      <c r="H4821" t="s">
        <v>291</v>
      </c>
    </row>
    <row r="4822" spans="1:8" x14ac:dyDescent="0.25">
      <c r="A4822" t="s">
        <v>1075</v>
      </c>
      <c r="B4822" t="s">
        <v>347</v>
      </c>
      <c r="C4822" s="5">
        <v>43622</v>
      </c>
      <c r="D4822" s="5">
        <v>960</v>
      </c>
      <c r="E4822">
        <v>10062</v>
      </c>
      <c r="F4822" s="4" t="s">
        <v>969</v>
      </c>
      <c r="G4822" t="s">
        <v>29</v>
      </c>
      <c r="H4822" t="s">
        <v>970</v>
      </c>
    </row>
    <row r="4823" spans="1:8" x14ac:dyDescent="0.25">
      <c r="A4823" t="s">
        <v>1075</v>
      </c>
      <c r="B4823" t="s">
        <v>344</v>
      </c>
      <c r="C4823" s="5">
        <v>3888</v>
      </c>
      <c r="D4823" s="5">
        <v>55</v>
      </c>
      <c r="E4823">
        <v>2800</v>
      </c>
      <c r="F4823" s="4" t="s">
        <v>345</v>
      </c>
      <c r="G4823" t="s">
        <v>29</v>
      </c>
      <c r="H4823" t="s">
        <v>346</v>
      </c>
    </row>
    <row r="4824" spans="1:8" x14ac:dyDescent="0.25">
      <c r="A4824" t="s">
        <v>1075</v>
      </c>
      <c r="B4824" t="s">
        <v>341</v>
      </c>
      <c r="C4824" s="5">
        <v>138607</v>
      </c>
      <c r="D4824" s="5">
        <v>2042</v>
      </c>
      <c r="E4824">
        <v>17034</v>
      </c>
      <c r="F4824" s="4" t="s">
        <v>777</v>
      </c>
      <c r="G4824" t="s">
        <v>29</v>
      </c>
      <c r="H4824" t="s">
        <v>778</v>
      </c>
    </row>
    <row r="4825" spans="1:8" x14ac:dyDescent="0.25">
      <c r="A4825" t="s">
        <v>1075</v>
      </c>
      <c r="B4825" t="s">
        <v>338</v>
      </c>
      <c r="C4825" s="5">
        <v>319614</v>
      </c>
      <c r="D4825" s="5">
        <v>7309</v>
      </c>
      <c r="E4825">
        <v>112116</v>
      </c>
      <c r="F4825" s="4" t="s">
        <v>528</v>
      </c>
      <c r="G4825" t="s">
        <v>29</v>
      </c>
      <c r="H4825" t="s">
        <v>529</v>
      </c>
    </row>
    <row r="4826" spans="1:8" x14ac:dyDescent="0.25">
      <c r="A4826" t="s">
        <v>1075</v>
      </c>
      <c r="B4826" t="s">
        <v>335</v>
      </c>
      <c r="C4826" s="5">
        <v>3378</v>
      </c>
      <c r="D4826" s="5">
        <v>35</v>
      </c>
      <c r="E4826">
        <v>2186</v>
      </c>
      <c r="F4826" s="4" t="s">
        <v>336</v>
      </c>
      <c r="G4826" t="s">
        <v>29</v>
      </c>
      <c r="H4826" t="s">
        <v>337</v>
      </c>
    </row>
    <row r="4827" spans="1:8" x14ac:dyDescent="0.25">
      <c r="A4827" t="s">
        <v>1075</v>
      </c>
      <c r="B4827" t="s">
        <v>332</v>
      </c>
      <c r="C4827" s="5">
        <v>942779</v>
      </c>
      <c r="D4827" s="5">
        <v>14566</v>
      </c>
      <c r="E4827">
        <v>662587</v>
      </c>
      <c r="F4827" s="4" t="s">
        <v>333</v>
      </c>
      <c r="G4827" t="s">
        <v>29</v>
      </c>
      <c r="H4827" t="s">
        <v>334</v>
      </c>
    </row>
    <row r="4828" spans="1:8" x14ac:dyDescent="0.25">
      <c r="A4828" t="s">
        <v>1075</v>
      </c>
      <c r="B4828" t="s">
        <v>329</v>
      </c>
      <c r="C4828" s="5">
        <v>351224</v>
      </c>
      <c r="D4828" s="5">
        <v>4924</v>
      </c>
      <c r="E4828">
        <v>142168</v>
      </c>
      <c r="F4828" s="4" t="s">
        <v>403</v>
      </c>
      <c r="G4828" t="s">
        <v>29</v>
      </c>
      <c r="H4828" t="s">
        <v>404</v>
      </c>
    </row>
    <row r="4829" spans="1:8" x14ac:dyDescent="0.25">
      <c r="A4829" t="s">
        <v>1075</v>
      </c>
      <c r="B4829" t="s">
        <v>328</v>
      </c>
      <c r="C4829" s="5">
        <v>188722</v>
      </c>
      <c r="D4829" s="5">
        <v>2920</v>
      </c>
      <c r="E4829">
        <v>119421</v>
      </c>
      <c r="F4829" s="4" t="s">
        <v>333</v>
      </c>
      <c r="G4829" t="s">
        <v>29</v>
      </c>
      <c r="H4829" t="s">
        <v>334</v>
      </c>
    </row>
    <row r="4830" spans="1:8" x14ac:dyDescent="0.25">
      <c r="A4830" t="s">
        <v>1075</v>
      </c>
      <c r="B4830" t="s">
        <v>325</v>
      </c>
      <c r="C4830" s="5">
        <v>80085</v>
      </c>
      <c r="D4830" s="5">
        <v>840</v>
      </c>
      <c r="E4830">
        <v>15670</v>
      </c>
      <c r="F4830" s="4" t="s">
        <v>642</v>
      </c>
      <c r="G4830" t="s">
        <v>29</v>
      </c>
      <c r="H4830" t="s">
        <v>643</v>
      </c>
    </row>
    <row r="4831" spans="1:8" x14ac:dyDescent="0.25">
      <c r="A4831" t="s">
        <v>1075</v>
      </c>
      <c r="B4831" t="s">
        <v>322</v>
      </c>
      <c r="C4831" s="5">
        <v>372585</v>
      </c>
      <c r="D4831" s="5">
        <v>5489</v>
      </c>
      <c r="E4831">
        <v>310100</v>
      </c>
      <c r="F4831" s="4" t="s">
        <v>777</v>
      </c>
      <c r="G4831" t="s">
        <v>29</v>
      </c>
      <c r="H4831" t="s">
        <v>778</v>
      </c>
    </row>
    <row r="4832" spans="1:8" x14ac:dyDescent="0.25">
      <c r="A4832" t="s">
        <v>1075</v>
      </c>
      <c r="B4832" t="s">
        <v>319</v>
      </c>
      <c r="C4832" s="5">
        <v>21557</v>
      </c>
      <c r="D4832" s="5">
        <v>655</v>
      </c>
      <c r="E4832">
        <v>11095</v>
      </c>
      <c r="F4832" s="4" t="s">
        <v>320</v>
      </c>
      <c r="G4832" t="s">
        <v>29</v>
      </c>
      <c r="H4832" t="s">
        <v>321</v>
      </c>
    </row>
    <row r="4833" spans="1:8" x14ac:dyDescent="0.25">
      <c r="A4833" t="s">
        <v>1075</v>
      </c>
      <c r="B4833" t="s">
        <v>316</v>
      </c>
      <c r="C4833" s="5">
        <v>5807</v>
      </c>
      <c r="D4833" s="5">
        <v>286</v>
      </c>
      <c r="E4833">
        <v>2124</v>
      </c>
      <c r="F4833" s="4" t="s">
        <v>317</v>
      </c>
      <c r="G4833" t="s">
        <v>29</v>
      </c>
      <c r="H4833" t="s">
        <v>318</v>
      </c>
    </row>
    <row r="4834" spans="1:8" x14ac:dyDescent="0.25">
      <c r="A4834" t="s">
        <v>1075</v>
      </c>
      <c r="B4834" t="s">
        <v>315</v>
      </c>
      <c r="C4834" s="5">
        <v>532766</v>
      </c>
      <c r="D4834" s="5">
        <v>13525</v>
      </c>
      <c r="E4834">
        <v>88376</v>
      </c>
      <c r="F4834" s="4" t="s">
        <v>141</v>
      </c>
      <c r="G4834" t="s">
        <v>29</v>
      </c>
      <c r="H4834" t="s">
        <v>142</v>
      </c>
    </row>
    <row r="4835" spans="1:8" x14ac:dyDescent="0.25">
      <c r="A4835" t="s">
        <v>1075</v>
      </c>
      <c r="B4835" t="s">
        <v>312</v>
      </c>
      <c r="C4835" s="5">
        <v>3606</v>
      </c>
      <c r="D4835" s="5">
        <v>60</v>
      </c>
      <c r="E4835">
        <v>2388</v>
      </c>
      <c r="F4835" s="4" t="s">
        <v>135</v>
      </c>
      <c r="G4835" t="s">
        <v>29</v>
      </c>
      <c r="H4835" t="s">
        <v>136</v>
      </c>
    </row>
    <row r="4836" spans="1:8" x14ac:dyDescent="0.25">
      <c r="A4836" t="s">
        <v>1075</v>
      </c>
      <c r="B4836" t="s">
        <v>309</v>
      </c>
      <c r="C4836" s="5">
        <v>12280</v>
      </c>
      <c r="D4836" s="5">
        <v>237</v>
      </c>
      <c r="E4836">
        <v>9700</v>
      </c>
      <c r="F4836" s="4" t="s">
        <v>946</v>
      </c>
      <c r="G4836" t="s">
        <v>29</v>
      </c>
      <c r="H4836" t="s">
        <v>947</v>
      </c>
    </row>
    <row r="4837" spans="1:8" x14ac:dyDescent="0.25">
      <c r="A4837" t="s">
        <v>1075</v>
      </c>
      <c r="B4837" t="s">
        <v>306</v>
      </c>
      <c r="C4837" s="5">
        <v>634669</v>
      </c>
      <c r="D4837" s="5">
        <v>8434</v>
      </c>
      <c r="E4837">
        <v>395015</v>
      </c>
      <c r="F4837" s="4" t="s">
        <v>59</v>
      </c>
      <c r="G4837" t="s">
        <v>29</v>
      </c>
      <c r="H4837" t="s">
        <v>60</v>
      </c>
    </row>
    <row r="4838" spans="1:8" x14ac:dyDescent="0.25">
      <c r="A4838" t="s">
        <v>1075</v>
      </c>
      <c r="B4838" t="s">
        <v>303</v>
      </c>
      <c r="C4838" s="5">
        <v>32971</v>
      </c>
      <c r="D4838" s="5">
        <v>45</v>
      </c>
      <c r="E4838">
        <v>24547</v>
      </c>
      <c r="F4838" s="4" t="s">
        <v>821</v>
      </c>
      <c r="G4838" t="s">
        <v>29</v>
      </c>
      <c r="H4838" t="s">
        <v>822</v>
      </c>
    </row>
    <row r="4839" spans="1:8" x14ac:dyDescent="0.25">
      <c r="A4839" t="s">
        <v>1075</v>
      </c>
      <c r="B4839" t="s">
        <v>302</v>
      </c>
      <c r="C4839" s="5">
        <v>999374</v>
      </c>
      <c r="D4839" s="5">
        <v>16766</v>
      </c>
      <c r="E4839">
        <v>266512</v>
      </c>
      <c r="F4839" s="4" t="s">
        <v>116</v>
      </c>
      <c r="G4839" t="s">
        <v>29</v>
      </c>
      <c r="H4839" t="s">
        <v>117</v>
      </c>
    </row>
    <row r="4840" spans="1:8" x14ac:dyDescent="0.25">
      <c r="A4840" t="s">
        <v>1075</v>
      </c>
      <c r="B4840" t="s">
        <v>299</v>
      </c>
      <c r="C4840" s="5">
        <v>412403</v>
      </c>
      <c r="D4840" s="5">
        <v>2458</v>
      </c>
      <c r="E4840">
        <v>155204</v>
      </c>
      <c r="F4840" s="4" t="s">
        <v>300</v>
      </c>
      <c r="G4840" t="s">
        <v>29</v>
      </c>
      <c r="H4840" t="s">
        <v>301</v>
      </c>
    </row>
    <row r="4841" spans="1:8" x14ac:dyDescent="0.25">
      <c r="A4841" t="s">
        <v>1075</v>
      </c>
      <c r="B4841" t="s">
        <v>296</v>
      </c>
      <c r="C4841" s="5">
        <v>346088</v>
      </c>
      <c r="D4841" s="5">
        <v>2698</v>
      </c>
      <c r="E4841">
        <v>103571</v>
      </c>
      <c r="F4841" s="4" t="s">
        <v>297</v>
      </c>
      <c r="G4841" t="s">
        <v>29</v>
      </c>
      <c r="H4841" t="s">
        <v>298</v>
      </c>
    </row>
    <row r="4842" spans="1:8" x14ac:dyDescent="0.25">
      <c r="A4842" t="s">
        <v>1075</v>
      </c>
      <c r="B4842" t="s">
        <v>293</v>
      </c>
      <c r="C4842" s="5">
        <v>2574</v>
      </c>
      <c r="D4842" s="5">
        <v>21</v>
      </c>
      <c r="E4842">
        <v>1261</v>
      </c>
      <c r="F4842" s="4" t="s">
        <v>1057</v>
      </c>
      <c r="G4842" t="s">
        <v>29</v>
      </c>
      <c r="H4842" t="s">
        <v>1058</v>
      </c>
    </row>
    <row r="4843" spans="1:8" x14ac:dyDescent="0.25">
      <c r="A4843" t="s">
        <v>1075</v>
      </c>
      <c r="B4843" t="s">
        <v>292</v>
      </c>
      <c r="C4843" s="5">
        <v>4191</v>
      </c>
      <c r="D4843" s="5">
        <v>147</v>
      </c>
      <c r="E4843">
        <v>2579</v>
      </c>
      <c r="F4843" s="4" t="s">
        <v>350</v>
      </c>
      <c r="G4843" t="s">
        <v>29</v>
      </c>
      <c r="H4843" t="s">
        <v>351</v>
      </c>
    </row>
    <row r="4844" spans="1:8" x14ac:dyDescent="0.25">
      <c r="A4844" t="s">
        <v>1075</v>
      </c>
      <c r="B4844" t="s">
        <v>287</v>
      </c>
      <c r="C4844" s="5">
        <v>117035</v>
      </c>
      <c r="D4844" s="5">
        <v>2681</v>
      </c>
      <c r="E4844">
        <v>46317</v>
      </c>
      <c r="F4844" s="4" t="s">
        <v>528</v>
      </c>
      <c r="G4844" t="s">
        <v>29</v>
      </c>
      <c r="H4844" t="s">
        <v>529</v>
      </c>
    </row>
    <row r="4845" spans="1:8" x14ac:dyDescent="0.25">
      <c r="A4845" t="s">
        <v>1075</v>
      </c>
      <c r="B4845" t="s">
        <v>290</v>
      </c>
      <c r="C4845" s="5">
        <v>2</v>
      </c>
      <c r="D4845" s="5">
        <v>0</v>
      </c>
      <c r="E4845">
        <v>1</v>
      </c>
      <c r="F4845" s="4" t="s">
        <v>29</v>
      </c>
      <c r="G4845" t="s">
        <v>29</v>
      </c>
      <c r="H4845" t="s">
        <v>291</v>
      </c>
    </row>
    <row r="4846" spans="1:8" x14ac:dyDescent="0.25">
      <c r="A4846" t="s">
        <v>1075</v>
      </c>
      <c r="B4846" t="s">
        <v>284</v>
      </c>
      <c r="C4846" s="5">
        <v>180006</v>
      </c>
      <c r="D4846" s="5">
        <v>2638</v>
      </c>
      <c r="E4846">
        <v>157653</v>
      </c>
      <c r="F4846" s="4" t="s">
        <v>777</v>
      </c>
      <c r="G4846" t="s">
        <v>29</v>
      </c>
      <c r="H4846" t="s">
        <v>778</v>
      </c>
    </row>
    <row r="4847" spans="1:8" x14ac:dyDescent="0.25">
      <c r="A4847" t="s">
        <v>1075</v>
      </c>
      <c r="B4847" t="s">
        <v>280</v>
      </c>
      <c r="C4847" s="5">
        <v>1716117</v>
      </c>
      <c r="D4847" s="5">
        <v>18156</v>
      </c>
      <c r="E4847">
        <v>298955</v>
      </c>
      <c r="F4847" s="4" t="s">
        <v>165</v>
      </c>
      <c r="G4847" t="s">
        <v>29</v>
      </c>
      <c r="H4847" t="s">
        <v>166</v>
      </c>
    </row>
    <row r="4848" spans="1:8" x14ac:dyDescent="0.25">
      <c r="A4848" t="s">
        <v>1075</v>
      </c>
      <c r="B4848" t="s">
        <v>281</v>
      </c>
      <c r="C4848" s="5">
        <v>252199</v>
      </c>
      <c r="D4848" s="5">
        <v>5233</v>
      </c>
      <c r="E4848">
        <v>3185</v>
      </c>
      <c r="F4848" s="4" t="s">
        <v>310</v>
      </c>
      <c r="G4848" t="s">
        <v>29</v>
      </c>
      <c r="H4848" t="s">
        <v>311</v>
      </c>
    </row>
    <row r="4849" spans="1:8" x14ac:dyDescent="0.25">
      <c r="A4849" t="s">
        <v>1075</v>
      </c>
      <c r="B4849" t="s">
        <v>279</v>
      </c>
      <c r="C4849" s="5">
        <v>844801</v>
      </c>
      <c r="D4849" s="5">
        <v>10895</v>
      </c>
      <c r="E4849">
        <v>587467</v>
      </c>
      <c r="F4849" s="4" t="s">
        <v>417</v>
      </c>
      <c r="G4849" t="s">
        <v>29</v>
      </c>
      <c r="H4849" t="s">
        <v>418</v>
      </c>
    </row>
    <row r="4850" spans="1:8" x14ac:dyDescent="0.25">
      <c r="A4850" t="s">
        <v>1075</v>
      </c>
      <c r="B4850" t="s">
        <v>278</v>
      </c>
      <c r="C4850" s="5">
        <v>87667</v>
      </c>
      <c r="D4850" s="5">
        <v>2123</v>
      </c>
      <c r="E4850">
        <v>65281</v>
      </c>
      <c r="F4850" s="4" t="s">
        <v>796</v>
      </c>
      <c r="G4850" t="s">
        <v>29</v>
      </c>
      <c r="H4850" t="s">
        <v>797</v>
      </c>
    </row>
    <row r="4851" spans="1:8" x14ac:dyDescent="0.25">
      <c r="A4851" t="s">
        <v>1075</v>
      </c>
      <c r="B4851" t="s">
        <v>275</v>
      </c>
      <c r="C4851" s="5">
        <v>4722188</v>
      </c>
      <c r="D4851" s="5">
        <v>131655</v>
      </c>
      <c r="E4851">
        <v>3391650</v>
      </c>
      <c r="F4851" s="4" t="s">
        <v>662</v>
      </c>
      <c r="G4851" t="s">
        <v>29</v>
      </c>
      <c r="H4851" t="s">
        <v>663</v>
      </c>
    </row>
    <row r="4852" spans="1:8" x14ac:dyDescent="0.25">
      <c r="A4852" t="s">
        <v>1075</v>
      </c>
      <c r="B4852" t="s">
        <v>272</v>
      </c>
      <c r="C4852" s="5">
        <v>12703</v>
      </c>
      <c r="D4852" s="5">
        <v>33</v>
      </c>
      <c r="E4852">
        <v>390</v>
      </c>
      <c r="F4852" s="4" t="s">
        <v>794</v>
      </c>
      <c r="G4852" t="s">
        <v>29</v>
      </c>
      <c r="H4852" t="s">
        <v>795</v>
      </c>
    </row>
    <row r="4853" spans="1:8" x14ac:dyDescent="0.25">
      <c r="A4853" t="s">
        <v>1075</v>
      </c>
      <c r="B4853" t="s">
        <v>269</v>
      </c>
      <c r="C4853" s="5">
        <v>5809967</v>
      </c>
      <c r="D4853" s="5">
        <v>124423</v>
      </c>
      <c r="E4853">
        <v>4410533</v>
      </c>
      <c r="F4853" s="4" t="s">
        <v>823</v>
      </c>
      <c r="G4853" t="s">
        <v>29</v>
      </c>
      <c r="H4853" t="s">
        <v>824</v>
      </c>
    </row>
    <row r="4854" spans="1:8" x14ac:dyDescent="0.25">
      <c r="A4854" t="s">
        <v>1075</v>
      </c>
      <c r="B4854" t="s">
        <v>266</v>
      </c>
      <c r="C4854" s="5">
        <v>2038847</v>
      </c>
      <c r="D4854" s="5">
        <v>22810</v>
      </c>
      <c r="E4854">
        <v>1137266</v>
      </c>
      <c r="F4854" s="4" t="s">
        <v>911</v>
      </c>
      <c r="G4854" t="s">
        <v>29</v>
      </c>
      <c r="H4854" t="s">
        <v>912</v>
      </c>
    </row>
    <row r="4855" spans="1:8" x14ac:dyDescent="0.25">
      <c r="A4855" t="s">
        <v>1075</v>
      </c>
      <c r="B4855" t="s">
        <v>263</v>
      </c>
      <c r="C4855" s="5">
        <v>34108996</v>
      </c>
      <c r="D4855" s="5">
        <v>452651</v>
      </c>
      <c r="E4855">
        <v>22351026</v>
      </c>
      <c r="F4855" s="4" t="s">
        <v>59</v>
      </c>
      <c r="G4855" t="s">
        <v>29</v>
      </c>
      <c r="H4855" t="s">
        <v>60</v>
      </c>
    </row>
    <row r="4856" spans="1:8" x14ac:dyDescent="0.25">
      <c r="A4856" t="s">
        <v>1075</v>
      </c>
      <c r="B4856" t="s">
        <v>260</v>
      </c>
      <c r="C4856" s="5">
        <v>1319001</v>
      </c>
      <c r="D4856" s="5">
        <v>8021</v>
      </c>
      <c r="E4856">
        <v>125035</v>
      </c>
      <c r="F4856" s="4" t="s">
        <v>261</v>
      </c>
      <c r="G4856" t="s">
        <v>29</v>
      </c>
      <c r="H4856" t="s">
        <v>262</v>
      </c>
    </row>
    <row r="4857" spans="1:8" x14ac:dyDescent="0.25">
      <c r="A4857" t="s">
        <v>1075</v>
      </c>
      <c r="B4857" t="s">
        <v>257</v>
      </c>
      <c r="C4857" s="5">
        <v>419087</v>
      </c>
      <c r="D4857" s="5">
        <v>5306</v>
      </c>
      <c r="E4857">
        <v>360043</v>
      </c>
      <c r="F4857" s="4" t="s">
        <v>53</v>
      </c>
      <c r="G4857" t="s">
        <v>29</v>
      </c>
      <c r="H4857" t="s">
        <v>54</v>
      </c>
    </row>
    <row r="4858" spans="1:8" x14ac:dyDescent="0.25">
      <c r="A4858" t="s">
        <v>1075</v>
      </c>
      <c r="B4858" t="s">
        <v>254</v>
      </c>
      <c r="C4858" s="5">
        <v>4236287</v>
      </c>
      <c r="D4858" s="5">
        <v>143049</v>
      </c>
      <c r="E4858">
        <v>2303097</v>
      </c>
      <c r="F4858" s="4" t="s">
        <v>255</v>
      </c>
      <c r="G4858" t="s">
        <v>29</v>
      </c>
      <c r="H4858" t="s">
        <v>256</v>
      </c>
    </row>
    <row r="4859" spans="1:8" x14ac:dyDescent="0.25">
      <c r="A4859" t="s">
        <v>1075</v>
      </c>
      <c r="B4859" t="s">
        <v>251</v>
      </c>
      <c r="C4859" s="5">
        <v>837248</v>
      </c>
      <c r="D4859" s="5">
        <v>30418</v>
      </c>
      <c r="E4859">
        <v>230380</v>
      </c>
      <c r="F4859" s="4" t="s">
        <v>1061</v>
      </c>
      <c r="G4859" t="s">
        <v>29</v>
      </c>
      <c r="H4859" t="s">
        <v>1062</v>
      </c>
    </row>
    <row r="4860" spans="1:8" x14ac:dyDescent="0.25">
      <c r="A4860" t="s">
        <v>1075</v>
      </c>
      <c r="B4860" t="s">
        <v>248</v>
      </c>
      <c r="C4860" s="5">
        <v>23324</v>
      </c>
      <c r="D4860" s="5">
        <v>658</v>
      </c>
      <c r="E4860">
        <v>5968</v>
      </c>
      <c r="F4860" s="4" t="s">
        <v>773</v>
      </c>
      <c r="G4860" t="s">
        <v>29</v>
      </c>
      <c r="H4860" t="s">
        <v>774</v>
      </c>
    </row>
    <row r="4861" spans="1:8" x14ac:dyDescent="0.25">
      <c r="A4861" t="s">
        <v>1075</v>
      </c>
      <c r="B4861" t="s">
        <v>245</v>
      </c>
      <c r="C4861" s="5">
        <v>429974</v>
      </c>
      <c r="D4861" s="5">
        <v>8928</v>
      </c>
      <c r="E4861">
        <v>239085</v>
      </c>
      <c r="F4861" s="4" t="s">
        <v>549</v>
      </c>
      <c r="G4861" t="s">
        <v>29</v>
      </c>
      <c r="H4861" t="s">
        <v>550</v>
      </c>
    </row>
    <row r="4862" spans="1:8" x14ac:dyDescent="0.25">
      <c r="A4862" t="s">
        <v>1075</v>
      </c>
      <c r="B4862" t="s">
        <v>242</v>
      </c>
      <c r="C4862" s="5">
        <v>373206</v>
      </c>
      <c r="D4862" s="5">
        <v>10147</v>
      </c>
      <c r="E4862">
        <v>74148</v>
      </c>
      <c r="F4862" s="4" t="s">
        <v>938</v>
      </c>
      <c r="G4862" t="s">
        <v>29</v>
      </c>
      <c r="H4862" t="s">
        <v>939</v>
      </c>
    </row>
    <row r="4863" spans="1:8" x14ac:dyDescent="0.25">
      <c r="A4863" t="s">
        <v>1075</v>
      </c>
      <c r="B4863" t="s">
        <v>239</v>
      </c>
      <c r="C4863" s="5">
        <v>12301</v>
      </c>
      <c r="D4863" s="5">
        <v>213</v>
      </c>
      <c r="E4863">
        <v>7352</v>
      </c>
      <c r="F4863" s="4" t="s">
        <v>765</v>
      </c>
      <c r="G4863" t="s">
        <v>29</v>
      </c>
      <c r="H4863" t="s">
        <v>766</v>
      </c>
    </row>
    <row r="4864" spans="1:8" x14ac:dyDescent="0.25">
      <c r="A4864" t="s">
        <v>1075</v>
      </c>
      <c r="B4864" t="s">
        <v>236</v>
      </c>
      <c r="C4864" s="5">
        <v>34608</v>
      </c>
      <c r="D4864" s="5">
        <v>877</v>
      </c>
      <c r="E4864">
        <v>20729</v>
      </c>
      <c r="F4864" s="4" t="s">
        <v>611</v>
      </c>
      <c r="G4864" t="s">
        <v>29</v>
      </c>
      <c r="H4864" t="s">
        <v>612</v>
      </c>
    </row>
    <row r="4865" spans="1:8" x14ac:dyDescent="0.25">
      <c r="A4865" t="s">
        <v>1075</v>
      </c>
      <c r="B4865" t="s">
        <v>233</v>
      </c>
      <c r="C4865" s="5">
        <v>6130</v>
      </c>
      <c r="D4865" s="5">
        <v>141</v>
      </c>
      <c r="E4865">
        <v>3911</v>
      </c>
      <c r="F4865" s="4" t="s">
        <v>619</v>
      </c>
      <c r="G4865" t="s">
        <v>29</v>
      </c>
      <c r="H4865" t="s">
        <v>620</v>
      </c>
    </row>
    <row r="4866" spans="1:8" x14ac:dyDescent="0.25">
      <c r="A4866" t="s">
        <v>1075</v>
      </c>
      <c r="B4866" t="s">
        <v>232</v>
      </c>
      <c r="C4866" s="5">
        <v>589986</v>
      </c>
      <c r="D4866" s="5">
        <v>14436</v>
      </c>
      <c r="E4866">
        <v>191320</v>
      </c>
      <c r="F4866" s="4" t="s">
        <v>999</v>
      </c>
      <c r="G4866" t="s">
        <v>29</v>
      </c>
      <c r="H4866" t="s">
        <v>1000</v>
      </c>
    </row>
    <row r="4867" spans="1:8" x14ac:dyDescent="0.25">
      <c r="A4867" t="s">
        <v>1075</v>
      </c>
      <c r="B4867" t="s">
        <v>229</v>
      </c>
      <c r="C4867" s="5">
        <v>700959</v>
      </c>
      <c r="D4867" s="5">
        <v>15447</v>
      </c>
      <c r="E4867">
        <v>139648</v>
      </c>
      <c r="F4867" s="4" t="s">
        <v>969</v>
      </c>
      <c r="G4867" t="s">
        <v>29</v>
      </c>
      <c r="H4867" t="s">
        <v>970</v>
      </c>
    </row>
    <row r="4868" spans="1:8" x14ac:dyDescent="0.25">
      <c r="A4868" t="s">
        <v>1075</v>
      </c>
      <c r="B4868" t="s">
        <v>228</v>
      </c>
      <c r="C4868" s="5">
        <v>13020</v>
      </c>
      <c r="D4868" s="5">
        <v>161</v>
      </c>
      <c r="E4868">
        <v>995</v>
      </c>
      <c r="F4868" s="4" t="s">
        <v>394</v>
      </c>
      <c r="G4868" t="s">
        <v>29</v>
      </c>
      <c r="H4868" t="s">
        <v>395</v>
      </c>
    </row>
    <row r="4869" spans="1:8" x14ac:dyDescent="0.25">
      <c r="A4869" t="s">
        <v>1075</v>
      </c>
      <c r="B4869" t="s">
        <v>225</v>
      </c>
      <c r="C4869" s="5">
        <v>54095</v>
      </c>
      <c r="D4869" s="5">
        <v>809</v>
      </c>
      <c r="E4869">
        <v>50619</v>
      </c>
      <c r="F4869" s="4" t="s">
        <v>226</v>
      </c>
      <c r="G4869" t="s">
        <v>29</v>
      </c>
      <c r="H4869" t="s">
        <v>227</v>
      </c>
    </row>
    <row r="4870" spans="1:8" x14ac:dyDescent="0.25">
      <c r="A4870" t="s">
        <v>1075</v>
      </c>
      <c r="B4870" t="s">
        <v>219</v>
      </c>
      <c r="C4870" s="5">
        <v>9946</v>
      </c>
      <c r="D4870" s="5">
        <v>339</v>
      </c>
      <c r="E4870">
        <v>6432</v>
      </c>
      <c r="F4870" s="4" t="s">
        <v>205</v>
      </c>
      <c r="G4870" t="s">
        <v>29</v>
      </c>
      <c r="H4870" t="s">
        <v>206</v>
      </c>
    </row>
    <row r="4871" spans="1:8" x14ac:dyDescent="0.25">
      <c r="A4871" t="s">
        <v>1075</v>
      </c>
      <c r="B4871" t="s">
        <v>222</v>
      </c>
      <c r="C4871" s="5">
        <v>30599</v>
      </c>
      <c r="D4871" s="5">
        <v>385</v>
      </c>
      <c r="E4871">
        <v>6610</v>
      </c>
      <c r="F4871" s="4" t="s">
        <v>223</v>
      </c>
      <c r="G4871" t="s">
        <v>29</v>
      </c>
      <c r="H4871" t="s">
        <v>224</v>
      </c>
    </row>
    <row r="4872" spans="1:8" x14ac:dyDescent="0.25">
      <c r="A4872" t="s">
        <v>1075</v>
      </c>
      <c r="B4872" t="s">
        <v>216</v>
      </c>
      <c r="C4872" s="5">
        <v>5780</v>
      </c>
      <c r="D4872" s="5">
        <v>98</v>
      </c>
      <c r="E4872">
        <v>576</v>
      </c>
      <c r="F4872" s="4" t="s">
        <v>125</v>
      </c>
      <c r="G4872" t="s">
        <v>29</v>
      </c>
      <c r="H4872" t="s">
        <v>126</v>
      </c>
    </row>
    <row r="4873" spans="1:8" x14ac:dyDescent="0.25">
      <c r="A4873" t="s">
        <v>1075</v>
      </c>
      <c r="B4873" t="s">
        <v>213</v>
      </c>
      <c r="C4873" s="5">
        <v>129592</v>
      </c>
      <c r="D4873" s="5">
        <v>1169</v>
      </c>
      <c r="E4873">
        <v>50188</v>
      </c>
      <c r="F4873" s="4" t="s">
        <v>667</v>
      </c>
      <c r="G4873" t="s">
        <v>29</v>
      </c>
      <c r="H4873" t="s">
        <v>668</v>
      </c>
    </row>
    <row r="4874" spans="1:8" x14ac:dyDescent="0.25">
      <c r="A4874" t="s">
        <v>1075</v>
      </c>
      <c r="B4874" t="s">
        <v>210</v>
      </c>
      <c r="C4874" s="5">
        <v>43561</v>
      </c>
      <c r="D4874" s="5">
        <v>297</v>
      </c>
      <c r="E4874">
        <v>6587</v>
      </c>
      <c r="F4874" s="4" t="s">
        <v>605</v>
      </c>
      <c r="G4874" t="s">
        <v>29</v>
      </c>
      <c r="H4874" t="s">
        <v>606</v>
      </c>
    </row>
    <row r="4875" spans="1:8" x14ac:dyDescent="0.25">
      <c r="A4875" t="s">
        <v>1075</v>
      </c>
      <c r="B4875" t="s">
        <v>204</v>
      </c>
      <c r="C4875" s="5">
        <v>5776</v>
      </c>
      <c r="D4875" s="5">
        <v>193</v>
      </c>
      <c r="E4875">
        <v>2504</v>
      </c>
      <c r="F4875" s="4" t="s">
        <v>869</v>
      </c>
      <c r="G4875" t="s">
        <v>29</v>
      </c>
      <c r="H4875" t="s">
        <v>870</v>
      </c>
    </row>
    <row r="4876" spans="1:8" x14ac:dyDescent="0.25">
      <c r="A4876" t="s">
        <v>1075</v>
      </c>
      <c r="B4876" t="s">
        <v>207</v>
      </c>
      <c r="C4876" s="5">
        <v>670552</v>
      </c>
      <c r="D4876" s="5">
        <v>9546</v>
      </c>
      <c r="E4876">
        <v>545260</v>
      </c>
      <c r="F4876" s="4" t="s">
        <v>640</v>
      </c>
      <c r="G4876" t="s">
        <v>29</v>
      </c>
      <c r="H4876" t="s">
        <v>641</v>
      </c>
    </row>
    <row r="4877" spans="1:8" x14ac:dyDescent="0.25">
      <c r="A4877" t="s">
        <v>1075</v>
      </c>
      <c r="B4877" t="s">
        <v>201</v>
      </c>
      <c r="C4877" s="5">
        <v>8575498</v>
      </c>
      <c r="D4877" s="5">
        <v>139167</v>
      </c>
      <c r="E4877">
        <v>7303971</v>
      </c>
      <c r="F4877" s="4" t="s">
        <v>516</v>
      </c>
      <c r="G4877" t="s">
        <v>29</v>
      </c>
      <c r="H4877" t="s">
        <v>517</v>
      </c>
    </row>
    <row r="4878" spans="1:8" x14ac:dyDescent="0.25">
      <c r="A4878" t="s">
        <v>1075</v>
      </c>
      <c r="B4878" t="s">
        <v>198</v>
      </c>
      <c r="C4878" s="5">
        <v>33842</v>
      </c>
      <c r="D4878" s="5">
        <v>218</v>
      </c>
      <c r="E4878">
        <v>13325</v>
      </c>
      <c r="F4878" s="4" t="s">
        <v>953</v>
      </c>
      <c r="G4878" t="s">
        <v>29</v>
      </c>
      <c r="H4878" t="s">
        <v>954</v>
      </c>
    </row>
    <row r="4879" spans="1:8" x14ac:dyDescent="0.25">
      <c r="A4879" t="s">
        <v>1075</v>
      </c>
      <c r="B4879" t="s">
        <v>195</v>
      </c>
      <c r="C4879" s="5">
        <v>6920943</v>
      </c>
      <c r="D4879" s="5">
        <v>115008</v>
      </c>
      <c r="E4879">
        <v>5018166</v>
      </c>
      <c r="F4879" s="4" t="s">
        <v>135</v>
      </c>
      <c r="G4879" t="s">
        <v>29</v>
      </c>
      <c r="H4879" t="s">
        <v>136</v>
      </c>
    </row>
    <row r="4880" spans="1:8" x14ac:dyDescent="0.25">
      <c r="A4880" t="s">
        <v>1075</v>
      </c>
      <c r="B4880" t="s">
        <v>192</v>
      </c>
      <c r="C4880" s="5">
        <v>1350</v>
      </c>
      <c r="D4880" s="5">
        <v>2</v>
      </c>
      <c r="E4880">
        <v>793</v>
      </c>
      <c r="F4880" s="4" t="s">
        <v>915</v>
      </c>
      <c r="G4880" t="s">
        <v>29</v>
      </c>
      <c r="H4880" t="s">
        <v>916</v>
      </c>
    </row>
    <row r="4881" spans="1:8" x14ac:dyDescent="0.25">
      <c r="A4881" t="s">
        <v>1075</v>
      </c>
      <c r="B4881" t="s">
        <v>189</v>
      </c>
      <c r="C4881" s="5">
        <v>51846</v>
      </c>
      <c r="D4881" s="5">
        <v>663</v>
      </c>
      <c r="E4881">
        <v>13309</v>
      </c>
      <c r="F4881" s="4" t="s">
        <v>381</v>
      </c>
      <c r="G4881" t="s">
        <v>29</v>
      </c>
      <c r="H4881" t="s">
        <v>382</v>
      </c>
    </row>
    <row r="4882" spans="1:8" x14ac:dyDescent="0.25">
      <c r="A4882" t="s">
        <v>1075</v>
      </c>
      <c r="B4882" t="s">
        <v>186</v>
      </c>
      <c r="C4882" s="5">
        <v>151787</v>
      </c>
      <c r="D4882" s="5">
        <v>1128</v>
      </c>
      <c r="E4882">
        <v>75552</v>
      </c>
      <c r="F4882" s="4" t="s">
        <v>819</v>
      </c>
      <c r="G4882" t="s">
        <v>29</v>
      </c>
      <c r="H4882" t="s">
        <v>820</v>
      </c>
    </row>
    <row r="4883" spans="1:8" x14ac:dyDescent="0.25">
      <c r="A4883" t="s">
        <v>1075</v>
      </c>
      <c r="B4883" t="s">
        <v>185</v>
      </c>
      <c r="C4883" s="5">
        <v>359881</v>
      </c>
      <c r="D4883" s="5">
        <v>6258</v>
      </c>
      <c r="E4883">
        <v>231603</v>
      </c>
      <c r="F4883" s="4" t="s">
        <v>183</v>
      </c>
      <c r="G4883" t="s">
        <v>29</v>
      </c>
      <c r="H4883" t="s">
        <v>184</v>
      </c>
    </row>
    <row r="4884" spans="1:8" x14ac:dyDescent="0.25">
      <c r="A4884" t="s">
        <v>1075</v>
      </c>
      <c r="B4884" t="s">
        <v>182</v>
      </c>
      <c r="C4884" s="5">
        <v>4990767</v>
      </c>
      <c r="D4884" s="5">
        <v>87051</v>
      </c>
      <c r="E4884">
        <v>3876395</v>
      </c>
      <c r="F4884" s="4" t="s">
        <v>183</v>
      </c>
      <c r="G4884" t="s">
        <v>29</v>
      </c>
      <c r="H4884" t="s">
        <v>184</v>
      </c>
    </row>
    <row r="4885" spans="1:8" x14ac:dyDescent="0.25">
      <c r="A4885" t="s">
        <v>1075</v>
      </c>
      <c r="B4885" t="s">
        <v>179</v>
      </c>
      <c r="C4885" s="5">
        <v>6778</v>
      </c>
      <c r="D4885" s="5">
        <v>45</v>
      </c>
      <c r="E4885">
        <v>1038</v>
      </c>
      <c r="F4885" s="4" t="s">
        <v>162</v>
      </c>
      <c r="G4885" t="s">
        <v>29</v>
      </c>
      <c r="H4885" t="s">
        <v>163</v>
      </c>
    </row>
    <row r="4886" spans="1:8" x14ac:dyDescent="0.25">
      <c r="A4886" t="s">
        <v>1075</v>
      </c>
      <c r="B4886" t="s">
        <v>176</v>
      </c>
      <c r="C4886" s="5">
        <v>320207</v>
      </c>
      <c r="D4886" s="5">
        <v>18058</v>
      </c>
      <c r="E4886">
        <v>19240</v>
      </c>
      <c r="F4886" s="4" t="s">
        <v>756</v>
      </c>
      <c r="G4886" t="s">
        <v>29</v>
      </c>
      <c r="H4886" t="s">
        <v>757</v>
      </c>
    </row>
    <row r="4887" spans="1:8" x14ac:dyDescent="0.25">
      <c r="A4887" t="s">
        <v>1075</v>
      </c>
      <c r="B4887" t="s">
        <v>173</v>
      </c>
      <c r="C4887" s="5">
        <v>174436</v>
      </c>
      <c r="D4887" s="5">
        <v>1435</v>
      </c>
      <c r="E4887">
        <v>24555</v>
      </c>
      <c r="F4887" s="4" t="s">
        <v>1057</v>
      </c>
      <c r="G4887" t="s">
        <v>29</v>
      </c>
      <c r="H4887" t="s">
        <v>1058</v>
      </c>
    </row>
    <row r="4888" spans="1:8" x14ac:dyDescent="0.25">
      <c r="A4888" t="s">
        <v>1075</v>
      </c>
      <c r="B4888" t="s">
        <v>170</v>
      </c>
      <c r="C4888" s="5">
        <v>514087</v>
      </c>
      <c r="D4888" s="5">
        <v>32937</v>
      </c>
      <c r="E4888">
        <v>419002</v>
      </c>
      <c r="F4888" s="4" t="s">
        <v>1020</v>
      </c>
      <c r="G4888" t="s">
        <v>29</v>
      </c>
      <c r="H4888" t="s">
        <v>1021</v>
      </c>
    </row>
    <row r="4889" spans="1:8" x14ac:dyDescent="0.25">
      <c r="A4889" t="s">
        <v>1075</v>
      </c>
      <c r="B4889" t="s">
        <v>167</v>
      </c>
      <c r="C4889" s="5">
        <v>205453</v>
      </c>
      <c r="D4889" s="5">
        <v>5875</v>
      </c>
      <c r="E4889">
        <v>8722</v>
      </c>
      <c r="F4889" s="4" t="s">
        <v>955</v>
      </c>
      <c r="G4889" t="s">
        <v>29</v>
      </c>
      <c r="H4889" t="s">
        <v>956</v>
      </c>
    </row>
    <row r="4890" spans="1:8" x14ac:dyDescent="0.25">
      <c r="A4890" t="s">
        <v>1075</v>
      </c>
      <c r="B4890" t="s">
        <v>164</v>
      </c>
      <c r="C4890" s="5">
        <v>372077</v>
      </c>
      <c r="D4890" s="5">
        <v>4093</v>
      </c>
      <c r="E4890">
        <v>223494</v>
      </c>
      <c r="F4890" s="4" t="s">
        <v>1044</v>
      </c>
      <c r="G4890" t="s">
        <v>29</v>
      </c>
      <c r="H4890" t="s">
        <v>1045</v>
      </c>
    </row>
    <row r="4891" spans="1:8" x14ac:dyDescent="0.25">
      <c r="A4891" t="s">
        <v>1075</v>
      </c>
      <c r="B4891" t="s">
        <v>161</v>
      </c>
      <c r="C4891" s="5">
        <v>4366</v>
      </c>
      <c r="D4891" s="5">
        <v>30</v>
      </c>
      <c r="E4891">
        <v>1869</v>
      </c>
      <c r="F4891" s="4" t="s">
        <v>180</v>
      </c>
      <c r="G4891" t="s">
        <v>29</v>
      </c>
      <c r="H4891" t="s">
        <v>181</v>
      </c>
    </row>
    <row r="4892" spans="1:8" x14ac:dyDescent="0.25">
      <c r="A4892" t="s">
        <v>1075</v>
      </c>
      <c r="B4892" t="s">
        <v>160</v>
      </c>
      <c r="C4892" s="5">
        <v>370847</v>
      </c>
      <c r="D4892" s="5">
        <v>2690</v>
      </c>
      <c r="E4892">
        <v>261281</v>
      </c>
      <c r="F4892" s="4" t="s">
        <v>187</v>
      </c>
      <c r="G4892" t="s">
        <v>29</v>
      </c>
      <c r="H4892" t="s">
        <v>188</v>
      </c>
    </row>
    <row r="4893" spans="1:8" x14ac:dyDescent="0.25">
      <c r="A4893" t="s">
        <v>1075</v>
      </c>
      <c r="B4893" t="s">
        <v>157</v>
      </c>
      <c r="C4893" s="5">
        <v>13423</v>
      </c>
      <c r="D4893" s="5">
        <v>181</v>
      </c>
      <c r="E4893">
        <v>7823</v>
      </c>
      <c r="F4893" s="4" t="s">
        <v>409</v>
      </c>
      <c r="G4893" t="s">
        <v>29</v>
      </c>
      <c r="H4893" t="s">
        <v>410</v>
      </c>
    </row>
    <row r="4894" spans="1:8" x14ac:dyDescent="0.25">
      <c r="A4894" t="s">
        <v>1075</v>
      </c>
      <c r="B4894" t="s">
        <v>154</v>
      </c>
      <c r="C4894" s="5">
        <v>4410921</v>
      </c>
      <c r="D4894" s="5">
        <v>94812</v>
      </c>
      <c r="E4894">
        <v>3897294</v>
      </c>
      <c r="F4894" s="4" t="s">
        <v>852</v>
      </c>
      <c r="G4894" t="s">
        <v>29</v>
      </c>
      <c r="H4894" t="s">
        <v>853</v>
      </c>
    </row>
    <row r="4895" spans="1:8" x14ac:dyDescent="0.25">
      <c r="A4895" t="s">
        <v>1075</v>
      </c>
      <c r="B4895" t="s">
        <v>151</v>
      </c>
      <c r="C4895" s="5">
        <v>1712246</v>
      </c>
      <c r="D4895" s="5">
        <v>30570</v>
      </c>
      <c r="E4895">
        <v>1102693</v>
      </c>
      <c r="F4895" s="4" t="s">
        <v>71</v>
      </c>
      <c r="G4895" t="s">
        <v>29</v>
      </c>
      <c r="H4895" t="s">
        <v>72</v>
      </c>
    </row>
    <row r="4896" spans="1:8" x14ac:dyDescent="0.25">
      <c r="A4896" t="s">
        <v>1075</v>
      </c>
      <c r="B4896" t="s">
        <v>148</v>
      </c>
      <c r="C4896" s="5">
        <v>122528</v>
      </c>
      <c r="D4896" s="5">
        <v>565</v>
      </c>
      <c r="E4896">
        <v>38314</v>
      </c>
      <c r="F4896" s="4" t="s">
        <v>149</v>
      </c>
      <c r="G4896" t="s">
        <v>29</v>
      </c>
      <c r="H4896" t="s">
        <v>150</v>
      </c>
    </row>
    <row r="4897" spans="1:8" x14ac:dyDescent="0.25">
      <c r="A4897" t="s">
        <v>1075</v>
      </c>
      <c r="B4897" t="s">
        <v>145</v>
      </c>
      <c r="C4897" s="5">
        <v>38052</v>
      </c>
      <c r="D4897" s="5">
        <v>347</v>
      </c>
      <c r="E4897">
        <v>8553</v>
      </c>
      <c r="F4897" s="4" t="s">
        <v>146</v>
      </c>
      <c r="G4897" t="s">
        <v>29</v>
      </c>
      <c r="H4897" t="s">
        <v>147</v>
      </c>
    </row>
    <row r="4898" spans="1:8" x14ac:dyDescent="0.25">
      <c r="A4898" t="s">
        <v>1075</v>
      </c>
      <c r="B4898" t="s">
        <v>144</v>
      </c>
      <c r="C4898" s="5">
        <v>938577</v>
      </c>
      <c r="D4898" s="5">
        <v>8101</v>
      </c>
      <c r="E4898">
        <v>308632</v>
      </c>
      <c r="F4898" s="4" t="s">
        <v>122</v>
      </c>
      <c r="G4898" t="s">
        <v>29</v>
      </c>
      <c r="H4898" t="s">
        <v>123</v>
      </c>
    </row>
    <row r="4899" spans="1:8" x14ac:dyDescent="0.25">
      <c r="A4899" t="s">
        <v>1075</v>
      </c>
      <c r="B4899" t="s">
        <v>143</v>
      </c>
      <c r="C4899" s="5">
        <v>553661</v>
      </c>
      <c r="D4899" s="5">
        <v>6880</v>
      </c>
      <c r="E4899">
        <v>379120</v>
      </c>
      <c r="F4899" s="4" t="s">
        <v>394</v>
      </c>
      <c r="G4899" t="s">
        <v>29</v>
      </c>
      <c r="H4899" t="s">
        <v>395</v>
      </c>
    </row>
    <row r="4900" spans="1:8" x14ac:dyDescent="0.25">
      <c r="A4900" t="s">
        <v>1075</v>
      </c>
      <c r="B4900" t="s">
        <v>140</v>
      </c>
      <c r="C4900" s="5">
        <v>4983527</v>
      </c>
      <c r="D4900" s="5">
        <v>126910</v>
      </c>
      <c r="E4900">
        <v>129441</v>
      </c>
      <c r="F4900" s="4" t="s">
        <v>513</v>
      </c>
      <c r="G4900" t="s">
        <v>29</v>
      </c>
      <c r="H4900" t="s">
        <v>514</v>
      </c>
    </row>
    <row r="4901" spans="1:8" x14ac:dyDescent="0.25">
      <c r="A4901" t="s">
        <v>1075</v>
      </c>
      <c r="B4901" t="s">
        <v>137</v>
      </c>
      <c r="C4901" s="5">
        <v>96601</v>
      </c>
      <c r="D4901" s="5">
        <v>4636</v>
      </c>
      <c r="E4901">
        <v>83365</v>
      </c>
      <c r="F4901" s="4" t="s">
        <v>1046</v>
      </c>
      <c r="G4901" t="s">
        <v>29</v>
      </c>
      <c r="H4901" t="s">
        <v>1047</v>
      </c>
    </row>
    <row r="4902" spans="1:8" x14ac:dyDescent="0.25">
      <c r="A4902" t="s">
        <v>1075</v>
      </c>
      <c r="B4902" t="s">
        <v>134</v>
      </c>
      <c r="C4902" s="5">
        <v>100289</v>
      </c>
      <c r="D4902" s="5">
        <v>1600</v>
      </c>
      <c r="E4902">
        <v>79307</v>
      </c>
      <c r="F4902" s="4" t="s">
        <v>313</v>
      </c>
      <c r="G4902" t="s">
        <v>29</v>
      </c>
      <c r="H4902" t="s">
        <v>314</v>
      </c>
    </row>
    <row r="4903" spans="1:8" x14ac:dyDescent="0.25">
      <c r="A4903" t="s">
        <v>1075</v>
      </c>
      <c r="B4903" t="s">
        <v>131</v>
      </c>
      <c r="C4903" s="5">
        <v>1672998</v>
      </c>
      <c r="D4903" s="5">
        <v>37623</v>
      </c>
      <c r="E4903">
        <v>780948</v>
      </c>
      <c r="F4903" s="4" t="s">
        <v>613</v>
      </c>
      <c r="G4903" t="s">
        <v>29</v>
      </c>
      <c r="H4903" t="s">
        <v>614</v>
      </c>
    </row>
    <row r="4904" spans="1:8" x14ac:dyDescent="0.25">
      <c r="A4904" t="s">
        <v>1075</v>
      </c>
      <c r="B4904" t="s">
        <v>128</v>
      </c>
      <c r="C4904" s="5">
        <v>61089</v>
      </c>
      <c r="D4904" s="5">
        <v>685</v>
      </c>
      <c r="E4904">
        <v>13793</v>
      </c>
      <c r="F4904" s="4" t="s">
        <v>911</v>
      </c>
      <c r="G4904" t="s">
        <v>29</v>
      </c>
      <c r="H4904" t="s">
        <v>912</v>
      </c>
    </row>
    <row r="4905" spans="1:8" x14ac:dyDescent="0.25">
      <c r="A4905" t="s">
        <v>1075</v>
      </c>
      <c r="B4905" t="s">
        <v>127</v>
      </c>
      <c r="C4905" s="5">
        <v>858198</v>
      </c>
      <c r="D4905" s="5">
        <v>11168</v>
      </c>
      <c r="E4905">
        <v>517920</v>
      </c>
      <c r="F4905" s="4" t="s">
        <v>190</v>
      </c>
      <c r="G4905" t="s">
        <v>29</v>
      </c>
      <c r="H4905" t="s">
        <v>191</v>
      </c>
    </row>
    <row r="4906" spans="1:8" x14ac:dyDescent="0.25">
      <c r="A4906" t="s">
        <v>1075</v>
      </c>
      <c r="B4906" t="s">
        <v>124</v>
      </c>
      <c r="C4906" s="5">
        <v>15962</v>
      </c>
      <c r="D4906" s="5">
        <v>231</v>
      </c>
      <c r="E4906">
        <v>4901</v>
      </c>
      <c r="F4906" s="4" t="s">
        <v>342</v>
      </c>
      <c r="G4906" t="s">
        <v>29</v>
      </c>
      <c r="H4906" t="s">
        <v>343</v>
      </c>
    </row>
    <row r="4907" spans="1:8" x14ac:dyDescent="0.25">
      <c r="A4907" t="s">
        <v>1075</v>
      </c>
      <c r="B4907" t="s">
        <v>121</v>
      </c>
      <c r="C4907" s="5">
        <v>11478</v>
      </c>
      <c r="D4907" s="5">
        <v>100</v>
      </c>
      <c r="E4907">
        <v>3908</v>
      </c>
      <c r="F4907" s="4" t="s">
        <v>498</v>
      </c>
      <c r="G4907" t="s">
        <v>29</v>
      </c>
      <c r="H4907" t="s">
        <v>499</v>
      </c>
    </row>
    <row r="4908" spans="1:8" x14ac:dyDescent="0.25">
      <c r="A4908" t="s">
        <v>1075</v>
      </c>
      <c r="B4908" t="s">
        <v>118</v>
      </c>
      <c r="C4908" s="5">
        <v>57338</v>
      </c>
      <c r="D4908" s="5">
        <v>1091</v>
      </c>
      <c r="E4908">
        <v>25427</v>
      </c>
      <c r="F4908" s="4" t="s">
        <v>652</v>
      </c>
      <c r="G4908" t="s">
        <v>29</v>
      </c>
      <c r="H4908" t="s">
        <v>653</v>
      </c>
    </row>
    <row r="4909" spans="1:8" x14ac:dyDescent="0.25">
      <c r="A4909" t="s">
        <v>1075</v>
      </c>
      <c r="B4909" t="s">
        <v>115</v>
      </c>
      <c r="C4909" s="5">
        <v>1695788</v>
      </c>
      <c r="D4909" s="5">
        <v>28657</v>
      </c>
      <c r="E4909">
        <v>248960</v>
      </c>
      <c r="F4909" s="4" t="s">
        <v>152</v>
      </c>
      <c r="G4909" t="s">
        <v>29</v>
      </c>
      <c r="H4909" t="s">
        <v>153</v>
      </c>
    </row>
    <row r="4910" spans="1:8" x14ac:dyDescent="0.25">
      <c r="A4910" t="s">
        <v>1075</v>
      </c>
      <c r="B4910" t="s">
        <v>112</v>
      </c>
      <c r="C4910" s="5">
        <v>24768</v>
      </c>
      <c r="D4910" s="5">
        <v>466</v>
      </c>
      <c r="E4910">
        <v>4139</v>
      </c>
      <c r="F4910" s="4" t="s">
        <v>246</v>
      </c>
      <c r="G4910" t="s">
        <v>29</v>
      </c>
      <c r="H4910" t="s">
        <v>247</v>
      </c>
    </row>
    <row r="4911" spans="1:8" x14ac:dyDescent="0.25">
      <c r="A4911" t="s">
        <v>1075</v>
      </c>
      <c r="B4911" t="s">
        <v>109</v>
      </c>
      <c r="C4911" s="5">
        <v>575856</v>
      </c>
      <c r="D4911" s="5">
        <v>4432</v>
      </c>
      <c r="E4911">
        <v>487408</v>
      </c>
      <c r="F4911" s="4" t="s">
        <v>110</v>
      </c>
      <c r="G4911" t="s">
        <v>29</v>
      </c>
      <c r="H4911" t="s">
        <v>111</v>
      </c>
    </row>
    <row r="4912" spans="1:8" x14ac:dyDescent="0.25">
      <c r="A4912" t="s">
        <v>1075</v>
      </c>
      <c r="B4912" t="s">
        <v>106</v>
      </c>
      <c r="C4912" s="5">
        <v>184051</v>
      </c>
      <c r="D4912" s="5">
        <v>2389</v>
      </c>
      <c r="E4912">
        <v>151555</v>
      </c>
      <c r="F4912" s="4" t="s">
        <v>190</v>
      </c>
      <c r="G4912" t="s">
        <v>29</v>
      </c>
      <c r="H4912" t="s">
        <v>191</v>
      </c>
    </row>
    <row r="4913" spans="1:8" x14ac:dyDescent="0.25">
      <c r="A4913" t="s">
        <v>1075</v>
      </c>
      <c r="B4913" t="s">
        <v>103</v>
      </c>
      <c r="C4913" s="5">
        <v>2617</v>
      </c>
      <c r="D4913" s="5">
        <v>3</v>
      </c>
      <c r="E4913">
        <v>1794</v>
      </c>
      <c r="F4913" s="4" t="s">
        <v>104</v>
      </c>
      <c r="G4913" t="s">
        <v>29</v>
      </c>
      <c r="H4913" t="s">
        <v>105</v>
      </c>
    </row>
    <row r="4914" spans="1:8" x14ac:dyDescent="0.25">
      <c r="A4914" t="s">
        <v>1075</v>
      </c>
      <c r="B4914" t="s">
        <v>100</v>
      </c>
      <c r="C4914" s="5">
        <v>22048</v>
      </c>
      <c r="D4914" s="5">
        <v>626</v>
      </c>
      <c r="E4914">
        <v>10799</v>
      </c>
      <c r="F4914" s="4" t="s">
        <v>1048</v>
      </c>
      <c r="G4914" t="s">
        <v>29</v>
      </c>
      <c r="H4914" t="s">
        <v>1049</v>
      </c>
    </row>
    <row r="4915" spans="1:8" x14ac:dyDescent="0.25">
      <c r="A4915" t="s">
        <v>1075</v>
      </c>
      <c r="B4915" t="s">
        <v>97</v>
      </c>
      <c r="C4915" s="5">
        <v>21664879</v>
      </c>
      <c r="D4915" s="5">
        <v>603855</v>
      </c>
      <c r="E4915">
        <v>5578208</v>
      </c>
      <c r="F4915" s="4" t="s">
        <v>662</v>
      </c>
      <c r="G4915" t="s">
        <v>29</v>
      </c>
      <c r="H4915" t="s">
        <v>663</v>
      </c>
    </row>
    <row r="4916" spans="1:8" x14ac:dyDescent="0.25">
      <c r="A4916" t="s">
        <v>1075</v>
      </c>
      <c r="B4916" t="s">
        <v>94</v>
      </c>
      <c r="C4916" s="5">
        <v>507134</v>
      </c>
      <c r="D4916" s="5">
        <v>18877</v>
      </c>
      <c r="E4916">
        <v>328297</v>
      </c>
      <c r="F4916" s="4" t="s">
        <v>372</v>
      </c>
      <c r="G4916" t="s">
        <v>29</v>
      </c>
      <c r="H4916" t="s">
        <v>373</v>
      </c>
    </row>
    <row r="4917" spans="1:8" x14ac:dyDescent="0.25">
      <c r="A4917" t="s">
        <v>1075</v>
      </c>
      <c r="B4917" t="s">
        <v>91</v>
      </c>
      <c r="C4917" s="5">
        <v>11220</v>
      </c>
      <c r="D4917" s="5">
        <v>77</v>
      </c>
      <c r="E4917">
        <v>11018</v>
      </c>
      <c r="F4917" s="4" t="s">
        <v>180</v>
      </c>
      <c r="G4917" t="s">
        <v>29</v>
      </c>
      <c r="H4917" t="s">
        <v>181</v>
      </c>
    </row>
    <row r="4918" spans="1:8" x14ac:dyDescent="0.25">
      <c r="A4918" t="s">
        <v>1075</v>
      </c>
      <c r="B4918" t="s">
        <v>88</v>
      </c>
      <c r="C4918" s="5">
        <v>1659</v>
      </c>
      <c r="D4918" s="5">
        <v>6</v>
      </c>
      <c r="E4918">
        <v>107</v>
      </c>
      <c r="F4918" s="4" t="s">
        <v>89</v>
      </c>
      <c r="G4918" t="s">
        <v>29</v>
      </c>
      <c r="H4918" t="s">
        <v>90</v>
      </c>
    </row>
    <row r="4919" spans="1:8" x14ac:dyDescent="0.25">
      <c r="A4919" t="s">
        <v>1075</v>
      </c>
      <c r="B4919" t="s">
        <v>85</v>
      </c>
      <c r="C4919" s="5">
        <v>24560</v>
      </c>
      <c r="D4919" s="5">
        <v>161</v>
      </c>
      <c r="E4919">
        <v>22858</v>
      </c>
      <c r="F4919" s="4" t="s">
        <v>162</v>
      </c>
      <c r="G4919" t="s">
        <v>29</v>
      </c>
      <c r="H4919" t="s">
        <v>163</v>
      </c>
    </row>
    <row r="4920" spans="1:8" x14ac:dyDescent="0.25">
      <c r="A4920" t="s">
        <v>1075</v>
      </c>
      <c r="B4920" t="s">
        <v>82</v>
      </c>
      <c r="C4920" s="5">
        <v>19745</v>
      </c>
      <c r="D4920" s="5">
        <v>38</v>
      </c>
      <c r="E4920">
        <v>14587</v>
      </c>
      <c r="F4920" s="4" t="s">
        <v>83</v>
      </c>
      <c r="G4920" t="s">
        <v>29</v>
      </c>
      <c r="H4920" t="s">
        <v>84</v>
      </c>
    </row>
    <row r="4921" spans="1:8" x14ac:dyDescent="0.25">
      <c r="A4921" t="s">
        <v>1075</v>
      </c>
      <c r="B4921" t="s">
        <v>79</v>
      </c>
      <c r="C4921" s="5">
        <v>276262</v>
      </c>
      <c r="D4921" s="5">
        <v>1392</v>
      </c>
      <c r="E4921">
        <v>244552</v>
      </c>
      <c r="F4921" s="4" t="s">
        <v>80</v>
      </c>
      <c r="G4921" t="s">
        <v>29</v>
      </c>
      <c r="H4921" t="s">
        <v>81</v>
      </c>
    </row>
    <row r="4922" spans="1:8" x14ac:dyDescent="0.25">
      <c r="A4922" t="s">
        <v>1075</v>
      </c>
      <c r="B4922" t="s">
        <v>76</v>
      </c>
      <c r="C4922" s="5">
        <v>550555</v>
      </c>
      <c r="D4922" s="5">
        <v>22612</v>
      </c>
      <c r="E4922">
        <v>995</v>
      </c>
      <c r="F4922" s="4" t="s">
        <v>1080</v>
      </c>
      <c r="G4922" t="s">
        <v>29</v>
      </c>
      <c r="H4922" t="s">
        <v>1081</v>
      </c>
    </row>
    <row r="4923" spans="1:8" x14ac:dyDescent="0.25">
      <c r="A4923" t="s">
        <v>1075</v>
      </c>
      <c r="B4923" t="s">
        <v>73</v>
      </c>
      <c r="C4923" s="5">
        <v>14759</v>
      </c>
      <c r="D4923" s="5">
        <v>209</v>
      </c>
      <c r="E4923">
        <v>5103</v>
      </c>
      <c r="F4923" s="4" t="s">
        <v>640</v>
      </c>
      <c r="G4923" t="s">
        <v>29</v>
      </c>
      <c r="H4923" t="s">
        <v>641</v>
      </c>
    </row>
    <row r="4924" spans="1:8" x14ac:dyDescent="0.25">
      <c r="A4924" t="s">
        <v>1075</v>
      </c>
      <c r="B4924" t="s">
        <v>70</v>
      </c>
      <c r="C4924" s="5">
        <v>1292887</v>
      </c>
      <c r="D4924" s="5">
        <v>25797</v>
      </c>
      <c r="E4924">
        <v>538445</v>
      </c>
      <c r="F4924" s="4" t="s">
        <v>573</v>
      </c>
      <c r="G4924" t="s">
        <v>29</v>
      </c>
      <c r="H4924" t="s">
        <v>574</v>
      </c>
    </row>
    <row r="4925" spans="1:8" x14ac:dyDescent="0.25">
      <c r="A4925" t="s">
        <v>1075</v>
      </c>
      <c r="B4925" t="s">
        <v>67</v>
      </c>
      <c r="C4925" s="5">
        <v>1566296</v>
      </c>
      <c r="D4925" s="5">
        <v>27785</v>
      </c>
      <c r="E4925">
        <v>834628</v>
      </c>
      <c r="F4925" s="4" t="s">
        <v>769</v>
      </c>
      <c r="G4925" t="s">
        <v>29</v>
      </c>
      <c r="H4925" t="s">
        <v>770</v>
      </c>
    </row>
    <row r="4926" spans="1:8" x14ac:dyDescent="0.25">
      <c r="A4926" t="s">
        <v>1075</v>
      </c>
      <c r="B4926" t="s">
        <v>64</v>
      </c>
      <c r="C4926" s="5">
        <v>13553</v>
      </c>
      <c r="D4926" s="5">
        <v>120</v>
      </c>
      <c r="E4926">
        <v>2396</v>
      </c>
      <c r="F4926" s="4" t="s">
        <v>65</v>
      </c>
      <c r="G4926" t="s">
        <v>29</v>
      </c>
      <c r="H4926" t="s">
        <v>66</v>
      </c>
    </row>
    <row r="4927" spans="1:8" x14ac:dyDescent="0.25">
      <c r="A4927" t="s">
        <v>1075</v>
      </c>
      <c r="B4927" t="s">
        <v>61</v>
      </c>
      <c r="C4927" s="5">
        <v>245791</v>
      </c>
      <c r="D4927" s="5">
        <v>11228</v>
      </c>
      <c r="E4927">
        <v>74341</v>
      </c>
      <c r="F4927" s="4" t="s">
        <v>814</v>
      </c>
      <c r="G4927" t="s">
        <v>29</v>
      </c>
      <c r="H4927" t="s">
        <v>815</v>
      </c>
    </row>
    <row r="4928" spans="1:8" x14ac:dyDescent="0.25">
      <c r="A4928" t="s">
        <v>1075</v>
      </c>
      <c r="B4928" t="s">
        <v>58</v>
      </c>
      <c r="C4928" s="5">
        <v>505554</v>
      </c>
      <c r="D4928" s="5">
        <v>6793</v>
      </c>
      <c r="E4928">
        <v>34534</v>
      </c>
      <c r="F4928" s="4" t="s">
        <v>264</v>
      </c>
      <c r="G4928" t="s">
        <v>29</v>
      </c>
      <c r="H4928" t="s">
        <v>265</v>
      </c>
    </row>
    <row r="4929" spans="1:8" x14ac:dyDescent="0.25">
      <c r="A4929" t="s">
        <v>1075</v>
      </c>
      <c r="B4929" t="s">
        <v>55</v>
      </c>
      <c r="C4929" s="5">
        <v>149398</v>
      </c>
      <c r="D4929" s="5">
        <v>1577</v>
      </c>
      <c r="E4929">
        <v>42133</v>
      </c>
      <c r="F4929" s="4" t="s">
        <v>165</v>
      </c>
      <c r="G4929" t="s">
        <v>29</v>
      </c>
      <c r="H4929" t="s">
        <v>166</v>
      </c>
    </row>
    <row r="4930" spans="1:8" x14ac:dyDescent="0.25">
      <c r="A4930" t="s">
        <v>1075</v>
      </c>
      <c r="B4930" t="s">
        <v>52</v>
      </c>
      <c r="C4930" s="5">
        <v>780269</v>
      </c>
      <c r="D4930" s="5">
        <v>11196</v>
      </c>
      <c r="E4930">
        <v>51783</v>
      </c>
      <c r="F4930" s="4" t="s">
        <v>323</v>
      </c>
      <c r="G4930" t="s">
        <v>29</v>
      </c>
      <c r="H4930" t="s">
        <v>324</v>
      </c>
    </row>
    <row r="4931" spans="1:8" x14ac:dyDescent="0.25">
      <c r="A4931" t="s">
        <v>1075</v>
      </c>
      <c r="B4931" t="s">
        <v>49</v>
      </c>
      <c r="C4931" s="5">
        <v>5274766</v>
      </c>
      <c r="D4931" s="5">
        <v>115737</v>
      </c>
      <c r="E4931">
        <v>4878855</v>
      </c>
      <c r="F4931" s="4" t="s">
        <v>50</v>
      </c>
      <c r="G4931" t="s">
        <v>29</v>
      </c>
      <c r="H4931" t="s">
        <v>51</v>
      </c>
    </row>
    <row r="4932" spans="1:8" x14ac:dyDescent="0.25">
      <c r="A4932" t="s">
        <v>1075</v>
      </c>
      <c r="B4932" t="s">
        <v>46</v>
      </c>
      <c r="C4932" s="5">
        <v>63197</v>
      </c>
      <c r="D4932" s="5">
        <v>1678</v>
      </c>
      <c r="E4932">
        <v>11352</v>
      </c>
      <c r="F4932" s="4" t="s">
        <v>47</v>
      </c>
      <c r="G4932" t="s">
        <v>29</v>
      </c>
      <c r="H4932" t="s">
        <v>48</v>
      </c>
    </row>
    <row r="4933" spans="1:8" x14ac:dyDescent="0.25">
      <c r="A4933" t="s">
        <v>1075</v>
      </c>
      <c r="B4933" t="s">
        <v>43</v>
      </c>
      <c r="C4933" s="5">
        <v>284237</v>
      </c>
      <c r="D4933" s="5">
        <v>5842</v>
      </c>
      <c r="E4933">
        <v>247796</v>
      </c>
      <c r="F4933" s="4" t="s">
        <v>750</v>
      </c>
      <c r="G4933" t="s">
        <v>29</v>
      </c>
      <c r="H4933" t="s">
        <v>751</v>
      </c>
    </row>
    <row r="4934" spans="1:8" x14ac:dyDescent="0.25">
      <c r="A4934" t="s">
        <v>1075</v>
      </c>
      <c r="B4934" t="s">
        <v>40</v>
      </c>
      <c r="C4934" s="5">
        <v>178804</v>
      </c>
      <c r="D4934" s="5">
        <v>2841</v>
      </c>
      <c r="E4934">
        <v>142255</v>
      </c>
      <c r="F4934" s="4" t="s">
        <v>361</v>
      </c>
      <c r="G4934" t="s">
        <v>29</v>
      </c>
      <c r="H4934" t="s">
        <v>362</v>
      </c>
    </row>
    <row r="4935" spans="1:8" x14ac:dyDescent="0.25">
      <c r="A4935" t="s">
        <v>1075</v>
      </c>
      <c r="B4935" t="s">
        <v>37</v>
      </c>
      <c r="C4935" s="5">
        <v>3918</v>
      </c>
      <c r="D4935" s="5">
        <v>95</v>
      </c>
      <c r="E4935">
        <v>1909</v>
      </c>
      <c r="F4935" s="4" t="s">
        <v>796</v>
      </c>
      <c r="G4935" t="s">
        <v>29</v>
      </c>
      <c r="H4935" t="s">
        <v>797</v>
      </c>
    </row>
    <row r="4936" spans="1:8" x14ac:dyDescent="0.25">
      <c r="A4936" t="s">
        <v>1075</v>
      </c>
      <c r="B4936" t="s">
        <v>34</v>
      </c>
      <c r="C4936" s="5">
        <v>155801</v>
      </c>
      <c r="D4936" s="5">
        <v>7247</v>
      </c>
      <c r="E4936">
        <v>40099</v>
      </c>
      <c r="F4936" s="4" t="s">
        <v>900</v>
      </c>
      <c r="G4936" t="s">
        <v>29</v>
      </c>
      <c r="H4936" t="s">
        <v>901</v>
      </c>
    </row>
    <row r="4937" spans="1:8" x14ac:dyDescent="0.25">
      <c r="A4937" t="s">
        <v>1075</v>
      </c>
      <c r="B4937" t="s">
        <v>31</v>
      </c>
      <c r="C4937" s="5">
        <v>738812</v>
      </c>
      <c r="D4937" s="5">
        <v>2122</v>
      </c>
      <c r="E4937">
        <v>516393</v>
      </c>
      <c r="F4937" s="4" t="s">
        <v>32</v>
      </c>
      <c r="G4937" t="s">
        <v>29</v>
      </c>
      <c r="H4937" t="s">
        <v>33</v>
      </c>
    </row>
    <row r="4938" spans="1:8" x14ac:dyDescent="0.25">
      <c r="A4938" t="s">
        <v>1075</v>
      </c>
      <c r="B4938" t="s">
        <v>27</v>
      </c>
      <c r="C4938" s="5">
        <v>15369</v>
      </c>
      <c r="D4938" s="5">
        <v>130</v>
      </c>
      <c r="E4938">
        <v>1910</v>
      </c>
      <c r="F4938" s="4" t="s">
        <v>685</v>
      </c>
      <c r="G4938" t="s">
        <v>29</v>
      </c>
      <c r="H4938" t="s">
        <v>686</v>
      </c>
    </row>
    <row r="4939" spans="1:8" x14ac:dyDescent="0.25">
      <c r="A4939" t="s">
        <v>1082</v>
      </c>
      <c r="B4939" t="s">
        <v>27</v>
      </c>
      <c r="C4939" s="5">
        <v>15367</v>
      </c>
      <c r="D4939" s="5">
        <v>130</v>
      </c>
      <c r="E4939">
        <v>11562</v>
      </c>
      <c r="F4939" s="4" t="s">
        <v>685</v>
      </c>
      <c r="G4939" t="s">
        <v>29</v>
      </c>
      <c r="H4939" t="s">
        <v>686</v>
      </c>
    </row>
    <row r="4940" spans="1:8" x14ac:dyDescent="0.25">
      <c r="A4940" t="s">
        <v>1082</v>
      </c>
      <c r="B4940" t="s">
        <v>31</v>
      </c>
      <c r="C4940" s="5">
        <v>738690</v>
      </c>
      <c r="D4940" s="5">
        <v>2120</v>
      </c>
      <c r="E4940">
        <v>648724</v>
      </c>
      <c r="F4940" s="4" t="s">
        <v>32</v>
      </c>
      <c r="G4940" t="s">
        <v>29</v>
      </c>
      <c r="H4940" t="s">
        <v>33</v>
      </c>
    </row>
    <row r="4941" spans="1:8" x14ac:dyDescent="0.25">
      <c r="A4941" t="s">
        <v>1082</v>
      </c>
      <c r="B4941" t="s">
        <v>34</v>
      </c>
      <c r="C4941" s="5">
        <v>155776</v>
      </c>
      <c r="D4941" s="5">
        <v>7246</v>
      </c>
      <c r="E4941">
        <v>90886</v>
      </c>
      <c r="F4941" s="4" t="s">
        <v>900</v>
      </c>
      <c r="G4941" t="s">
        <v>29</v>
      </c>
      <c r="H4941" t="s">
        <v>901</v>
      </c>
    </row>
    <row r="4942" spans="1:8" x14ac:dyDescent="0.25">
      <c r="A4942" t="s">
        <v>1082</v>
      </c>
      <c r="B4942" t="s">
        <v>37</v>
      </c>
      <c r="C4942" s="5">
        <v>3918</v>
      </c>
      <c r="D4942" s="5">
        <v>95</v>
      </c>
      <c r="E4942">
        <v>864</v>
      </c>
      <c r="F4942" s="4" t="s">
        <v>796</v>
      </c>
      <c r="G4942" t="s">
        <v>29</v>
      </c>
      <c r="H4942" t="s">
        <v>797</v>
      </c>
    </row>
    <row r="4943" spans="1:8" x14ac:dyDescent="0.25">
      <c r="A4943" t="s">
        <v>1082</v>
      </c>
      <c r="B4943" t="s">
        <v>40</v>
      </c>
      <c r="C4943" s="5">
        <v>178188</v>
      </c>
      <c r="D4943" s="5">
        <v>2829</v>
      </c>
      <c r="E4943">
        <v>107054</v>
      </c>
      <c r="F4943" s="4" t="s">
        <v>361</v>
      </c>
      <c r="G4943" t="s">
        <v>29</v>
      </c>
      <c r="H4943" t="s">
        <v>362</v>
      </c>
    </row>
    <row r="4944" spans="1:8" x14ac:dyDescent="0.25">
      <c r="A4944" t="s">
        <v>1082</v>
      </c>
      <c r="B4944" t="s">
        <v>43</v>
      </c>
      <c r="C4944" s="5">
        <v>283183</v>
      </c>
      <c r="D4944" s="5">
        <v>5805</v>
      </c>
      <c r="E4944">
        <v>226229</v>
      </c>
      <c r="F4944" s="4" t="s">
        <v>579</v>
      </c>
      <c r="G4944" t="s">
        <v>29</v>
      </c>
      <c r="H4944" t="s">
        <v>580</v>
      </c>
    </row>
    <row r="4945" spans="1:8" x14ac:dyDescent="0.25">
      <c r="A4945" t="s">
        <v>1082</v>
      </c>
      <c r="B4945" t="s">
        <v>46</v>
      </c>
      <c r="C4945" s="5">
        <v>63012</v>
      </c>
      <c r="D4945" s="5">
        <v>1670</v>
      </c>
      <c r="E4945">
        <v>15429</v>
      </c>
      <c r="F4945" s="4" t="s">
        <v>862</v>
      </c>
      <c r="G4945" t="s">
        <v>29</v>
      </c>
      <c r="H4945" t="s">
        <v>863</v>
      </c>
    </row>
    <row r="4946" spans="1:8" x14ac:dyDescent="0.25">
      <c r="A4946" t="s">
        <v>1082</v>
      </c>
      <c r="B4946" t="s">
        <v>49</v>
      </c>
      <c r="C4946" s="5">
        <v>5273463</v>
      </c>
      <c r="D4946" s="5">
        <v>115704</v>
      </c>
      <c r="E4946">
        <v>2524710</v>
      </c>
      <c r="F4946" s="4" t="s">
        <v>50</v>
      </c>
      <c r="G4946" t="s">
        <v>29</v>
      </c>
      <c r="H4946" t="s">
        <v>51</v>
      </c>
    </row>
    <row r="4947" spans="1:8" x14ac:dyDescent="0.25">
      <c r="A4947" t="s">
        <v>1082</v>
      </c>
      <c r="B4947" t="s">
        <v>52</v>
      </c>
      <c r="C4947" s="5">
        <v>777679</v>
      </c>
      <c r="D4947" s="5">
        <v>11180</v>
      </c>
      <c r="E4947">
        <v>295010</v>
      </c>
      <c r="F4947" s="4" t="s">
        <v>330</v>
      </c>
      <c r="G4947" t="s">
        <v>29</v>
      </c>
      <c r="H4947" t="s">
        <v>331</v>
      </c>
    </row>
    <row r="4948" spans="1:8" x14ac:dyDescent="0.25">
      <c r="A4948" t="s">
        <v>1082</v>
      </c>
      <c r="B4948" t="s">
        <v>55</v>
      </c>
      <c r="C4948" s="5">
        <v>147301</v>
      </c>
      <c r="D4948" s="5">
        <v>1558</v>
      </c>
      <c r="E4948">
        <v>124516</v>
      </c>
      <c r="F4948" s="4" t="s">
        <v>165</v>
      </c>
      <c r="G4948" t="s">
        <v>29</v>
      </c>
      <c r="H4948" t="s">
        <v>166</v>
      </c>
    </row>
    <row r="4949" spans="1:8" x14ac:dyDescent="0.25">
      <c r="A4949" t="s">
        <v>1082</v>
      </c>
      <c r="B4949" t="s">
        <v>58</v>
      </c>
      <c r="C4949" s="5">
        <v>503452</v>
      </c>
      <c r="D4949" s="5">
        <v>6778</v>
      </c>
      <c r="E4949">
        <v>218891</v>
      </c>
      <c r="F4949" s="4" t="s">
        <v>409</v>
      </c>
      <c r="G4949" t="s">
        <v>29</v>
      </c>
      <c r="H4949" t="s">
        <v>410</v>
      </c>
    </row>
    <row r="4950" spans="1:8" x14ac:dyDescent="0.25">
      <c r="A4950" t="s">
        <v>1082</v>
      </c>
      <c r="B4950" t="s">
        <v>61</v>
      </c>
      <c r="C4950" s="5">
        <v>245082</v>
      </c>
      <c r="D4950" s="5">
        <v>11201</v>
      </c>
      <c r="E4950">
        <v>120590</v>
      </c>
      <c r="F4950" s="4" t="s">
        <v>814</v>
      </c>
      <c r="G4950" t="s">
        <v>29</v>
      </c>
      <c r="H4950" t="s">
        <v>815</v>
      </c>
    </row>
    <row r="4951" spans="1:8" x14ac:dyDescent="0.25">
      <c r="A4951" t="s">
        <v>1082</v>
      </c>
      <c r="B4951" t="s">
        <v>64</v>
      </c>
      <c r="C4951" s="5">
        <v>13171</v>
      </c>
      <c r="D4951" s="5">
        <v>119</v>
      </c>
      <c r="E4951">
        <v>2347</v>
      </c>
      <c r="F4951" s="4" t="s">
        <v>667</v>
      </c>
      <c r="G4951" t="s">
        <v>29</v>
      </c>
      <c r="H4951" t="s">
        <v>668</v>
      </c>
    </row>
    <row r="4952" spans="1:8" x14ac:dyDescent="0.25">
      <c r="A4952" t="s">
        <v>1082</v>
      </c>
      <c r="B4952" t="s">
        <v>67</v>
      </c>
      <c r="C4952" s="5">
        <v>1565827</v>
      </c>
      <c r="D4952" s="5">
        <v>27778</v>
      </c>
      <c r="E4952">
        <v>762103</v>
      </c>
      <c r="F4952" s="4" t="s">
        <v>769</v>
      </c>
      <c r="G4952" t="s">
        <v>29</v>
      </c>
      <c r="H4952" t="s">
        <v>770</v>
      </c>
    </row>
    <row r="4953" spans="1:8" x14ac:dyDescent="0.25">
      <c r="A4953" t="s">
        <v>1082</v>
      </c>
      <c r="B4953" t="s">
        <v>70</v>
      </c>
      <c r="C4953" s="5">
        <v>1289033</v>
      </c>
      <c r="D4953" s="5">
        <v>25780</v>
      </c>
      <c r="E4953">
        <v>188732</v>
      </c>
      <c r="F4953" s="4" t="s">
        <v>573</v>
      </c>
      <c r="G4953" t="s">
        <v>29</v>
      </c>
      <c r="H4953" t="s">
        <v>574</v>
      </c>
    </row>
    <row r="4954" spans="1:8" x14ac:dyDescent="0.25">
      <c r="A4954" t="s">
        <v>1082</v>
      </c>
      <c r="B4954" t="s">
        <v>73</v>
      </c>
      <c r="C4954" s="5">
        <v>14752</v>
      </c>
      <c r="D4954" s="5">
        <v>203</v>
      </c>
      <c r="E4954">
        <v>2278</v>
      </c>
      <c r="F4954" s="4" t="s">
        <v>158</v>
      </c>
      <c r="G4954" t="s">
        <v>29</v>
      </c>
      <c r="H4954" t="s">
        <v>159</v>
      </c>
    </row>
    <row r="4955" spans="1:8" x14ac:dyDescent="0.25">
      <c r="A4955" t="s">
        <v>1082</v>
      </c>
      <c r="B4955" t="s">
        <v>76</v>
      </c>
      <c r="C4955" s="5">
        <v>545598</v>
      </c>
      <c r="D4955" s="5">
        <v>22488</v>
      </c>
      <c r="E4955">
        <v>122738</v>
      </c>
      <c r="F4955" s="4" t="s">
        <v>1083</v>
      </c>
      <c r="G4955" t="s">
        <v>29</v>
      </c>
      <c r="H4955" t="s">
        <v>1084</v>
      </c>
    </row>
    <row r="4956" spans="1:8" x14ac:dyDescent="0.25">
      <c r="A4956" t="s">
        <v>1082</v>
      </c>
      <c r="B4956" t="s">
        <v>79</v>
      </c>
      <c r="C4956" s="5">
        <v>276188</v>
      </c>
      <c r="D4956" s="5">
        <v>1391</v>
      </c>
      <c r="E4956">
        <v>209218</v>
      </c>
      <c r="F4956" s="4" t="s">
        <v>80</v>
      </c>
      <c r="G4956" t="s">
        <v>29</v>
      </c>
      <c r="H4956" t="s">
        <v>81</v>
      </c>
    </row>
    <row r="4957" spans="1:8" x14ac:dyDescent="0.25">
      <c r="A4957" t="s">
        <v>1082</v>
      </c>
      <c r="B4957" t="s">
        <v>82</v>
      </c>
      <c r="C4957" s="5">
        <v>19730</v>
      </c>
      <c r="D4957" s="5">
        <v>38</v>
      </c>
      <c r="E4957">
        <v>1281</v>
      </c>
      <c r="F4957" s="4" t="s">
        <v>83</v>
      </c>
      <c r="G4957" t="s">
        <v>29</v>
      </c>
      <c r="H4957" t="s">
        <v>84</v>
      </c>
    </row>
    <row r="4958" spans="1:8" x14ac:dyDescent="0.25">
      <c r="A4958" t="s">
        <v>1082</v>
      </c>
      <c r="B4958" t="s">
        <v>85</v>
      </c>
      <c r="C4958" s="5">
        <v>24560</v>
      </c>
      <c r="D4958" s="5">
        <v>161</v>
      </c>
      <c r="E4958">
        <v>15600</v>
      </c>
      <c r="F4958" s="4" t="s">
        <v>162</v>
      </c>
      <c r="G4958" t="s">
        <v>29</v>
      </c>
      <c r="H4958" t="s">
        <v>163</v>
      </c>
    </row>
    <row r="4959" spans="1:8" x14ac:dyDescent="0.25">
      <c r="A4959" t="s">
        <v>1082</v>
      </c>
      <c r="B4959" t="s">
        <v>88</v>
      </c>
      <c r="C4959" s="5">
        <v>1658</v>
      </c>
      <c r="D4959" s="5">
        <v>6</v>
      </c>
      <c r="E4959">
        <v>1329</v>
      </c>
      <c r="F4959" s="4" t="s">
        <v>89</v>
      </c>
      <c r="G4959" t="s">
        <v>29</v>
      </c>
      <c r="H4959" t="s">
        <v>90</v>
      </c>
    </row>
    <row r="4960" spans="1:8" x14ac:dyDescent="0.25">
      <c r="A4960" t="s">
        <v>1082</v>
      </c>
      <c r="B4960" t="s">
        <v>91</v>
      </c>
      <c r="C4960" s="5">
        <v>11047</v>
      </c>
      <c r="D4960" s="5">
        <v>76</v>
      </c>
      <c r="E4960">
        <v>5441</v>
      </c>
      <c r="F4960" s="4" t="s">
        <v>180</v>
      </c>
      <c r="G4960" t="s">
        <v>29</v>
      </c>
      <c r="H4960" t="s">
        <v>181</v>
      </c>
    </row>
    <row r="4961" spans="1:8" x14ac:dyDescent="0.25">
      <c r="A4961" t="s">
        <v>1082</v>
      </c>
      <c r="B4961" t="s">
        <v>94</v>
      </c>
      <c r="C4961" s="5">
        <v>507134</v>
      </c>
      <c r="D4961" s="5">
        <v>18834</v>
      </c>
      <c r="E4961">
        <v>50</v>
      </c>
      <c r="F4961" s="4" t="s">
        <v>593</v>
      </c>
      <c r="G4961" t="s">
        <v>29</v>
      </c>
      <c r="H4961" t="s">
        <v>594</v>
      </c>
    </row>
    <row r="4962" spans="1:8" x14ac:dyDescent="0.25">
      <c r="A4962" t="s">
        <v>1082</v>
      </c>
      <c r="B4962" t="s">
        <v>97</v>
      </c>
      <c r="C4962" s="5">
        <v>21651910</v>
      </c>
      <c r="D4962" s="5">
        <v>603465</v>
      </c>
      <c r="E4962">
        <v>20523897</v>
      </c>
      <c r="F4962" s="4" t="s">
        <v>662</v>
      </c>
      <c r="G4962" t="s">
        <v>29</v>
      </c>
      <c r="H4962" t="s">
        <v>663</v>
      </c>
    </row>
    <row r="4963" spans="1:8" x14ac:dyDescent="0.25">
      <c r="A4963" t="s">
        <v>1082</v>
      </c>
      <c r="B4963" t="s">
        <v>100</v>
      </c>
      <c r="C4963" s="5">
        <v>21978</v>
      </c>
      <c r="D4963" s="5">
        <v>626</v>
      </c>
      <c r="E4963">
        <v>12525</v>
      </c>
      <c r="F4963" s="4" t="s">
        <v>675</v>
      </c>
      <c r="G4963" t="s">
        <v>29</v>
      </c>
      <c r="H4963" t="s">
        <v>676</v>
      </c>
    </row>
    <row r="4964" spans="1:8" x14ac:dyDescent="0.25">
      <c r="A4964" t="s">
        <v>1082</v>
      </c>
      <c r="B4964" t="s">
        <v>103</v>
      </c>
      <c r="C4964" s="5">
        <v>2617</v>
      </c>
      <c r="D4964" s="5">
        <v>3</v>
      </c>
      <c r="E4964">
        <v>1119</v>
      </c>
      <c r="F4964" s="4" t="s">
        <v>104</v>
      </c>
      <c r="G4964" t="s">
        <v>29</v>
      </c>
      <c r="H4964" t="s">
        <v>105</v>
      </c>
    </row>
    <row r="4965" spans="1:8" x14ac:dyDescent="0.25">
      <c r="A4965" t="s">
        <v>1082</v>
      </c>
      <c r="B4965" t="s">
        <v>106</v>
      </c>
      <c r="C4965" s="5">
        <v>184051</v>
      </c>
      <c r="D4965" s="5">
        <v>2389</v>
      </c>
      <c r="E4965">
        <v>5907</v>
      </c>
      <c r="F4965" s="4" t="s">
        <v>190</v>
      </c>
      <c r="G4965" t="s">
        <v>29</v>
      </c>
      <c r="H4965" t="s">
        <v>191</v>
      </c>
    </row>
    <row r="4966" spans="1:8" x14ac:dyDescent="0.25">
      <c r="A4966" t="s">
        <v>1082</v>
      </c>
      <c r="B4966" t="s">
        <v>109</v>
      </c>
      <c r="C4966" s="5">
        <v>573943</v>
      </c>
      <c r="D4966" s="5">
        <v>4417</v>
      </c>
      <c r="E4966">
        <v>364892</v>
      </c>
      <c r="F4966" s="4" t="s">
        <v>110</v>
      </c>
      <c r="G4966" t="s">
        <v>29</v>
      </c>
      <c r="H4966" t="s">
        <v>111</v>
      </c>
    </row>
    <row r="4967" spans="1:8" x14ac:dyDescent="0.25">
      <c r="A4967" t="s">
        <v>1082</v>
      </c>
      <c r="B4967" t="s">
        <v>112</v>
      </c>
      <c r="C4967" s="5">
        <v>24447</v>
      </c>
      <c r="D4967" s="5">
        <v>465</v>
      </c>
      <c r="E4967">
        <v>23734</v>
      </c>
      <c r="F4967" s="4" t="s">
        <v>652</v>
      </c>
      <c r="G4967" t="s">
        <v>29</v>
      </c>
      <c r="H4967" t="s">
        <v>653</v>
      </c>
    </row>
    <row r="4968" spans="1:8" x14ac:dyDescent="0.25">
      <c r="A4968" t="s">
        <v>1082</v>
      </c>
      <c r="B4968" t="s">
        <v>115</v>
      </c>
      <c r="C4968" s="5">
        <v>1693364</v>
      </c>
      <c r="D4968" s="5">
        <v>28616</v>
      </c>
      <c r="E4968">
        <v>914319</v>
      </c>
      <c r="F4968" s="4" t="s">
        <v>152</v>
      </c>
      <c r="G4968" t="s">
        <v>29</v>
      </c>
      <c r="H4968" t="s">
        <v>153</v>
      </c>
    </row>
    <row r="4969" spans="1:8" x14ac:dyDescent="0.25">
      <c r="A4969" t="s">
        <v>1082</v>
      </c>
      <c r="B4969" t="s">
        <v>118</v>
      </c>
      <c r="C4969" s="5">
        <v>57338</v>
      </c>
      <c r="D4969" s="5">
        <v>1091</v>
      </c>
      <c r="E4969">
        <v>22458</v>
      </c>
      <c r="F4969" s="4" t="s">
        <v>652</v>
      </c>
      <c r="G4969" t="s">
        <v>29</v>
      </c>
      <c r="H4969" t="s">
        <v>653</v>
      </c>
    </row>
    <row r="4970" spans="1:8" x14ac:dyDescent="0.25">
      <c r="A4970" t="s">
        <v>1082</v>
      </c>
      <c r="B4970" t="s">
        <v>121</v>
      </c>
      <c r="C4970" s="5">
        <v>11478</v>
      </c>
      <c r="D4970" s="5">
        <v>100</v>
      </c>
      <c r="E4970">
        <v>8641</v>
      </c>
      <c r="F4970" s="4" t="s">
        <v>498</v>
      </c>
      <c r="G4970" t="s">
        <v>29</v>
      </c>
      <c r="H4970" t="s">
        <v>499</v>
      </c>
    </row>
    <row r="4971" spans="1:8" x14ac:dyDescent="0.25">
      <c r="A4971" t="s">
        <v>1082</v>
      </c>
      <c r="B4971" t="s">
        <v>124</v>
      </c>
      <c r="C4971" s="5">
        <v>15962</v>
      </c>
      <c r="D4971" s="5">
        <v>231</v>
      </c>
      <c r="E4971">
        <v>14622</v>
      </c>
      <c r="F4971" s="4" t="s">
        <v>342</v>
      </c>
      <c r="G4971" t="s">
        <v>29</v>
      </c>
      <c r="H4971" t="s">
        <v>343</v>
      </c>
    </row>
    <row r="4972" spans="1:8" x14ac:dyDescent="0.25">
      <c r="A4972" t="s">
        <v>1082</v>
      </c>
      <c r="B4972" t="s">
        <v>127</v>
      </c>
      <c r="C4972" s="5">
        <v>856957</v>
      </c>
      <c r="D4972" s="5">
        <v>11162</v>
      </c>
      <c r="E4972">
        <v>284454</v>
      </c>
      <c r="F4972" s="4" t="s">
        <v>190</v>
      </c>
      <c r="G4972" t="s">
        <v>29</v>
      </c>
      <c r="H4972" t="s">
        <v>191</v>
      </c>
    </row>
    <row r="4973" spans="1:8" x14ac:dyDescent="0.25">
      <c r="A4973" t="s">
        <v>1082</v>
      </c>
      <c r="B4973" t="s">
        <v>128</v>
      </c>
      <c r="C4973" s="5">
        <v>61072</v>
      </c>
      <c r="D4973" s="5">
        <v>685</v>
      </c>
      <c r="E4973">
        <v>51950</v>
      </c>
      <c r="F4973" s="4" t="s">
        <v>911</v>
      </c>
      <c r="G4973" t="s">
        <v>29</v>
      </c>
      <c r="H4973" t="s">
        <v>912</v>
      </c>
    </row>
    <row r="4974" spans="1:8" x14ac:dyDescent="0.25">
      <c r="A4974" t="s">
        <v>1082</v>
      </c>
      <c r="B4974" t="s">
        <v>131</v>
      </c>
      <c r="C4974" s="5">
        <v>1672065</v>
      </c>
      <c r="D4974" s="5">
        <v>37620</v>
      </c>
      <c r="E4974">
        <v>1440826</v>
      </c>
      <c r="F4974" s="4" t="s">
        <v>613</v>
      </c>
      <c r="G4974" t="s">
        <v>29</v>
      </c>
      <c r="H4974" t="s">
        <v>614</v>
      </c>
    </row>
    <row r="4975" spans="1:8" x14ac:dyDescent="0.25">
      <c r="A4975" t="s">
        <v>1082</v>
      </c>
      <c r="B4975" t="s">
        <v>134</v>
      </c>
      <c r="C4975" s="5">
        <v>98402</v>
      </c>
      <c r="D4975" s="5">
        <v>1550</v>
      </c>
      <c r="E4975">
        <v>42443</v>
      </c>
      <c r="F4975" s="4" t="s">
        <v>577</v>
      </c>
      <c r="G4975" t="s">
        <v>29</v>
      </c>
      <c r="H4975" t="s">
        <v>578</v>
      </c>
    </row>
    <row r="4976" spans="1:8" x14ac:dyDescent="0.25">
      <c r="A4976" t="s">
        <v>1082</v>
      </c>
      <c r="B4976" t="s">
        <v>137</v>
      </c>
      <c r="C4976" s="5">
        <v>96571</v>
      </c>
      <c r="D4976" s="5">
        <v>4636</v>
      </c>
      <c r="E4976">
        <v>42271</v>
      </c>
      <c r="F4976" s="4" t="s">
        <v>1046</v>
      </c>
      <c r="G4976" t="s">
        <v>29</v>
      </c>
      <c r="H4976" t="s">
        <v>1047</v>
      </c>
    </row>
    <row r="4977" spans="1:8" x14ac:dyDescent="0.25">
      <c r="A4977" t="s">
        <v>1082</v>
      </c>
      <c r="B4977" t="s">
        <v>140</v>
      </c>
      <c r="C4977" s="5">
        <v>4982575</v>
      </c>
      <c r="D4977" s="5">
        <v>126886</v>
      </c>
      <c r="E4977">
        <v>2108796</v>
      </c>
      <c r="F4977" s="4" t="s">
        <v>513</v>
      </c>
      <c r="G4977" t="s">
        <v>29</v>
      </c>
      <c r="H4977" t="s">
        <v>514</v>
      </c>
    </row>
    <row r="4978" spans="1:8" x14ac:dyDescent="0.25">
      <c r="A4978" t="s">
        <v>1082</v>
      </c>
      <c r="B4978" t="s">
        <v>143</v>
      </c>
      <c r="C4978" s="5">
        <v>552953</v>
      </c>
      <c r="D4978" s="5">
        <v>6857</v>
      </c>
      <c r="E4978">
        <v>182653</v>
      </c>
      <c r="F4978" s="4" t="s">
        <v>394</v>
      </c>
      <c r="G4978" t="s">
        <v>29</v>
      </c>
      <c r="H4978" t="s">
        <v>395</v>
      </c>
    </row>
    <row r="4979" spans="1:8" x14ac:dyDescent="0.25">
      <c r="A4979" t="s">
        <v>1082</v>
      </c>
      <c r="B4979" t="s">
        <v>144</v>
      </c>
      <c r="C4979" s="5">
        <v>936809</v>
      </c>
      <c r="D4979" s="5">
        <v>8079</v>
      </c>
      <c r="E4979">
        <v>423377</v>
      </c>
      <c r="F4979" s="4" t="s">
        <v>122</v>
      </c>
      <c r="G4979" t="s">
        <v>29</v>
      </c>
      <c r="H4979" t="s">
        <v>123</v>
      </c>
    </row>
    <row r="4980" spans="1:8" x14ac:dyDescent="0.25">
      <c r="A4980" t="s">
        <v>1082</v>
      </c>
      <c r="B4980" t="s">
        <v>145</v>
      </c>
      <c r="C4980" s="5">
        <v>38049</v>
      </c>
      <c r="D4980" s="5">
        <v>347</v>
      </c>
      <c r="E4980">
        <v>14028</v>
      </c>
      <c r="F4980" s="4" t="s">
        <v>146</v>
      </c>
      <c r="G4980" t="s">
        <v>29</v>
      </c>
      <c r="H4980" t="s">
        <v>147</v>
      </c>
    </row>
    <row r="4981" spans="1:8" x14ac:dyDescent="0.25">
      <c r="A4981" t="s">
        <v>1082</v>
      </c>
      <c r="B4981" t="s">
        <v>148</v>
      </c>
      <c r="C4981" s="5">
        <v>122362</v>
      </c>
      <c r="D4981" s="5">
        <v>565</v>
      </c>
      <c r="E4981">
        <v>23314</v>
      </c>
      <c r="F4981" s="4" t="s">
        <v>149</v>
      </c>
      <c r="G4981" t="s">
        <v>29</v>
      </c>
      <c r="H4981" t="s">
        <v>150</v>
      </c>
    </row>
    <row r="4982" spans="1:8" x14ac:dyDescent="0.25">
      <c r="A4982" t="s">
        <v>1082</v>
      </c>
      <c r="B4982" t="s">
        <v>151</v>
      </c>
      <c r="C4982" s="5">
        <v>1709716</v>
      </c>
      <c r="D4982" s="5">
        <v>30554</v>
      </c>
      <c r="E4982">
        <v>1054588</v>
      </c>
      <c r="F4982" s="4" t="s">
        <v>71</v>
      </c>
      <c r="G4982" t="s">
        <v>29</v>
      </c>
      <c r="H4982" t="s">
        <v>72</v>
      </c>
    </row>
    <row r="4983" spans="1:8" x14ac:dyDescent="0.25">
      <c r="A4983" t="s">
        <v>1082</v>
      </c>
      <c r="B4983" t="s">
        <v>154</v>
      </c>
      <c r="C4983" s="5">
        <v>4388581</v>
      </c>
      <c r="D4983" s="5">
        <v>94720</v>
      </c>
      <c r="E4983">
        <v>3779769</v>
      </c>
      <c r="F4983" s="4" t="s">
        <v>894</v>
      </c>
      <c r="G4983" t="s">
        <v>29</v>
      </c>
      <c r="H4983" t="s">
        <v>895</v>
      </c>
    </row>
    <row r="4984" spans="1:8" x14ac:dyDescent="0.25">
      <c r="A4984" t="s">
        <v>1082</v>
      </c>
      <c r="B4984" t="s">
        <v>157</v>
      </c>
      <c r="C4984" s="5">
        <v>13415</v>
      </c>
      <c r="D4984" s="5">
        <v>181</v>
      </c>
      <c r="E4984">
        <v>12254</v>
      </c>
      <c r="F4984" s="4" t="s">
        <v>409</v>
      </c>
      <c r="G4984" t="s">
        <v>29</v>
      </c>
      <c r="H4984" t="s">
        <v>410</v>
      </c>
    </row>
    <row r="4985" spans="1:8" x14ac:dyDescent="0.25">
      <c r="A4985" t="s">
        <v>1082</v>
      </c>
      <c r="B4985" t="s">
        <v>160</v>
      </c>
      <c r="C4985" s="5">
        <v>370057</v>
      </c>
      <c r="D4985" s="5">
        <v>2688</v>
      </c>
      <c r="E4985">
        <v>110234</v>
      </c>
      <c r="F4985" s="4" t="s">
        <v>187</v>
      </c>
      <c r="G4985" t="s">
        <v>29</v>
      </c>
      <c r="H4985" t="s">
        <v>188</v>
      </c>
    </row>
    <row r="4986" spans="1:8" x14ac:dyDescent="0.25">
      <c r="A4986" t="s">
        <v>1082</v>
      </c>
      <c r="B4986" t="s">
        <v>161</v>
      </c>
      <c r="C4986" s="5">
        <v>4153</v>
      </c>
      <c r="D4986" s="5">
        <v>28</v>
      </c>
      <c r="E4986">
        <v>398</v>
      </c>
      <c r="F4986" s="4" t="s">
        <v>92</v>
      </c>
      <c r="G4986" t="s">
        <v>29</v>
      </c>
      <c r="H4986" t="s">
        <v>93</v>
      </c>
    </row>
    <row r="4987" spans="1:8" x14ac:dyDescent="0.25">
      <c r="A4987" t="s">
        <v>1082</v>
      </c>
      <c r="B4987" t="s">
        <v>164</v>
      </c>
      <c r="C4987" s="5">
        <v>371447</v>
      </c>
      <c r="D4987" s="5">
        <v>4090</v>
      </c>
      <c r="E4987">
        <v>326463</v>
      </c>
      <c r="F4987" s="4" t="s">
        <v>1044</v>
      </c>
      <c r="G4987" t="s">
        <v>29</v>
      </c>
      <c r="H4987" t="s">
        <v>1045</v>
      </c>
    </row>
    <row r="4988" spans="1:8" x14ac:dyDescent="0.25">
      <c r="A4988" t="s">
        <v>1082</v>
      </c>
      <c r="B4988" t="s">
        <v>167</v>
      </c>
      <c r="C4988" s="5">
        <v>205364</v>
      </c>
      <c r="D4988" s="5">
        <v>5873</v>
      </c>
      <c r="E4988">
        <v>87127</v>
      </c>
      <c r="F4988" s="4" t="s">
        <v>955</v>
      </c>
      <c r="G4988" t="s">
        <v>29</v>
      </c>
      <c r="H4988" t="s">
        <v>956</v>
      </c>
    </row>
    <row r="4989" spans="1:8" x14ac:dyDescent="0.25">
      <c r="A4989" t="s">
        <v>1082</v>
      </c>
      <c r="B4989" t="s">
        <v>170</v>
      </c>
      <c r="C4989" s="5">
        <v>513026</v>
      </c>
      <c r="D4989" s="5">
        <v>32899</v>
      </c>
      <c r="E4989">
        <v>159635</v>
      </c>
      <c r="F4989" s="4" t="s">
        <v>1020</v>
      </c>
      <c r="G4989" t="s">
        <v>29</v>
      </c>
      <c r="H4989" t="s">
        <v>1021</v>
      </c>
    </row>
    <row r="4990" spans="1:8" x14ac:dyDescent="0.25">
      <c r="A4990" t="s">
        <v>1082</v>
      </c>
      <c r="B4990" t="s">
        <v>173</v>
      </c>
      <c r="C4990" s="5">
        <v>173335</v>
      </c>
      <c r="D4990" s="5">
        <v>1429</v>
      </c>
      <c r="E4990">
        <v>158541</v>
      </c>
      <c r="F4990" s="4" t="s">
        <v>1057</v>
      </c>
      <c r="G4990" t="s">
        <v>29</v>
      </c>
      <c r="H4990" t="s">
        <v>1058</v>
      </c>
    </row>
    <row r="4991" spans="1:8" x14ac:dyDescent="0.25">
      <c r="A4991" t="s">
        <v>1082</v>
      </c>
      <c r="B4991" t="s">
        <v>176</v>
      </c>
      <c r="C4991" s="5">
        <v>319339</v>
      </c>
      <c r="D4991" s="5">
        <v>18015</v>
      </c>
      <c r="E4991">
        <v>78568</v>
      </c>
      <c r="F4991" s="4" t="s">
        <v>756</v>
      </c>
      <c r="G4991" t="s">
        <v>29</v>
      </c>
      <c r="H4991" t="s">
        <v>757</v>
      </c>
    </row>
    <row r="4992" spans="1:8" x14ac:dyDescent="0.25">
      <c r="A4992" t="s">
        <v>1082</v>
      </c>
      <c r="B4992" t="s">
        <v>179</v>
      </c>
      <c r="C4992" s="5">
        <v>6776</v>
      </c>
      <c r="D4992" s="5">
        <v>45</v>
      </c>
      <c r="E4992">
        <v>5493</v>
      </c>
      <c r="F4992" s="4" t="s">
        <v>162</v>
      </c>
      <c r="G4992" t="s">
        <v>29</v>
      </c>
      <c r="H4992" t="s">
        <v>163</v>
      </c>
    </row>
    <row r="4993" spans="1:8" x14ac:dyDescent="0.25">
      <c r="A4993" t="s">
        <v>1082</v>
      </c>
      <c r="B4993" t="s">
        <v>182</v>
      </c>
      <c r="C4993" s="5">
        <v>4988878</v>
      </c>
      <c r="D4993" s="5">
        <v>87030</v>
      </c>
      <c r="E4993">
        <v>4518796</v>
      </c>
      <c r="F4993" s="4" t="s">
        <v>183</v>
      </c>
      <c r="G4993" t="s">
        <v>29</v>
      </c>
      <c r="H4993" t="s">
        <v>184</v>
      </c>
    </row>
    <row r="4994" spans="1:8" x14ac:dyDescent="0.25">
      <c r="A4994" t="s">
        <v>1082</v>
      </c>
      <c r="B4994" t="s">
        <v>185</v>
      </c>
      <c r="C4994" s="5">
        <v>359495</v>
      </c>
      <c r="D4994" s="5">
        <v>6238</v>
      </c>
      <c r="E4994">
        <v>113991</v>
      </c>
      <c r="F4994" s="4" t="s">
        <v>183</v>
      </c>
      <c r="G4994" t="s">
        <v>29</v>
      </c>
      <c r="H4994" t="s">
        <v>184</v>
      </c>
    </row>
    <row r="4995" spans="1:8" x14ac:dyDescent="0.25">
      <c r="A4995" t="s">
        <v>1082</v>
      </c>
      <c r="B4995" t="s">
        <v>186</v>
      </c>
      <c r="C4995" s="5">
        <v>151207</v>
      </c>
      <c r="D4995" s="5">
        <v>1120</v>
      </c>
      <c r="E4995">
        <v>79841</v>
      </c>
      <c r="F4995" s="4" t="s">
        <v>819</v>
      </c>
      <c r="G4995" t="s">
        <v>29</v>
      </c>
      <c r="H4995" t="s">
        <v>820</v>
      </c>
    </row>
    <row r="4996" spans="1:8" x14ac:dyDescent="0.25">
      <c r="A4996" t="s">
        <v>1082</v>
      </c>
      <c r="B4996" t="s">
        <v>189</v>
      </c>
      <c r="C4996" s="5">
        <v>51846</v>
      </c>
      <c r="D4996" s="5">
        <v>663</v>
      </c>
      <c r="E4996">
        <v>23705</v>
      </c>
      <c r="F4996" s="4" t="s">
        <v>381</v>
      </c>
      <c r="G4996" t="s">
        <v>29</v>
      </c>
      <c r="H4996" t="s">
        <v>382</v>
      </c>
    </row>
    <row r="4997" spans="1:8" x14ac:dyDescent="0.25">
      <c r="A4997" t="s">
        <v>1082</v>
      </c>
      <c r="B4997" t="s">
        <v>192</v>
      </c>
      <c r="C4997" s="5">
        <v>1350</v>
      </c>
      <c r="D4997" s="5">
        <v>2</v>
      </c>
      <c r="E4997">
        <v>639</v>
      </c>
      <c r="F4997" s="4" t="s">
        <v>915</v>
      </c>
      <c r="G4997" t="s">
        <v>29</v>
      </c>
      <c r="H4997" t="s">
        <v>916</v>
      </c>
    </row>
    <row r="4998" spans="1:8" x14ac:dyDescent="0.25">
      <c r="A4998" t="s">
        <v>1082</v>
      </c>
      <c r="B4998" t="s">
        <v>195</v>
      </c>
      <c r="C4998" s="5">
        <v>6915848</v>
      </c>
      <c r="D4998" s="5">
        <v>114994</v>
      </c>
      <c r="E4998">
        <v>1638047</v>
      </c>
      <c r="F4998" s="4" t="s">
        <v>135</v>
      </c>
      <c r="G4998" t="s">
        <v>29</v>
      </c>
      <c r="H4998" t="s">
        <v>136</v>
      </c>
    </row>
    <row r="4999" spans="1:8" x14ac:dyDescent="0.25">
      <c r="A4999" t="s">
        <v>1082</v>
      </c>
      <c r="B4999" t="s">
        <v>198</v>
      </c>
      <c r="C4999" s="5">
        <v>33842</v>
      </c>
      <c r="D4999" s="5">
        <v>218</v>
      </c>
      <c r="E4999">
        <v>19345</v>
      </c>
      <c r="F4999" s="4" t="s">
        <v>953</v>
      </c>
      <c r="G4999" t="s">
        <v>29</v>
      </c>
      <c r="H4999" t="s">
        <v>954</v>
      </c>
    </row>
    <row r="5000" spans="1:8" x14ac:dyDescent="0.25">
      <c r="A5000" t="s">
        <v>1082</v>
      </c>
      <c r="B5000" t="s">
        <v>201</v>
      </c>
      <c r="C5000" s="5">
        <v>8531881</v>
      </c>
      <c r="D5000" s="5">
        <v>138944</v>
      </c>
      <c r="E5000">
        <v>7036817</v>
      </c>
      <c r="F5000" s="4" t="s">
        <v>646</v>
      </c>
      <c r="G5000" t="s">
        <v>29</v>
      </c>
      <c r="H5000" t="s">
        <v>647</v>
      </c>
    </row>
    <row r="5001" spans="1:8" x14ac:dyDescent="0.25">
      <c r="A5001" t="s">
        <v>1082</v>
      </c>
      <c r="B5001" t="s">
        <v>207</v>
      </c>
      <c r="C5001" s="5">
        <v>664813</v>
      </c>
      <c r="D5001" s="5">
        <v>9510</v>
      </c>
      <c r="E5001">
        <v>127923</v>
      </c>
      <c r="F5001" s="4" t="s">
        <v>323</v>
      </c>
      <c r="G5001" t="s">
        <v>29</v>
      </c>
      <c r="H5001" t="s">
        <v>324</v>
      </c>
    </row>
    <row r="5002" spans="1:8" x14ac:dyDescent="0.25">
      <c r="A5002" t="s">
        <v>1082</v>
      </c>
      <c r="B5002" t="s">
        <v>204</v>
      </c>
      <c r="C5002" s="5">
        <v>5769</v>
      </c>
      <c r="D5002" s="5">
        <v>193</v>
      </c>
      <c r="E5002">
        <v>3570</v>
      </c>
      <c r="F5002" s="4" t="s">
        <v>831</v>
      </c>
      <c r="G5002" t="s">
        <v>29</v>
      </c>
      <c r="H5002" t="s">
        <v>832</v>
      </c>
    </row>
    <row r="5003" spans="1:8" x14ac:dyDescent="0.25">
      <c r="A5003" t="s">
        <v>1082</v>
      </c>
      <c r="B5003" t="s">
        <v>210</v>
      </c>
      <c r="C5003" s="5">
        <v>43255</v>
      </c>
      <c r="D5003" s="5">
        <v>293</v>
      </c>
      <c r="E5003">
        <v>2430</v>
      </c>
      <c r="F5003" s="4" t="s">
        <v>605</v>
      </c>
      <c r="G5003" t="s">
        <v>29</v>
      </c>
      <c r="H5003" t="s">
        <v>606</v>
      </c>
    </row>
    <row r="5004" spans="1:8" x14ac:dyDescent="0.25">
      <c r="A5004" t="s">
        <v>1082</v>
      </c>
      <c r="B5004" t="s">
        <v>213</v>
      </c>
      <c r="C5004" s="5">
        <v>129440</v>
      </c>
      <c r="D5004" s="5">
        <v>1167</v>
      </c>
      <c r="E5004">
        <v>110980</v>
      </c>
      <c r="F5004" s="4" t="s">
        <v>667</v>
      </c>
      <c r="G5004" t="s">
        <v>29</v>
      </c>
      <c r="H5004" t="s">
        <v>668</v>
      </c>
    </row>
    <row r="5005" spans="1:8" x14ac:dyDescent="0.25">
      <c r="A5005" t="s">
        <v>1082</v>
      </c>
      <c r="B5005" t="s">
        <v>216</v>
      </c>
      <c r="C5005" s="5">
        <v>5769</v>
      </c>
      <c r="D5005" s="5">
        <v>98</v>
      </c>
      <c r="E5005">
        <v>916</v>
      </c>
      <c r="F5005" s="4" t="s">
        <v>125</v>
      </c>
      <c r="G5005" t="s">
        <v>29</v>
      </c>
      <c r="H5005" t="s">
        <v>126</v>
      </c>
    </row>
    <row r="5006" spans="1:8" x14ac:dyDescent="0.25">
      <c r="A5006" t="s">
        <v>1082</v>
      </c>
      <c r="B5006" t="s">
        <v>222</v>
      </c>
      <c r="C5006" s="5">
        <v>30572</v>
      </c>
      <c r="D5006" s="5">
        <v>385</v>
      </c>
      <c r="E5006">
        <v>22223</v>
      </c>
      <c r="F5006" s="4" t="s">
        <v>223</v>
      </c>
      <c r="G5006" t="s">
        <v>29</v>
      </c>
      <c r="H5006" t="s">
        <v>224</v>
      </c>
    </row>
    <row r="5007" spans="1:8" x14ac:dyDescent="0.25">
      <c r="A5007" t="s">
        <v>1082</v>
      </c>
      <c r="B5007" t="s">
        <v>219</v>
      </c>
      <c r="C5007" s="5">
        <v>9946</v>
      </c>
      <c r="D5007" s="5">
        <v>339</v>
      </c>
      <c r="E5007">
        <v>6916</v>
      </c>
      <c r="F5007" s="4" t="s">
        <v>205</v>
      </c>
      <c r="G5007" t="s">
        <v>29</v>
      </c>
      <c r="H5007" t="s">
        <v>206</v>
      </c>
    </row>
    <row r="5008" spans="1:8" x14ac:dyDescent="0.25">
      <c r="A5008" t="s">
        <v>1082</v>
      </c>
      <c r="B5008" t="s">
        <v>225</v>
      </c>
      <c r="C5008" s="5">
        <v>53836</v>
      </c>
      <c r="D5008" s="5">
        <v>800</v>
      </c>
      <c r="E5008">
        <v>25005</v>
      </c>
      <c r="F5008" s="4" t="s">
        <v>800</v>
      </c>
      <c r="G5008" t="s">
        <v>29</v>
      </c>
      <c r="H5008" t="s">
        <v>801</v>
      </c>
    </row>
    <row r="5009" spans="1:8" x14ac:dyDescent="0.25">
      <c r="A5009" t="s">
        <v>1082</v>
      </c>
      <c r="B5009" t="s">
        <v>228</v>
      </c>
      <c r="C5009" s="5">
        <v>13020</v>
      </c>
      <c r="D5009" s="5">
        <v>161</v>
      </c>
      <c r="E5009">
        <v>3650</v>
      </c>
      <c r="F5009" s="4" t="s">
        <v>394</v>
      </c>
      <c r="G5009" t="s">
        <v>29</v>
      </c>
      <c r="H5009" t="s">
        <v>395</v>
      </c>
    </row>
    <row r="5010" spans="1:8" x14ac:dyDescent="0.25">
      <c r="A5010" t="s">
        <v>1082</v>
      </c>
      <c r="B5010" t="s">
        <v>229</v>
      </c>
      <c r="C5010" s="5">
        <v>697033</v>
      </c>
      <c r="D5010" s="5">
        <v>15418</v>
      </c>
      <c r="E5010">
        <v>257886</v>
      </c>
      <c r="F5010" s="4" t="s">
        <v>132</v>
      </c>
      <c r="G5010" t="s">
        <v>29</v>
      </c>
      <c r="H5010" t="s">
        <v>133</v>
      </c>
    </row>
    <row r="5011" spans="1:8" x14ac:dyDescent="0.25">
      <c r="A5011" t="s">
        <v>1082</v>
      </c>
      <c r="B5011" t="s">
        <v>232</v>
      </c>
      <c r="C5011" s="5">
        <v>588262</v>
      </c>
      <c r="D5011" s="5">
        <v>14387</v>
      </c>
      <c r="E5011">
        <v>149145</v>
      </c>
      <c r="F5011" s="4" t="s">
        <v>999</v>
      </c>
      <c r="G5011" t="s">
        <v>29</v>
      </c>
      <c r="H5011" t="s">
        <v>1000</v>
      </c>
    </row>
    <row r="5012" spans="1:8" x14ac:dyDescent="0.25">
      <c r="A5012" t="s">
        <v>1082</v>
      </c>
      <c r="B5012" t="s">
        <v>233</v>
      </c>
      <c r="C5012" s="5">
        <v>6130</v>
      </c>
      <c r="D5012" s="5">
        <v>141</v>
      </c>
      <c r="E5012">
        <v>1473</v>
      </c>
      <c r="F5012" s="4" t="s">
        <v>619</v>
      </c>
      <c r="G5012" t="s">
        <v>29</v>
      </c>
      <c r="H5012" t="s">
        <v>620</v>
      </c>
    </row>
    <row r="5013" spans="1:8" x14ac:dyDescent="0.25">
      <c r="A5013" t="s">
        <v>1082</v>
      </c>
      <c r="B5013" t="s">
        <v>236</v>
      </c>
      <c r="C5013" s="5">
        <v>34514</v>
      </c>
      <c r="D5013" s="5">
        <v>875</v>
      </c>
      <c r="E5013">
        <v>17583</v>
      </c>
      <c r="F5013" s="4" t="s">
        <v>141</v>
      </c>
      <c r="G5013" t="s">
        <v>29</v>
      </c>
      <c r="H5013" t="s">
        <v>142</v>
      </c>
    </row>
    <row r="5014" spans="1:8" x14ac:dyDescent="0.25">
      <c r="A5014" t="s">
        <v>1082</v>
      </c>
      <c r="B5014" t="s">
        <v>239</v>
      </c>
      <c r="C5014" s="5">
        <v>12299</v>
      </c>
      <c r="D5014" s="5">
        <v>213</v>
      </c>
      <c r="E5014">
        <v>4182</v>
      </c>
      <c r="F5014" s="4" t="s">
        <v>765</v>
      </c>
      <c r="G5014" t="s">
        <v>29</v>
      </c>
      <c r="H5014" t="s">
        <v>766</v>
      </c>
    </row>
    <row r="5015" spans="1:8" x14ac:dyDescent="0.25">
      <c r="A5015" t="s">
        <v>1082</v>
      </c>
      <c r="B5015" t="s">
        <v>242</v>
      </c>
      <c r="C5015" s="5">
        <v>372179</v>
      </c>
      <c r="D5015" s="5">
        <v>10096</v>
      </c>
      <c r="E5015">
        <v>308850</v>
      </c>
      <c r="F5015" s="4" t="s">
        <v>875</v>
      </c>
      <c r="G5015" t="s">
        <v>29</v>
      </c>
      <c r="H5015" t="s">
        <v>876</v>
      </c>
    </row>
    <row r="5016" spans="1:8" x14ac:dyDescent="0.25">
      <c r="A5016" t="s">
        <v>1082</v>
      </c>
      <c r="B5016" t="s">
        <v>245</v>
      </c>
      <c r="C5016" s="5">
        <v>428233</v>
      </c>
      <c r="D5016" s="5">
        <v>8907</v>
      </c>
      <c r="E5016">
        <v>159287</v>
      </c>
      <c r="F5016" s="4" t="s">
        <v>549</v>
      </c>
      <c r="G5016" t="s">
        <v>29</v>
      </c>
      <c r="H5016" t="s">
        <v>550</v>
      </c>
    </row>
    <row r="5017" spans="1:8" x14ac:dyDescent="0.25">
      <c r="A5017" t="s">
        <v>1082</v>
      </c>
      <c r="B5017" t="s">
        <v>248</v>
      </c>
      <c r="C5017" s="5">
        <v>23042</v>
      </c>
      <c r="D5017" s="5">
        <v>657</v>
      </c>
      <c r="E5017">
        <v>12263</v>
      </c>
      <c r="F5017" s="4" t="s">
        <v>675</v>
      </c>
      <c r="G5017" t="s">
        <v>29</v>
      </c>
      <c r="H5017" t="s">
        <v>676</v>
      </c>
    </row>
    <row r="5018" spans="1:8" x14ac:dyDescent="0.25">
      <c r="A5018" t="s">
        <v>1082</v>
      </c>
      <c r="B5018" t="s">
        <v>251</v>
      </c>
      <c r="C5018" s="5">
        <v>836389</v>
      </c>
      <c r="D5018" s="5">
        <v>30402</v>
      </c>
      <c r="E5018">
        <v>384090</v>
      </c>
      <c r="F5018" s="4" t="s">
        <v>1061</v>
      </c>
      <c r="G5018" t="s">
        <v>29</v>
      </c>
      <c r="H5018" t="s">
        <v>1062</v>
      </c>
    </row>
    <row r="5019" spans="1:8" x14ac:dyDescent="0.25">
      <c r="A5019" t="s">
        <v>1082</v>
      </c>
      <c r="B5019" t="s">
        <v>254</v>
      </c>
      <c r="C5019" s="5">
        <v>4235384</v>
      </c>
      <c r="D5019" s="5">
        <v>142999</v>
      </c>
      <c r="E5019">
        <v>2517504</v>
      </c>
      <c r="F5019" s="4" t="s">
        <v>255</v>
      </c>
      <c r="G5019" t="s">
        <v>29</v>
      </c>
      <c r="H5019" t="s">
        <v>256</v>
      </c>
    </row>
    <row r="5020" spans="1:8" x14ac:dyDescent="0.25">
      <c r="A5020" t="s">
        <v>1082</v>
      </c>
      <c r="B5020" t="s">
        <v>257</v>
      </c>
      <c r="C5020" s="5">
        <v>416690</v>
      </c>
      <c r="D5020" s="5">
        <v>5306</v>
      </c>
      <c r="E5020">
        <v>176013</v>
      </c>
      <c r="F5020" s="4" t="s">
        <v>53</v>
      </c>
      <c r="G5020" t="s">
        <v>29</v>
      </c>
      <c r="H5020" t="s">
        <v>54</v>
      </c>
    </row>
    <row r="5021" spans="1:8" x14ac:dyDescent="0.25">
      <c r="A5021" t="s">
        <v>1082</v>
      </c>
      <c r="B5021" t="s">
        <v>260</v>
      </c>
      <c r="C5021" s="5">
        <v>1317758</v>
      </c>
      <c r="D5021" s="5">
        <v>8010</v>
      </c>
      <c r="E5021">
        <v>809438</v>
      </c>
      <c r="F5021" s="4" t="s">
        <v>261</v>
      </c>
      <c r="G5021" t="s">
        <v>29</v>
      </c>
      <c r="H5021" t="s">
        <v>262</v>
      </c>
    </row>
    <row r="5022" spans="1:8" x14ac:dyDescent="0.25">
      <c r="A5022" t="s">
        <v>1082</v>
      </c>
      <c r="B5022" t="s">
        <v>263</v>
      </c>
      <c r="C5022" s="5">
        <v>34094373</v>
      </c>
      <c r="D5022" s="5">
        <v>452454</v>
      </c>
      <c r="E5022">
        <v>11709743</v>
      </c>
      <c r="F5022" s="4" t="s">
        <v>59</v>
      </c>
      <c r="G5022" t="s">
        <v>29</v>
      </c>
      <c r="H5022" t="s">
        <v>60</v>
      </c>
    </row>
    <row r="5023" spans="1:8" x14ac:dyDescent="0.25">
      <c r="A5023" t="s">
        <v>1082</v>
      </c>
      <c r="B5023" t="s">
        <v>266</v>
      </c>
      <c r="C5023" s="5">
        <v>2037012</v>
      </c>
      <c r="D5023" s="5">
        <v>22785</v>
      </c>
      <c r="E5023">
        <v>424378</v>
      </c>
      <c r="F5023" s="4" t="s">
        <v>911</v>
      </c>
      <c r="G5023" t="s">
        <v>29</v>
      </c>
      <c r="H5023" t="s">
        <v>912</v>
      </c>
    </row>
    <row r="5024" spans="1:8" x14ac:dyDescent="0.25">
      <c r="A5024" t="s">
        <v>1082</v>
      </c>
      <c r="B5024" t="s">
        <v>269</v>
      </c>
      <c r="C5024" s="5">
        <v>5796659</v>
      </c>
      <c r="D5024" s="5">
        <v>124256</v>
      </c>
      <c r="E5024">
        <v>1084466</v>
      </c>
      <c r="F5024" s="4" t="s">
        <v>823</v>
      </c>
      <c r="G5024" t="s">
        <v>29</v>
      </c>
      <c r="H5024" t="s">
        <v>824</v>
      </c>
    </row>
    <row r="5025" spans="1:8" x14ac:dyDescent="0.25">
      <c r="A5025" t="s">
        <v>1082</v>
      </c>
      <c r="B5025" t="s">
        <v>272</v>
      </c>
      <c r="C5025" s="5">
        <v>12614</v>
      </c>
      <c r="D5025" s="5">
        <v>33</v>
      </c>
      <c r="E5025">
        <v>807</v>
      </c>
      <c r="F5025" s="4" t="s">
        <v>794</v>
      </c>
      <c r="G5025" t="s">
        <v>29</v>
      </c>
      <c r="H5025" t="s">
        <v>795</v>
      </c>
    </row>
    <row r="5026" spans="1:8" x14ac:dyDescent="0.25">
      <c r="A5026" t="s">
        <v>1082</v>
      </c>
      <c r="B5026" t="s">
        <v>275</v>
      </c>
      <c r="C5026" s="5">
        <v>4719493</v>
      </c>
      <c r="D5026" s="5">
        <v>131585</v>
      </c>
      <c r="E5026">
        <v>1650773</v>
      </c>
      <c r="F5026" s="4" t="s">
        <v>662</v>
      </c>
      <c r="G5026" t="s">
        <v>29</v>
      </c>
      <c r="H5026" t="s">
        <v>663</v>
      </c>
    </row>
    <row r="5027" spans="1:8" x14ac:dyDescent="0.25">
      <c r="A5027" t="s">
        <v>1082</v>
      </c>
      <c r="B5027" t="s">
        <v>278</v>
      </c>
      <c r="C5027" s="5">
        <v>87586</v>
      </c>
      <c r="D5027" s="5">
        <v>2117</v>
      </c>
      <c r="E5027">
        <v>39663</v>
      </c>
      <c r="F5027" s="4" t="s">
        <v>796</v>
      </c>
      <c r="G5027" t="s">
        <v>29</v>
      </c>
      <c r="H5027" t="s">
        <v>797</v>
      </c>
    </row>
    <row r="5028" spans="1:8" x14ac:dyDescent="0.25">
      <c r="A5028" t="s">
        <v>1082</v>
      </c>
      <c r="B5028" t="s">
        <v>279</v>
      </c>
      <c r="C5028" s="5">
        <v>843204</v>
      </c>
      <c r="D5028" s="5">
        <v>10887</v>
      </c>
      <c r="E5028">
        <v>762849</v>
      </c>
      <c r="F5028" s="4" t="s">
        <v>417</v>
      </c>
      <c r="G5028" t="s">
        <v>29</v>
      </c>
      <c r="H5028" t="s">
        <v>418</v>
      </c>
    </row>
    <row r="5029" spans="1:8" x14ac:dyDescent="0.25">
      <c r="A5029" t="s">
        <v>1082</v>
      </c>
      <c r="B5029" t="s">
        <v>281</v>
      </c>
      <c r="C5029" s="5">
        <v>252066</v>
      </c>
      <c r="D5029" s="5">
        <v>5224</v>
      </c>
      <c r="E5029">
        <v>27643</v>
      </c>
      <c r="F5029" s="4" t="s">
        <v>310</v>
      </c>
      <c r="G5029" t="s">
        <v>29</v>
      </c>
      <c r="H5029" t="s">
        <v>311</v>
      </c>
    </row>
    <row r="5030" spans="1:8" x14ac:dyDescent="0.25">
      <c r="A5030" t="s">
        <v>1082</v>
      </c>
      <c r="B5030" t="s">
        <v>280</v>
      </c>
      <c r="C5030" s="5">
        <v>1715745</v>
      </c>
      <c r="D5030" s="5">
        <v>18129</v>
      </c>
      <c r="E5030">
        <v>1669172</v>
      </c>
      <c r="F5030" s="4" t="s">
        <v>165</v>
      </c>
      <c r="G5030" t="s">
        <v>29</v>
      </c>
      <c r="H5030" t="s">
        <v>166</v>
      </c>
    </row>
    <row r="5031" spans="1:8" x14ac:dyDescent="0.25">
      <c r="A5031" t="s">
        <v>1082</v>
      </c>
      <c r="B5031" t="s">
        <v>284</v>
      </c>
      <c r="C5031" s="5">
        <v>179913</v>
      </c>
      <c r="D5031" s="5">
        <v>2636</v>
      </c>
      <c r="E5031">
        <v>111639</v>
      </c>
      <c r="F5031" s="4" t="s">
        <v>777</v>
      </c>
      <c r="G5031" t="s">
        <v>29</v>
      </c>
      <c r="H5031" t="s">
        <v>778</v>
      </c>
    </row>
    <row r="5032" spans="1:8" x14ac:dyDescent="0.25">
      <c r="A5032" t="s">
        <v>1082</v>
      </c>
      <c r="B5032" t="s">
        <v>290</v>
      </c>
      <c r="C5032" s="5">
        <v>2</v>
      </c>
      <c r="D5032" s="5">
        <v>0</v>
      </c>
      <c r="E5032">
        <v>2</v>
      </c>
      <c r="F5032" s="4" t="s">
        <v>29</v>
      </c>
      <c r="G5032" t="s">
        <v>29</v>
      </c>
      <c r="H5032" t="s">
        <v>291</v>
      </c>
    </row>
    <row r="5033" spans="1:8" x14ac:dyDescent="0.25">
      <c r="A5033" t="s">
        <v>1082</v>
      </c>
      <c r="B5033" t="s">
        <v>287</v>
      </c>
      <c r="C5033" s="5">
        <v>116860</v>
      </c>
      <c r="D5033" s="5">
        <v>2670</v>
      </c>
      <c r="E5033">
        <v>56119</v>
      </c>
      <c r="F5033" s="4" t="s">
        <v>892</v>
      </c>
      <c r="G5033" t="s">
        <v>29</v>
      </c>
      <c r="H5033" t="s">
        <v>893</v>
      </c>
    </row>
    <row r="5034" spans="1:8" x14ac:dyDescent="0.25">
      <c r="A5034" t="s">
        <v>1082</v>
      </c>
      <c r="B5034" t="s">
        <v>292</v>
      </c>
      <c r="C5034" s="5">
        <v>4190</v>
      </c>
      <c r="D5034" s="5">
        <v>147</v>
      </c>
      <c r="E5034">
        <v>1876</v>
      </c>
      <c r="F5034" s="4" t="s">
        <v>350</v>
      </c>
      <c r="G5034" t="s">
        <v>29</v>
      </c>
      <c r="H5034" t="s">
        <v>351</v>
      </c>
    </row>
    <row r="5035" spans="1:8" x14ac:dyDescent="0.25">
      <c r="A5035" t="s">
        <v>1082</v>
      </c>
      <c r="B5035" t="s">
        <v>293</v>
      </c>
      <c r="C5035" s="5">
        <v>2556</v>
      </c>
      <c r="D5035" s="5">
        <v>21</v>
      </c>
      <c r="E5035">
        <v>1685</v>
      </c>
      <c r="F5035" s="4" t="s">
        <v>1057</v>
      </c>
      <c r="G5035" t="s">
        <v>29</v>
      </c>
      <c r="H5035" t="s">
        <v>1058</v>
      </c>
    </row>
    <row r="5036" spans="1:8" x14ac:dyDescent="0.25">
      <c r="A5036" t="s">
        <v>1082</v>
      </c>
      <c r="B5036" t="s">
        <v>296</v>
      </c>
      <c r="C5036" s="5">
        <v>344518</v>
      </c>
      <c r="D5036" s="5">
        <v>2689</v>
      </c>
      <c r="E5036">
        <v>101158</v>
      </c>
      <c r="F5036" s="4" t="s">
        <v>297</v>
      </c>
      <c r="G5036" t="s">
        <v>29</v>
      </c>
      <c r="H5036" t="s">
        <v>298</v>
      </c>
    </row>
    <row r="5037" spans="1:8" x14ac:dyDescent="0.25">
      <c r="A5037" t="s">
        <v>1082</v>
      </c>
      <c r="B5037" t="s">
        <v>299</v>
      </c>
      <c r="C5037" s="5">
        <v>412371</v>
      </c>
      <c r="D5037" s="5">
        <v>2458</v>
      </c>
      <c r="E5037">
        <v>343074</v>
      </c>
      <c r="F5037" s="4" t="s">
        <v>300</v>
      </c>
      <c r="G5037" t="s">
        <v>29</v>
      </c>
      <c r="H5037" t="s">
        <v>301</v>
      </c>
    </row>
    <row r="5038" spans="1:8" x14ac:dyDescent="0.25">
      <c r="A5038" t="s">
        <v>1082</v>
      </c>
      <c r="B5038" t="s">
        <v>302</v>
      </c>
      <c r="C5038" s="5">
        <v>997537</v>
      </c>
      <c r="D5038" s="5">
        <v>16713</v>
      </c>
      <c r="E5038">
        <v>340407</v>
      </c>
      <c r="F5038" s="4" t="s">
        <v>116</v>
      </c>
      <c r="G5038" t="s">
        <v>29</v>
      </c>
      <c r="H5038" t="s">
        <v>117</v>
      </c>
    </row>
    <row r="5039" spans="1:8" x14ac:dyDescent="0.25">
      <c r="A5039" t="s">
        <v>1082</v>
      </c>
      <c r="B5039" t="s">
        <v>303</v>
      </c>
      <c r="C5039" s="5">
        <v>32314</v>
      </c>
      <c r="D5039" s="5">
        <v>40</v>
      </c>
      <c r="E5039">
        <v>3289</v>
      </c>
      <c r="F5039" s="4" t="s">
        <v>957</v>
      </c>
      <c r="G5039" t="s">
        <v>29</v>
      </c>
      <c r="H5039" t="s">
        <v>958</v>
      </c>
    </row>
    <row r="5040" spans="1:8" x14ac:dyDescent="0.25">
      <c r="A5040" t="s">
        <v>1082</v>
      </c>
      <c r="B5040" t="s">
        <v>306</v>
      </c>
      <c r="C5040" s="5">
        <v>634209</v>
      </c>
      <c r="D5040" s="5">
        <v>8430</v>
      </c>
      <c r="E5040">
        <v>395433</v>
      </c>
      <c r="F5040" s="4" t="s">
        <v>59</v>
      </c>
      <c r="G5040" t="s">
        <v>29</v>
      </c>
      <c r="H5040" t="s">
        <v>60</v>
      </c>
    </row>
    <row r="5041" spans="1:8" x14ac:dyDescent="0.25">
      <c r="A5041" t="s">
        <v>1082</v>
      </c>
      <c r="B5041" t="s">
        <v>309</v>
      </c>
      <c r="C5041" s="5">
        <v>12234</v>
      </c>
      <c r="D5041" s="5">
        <v>237</v>
      </c>
      <c r="E5041">
        <v>6669</v>
      </c>
      <c r="F5041" s="4" t="s">
        <v>754</v>
      </c>
      <c r="G5041" t="s">
        <v>29</v>
      </c>
      <c r="H5041" t="s">
        <v>755</v>
      </c>
    </row>
    <row r="5042" spans="1:8" x14ac:dyDescent="0.25">
      <c r="A5042" t="s">
        <v>1082</v>
      </c>
      <c r="B5042" t="s">
        <v>312</v>
      </c>
      <c r="C5042" s="5">
        <v>3589</v>
      </c>
      <c r="D5042" s="5">
        <v>60</v>
      </c>
      <c r="E5042">
        <v>2656</v>
      </c>
      <c r="F5042" s="4" t="s">
        <v>827</v>
      </c>
      <c r="G5042" t="s">
        <v>29</v>
      </c>
      <c r="H5042" t="s">
        <v>828</v>
      </c>
    </row>
    <row r="5043" spans="1:8" x14ac:dyDescent="0.25">
      <c r="A5043" t="s">
        <v>1082</v>
      </c>
      <c r="B5043" t="s">
        <v>315</v>
      </c>
      <c r="C5043" s="5">
        <v>532218</v>
      </c>
      <c r="D5043" s="5">
        <v>13507</v>
      </c>
      <c r="E5043">
        <v>243416</v>
      </c>
      <c r="F5043" s="4" t="s">
        <v>141</v>
      </c>
      <c r="G5043" t="s">
        <v>29</v>
      </c>
      <c r="H5043" t="s">
        <v>142</v>
      </c>
    </row>
    <row r="5044" spans="1:8" x14ac:dyDescent="0.25">
      <c r="A5044" t="s">
        <v>1082</v>
      </c>
      <c r="B5044" t="s">
        <v>316</v>
      </c>
      <c r="C5044" s="5">
        <v>5807</v>
      </c>
      <c r="D5044" s="5">
        <v>286</v>
      </c>
      <c r="E5044">
        <v>3239</v>
      </c>
      <c r="F5044" s="4" t="s">
        <v>317</v>
      </c>
      <c r="G5044" t="s">
        <v>29</v>
      </c>
      <c r="H5044" t="s">
        <v>318</v>
      </c>
    </row>
    <row r="5045" spans="1:8" x14ac:dyDescent="0.25">
      <c r="A5045" t="s">
        <v>1082</v>
      </c>
      <c r="B5045" t="s">
        <v>319</v>
      </c>
      <c r="C5045" s="5">
        <v>21530</v>
      </c>
      <c r="D5045" s="5">
        <v>655</v>
      </c>
      <c r="E5045">
        <v>8145</v>
      </c>
      <c r="F5045" s="4" t="s">
        <v>320</v>
      </c>
      <c r="G5045" t="s">
        <v>29</v>
      </c>
      <c r="H5045" t="s">
        <v>321</v>
      </c>
    </row>
    <row r="5046" spans="1:8" x14ac:dyDescent="0.25">
      <c r="A5046" t="s">
        <v>1082</v>
      </c>
      <c r="B5046" t="s">
        <v>322</v>
      </c>
      <c r="C5046" s="5">
        <v>370119</v>
      </c>
      <c r="D5046" s="5">
        <v>5456</v>
      </c>
      <c r="E5046">
        <v>352102</v>
      </c>
      <c r="F5046" s="4" t="s">
        <v>777</v>
      </c>
      <c r="G5046" t="s">
        <v>29</v>
      </c>
      <c r="H5046" t="s">
        <v>778</v>
      </c>
    </row>
    <row r="5047" spans="1:8" x14ac:dyDescent="0.25">
      <c r="A5047" t="s">
        <v>1082</v>
      </c>
      <c r="B5047" t="s">
        <v>325</v>
      </c>
      <c r="C5047" s="5">
        <v>79982</v>
      </c>
      <c r="D5047" s="5">
        <v>839</v>
      </c>
      <c r="E5047">
        <v>566</v>
      </c>
      <c r="F5047" s="4" t="s">
        <v>642</v>
      </c>
      <c r="G5047" t="s">
        <v>29</v>
      </c>
      <c r="H5047" t="s">
        <v>643</v>
      </c>
    </row>
    <row r="5048" spans="1:8" x14ac:dyDescent="0.25">
      <c r="A5048" t="s">
        <v>1082</v>
      </c>
      <c r="B5048" t="s">
        <v>328</v>
      </c>
      <c r="C5048" s="5">
        <v>186869</v>
      </c>
      <c r="D5048" s="5">
        <v>2897</v>
      </c>
      <c r="E5048">
        <v>99554</v>
      </c>
      <c r="F5048" s="4" t="s">
        <v>333</v>
      </c>
      <c r="G5048" t="s">
        <v>29</v>
      </c>
      <c r="H5048" t="s">
        <v>334</v>
      </c>
    </row>
    <row r="5049" spans="1:8" x14ac:dyDescent="0.25">
      <c r="A5049" t="s">
        <v>1082</v>
      </c>
      <c r="B5049" t="s">
        <v>329</v>
      </c>
      <c r="C5049" s="5">
        <v>350628</v>
      </c>
      <c r="D5049" s="5">
        <v>4904</v>
      </c>
      <c r="E5049">
        <v>285138</v>
      </c>
      <c r="F5049" s="4" t="s">
        <v>403</v>
      </c>
      <c r="G5049" t="s">
        <v>29</v>
      </c>
      <c r="H5049" t="s">
        <v>404</v>
      </c>
    </row>
    <row r="5050" spans="1:8" x14ac:dyDescent="0.25">
      <c r="A5050" t="s">
        <v>1082</v>
      </c>
      <c r="B5050" t="s">
        <v>332</v>
      </c>
      <c r="C5050" s="5">
        <v>942280</v>
      </c>
      <c r="D5050" s="5">
        <v>14561</v>
      </c>
      <c r="E5050">
        <v>677847</v>
      </c>
      <c r="F5050" s="4" t="s">
        <v>333</v>
      </c>
      <c r="G5050" t="s">
        <v>29</v>
      </c>
      <c r="H5050" t="s">
        <v>334</v>
      </c>
    </row>
    <row r="5051" spans="1:8" x14ac:dyDescent="0.25">
      <c r="A5051" t="s">
        <v>1082</v>
      </c>
      <c r="B5051" t="s">
        <v>335</v>
      </c>
      <c r="C5051" s="5">
        <v>3363</v>
      </c>
      <c r="D5051" s="5">
        <v>35</v>
      </c>
      <c r="E5051">
        <v>543</v>
      </c>
      <c r="F5051" s="4" t="s">
        <v>336</v>
      </c>
      <c r="G5051" t="s">
        <v>29</v>
      </c>
      <c r="H5051" t="s">
        <v>337</v>
      </c>
    </row>
    <row r="5052" spans="1:8" x14ac:dyDescent="0.25">
      <c r="A5052" t="s">
        <v>1082</v>
      </c>
      <c r="B5052" t="s">
        <v>338</v>
      </c>
      <c r="C5052" s="5">
        <v>317899</v>
      </c>
      <c r="D5052" s="5">
        <v>7273</v>
      </c>
      <c r="E5052">
        <v>12321</v>
      </c>
      <c r="F5052" s="4" t="s">
        <v>528</v>
      </c>
      <c r="G5052" t="s">
        <v>29</v>
      </c>
      <c r="H5052" t="s">
        <v>529</v>
      </c>
    </row>
    <row r="5053" spans="1:8" x14ac:dyDescent="0.25">
      <c r="A5053" t="s">
        <v>1082</v>
      </c>
      <c r="B5053" t="s">
        <v>341</v>
      </c>
      <c r="C5053" s="5">
        <v>138047</v>
      </c>
      <c r="D5053" s="5">
        <v>2036</v>
      </c>
      <c r="E5053">
        <v>89154</v>
      </c>
      <c r="F5053" s="4" t="s">
        <v>777</v>
      </c>
      <c r="G5053" t="s">
        <v>29</v>
      </c>
      <c r="H5053" t="s">
        <v>778</v>
      </c>
    </row>
    <row r="5054" spans="1:8" x14ac:dyDescent="0.25">
      <c r="A5054" t="s">
        <v>1082</v>
      </c>
      <c r="B5054" t="s">
        <v>344</v>
      </c>
      <c r="C5054" s="5">
        <v>3878</v>
      </c>
      <c r="D5054" s="5">
        <v>55</v>
      </c>
      <c r="E5054">
        <v>2647</v>
      </c>
      <c r="F5054" s="4" t="s">
        <v>640</v>
      </c>
      <c r="G5054" t="s">
        <v>29</v>
      </c>
      <c r="H5054" t="s">
        <v>641</v>
      </c>
    </row>
    <row r="5055" spans="1:8" x14ac:dyDescent="0.25">
      <c r="A5055" t="s">
        <v>1082</v>
      </c>
      <c r="B5055" t="s">
        <v>347</v>
      </c>
      <c r="C5055" s="5">
        <v>43616</v>
      </c>
      <c r="D5055" s="5">
        <v>960</v>
      </c>
      <c r="E5055">
        <v>33459</v>
      </c>
      <c r="F5055" s="4" t="s">
        <v>969</v>
      </c>
      <c r="G5055" t="s">
        <v>29</v>
      </c>
      <c r="H5055" t="s">
        <v>970</v>
      </c>
    </row>
    <row r="5056" spans="1:8" x14ac:dyDescent="0.25">
      <c r="A5056" t="s">
        <v>1082</v>
      </c>
      <c r="B5056" t="s">
        <v>348</v>
      </c>
      <c r="C5056" s="5">
        <v>4</v>
      </c>
      <c r="D5056" s="5">
        <v>0</v>
      </c>
      <c r="E5056">
        <v>3</v>
      </c>
      <c r="F5056" s="4" t="s">
        <v>29</v>
      </c>
      <c r="G5056" t="s">
        <v>29</v>
      </c>
      <c r="H5056" t="s">
        <v>291</v>
      </c>
    </row>
    <row r="5057" spans="1:8" x14ac:dyDescent="0.25">
      <c r="A5057" t="s">
        <v>1082</v>
      </c>
      <c r="B5057" t="s">
        <v>349</v>
      </c>
      <c r="C5057" s="5">
        <v>197197</v>
      </c>
      <c r="D5057" s="5">
        <v>6964</v>
      </c>
      <c r="E5057">
        <v>35668</v>
      </c>
      <c r="F5057" s="4" t="s">
        <v>430</v>
      </c>
      <c r="G5057" t="s">
        <v>29</v>
      </c>
      <c r="H5057" t="s">
        <v>431</v>
      </c>
    </row>
    <row r="5058" spans="1:8" x14ac:dyDescent="0.25">
      <c r="A5058" t="s">
        <v>1082</v>
      </c>
      <c r="B5058" t="s">
        <v>352</v>
      </c>
      <c r="C5058" s="5">
        <v>15643</v>
      </c>
      <c r="D5058" s="5">
        <v>557</v>
      </c>
      <c r="E5058">
        <v>1855</v>
      </c>
      <c r="F5058" s="4" t="s">
        <v>850</v>
      </c>
      <c r="G5058" t="s">
        <v>29</v>
      </c>
      <c r="H5058" t="s">
        <v>851</v>
      </c>
    </row>
    <row r="5059" spans="1:8" x14ac:dyDescent="0.25">
      <c r="A5059" t="s">
        <v>1082</v>
      </c>
      <c r="B5059" t="s">
        <v>355</v>
      </c>
      <c r="C5059" s="5">
        <v>488875</v>
      </c>
      <c r="D5059" s="5">
        <v>18388</v>
      </c>
      <c r="E5059">
        <v>8189</v>
      </c>
      <c r="F5059" s="4" t="s">
        <v>1040</v>
      </c>
      <c r="G5059" t="s">
        <v>29</v>
      </c>
      <c r="H5059" t="s">
        <v>1041</v>
      </c>
    </row>
    <row r="5060" spans="1:8" x14ac:dyDescent="0.25">
      <c r="A5060" t="s">
        <v>1082</v>
      </c>
      <c r="B5060" t="s">
        <v>358</v>
      </c>
      <c r="C5060" s="5">
        <v>340839</v>
      </c>
      <c r="D5060" s="5">
        <v>1574</v>
      </c>
      <c r="E5060">
        <v>211948</v>
      </c>
      <c r="F5060" s="4" t="s">
        <v>149</v>
      </c>
      <c r="G5060" t="s">
        <v>29</v>
      </c>
      <c r="H5060" t="s">
        <v>150</v>
      </c>
    </row>
    <row r="5061" spans="1:8" x14ac:dyDescent="0.25">
      <c r="A5061" t="s">
        <v>1082</v>
      </c>
      <c r="B5061" t="s">
        <v>359</v>
      </c>
      <c r="C5061" s="5">
        <v>77</v>
      </c>
      <c r="D5061" s="5">
        <v>0</v>
      </c>
      <c r="E5061">
        <v>13</v>
      </c>
      <c r="F5061" s="4" t="s">
        <v>29</v>
      </c>
      <c r="G5061" t="s">
        <v>29</v>
      </c>
      <c r="H5061" t="s">
        <v>291</v>
      </c>
    </row>
    <row r="5062" spans="1:8" x14ac:dyDescent="0.25">
      <c r="A5062" t="s">
        <v>1082</v>
      </c>
      <c r="B5062" t="s">
        <v>360</v>
      </c>
      <c r="C5062" s="5">
        <v>42269</v>
      </c>
      <c r="D5062" s="5">
        <v>656</v>
      </c>
      <c r="E5062">
        <v>40017</v>
      </c>
      <c r="F5062" s="4" t="s">
        <v>333</v>
      </c>
      <c r="G5062" t="s">
        <v>29</v>
      </c>
      <c r="H5062" t="s">
        <v>334</v>
      </c>
    </row>
    <row r="5063" spans="1:8" x14ac:dyDescent="0.25">
      <c r="A5063" t="s">
        <v>1082</v>
      </c>
      <c r="B5063" t="s">
        <v>363</v>
      </c>
      <c r="C5063" s="5">
        <v>36722</v>
      </c>
      <c r="D5063" s="5">
        <v>789</v>
      </c>
      <c r="E5063">
        <v>26351</v>
      </c>
      <c r="F5063" s="4" t="s">
        <v>852</v>
      </c>
      <c r="G5063" t="s">
        <v>29</v>
      </c>
      <c r="H5063" t="s">
        <v>853</v>
      </c>
    </row>
    <row r="5064" spans="1:8" x14ac:dyDescent="0.25">
      <c r="A5064" t="s">
        <v>1082</v>
      </c>
      <c r="B5064" t="s">
        <v>364</v>
      </c>
      <c r="C5064" s="5">
        <v>37464</v>
      </c>
      <c r="D5064" s="5">
        <v>459</v>
      </c>
      <c r="E5064">
        <v>17471</v>
      </c>
      <c r="F5064" s="4" t="s">
        <v>798</v>
      </c>
      <c r="G5064" t="s">
        <v>29</v>
      </c>
      <c r="H5064" t="s">
        <v>799</v>
      </c>
    </row>
    <row r="5065" spans="1:8" x14ac:dyDescent="0.25">
      <c r="A5065" t="s">
        <v>1082</v>
      </c>
      <c r="B5065" t="s">
        <v>367</v>
      </c>
      <c r="C5065" s="5">
        <v>16669</v>
      </c>
      <c r="D5065" s="5">
        <v>134</v>
      </c>
      <c r="E5065">
        <v>8194</v>
      </c>
      <c r="F5065" s="4" t="s">
        <v>942</v>
      </c>
      <c r="G5065" t="s">
        <v>29</v>
      </c>
      <c r="H5065" t="s">
        <v>943</v>
      </c>
    </row>
    <row r="5066" spans="1:8" x14ac:dyDescent="0.25">
      <c r="A5066" t="s">
        <v>1082</v>
      </c>
      <c r="B5066" t="s">
        <v>368</v>
      </c>
      <c r="C5066" s="5">
        <v>86211</v>
      </c>
      <c r="D5066" s="5">
        <v>238</v>
      </c>
      <c r="E5066">
        <v>4473</v>
      </c>
      <c r="F5066" s="4" t="s">
        <v>369</v>
      </c>
      <c r="G5066" t="s">
        <v>29</v>
      </c>
      <c r="H5066" t="s">
        <v>370</v>
      </c>
    </row>
    <row r="5067" spans="1:8" x14ac:dyDescent="0.25">
      <c r="A5067" t="s">
        <v>1082</v>
      </c>
      <c r="B5067" t="s">
        <v>371</v>
      </c>
      <c r="C5067" s="5">
        <v>61726</v>
      </c>
      <c r="D5067" s="5">
        <v>2294</v>
      </c>
      <c r="E5067">
        <v>44701</v>
      </c>
      <c r="F5067" s="4" t="s">
        <v>372</v>
      </c>
      <c r="G5067" t="s">
        <v>29</v>
      </c>
      <c r="H5067" t="s">
        <v>373</v>
      </c>
    </row>
    <row r="5068" spans="1:8" x14ac:dyDescent="0.25">
      <c r="A5068" t="s">
        <v>1082</v>
      </c>
      <c r="B5068" t="s">
        <v>374</v>
      </c>
      <c r="C5068" s="5">
        <v>3758469</v>
      </c>
      <c r="D5068" s="5">
        <v>284477</v>
      </c>
      <c r="E5068">
        <v>2465147</v>
      </c>
      <c r="F5068" s="4" t="s">
        <v>375</v>
      </c>
      <c r="G5068" t="s">
        <v>29</v>
      </c>
      <c r="H5068" t="s">
        <v>376</v>
      </c>
    </row>
    <row r="5069" spans="1:8" x14ac:dyDescent="0.25">
      <c r="A5069" t="s">
        <v>1082</v>
      </c>
      <c r="B5069" t="s">
        <v>377</v>
      </c>
      <c r="C5069" s="5">
        <v>2396121</v>
      </c>
      <c r="D5069" s="5">
        <v>27993</v>
      </c>
      <c r="E5069">
        <v>1920369</v>
      </c>
      <c r="F5069" s="4" t="s">
        <v>378</v>
      </c>
      <c r="G5069" t="s">
        <v>29</v>
      </c>
      <c r="H5069" t="s">
        <v>379</v>
      </c>
    </row>
    <row r="5070" spans="1:8" x14ac:dyDescent="0.25">
      <c r="A5070" t="s">
        <v>1082</v>
      </c>
      <c r="B5070" t="s">
        <v>380</v>
      </c>
      <c r="C5070" s="5">
        <v>151112</v>
      </c>
      <c r="D5070" s="5">
        <v>1927</v>
      </c>
      <c r="E5070">
        <v>69928</v>
      </c>
      <c r="F5070" s="4" t="s">
        <v>381</v>
      </c>
      <c r="G5070" t="s">
        <v>29</v>
      </c>
      <c r="H5070" t="s">
        <v>382</v>
      </c>
    </row>
    <row r="5071" spans="1:8" x14ac:dyDescent="0.25">
      <c r="A5071" t="s">
        <v>1082</v>
      </c>
      <c r="B5071" t="s">
        <v>383</v>
      </c>
      <c r="C5071" s="5">
        <v>128353</v>
      </c>
      <c r="D5071" s="5">
        <v>3540</v>
      </c>
      <c r="E5071">
        <v>50504</v>
      </c>
      <c r="F5071" s="4" t="s">
        <v>384</v>
      </c>
      <c r="G5071" t="s">
        <v>29</v>
      </c>
      <c r="H5071" t="s">
        <v>385</v>
      </c>
    </row>
    <row r="5072" spans="1:8" x14ac:dyDescent="0.25">
      <c r="A5072" t="s">
        <v>1082</v>
      </c>
      <c r="B5072" t="s">
        <v>386</v>
      </c>
      <c r="C5072" s="5">
        <v>10070</v>
      </c>
      <c r="D5072" s="5">
        <v>242</v>
      </c>
      <c r="E5072">
        <v>2949</v>
      </c>
      <c r="F5072" s="4" t="s">
        <v>617</v>
      </c>
      <c r="G5072" t="s">
        <v>29</v>
      </c>
      <c r="H5072" t="s">
        <v>618</v>
      </c>
    </row>
    <row r="5073" spans="1:8" x14ac:dyDescent="0.25">
      <c r="A5073" t="s">
        <v>1082</v>
      </c>
      <c r="B5073" t="s">
        <v>387</v>
      </c>
      <c r="C5073" s="5">
        <v>6177</v>
      </c>
      <c r="D5073" s="5">
        <v>205</v>
      </c>
      <c r="E5073">
        <v>5838</v>
      </c>
      <c r="F5073" s="4" t="s">
        <v>965</v>
      </c>
      <c r="G5073" t="s">
        <v>29</v>
      </c>
      <c r="H5073" t="s">
        <v>966</v>
      </c>
    </row>
    <row r="5074" spans="1:8" x14ac:dyDescent="0.25">
      <c r="A5074" t="s">
        <v>1082</v>
      </c>
      <c r="B5074" t="s">
        <v>390</v>
      </c>
      <c r="C5074" s="5">
        <v>209387</v>
      </c>
      <c r="D5074" s="5">
        <v>2838</v>
      </c>
      <c r="E5074">
        <v>39901</v>
      </c>
      <c r="F5074" s="4" t="s">
        <v>630</v>
      </c>
      <c r="G5074" t="s">
        <v>29</v>
      </c>
      <c r="H5074" t="s">
        <v>631</v>
      </c>
    </row>
    <row r="5075" spans="1:8" x14ac:dyDescent="0.25">
      <c r="A5075" t="s">
        <v>1082</v>
      </c>
      <c r="B5075" t="s">
        <v>393</v>
      </c>
      <c r="C5075" s="5">
        <v>15737</v>
      </c>
      <c r="D5075" s="5">
        <v>206</v>
      </c>
      <c r="E5075">
        <v>11389</v>
      </c>
      <c r="F5075" s="4" t="s">
        <v>708</v>
      </c>
      <c r="G5075" t="s">
        <v>29</v>
      </c>
      <c r="H5075" t="s">
        <v>709</v>
      </c>
    </row>
    <row r="5076" spans="1:8" x14ac:dyDescent="0.25">
      <c r="A5076" t="s">
        <v>1082</v>
      </c>
      <c r="B5076" t="s">
        <v>396</v>
      </c>
      <c r="C5076" s="5">
        <v>2090522</v>
      </c>
      <c r="D5076" s="5">
        <v>18684</v>
      </c>
      <c r="E5076">
        <v>389139</v>
      </c>
      <c r="F5076" s="4" t="s">
        <v>65</v>
      </c>
      <c r="G5076" t="s">
        <v>29</v>
      </c>
      <c r="H5076" t="s">
        <v>66</v>
      </c>
    </row>
    <row r="5077" spans="1:8" x14ac:dyDescent="0.25">
      <c r="A5077" t="s">
        <v>1082</v>
      </c>
      <c r="B5077" t="s">
        <v>399</v>
      </c>
      <c r="C5077" s="5">
        <v>196896</v>
      </c>
      <c r="D5077" s="5">
        <v>884</v>
      </c>
      <c r="E5077">
        <v>20976</v>
      </c>
      <c r="F5077" s="4" t="s">
        <v>888</v>
      </c>
      <c r="G5077" t="s">
        <v>29</v>
      </c>
      <c r="H5077" t="s">
        <v>889</v>
      </c>
    </row>
    <row r="5078" spans="1:8" x14ac:dyDescent="0.25">
      <c r="A5078" t="s">
        <v>1082</v>
      </c>
      <c r="B5078" t="s">
        <v>402</v>
      </c>
      <c r="C5078" s="5">
        <v>805560</v>
      </c>
      <c r="D5078" s="5">
        <v>11293</v>
      </c>
      <c r="E5078">
        <v>602078</v>
      </c>
      <c r="F5078" s="4" t="s">
        <v>403</v>
      </c>
      <c r="G5078" t="s">
        <v>29</v>
      </c>
      <c r="H5078" t="s">
        <v>404</v>
      </c>
    </row>
    <row r="5079" spans="1:8" x14ac:dyDescent="0.25">
      <c r="A5079" t="s">
        <v>1082</v>
      </c>
      <c r="B5079" t="s">
        <v>405</v>
      </c>
      <c r="C5079" s="5">
        <v>5154</v>
      </c>
      <c r="D5079" s="5">
        <v>28</v>
      </c>
      <c r="E5079">
        <v>5081</v>
      </c>
      <c r="F5079" s="4" t="s">
        <v>919</v>
      </c>
      <c r="G5079" t="s">
        <v>29</v>
      </c>
      <c r="H5079" t="s">
        <v>920</v>
      </c>
    </row>
    <row r="5080" spans="1:8" x14ac:dyDescent="0.25">
      <c r="A5080" t="s">
        <v>1082</v>
      </c>
      <c r="B5080" t="s">
        <v>408</v>
      </c>
      <c r="C5080" s="5">
        <v>304066</v>
      </c>
      <c r="D5080" s="5">
        <v>4106</v>
      </c>
      <c r="E5080">
        <v>75409</v>
      </c>
      <c r="F5080" s="4" t="s">
        <v>409</v>
      </c>
      <c r="G5080" t="s">
        <v>29</v>
      </c>
      <c r="H5080" t="s">
        <v>410</v>
      </c>
    </row>
    <row r="5081" spans="1:8" x14ac:dyDescent="0.25">
      <c r="A5081" t="s">
        <v>1082</v>
      </c>
      <c r="B5081" t="s">
        <v>411</v>
      </c>
      <c r="C5081" s="5">
        <v>470395</v>
      </c>
      <c r="D5081" s="5">
        <v>7294</v>
      </c>
      <c r="E5081">
        <v>122565</v>
      </c>
      <c r="F5081" s="4" t="s">
        <v>333</v>
      </c>
      <c r="G5081" t="s">
        <v>29</v>
      </c>
      <c r="H5081" t="s">
        <v>334</v>
      </c>
    </row>
    <row r="5082" spans="1:8" x14ac:dyDescent="0.25">
      <c r="A5082" t="s">
        <v>1082</v>
      </c>
      <c r="B5082" t="s">
        <v>412</v>
      </c>
      <c r="C5082" s="5">
        <v>2190396</v>
      </c>
      <c r="D5082" s="5">
        <v>199882</v>
      </c>
      <c r="E5082">
        <v>559804</v>
      </c>
      <c r="F5082" s="4" t="s">
        <v>1085</v>
      </c>
      <c r="G5082" t="s">
        <v>29</v>
      </c>
      <c r="H5082" t="s">
        <v>1086</v>
      </c>
    </row>
    <row r="5083" spans="1:8" x14ac:dyDescent="0.25">
      <c r="A5083" t="s">
        <v>1082</v>
      </c>
      <c r="B5083" t="s">
        <v>415</v>
      </c>
      <c r="C5083" s="5">
        <v>45439</v>
      </c>
      <c r="D5083" s="5">
        <v>635</v>
      </c>
      <c r="E5083">
        <v>7965</v>
      </c>
      <c r="F5083" s="4" t="s">
        <v>403</v>
      </c>
      <c r="G5083" t="s">
        <v>29</v>
      </c>
      <c r="H5083" t="s">
        <v>404</v>
      </c>
    </row>
    <row r="5084" spans="1:8" x14ac:dyDescent="0.25">
      <c r="A5084" t="s">
        <v>1082</v>
      </c>
      <c r="B5084" t="s">
        <v>416</v>
      </c>
      <c r="C5084" s="5">
        <v>24857</v>
      </c>
      <c r="D5084" s="5">
        <v>309</v>
      </c>
      <c r="E5084">
        <v>9827</v>
      </c>
      <c r="F5084" s="4" t="s">
        <v>394</v>
      </c>
      <c r="G5084" t="s">
        <v>29</v>
      </c>
      <c r="H5084" t="s">
        <v>395</v>
      </c>
    </row>
    <row r="5085" spans="1:8" x14ac:dyDescent="0.25">
      <c r="A5085" t="s">
        <v>1082</v>
      </c>
      <c r="B5085" t="s">
        <v>420</v>
      </c>
      <c r="C5085" s="5">
        <v>1265650</v>
      </c>
      <c r="D5085" s="5">
        <v>28300</v>
      </c>
      <c r="E5085">
        <v>902772</v>
      </c>
      <c r="F5085" s="4" t="s">
        <v>603</v>
      </c>
      <c r="G5085" t="s">
        <v>29</v>
      </c>
      <c r="H5085" t="s">
        <v>604</v>
      </c>
    </row>
    <row r="5086" spans="1:8" x14ac:dyDescent="0.25">
      <c r="A5086" t="s">
        <v>1082</v>
      </c>
      <c r="B5086" t="s">
        <v>419</v>
      </c>
      <c r="C5086" s="5">
        <v>2727286</v>
      </c>
      <c r="D5086" s="5">
        <v>40761</v>
      </c>
      <c r="E5086">
        <v>2353763</v>
      </c>
      <c r="F5086" s="4" t="s">
        <v>800</v>
      </c>
      <c r="G5086" t="s">
        <v>29</v>
      </c>
      <c r="H5086" t="s">
        <v>801</v>
      </c>
    </row>
    <row r="5087" spans="1:8" x14ac:dyDescent="0.25">
      <c r="A5087" t="s">
        <v>1082</v>
      </c>
      <c r="B5087" t="s">
        <v>423</v>
      </c>
      <c r="C5087" s="5">
        <v>2941126</v>
      </c>
      <c r="D5087" s="5">
        <v>76115</v>
      </c>
      <c r="E5087">
        <v>2438080</v>
      </c>
      <c r="F5087" s="4" t="s">
        <v>719</v>
      </c>
      <c r="G5087" t="s">
        <v>29</v>
      </c>
      <c r="H5087" t="s">
        <v>720</v>
      </c>
    </row>
    <row r="5088" spans="1:8" x14ac:dyDescent="0.25">
      <c r="A5088" t="s">
        <v>1082</v>
      </c>
      <c r="B5088" t="s">
        <v>426</v>
      </c>
      <c r="C5088" s="5">
        <v>448322</v>
      </c>
      <c r="D5088" s="5">
        <v>4585</v>
      </c>
      <c r="E5088">
        <v>103849</v>
      </c>
      <c r="F5088" s="4" t="s">
        <v>326</v>
      </c>
      <c r="G5088" t="s">
        <v>29</v>
      </c>
      <c r="H5088" t="s">
        <v>327</v>
      </c>
    </row>
    <row r="5089" spans="1:8" x14ac:dyDescent="0.25">
      <c r="A5089" t="s">
        <v>1082</v>
      </c>
      <c r="B5089" t="s">
        <v>427</v>
      </c>
      <c r="C5089" s="5">
        <v>1080097</v>
      </c>
      <c r="D5089" s="5">
        <v>18100</v>
      </c>
      <c r="E5089">
        <v>95067</v>
      </c>
      <c r="F5089" s="4" t="s">
        <v>116</v>
      </c>
      <c r="G5089" t="s">
        <v>29</v>
      </c>
      <c r="H5089" t="s">
        <v>117</v>
      </c>
    </row>
    <row r="5090" spans="1:8" x14ac:dyDescent="0.25">
      <c r="A5090" t="s">
        <v>1082</v>
      </c>
      <c r="B5090" t="s">
        <v>428</v>
      </c>
      <c r="C5090" s="5">
        <v>8</v>
      </c>
      <c r="D5090" s="5">
        <v>0</v>
      </c>
      <c r="E5090">
        <v>8</v>
      </c>
      <c r="F5090" s="4" t="s">
        <v>29</v>
      </c>
      <c r="G5090" t="s">
        <v>29</v>
      </c>
      <c r="H5090" t="s">
        <v>291</v>
      </c>
    </row>
    <row r="5091" spans="1:8" x14ac:dyDescent="0.25">
      <c r="A5091" t="s">
        <v>1082</v>
      </c>
      <c r="B5091" t="s">
        <v>429</v>
      </c>
      <c r="C5091" s="5">
        <v>460553</v>
      </c>
      <c r="D5091" s="5">
        <v>16228</v>
      </c>
      <c r="E5091">
        <v>233002</v>
      </c>
      <c r="F5091" s="4" t="s">
        <v>353</v>
      </c>
      <c r="G5091" t="s">
        <v>29</v>
      </c>
      <c r="H5091" t="s">
        <v>354</v>
      </c>
    </row>
    <row r="5092" spans="1:8" x14ac:dyDescent="0.25">
      <c r="A5092" t="s">
        <v>1082</v>
      </c>
      <c r="B5092" t="s">
        <v>432</v>
      </c>
      <c r="C5092" s="5">
        <v>237996</v>
      </c>
      <c r="D5092" s="5">
        <v>608</v>
      </c>
      <c r="E5092">
        <v>27119</v>
      </c>
      <c r="F5092" s="4" t="s">
        <v>794</v>
      </c>
      <c r="G5092" t="s">
        <v>29</v>
      </c>
      <c r="H5092" t="s">
        <v>795</v>
      </c>
    </row>
    <row r="5093" spans="1:8" x14ac:dyDescent="0.25">
      <c r="A5093" t="s">
        <v>1082</v>
      </c>
      <c r="B5093" t="s">
        <v>435</v>
      </c>
      <c r="C5093" s="5">
        <v>54024</v>
      </c>
      <c r="D5093" s="5">
        <v>370</v>
      </c>
      <c r="E5093">
        <v>38127</v>
      </c>
      <c r="F5093" s="4" t="s">
        <v>605</v>
      </c>
      <c r="G5093" t="s">
        <v>29</v>
      </c>
      <c r="H5093" t="s">
        <v>606</v>
      </c>
    </row>
    <row r="5094" spans="1:8" x14ac:dyDescent="0.25">
      <c r="A5094" t="s">
        <v>1082</v>
      </c>
      <c r="B5094" t="s">
        <v>436</v>
      </c>
      <c r="C5094" s="5">
        <v>1467401</v>
      </c>
      <c r="D5094" s="5">
        <v>42042</v>
      </c>
      <c r="E5094">
        <v>1317991</v>
      </c>
      <c r="F5094" s="4" t="s">
        <v>168</v>
      </c>
      <c r="G5094" t="s">
        <v>29</v>
      </c>
      <c r="H5094" t="s">
        <v>169</v>
      </c>
    </row>
    <row r="5095" spans="1:8" x14ac:dyDescent="0.25">
      <c r="A5095" t="s">
        <v>1082</v>
      </c>
      <c r="B5095" t="s">
        <v>439</v>
      </c>
      <c r="C5095" s="5">
        <v>1055296</v>
      </c>
      <c r="D5095" s="5">
        <v>9157</v>
      </c>
      <c r="E5095">
        <v>314304</v>
      </c>
      <c r="F5095" s="4" t="s">
        <v>498</v>
      </c>
      <c r="G5095" t="s">
        <v>29</v>
      </c>
      <c r="H5095" t="s">
        <v>499</v>
      </c>
    </row>
    <row r="5096" spans="1:8" x14ac:dyDescent="0.25">
      <c r="A5096" t="s">
        <v>1082</v>
      </c>
      <c r="B5096" t="s">
        <v>440</v>
      </c>
      <c r="C5096" s="5">
        <v>7903963</v>
      </c>
      <c r="D5096" s="5">
        <v>220323</v>
      </c>
      <c r="E5096">
        <v>3907054</v>
      </c>
      <c r="F5096" s="4" t="s">
        <v>662</v>
      </c>
      <c r="G5096" t="s">
        <v>29</v>
      </c>
      <c r="H5096" t="s">
        <v>663</v>
      </c>
    </row>
    <row r="5097" spans="1:8" x14ac:dyDescent="0.25">
      <c r="A5097" t="s">
        <v>1082</v>
      </c>
      <c r="B5097" t="s">
        <v>443</v>
      </c>
      <c r="C5097" s="5">
        <v>99181</v>
      </c>
      <c r="D5097" s="5">
        <v>1313</v>
      </c>
      <c r="E5097">
        <v>85667</v>
      </c>
      <c r="F5097" s="4" t="s">
        <v>307</v>
      </c>
      <c r="G5097" t="s">
        <v>29</v>
      </c>
      <c r="H5097" t="s">
        <v>308</v>
      </c>
    </row>
    <row r="5098" spans="1:8" x14ac:dyDescent="0.25">
      <c r="A5098" t="s">
        <v>1082</v>
      </c>
      <c r="B5098" t="s">
        <v>444</v>
      </c>
      <c r="C5098" s="5">
        <v>547969</v>
      </c>
      <c r="D5098" s="5">
        <v>8765</v>
      </c>
      <c r="E5098">
        <v>299293</v>
      </c>
      <c r="F5098" s="4" t="s">
        <v>313</v>
      </c>
      <c r="G5098" t="s">
        <v>29</v>
      </c>
      <c r="H5098" t="s">
        <v>314</v>
      </c>
    </row>
    <row r="5099" spans="1:8" x14ac:dyDescent="0.25">
      <c r="A5099" t="s">
        <v>1082</v>
      </c>
      <c r="B5099" t="s">
        <v>445</v>
      </c>
      <c r="C5099" s="5">
        <v>20</v>
      </c>
      <c r="D5099" s="5">
        <v>0</v>
      </c>
      <c r="E5099">
        <v>3</v>
      </c>
      <c r="F5099" s="4" t="s">
        <v>29</v>
      </c>
      <c r="G5099" t="s">
        <v>29</v>
      </c>
      <c r="H5099" t="s">
        <v>291</v>
      </c>
    </row>
    <row r="5100" spans="1:8" x14ac:dyDescent="0.25">
      <c r="A5100" t="s">
        <v>1082</v>
      </c>
      <c r="B5100" t="s">
        <v>446</v>
      </c>
      <c r="C5100" s="5">
        <v>21947</v>
      </c>
      <c r="D5100" s="5">
        <v>119</v>
      </c>
      <c r="E5100">
        <v>17238</v>
      </c>
      <c r="F5100" s="4" t="s">
        <v>919</v>
      </c>
      <c r="G5100" t="s">
        <v>29</v>
      </c>
      <c r="H5100" t="s">
        <v>920</v>
      </c>
    </row>
    <row r="5101" spans="1:8" x14ac:dyDescent="0.25">
      <c r="A5101" t="s">
        <v>1082</v>
      </c>
      <c r="B5101" t="s">
        <v>449</v>
      </c>
      <c r="C5101" s="5">
        <v>39839</v>
      </c>
      <c r="D5101" s="5">
        <v>3038</v>
      </c>
      <c r="E5101">
        <v>36314</v>
      </c>
      <c r="F5101" s="4" t="s">
        <v>1067</v>
      </c>
      <c r="G5101" t="s">
        <v>29</v>
      </c>
      <c r="H5101" t="s">
        <v>1068</v>
      </c>
    </row>
    <row r="5102" spans="1:8" x14ac:dyDescent="0.25">
      <c r="A5102" t="s">
        <v>1082</v>
      </c>
      <c r="B5102" t="s">
        <v>452</v>
      </c>
      <c r="C5102" s="5">
        <v>1161933</v>
      </c>
      <c r="D5102" s="5">
        <v>14956</v>
      </c>
      <c r="E5102">
        <v>909223</v>
      </c>
      <c r="F5102" s="4" t="s">
        <v>417</v>
      </c>
      <c r="G5102" t="s">
        <v>29</v>
      </c>
      <c r="H5102" t="s">
        <v>418</v>
      </c>
    </row>
    <row r="5103" spans="1:8" x14ac:dyDescent="0.25">
      <c r="A5103" t="s">
        <v>1082</v>
      </c>
      <c r="B5103" t="s">
        <v>453</v>
      </c>
      <c r="C5103" s="5">
        <v>150731</v>
      </c>
      <c r="D5103" s="5">
        <v>239</v>
      </c>
      <c r="E5103">
        <v>99918</v>
      </c>
      <c r="F5103" s="4" t="s">
        <v>825</v>
      </c>
      <c r="G5103" t="s">
        <v>29</v>
      </c>
      <c r="H5103" t="s">
        <v>826</v>
      </c>
    </row>
    <row r="5104" spans="1:8" x14ac:dyDescent="0.25">
      <c r="A5104" t="s">
        <v>1082</v>
      </c>
      <c r="B5104" t="s">
        <v>456</v>
      </c>
      <c r="C5104" s="5">
        <v>308501</v>
      </c>
      <c r="D5104" s="5">
        <v>4641</v>
      </c>
      <c r="E5104">
        <v>130920</v>
      </c>
      <c r="F5104" s="4" t="s">
        <v>226</v>
      </c>
      <c r="G5104" t="s">
        <v>29</v>
      </c>
      <c r="H5104" t="s">
        <v>227</v>
      </c>
    </row>
    <row r="5105" spans="1:8" x14ac:dyDescent="0.25">
      <c r="A5105" t="s">
        <v>1082</v>
      </c>
      <c r="B5105" t="s">
        <v>457</v>
      </c>
      <c r="C5105" s="5">
        <v>437938</v>
      </c>
      <c r="D5105" s="5">
        <v>12854</v>
      </c>
      <c r="E5105">
        <v>351557</v>
      </c>
      <c r="F5105" s="4" t="s">
        <v>748</v>
      </c>
      <c r="G5105" t="s">
        <v>29</v>
      </c>
      <c r="H5105" t="s">
        <v>749</v>
      </c>
    </row>
    <row r="5106" spans="1:8" x14ac:dyDescent="0.25">
      <c r="A5106" t="s">
        <v>1082</v>
      </c>
      <c r="B5106" t="s">
        <v>460</v>
      </c>
      <c r="C5106" s="5">
        <v>6397</v>
      </c>
      <c r="D5106" s="5">
        <v>121</v>
      </c>
      <c r="E5106">
        <v>4236</v>
      </c>
      <c r="F5106" s="4" t="s">
        <v>461</v>
      </c>
      <c r="G5106" t="s">
        <v>29</v>
      </c>
      <c r="H5106" t="s">
        <v>462</v>
      </c>
    </row>
    <row r="5107" spans="1:8" x14ac:dyDescent="0.25">
      <c r="A5107" t="s">
        <v>1082</v>
      </c>
      <c r="B5107" t="s">
        <v>463</v>
      </c>
      <c r="C5107" s="5">
        <v>5475</v>
      </c>
      <c r="D5107" s="5">
        <v>91</v>
      </c>
      <c r="E5107">
        <v>4291</v>
      </c>
      <c r="F5107" s="4" t="s">
        <v>135</v>
      </c>
      <c r="G5107" t="s">
        <v>29</v>
      </c>
      <c r="H5107" t="s">
        <v>136</v>
      </c>
    </row>
    <row r="5108" spans="1:8" x14ac:dyDescent="0.25">
      <c r="A5108" t="s">
        <v>1082</v>
      </c>
      <c r="B5108" t="s">
        <v>464</v>
      </c>
      <c r="C5108" s="5">
        <v>73873</v>
      </c>
      <c r="D5108" s="5">
        <v>1871</v>
      </c>
      <c r="E5108">
        <v>19881</v>
      </c>
      <c r="F5108" s="4" t="s">
        <v>611</v>
      </c>
      <c r="G5108" t="s">
        <v>29</v>
      </c>
      <c r="H5108" t="s">
        <v>612</v>
      </c>
    </row>
    <row r="5109" spans="1:8" x14ac:dyDescent="0.25">
      <c r="A5109" t="s">
        <v>1082</v>
      </c>
      <c r="B5109" t="s">
        <v>465</v>
      </c>
      <c r="C5109" s="5">
        <v>21269</v>
      </c>
      <c r="D5109" s="5">
        <v>1180</v>
      </c>
      <c r="E5109">
        <v>8141</v>
      </c>
      <c r="F5109" s="4" t="s">
        <v>1005</v>
      </c>
      <c r="G5109" t="s">
        <v>29</v>
      </c>
      <c r="H5109" t="s">
        <v>1006</v>
      </c>
    </row>
    <row r="5110" spans="1:8" x14ac:dyDescent="0.25">
      <c r="A5110" t="s">
        <v>1082</v>
      </c>
      <c r="B5110" t="s">
        <v>468</v>
      </c>
      <c r="C5110" s="5">
        <v>46996</v>
      </c>
      <c r="D5110" s="5">
        <v>1029</v>
      </c>
      <c r="E5110">
        <v>40492</v>
      </c>
      <c r="F5110" s="4" t="s">
        <v>50</v>
      </c>
      <c r="G5110" t="s">
        <v>29</v>
      </c>
      <c r="H5110" t="s">
        <v>51</v>
      </c>
    </row>
    <row r="5111" spans="1:8" x14ac:dyDescent="0.25">
      <c r="A5111" t="s">
        <v>1082</v>
      </c>
      <c r="B5111" t="s">
        <v>472</v>
      </c>
      <c r="C5111" s="5">
        <v>3677</v>
      </c>
      <c r="D5111" s="5">
        <v>56</v>
      </c>
      <c r="E5111">
        <v>3126</v>
      </c>
      <c r="F5111" s="4" t="s">
        <v>589</v>
      </c>
      <c r="G5111" t="s">
        <v>29</v>
      </c>
      <c r="H5111" t="s">
        <v>590</v>
      </c>
    </row>
    <row r="5112" spans="1:8" x14ac:dyDescent="0.25">
      <c r="A5112" t="s">
        <v>1082</v>
      </c>
      <c r="B5112" t="s">
        <v>471</v>
      </c>
      <c r="C5112" s="5">
        <v>12225</v>
      </c>
      <c r="D5112" s="5">
        <v>130</v>
      </c>
      <c r="E5112">
        <v>6314</v>
      </c>
      <c r="F5112" s="4" t="s">
        <v>165</v>
      </c>
      <c r="G5112" t="s">
        <v>29</v>
      </c>
      <c r="H5112" t="s">
        <v>166</v>
      </c>
    </row>
    <row r="5113" spans="1:8" x14ac:dyDescent="0.25">
      <c r="A5113" t="s">
        <v>1082</v>
      </c>
      <c r="B5113" t="s">
        <v>473</v>
      </c>
      <c r="C5113" s="5">
        <v>110188</v>
      </c>
      <c r="D5113" s="5">
        <v>3490</v>
      </c>
      <c r="E5113">
        <v>44756</v>
      </c>
      <c r="F5113" s="4" t="s">
        <v>628</v>
      </c>
      <c r="G5113" t="s">
        <v>29</v>
      </c>
      <c r="H5113" t="s">
        <v>629</v>
      </c>
    </row>
    <row r="5114" spans="1:8" x14ac:dyDescent="0.25">
      <c r="A5114" t="s">
        <v>1082</v>
      </c>
      <c r="B5114" t="s">
        <v>476</v>
      </c>
      <c r="C5114" s="5">
        <v>39488</v>
      </c>
      <c r="D5114" s="5">
        <v>2429</v>
      </c>
      <c r="E5114">
        <v>4137</v>
      </c>
      <c r="F5114" s="4" t="s">
        <v>1087</v>
      </c>
      <c r="G5114" t="s">
        <v>29</v>
      </c>
      <c r="H5114" t="s">
        <v>1088</v>
      </c>
    </row>
    <row r="5115" spans="1:8" x14ac:dyDescent="0.25">
      <c r="A5115" t="s">
        <v>1082</v>
      </c>
      <c r="B5115" t="s">
        <v>479</v>
      </c>
      <c r="C5115" s="5">
        <v>46371</v>
      </c>
      <c r="D5115" s="5">
        <v>1235</v>
      </c>
      <c r="E5115">
        <v>36506</v>
      </c>
      <c r="F5115" s="4" t="s">
        <v>47</v>
      </c>
      <c r="G5115" t="s">
        <v>29</v>
      </c>
      <c r="H5115" t="s">
        <v>48</v>
      </c>
    </row>
    <row r="5116" spans="1:8" x14ac:dyDescent="0.25">
      <c r="A5116" t="s">
        <v>1082</v>
      </c>
      <c r="B5116" t="s">
        <v>482</v>
      </c>
      <c r="C5116" s="5">
        <v>5069</v>
      </c>
      <c r="D5116" s="5">
        <v>174</v>
      </c>
      <c r="E5116">
        <v>2227</v>
      </c>
      <c r="F5116" s="4" t="s">
        <v>252</v>
      </c>
      <c r="G5116" t="s">
        <v>29</v>
      </c>
      <c r="H5116" t="s">
        <v>253</v>
      </c>
    </row>
    <row r="5117" spans="1:8" x14ac:dyDescent="0.25">
      <c r="A5117" t="s">
        <v>1082</v>
      </c>
      <c r="B5117" t="s">
        <v>483</v>
      </c>
      <c r="C5117" s="5">
        <v>25903</v>
      </c>
      <c r="D5117" s="5">
        <v>239</v>
      </c>
      <c r="E5117">
        <v>16734</v>
      </c>
      <c r="F5117" s="4" t="s">
        <v>214</v>
      </c>
      <c r="G5117" t="s">
        <v>29</v>
      </c>
      <c r="H5117" t="s">
        <v>215</v>
      </c>
    </row>
    <row r="5118" spans="1:8" x14ac:dyDescent="0.25">
      <c r="A5118" t="s">
        <v>1082</v>
      </c>
      <c r="B5118" t="s">
        <v>486</v>
      </c>
      <c r="C5118" s="5">
        <v>1793812</v>
      </c>
      <c r="D5118" s="5">
        <v>18336</v>
      </c>
      <c r="E5118">
        <v>1528038</v>
      </c>
      <c r="F5118" s="4" t="s">
        <v>326</v>
      </c>
      <c r="G5118" t="s">
        <v>29</v>
      </c>
      <c r="H5118" t="s">
        <v>327</v>
      </c>
    </row>
    <row r="5119" spans="1:8" x14ac:dyDescent="0.25">
      <c r="A5119" t="s">
        <v>1082</v>
      </c>
      <c r="B5119" t="s">
        <v>487</v>
      </c>
      <c r="C5119" s="5">
        <v>17484</v>
      </c>
      <c r="D5119" s="5">
        <v>125</v>
      </c>
      <c r="E5119">
        <v>1645</v>
      </c>
      <c r="F5119" s="4" t="s">
        <v>488</v>
      </c>
      <c r="G5119" t="s">
        <v>29</v>
      </c>
      <c r="H5119" t="s">
        <v>489</v>
      </c>
    </row>
    <row r="5120" spans="1:8" x14ac:dyDescent="0.25">
      <c r="A5120" t="s">
        <v>1082</v>
      </c>
      <c r="B5120" t="s">
        <v>490</v>
      </c>
      <c r="C5120" s="5">
        <v>19725</v>
      </c>
      <c r="D5120" s="5">
        <v>119</v>
      </c>
      <c r="E5120">
        <v>5665</v>
      </c>
      <c r="F5120" s="4" t="s">
        <v>300</v>
      </c>
      <c r="G5120" t="s">
        <v>29</v>
      </c>
      <c r="H5120" t="s">
        <v>301</v>
      </c>
    </row>
    <row r="5121" spans="1:8" x14ac:dyDescent="0.25">
      <c r="A5121" t="s">
        <v>1082</v>
      </c>
      <c r="B5121" t="s">
        <v>493</v>
      </c>
      <c r="C5121" s="5">
        <v>710953</v>
      </c>
      <c r="D5121" s="5">
        <v>25100</v>
      </c>
      <c r="E5121">
        <v>244141</v>
      </c>
      <c r="F5121" s="4" t="s">
        <v>430</v>
      </c>
      <c r="G5121" t="s">
        <v>29</v>
      </c>
      <c r="H5121" t="s">
        <v>431</v>
      </c>
    </row>
    <row r="5122" spans="1:8" x14ac:dyDescent="0.25">
      <c r="A5122" t="s">
        <v>1082</v>
      </c>
      <c r="B5122" t="s">
        <v>497</v>
      </c>
      <c r="C5122" s="5">
        <v>7683487</v>
      </c>
      <c r="D5122" s="5">
        <v>67837</v>
      </c>
      <c r="E5122">
        <v>4514688</v>
      </c>
      <c r="F5122" s="4" t="s">
        <v>609</v>
      </c>
      <c r="G5122" t="s">
        <v>29</v>
      </c>
      <c r="H5122" t="s">
        <v>610</v>
      </c>
    </row>
    <row r="5123" spans="1:8" x14ac:dyDescent="0.25">
      <c r="A5123" t="s">
        <v>1082</v>
      </c>
      <c r="B5123" t="s">
        <v>500</v>
      </c>
      <c r="C5123" s="5">
        <v>54267</v>
      </c>
      <c r="D5123" s="5">
        <v>1605</v>
      </c>
      <c r="E5123">
        <v>10427</v>
      </c>
      <c r="F5123" s="4" t="s">
        <v>731</v>
      </c>
      <c r="G5123" t="s">
        <v>29</v>
      </c>
      <c r="H5123" t="s">
        <v>732</v>
      </c>
    </row>
    <row r="5124" spans="1:8" x14ac:dyDescent="0.25">
      <c r="A5124" t="s">
        <v>1082</v>
      </c>
      <c r="B5124" t="s">
        <v>503</v>
      </c>
      <c r="C5124" s="5">
        <v>16337</v>
      </c>
      <c r="D5124" s="5">
        <v>846</v>
      </c>
      <c r="E5124">
        <v>85</v>
      </c>
      <c r="F5124" s="4" t="s">
        <v>1071</v>
      </c>
      <c r="G5124" t="s">
        <v>29</v>
      </c>
      <c r="H5124" t="s">
        <v>1072</v>
      </c>
    </row>
    <row r="5125" spans="1:8" x14ac:dyDescent="0.25">
      <c r="A5125" t="s">
        <v>1082</v>
      </c>
      <c r="B5125" t="s">
        <v>506</v>
      </c>
      <c r="C5125" s="5">
        <v>26034</v>
      </c>
      <c r="D5125" s="5">
        <v>724</v>
      </c>
      <c r="E5125">
        <v>3022</v>
      </c>
      <c r="F5125" s="4" t="s">
        <v>98</v>
      </c>
      <c r="G5125" t="s">
        <v>29</v>
      </c>
      <c r="H5125" t="s">
        <v>99</v>
      </c>
    </row>
    <row r="5126" spans="1:8" x14ac:dyDescent="0.25">
      <c r="A5126" t="s">
        <v>1082</v>
      </c>
      <c r="B5126" t="s">
        <v>509</v>
      </c>
      <c r="C5126" s="5">
        <v>2767743</v>
      </c>
      <c r="D5126" s="5">
        <v>64797</v>
      </c>
      <c r="E5126">
        <v>500894</v>
      </c>
      <c r="F5126" s="4" t="s">
        <v>681</v>
      </c>
      <c r="G5126" t="s">
        <v>29</v>
      </c>
      <c r="H5126" t="s">
        <v>682</v>
      </c>
    </row>
    <row r="5127" spans="1:8" x14ac:dyDescent="0.25">
      <c r="A5127" t="s">
        <v>1082</v>
      </c>
      <c r="B5127" t="s">
        <v>512</v>
      </c>
      <c r="C5127" s="5">
        <v>125261</v>
      </c>
      <c r="D5127" s="5">
        <v>3185</v>
      </c>
      <c r="E5127">
        <v>14349</v>
      </c>
      <c r="F5127" s="4" t="s">
        <v>141</v>
      </c>
      <c r="G5127" t="s">
        <v>29</v>
      </c>
      <c r="H5127" t="s">
        <v>142</v>
      </c>
    </row>
    <row r="5128" spans="1:8" x14ac:dyDescent="0.25">
      <c r="A5128" t="s">
        <v>1082</v>
      </c>
      <c r="B5128" t="s">
        <v>515</v>
      </c>
      <c r="C5128" s="5">
        <v>45050910</v>
      </c>
      <c r="D5128" s="5">
        <v>725835</v>
      </c>
      <c r="E5128">
        <v>34160627</v>
      </c>
      <c r="F5128" s="4" t="s">
        <v>587</v>
      </c>
      <c r="G5128" t="s">
        <v>29</v>
      </c>
      <c r="H5128" t="s">
        <v>588</v>
      </c>
    </row>
    <row r="5129" spans="1:8" x14ac:dyDescent="0.25">
      <c r="A5129" t="s">
        <v>1082</v>
      </c>
      <c r="B5129" t="s">
        <v>518</v>
      </c>
      <c r="C5129" s="5">
        <v>391167</v>
      </c>
      <c r="D5129" s="5">
        <v>6069</v>
      </c>
      <c r="E5129">
        <v>9690</v>
      </c>
      <c r="F5129" s="4" t="s">
        <v>333</v>
      </c>
      <c r="G5129" t="s">
        <v>29</v>
      </c>
      <c r="H5129" t="s">
        <v>334</v>
      </c>
    </row>
    <row r="5130" spans="1:8" x14ac:dyDescent="0.25">
      <c r="A5130" t="s">
        <v>1082</v>
      </c>
      <c r="B5130" t="s">
        <v>521</v>
      </c>
      <c r="C5130" s="5">
        <v>181312</v>
      </c>
      <c r="D5130" s="5">
        <v>1290</v>
      </c>
      <c r="E5130">
        <v>42075</v>
      </c>
      <c r="F5130" s="4" t="s">
        <v>488</v>
      </c>
      <c r="G5130" t="s">
        <v>29</v>
      </c>
      <c r="H5130" t="s">
        <v>489</v>
      </c>
    </row>
    <row r="5131" spans="1:8" x14ac:dyDescent="0.25">
      <c r="A5131" t="s">
        <v>1082</v>
      </c>
      <c r="B5131" t="s">
        <v>523</v>
      </c>
      <c r="C5131" s="5">
        <v>4627</v>
      </c>
      <c r="D5131" s="5">
        <v>53</v>
      </c>
      <c r="E5131">
        <v>1710</v>
      </c>
      <c r="F5131" s="4" t="s">
        <v>583</v>
      </c>
      <c r="G5131" t="s">
        <v>29</v>
      </c>
      <c r="H5131" t="s">
        <v>584</v>
      </c>
    </row>
    <row r="5132" spans="1:8" x14ac:dyDescent="0.25">
      <c r="A5132" t="s">
        <v>1082</v>
      </c>
      <c r="B5132" t="s">
        <v>522</v>
      </c>
      <c r="C5132" s="5">
        <v>27</v>
      </c>
      <c r="D5132" s="5">
        <v>0</v>
      </c>
      <c r="E5132">
        <v>0</v>
      </c>
      <c r="F5132" s="4" t="s">
        <v>29</v>
      </c>
      <c r="G5132" t="s">
        <v>29</v>
      </c>
      <c r="H5132" t="s">
        <v>291</v>
      </c>
    </row>
    <row r="5133" spans="1:8" x14ac:dyDescent="0.25">
      <c r="A5133" t="s">
        <v>1082</v>
      </c>
      <c r="B5133" t="s">
        <v>524</v>
      </c>
      <c r="C5133" s="5">
        <v>394061</v>
      </c>
      <c r="D5133" s="5">
        <v>4734</v>
      </c>
      <c r="E5133">
        <v>34979</v>
      </c>
      <c r="F5133" s="4" t="s">
        <v>525</v>
      </c>
      <c r="G5133" t="s">
        <v>29</v>
      </c>
      <c r="H5133" t="s">
        <v>526</v>
      </c>
    </row>
    <row r="5134" spans="1:8" x14ac:dyDescent="0.25">
      <c r="A5134" t="s">
        <v>1082</v>
      </c>
      <c r="B5134" t="s">
        <v>527</v>
      </c>
      <c r="C5134" s="5">
        <v>867221</v>
      </c>
      <c r="D5134" s="5">
        <v>21269</v>
      </c>
      <c r="E5134">
        <v>777793</v>
      </c>
      <c r="F5134" s="4" t="s">
        <v>999</v>
      </c>
      <c r="G5134" t="s">
        <v>29</v>
      </c>
      <c r="H5134" t="s">
        <v>1000</v>
      </c>
    </row>
    <row r="5135" spans="1:8" x14ac:dyDescent="0.25">
      <c r="A5135" t="s">
        <v>1082</v>
      </c>
      <c r="B5135" t="s">
        <v>530</v>
      </c>
      <c r="C5135" s="5">
        <v>4</v>
      </c>
      <c r="D5135" s="5">
        <v>1</v>
      </c>
      <c r="E5135">
        <v>0</v>
      </c>
      <c r="F5135" s="4" t="s">
        <v>973</v>
      </c>
      <c r="G5135" t="s">
        <v>29</v>
      </c>
      <c r="H5135" t="s">
        <v>974</v>
      </c>
    </row>
    <row r="5136" spans="1:8" x14ac:dyDescent="0.25">
      <c r="A5136" t="s">
        <v>1082</v>
      </c>
      <c r="B5136" t="s">
        <v>533</v>
      </c>
      <c r="C5136" s="5">
        <v>3</v>
      </c>
      <c r="D5136" s="5">
        <v>0</v>
      </c>
      <c r="E5136">
        <v>2</v>
      </c>
      <c r="F5136" s="4" t="s">
        <v>29</v>
      </c>
      <c r="G5136" t="s">
        <v>29</v>
      </c>
      <c r="H5136" t="s">
        <v>291</v>
      </c>
    </row>
    <row r="5137" spans="1:8" x14ac:dyDescent="0.25">
      <c r="A5137" t="s">
        <v>1082</v>
      </c>
      <c r="B5137" t="s">
        <v>534</v>
      </c>
      <c r="C5137" s="5">
        <v>160541</v>
      </c>
      <c r="D5137" s="5">
        <v>2973</v>
      </c>
      <c r="E5137">
        <v>13703</v>
      </c>
      <c r="F5137" s="4" t="s">
        <v>535</v>
      </c>
      <c r="G5137" t="s">
        <v>29</v>
      </c>
      <c r="H5137" t="s">
        <v>536</v>
      </c>
    </row>
    <row r="5138" spans="1:8" x14ac:dyDescent="0.25">
      <c r="A5138" t="s">
        <v>1082</v>
      </c>
      <c r="B5138" t="s">
        <v>537</v>
      </c>
      <c r="C5138" s="5">
        <v>9556</v>
      </c>
      <c r="D5138" s="5">
        <v>1807</v>
      </c>
      <c r="E5138">
        <v>2353</v>
      </c>
      <c r="F5138" s="4" t="s">
        <v>1089</v>
      </c>
      <c r="G5138" t="s">
        <v>29</v>
      </c>
      <c r="H5138" t="s">
        <v>1090</v>
      </c>
    </row>
    <row r="5139" spans="1:8" x14ac:dyDescent="0.25">
      <c r="A5139" t="s">
        <v>1082</v>
      </c>
      <c r="B5139" t="s">
        <v>540</v>
      </c>
      <c r="C5139" s="5">
        <v>20439</v>
      </c>
      <c r="D5139" s="5">
        <v>181</v>
      </c>
      <c r="E5139">
        <v>7414</v>
      </c>
      <c r="F5139" s="4" t="s">
        <v>65</v>
      </c>
      <c r="G5139" t="s">
        <v>29</v>
      </c>
      <c r="H5139" t="s">
        <v>66</v>
      </c>
    </row>
    <row r="5140" spans="1:8" x14ac:dyDescent="0.25">
      <c r="A5140" t="s">
        <v>1082</v>
      </c>
      <c r="B5140" t="s">
        <v>541</v>
      </c>
      <c r="C5140" s="5">
        <v>2916803</v>
      </c>
      <c r="D5140" s="5">
        <v>88619</v>
      </c>
      <c r="E5140">
        <v>1181792</v>
      </c>
      <c r="F5140" s="4" t="s">
        <v>320</v>
      </c>
      <c r="G5140" t="s">
        <v>29</v>
      </c>
      <c r="H5140" t="s">
        <v>321</v>
      </c>
    </row>
    <row r="5141" spans="1:8" x14ac:dyDescent="0.25">
      <c r="A5141" t="s">
        <v>1082</v>
      </c>
      <c r="B5141" t="s">
        <v>544</v>
      </c>
      <c r="C5141" s="5">
        <v>209536</v>
      </c>
      <c r="D5141" s="5">
        <v>3658</v>
      </c>
      <c r="E5141">
        <v>183771</v>
      </c>
      <c r="F5141" s="4" t="s">
        <v>545</v>
      </c>
      <c r="G5141" t="s">
        <v>29</v>
      </c>
      <c r="H5141" t="s">
        <v>546</v>
      </c>
    </row>
    <row r="5142" spans="1:8" x14ac:dyDescent="0.25">
      <c r="A5142" t="s">
        <v>1082</v>
      </c>
      <c r="B5142" t="s">
        <v>547</v>
      </c>
      <c r="C5142" s="5">
        <v>132368</v>
      </c>
      <c r="D5142" s="5">
        <v>4658</v>
      </c>
      <c r="E5142">
        <v>57297</v>
      </c>
      <c r="F5142" s="4" t="s">
        <v>353</v>
      </c>
      <c r="G5142" t="s">
        <v>29</v>
      </c>
      <c r="H5142" t="s">
        <v>354</v>
      </c>
    </row>
    <row r="5143" spans="1:8" x14ac:dyDescent="0.25">
      <c r="A5143" t="s">
        <v>1082</v>
      </c>
      <c r="B5143" t="s">
        <v>548</v>
      </c>
      <c r="C5143" s="5">
        <v>721</v>
      </c>
      <c r="D5143" s="5">
        <v>15</v>
      </c>
      <c r="E5143">
        <v>326</v>
      </c>
      <c r="F5143" s="4" t="s">
        <v>549</v>
      </c>
      <c r="G5143" t="s">
        <v>29</v>
      </c>
      <c r="H5143" t="s">
        <v>550</v>
      </c>
    </row>
    <row r="5144" spans="1:8" x14ac:dyDescent="0.25">
      <c r="A5144" t="s">
        <v>1091</v>
      </c>
      <c r="B5144" t="s">
        <v>548</v>
      </c>
      <c r="C5144" s="5">
        <v>721</v>
      </c>
      <c r="D5144" s="5">
        <v>15</v>
      </c>
      <c r="E5144">
        <v>292</v>
      </c>
      <c r="F5144" s="4" t="s">
        <v>549</v>
      </c>
      <c r="G5144" t="s">
        <v>29</v>
      </c>
      <c r="H5144" t="s">
        <v>550</v>
      </c>
    </row>
    <row r="5145" spans="1:8" x14ac:dyDescent="0.25">
      <c r="A5145" t="s">
        <v>1091</v>
      </c>
      <c r="B5145" t="s">
        <v>547</v>
      </c>
      <c r="C5145" s="5">
        <v>132368</v>
      </c>
      <c r="D5145" s="5">
        <v>4658</v>
      </c>
      <c r="E5145">
        <v>69216</v>
      </c>
      <c r="F5145" s="4" t="s">
        <v>353</v>
      </c>
      <c r="G5145" t="s">
        <v>29</v>
      </c>
      <c r="H5145" t="s">
        <v>354</v>
      </c>
    </row>
    <row r="5146" spans="1:8" x14ac:dyDescent="0.25">
      <c r="A5146" t="s">
        <v>1091</v>
      </c>
      <c r="B5146" t="s">
        <v>544</v>
      </c>
      <c r="C5146" s="5">
        <v>209521</v>
      </c>
      <c r="D5146" s="5">
        <v>3658</v>
      </c>
      <c r="E5146">
        <v>127056</v>
      </c>
      <c r="F5146" s="4" t="s">
        <v>545</v>
      </c>
      <c r="G5146" t="s">
        <v>29</v>
      </c>
      <c r="H5146" t="s">
        <v>546</v>
      </c>
    </row>
    <row r="5147" spans="1:8" x14ac:dyDescent="0.25">
      <c r="A5147" t="s">
        <v>1091</v>
      </c>
      <c r="B5147" t="s">
        <v>541</v>
      </c>
      <c r="C5147" s="5">
        <v>2916593</v>
      </c>
      <c r="D5147" s="5">
        <v>88612</v>
      </c>
      <c r="E5147">
        <v>1355702</v>
      </c>
      <c r="F5147" s="4" t="s">
        <v>320</v>
      </c>
      <c r="G5147" t="s">
        <v>29</v>
      </c>
      <c r="H5147" t="s">
        <v>321</v>
      </c>
    </row>
    <row r="5148" spans="1:8" x14ac:dyDescent="0.25">
      <c r="A5148" t="s">
        <v>1091</v>
      </c>
      <c r="B5148" t="s">
        <v>540</v>
      </c>
      <c r="C5148" s="5">
        <v>20439</v>
      </c>
      <c r="D5148" s="5">
        <v>181</v>
      </c>
      <c r="E5148">
        <v>347</v>
      </c>
      <c r="F5148" s="4" t="s">
        <v>65</v>
      </c>
      <c r="G5148" t="s">
        <v>29</v>
      </c>
      <c r="H5148" t="s">
        <v>66</v>
      </c>
    </row>
    <row r="5149" spans="1:8" x14ac:dyDescent="0.25">
      <c r="A5149" t="s">
        <v>1091</v>
      </c>
      <c r="B5149" t="s">
        <v>537</v>
      </c>
      <c r="C5149" s="5">
        <v>9526</v>
      </c>
      <c r="D5149" s="5">
        <v>1804</v>
      </c>
      <c r="E5149">
        <v>4292</v>
      </c>
      <c r="F5149" s="4" t="s">
        <v>1092</v>
      </c>
      <c r="G5149" t="s">
        <v>29</v>
      </c>
      <c r="H5149" t="s">
        <v>1093</v>
      </c>
    </row>
    <row r="5150" spans="1:8" x14ac:dyDescent="0.25">
      <c r="A5150" t="s">
        <v>1091</v>
      </c>
      <c r="B5150" t="s">
        <v>534</v>
      </c>
      <c r="C5150" s="5">
        <v>160540</v>
      </c>
      <c r="D5150" s="5">
        <v>2973</v>
      </c>
      <c r="E5150">
        <v>152539</v>
      </c>
      <c r="F5150" s="4" t="s">
        <v>535</v>
      </c>
      <c r="G5150" t="s">
        <v>29</v>
      </c>
      <c r="H5150" t="s">
        <v>536</v>
      </c>
    </row>
    <row r="5151" spans="1:8" x14ac:dyDescent="0.25">
      <c r="A5151" t="s">
        <v>1091</v>
      </c>
      <c r="B5151" t="s">
        <v>533</v>
      </c>
      <c r="C5151" s="5">
        <v>3</v>
      </c>
      <c r="D5151" s="5">
        <v>0</v>
      </c>
      <c r="E5151">
        <v>0</v>
      </c>
      <c r="F5151" s="4" t="s">
        <v>29</v>
      </c>
      <c r="G5151" t="s">
        <v>29</v>
      </c>
      <c r="H5151" t="s">
        <v>291</v>
      </c>
    </row>
    <row r="5152" spans="1:8" x14ac:dyDescent="0.25">
      <c r="A5152" t="s">
        <v>1091</v>
      </c>
      <c r="B5152" t="s">
        <v>530</v>
      </c>
      <c r="C5152" s="5">
        <v>4</v>
      </c>
      <c r="D5152" s="5">
        <v>1</v>
      </c>
      <c r="E5152">
        <v>3</v>
      </c>
      <c r="F5152" s="4" t="s">
        <v>973</v>
      </c>
      <c r="G5152" t="s">
        <v>29</v>
      </c>
      <c r="H5152" t="s">
        <v>974</v>
      </c>
    </row>
    <row r="5153" spans="1:8" x14ac:dyDescent="0.25">
      <c r="A5153" t="s">
        <v>1091</v>
      </c>
      <c r="B5153" t="s">
        <v>527</v>
      </c>
      <c r="C5153" s="5">
        <v>864053</v>
      </c>
      <c r="D5153" s="5">
        <v>21194</v>
      </c>
      <c r="E5153">
        <v>53525</v>
      </c>
      <c r="F5153" s="4" t="s">
        <v>999</v>
      </c>
      <c r="G5153" t="s">
        <v>29</v>
      </c>
      <c r="H5153" t="s">
        <v>1000</v>
      </c>
    </row>
    <row r="5154" spans="1:8" x14ac:dyDescent="0.25">
      <c r="A5154" t="s">
        <v>1091</v>
      </c>
      <c r="B5154" t="s">
        <v>524</v>
      </c>
      <c r="C5154" s="5">
        <v>392762</v>
      </c>
      <c r="D5154" s="5">
        <v>4719</v>
      </c>
      <c r="E5154">
        <v>196049</v>
      </c>
      <c r="F5154" s="4" t="s">
        <v>525</v>
      </c>
      <c r="G5154" t="s">
        <v>29</v>
      </c>
      <c r="H5154" t="s">
        <v>526</v>
      </c>
    </row>
    <row r="5155" spans="1:8" x14ac:dyDescent="0.25">
      <c r="A5155" t="s">
        <v>1091</v>
      </c>
      <c r="B5155" t="s">
        <v>522</v>
      </c>
      <c r="C5155" s="5">
        <v>27</v>
      </c>
      <c r="D5155" s="5">
        <v>0</v>
      </c>
      <c r="E5155">
        <v>20</v>
      </c>
      <c r="F5155" s="4" t="s">
        <v>29</v>
      </c>
      <c r="G5155" t="s">
        <v>29</v>
      </c>
      <c r="H5155" t="s">
        <v>291</v>
      </c>
    </row>
    <row r="5156" spans="1:8" x14ac:dyDescent="0.25">
      <c r="A5156" t="s">
        <v>1091</v>
      </c>
      <c r="B5156" t="s">
        <v>523</v>
      </c>
      <c r="C5156" s="5">
        <v>4623</v>
      </c>
      <c r="D5156" s="5">
        <v>53</v>
      </c>
      <c r="E5156">
        <v>1325</v>
      </c>
      <c r="F5156" s="4" t="s">
        <v>583</v>
      </c>
      <c r="G5156" t="s">
        <v>29</v>
      </c>
      <c r="H5156" t="s">
        <v>584</v>
      </c>
    </row>
    <row r="5157" spans="1:8" x14ac:dyDescent="0.25">
      <c r="A5157" t="s">
        <v>1091</v>
      </c>
      <c r="B5157" t="s">
        <v>521</v>
      </c>
      <c r="C5157" s="5">
        <v>180958</v>
      </c>
      <c r="D5157" s="5">
        <v>1287</v>
      </c>
      <c r="E5157">
        <v>150474</v>
      </c>
      <c r="F5157" s="4" t="s">
        <v>488</v>
      </c>
      <c r="G5157" t="s">
        <v>29</v>
      </c>
      <c r="H5157" t="s">
        <v>489</v>
      </c>
    </row>
    <row r="5158" spans="1:8" x14ac:dyDescent="0.25">
      <c r="A5158" t="s">
        <v>1091</v>
      </c>
      <c r="B5158" t="s">
        <v>518</v>
      </c>
      <c r="C5158" s="5">
        <v>391044</v>
      </c>
      <c r="D5158" s="5">
        <v>6069</v>
      </c>
      <c r="E5158">
        <v>257927</v>
      </c>
      <c r="F5158" s="4" t="s">
        <v>333</v>
      </c>
      <c r="G5158" t="s">
        <v>29</v>
      </c>
      <c r="H5158" t="s">
        <v>334</v>
      </c>
    </row>
    <row r="5159" spans="1:8" x14ac:dyDescent="0.25">
      <c r="A5159" t="s">
        <v>1091</v>
      </c>
      <c r="B5159" t="s">
        <v>515</v>
      </c>
      <c r="C5159" s="5">
        <v>44934357</v>
      </c>
      <c r="D5159" s="5">
        <v>724110</v>
      </c>
      <c r="E5159">
        <v>4886688</v>
      </c>
      <c r="F5159" s="4" t="s">
        <v>587</v>
      </c>
      <c r="G5159" t="s">
        <v>29</v>
      </c>
      <c r="H5159" t="s">
        <v>588</v>
      </c>
    </row>
    <row r="5160" spans="1:8" x14ac:dyDescent="0.25">
      <c r="A5160" t="s">
        <v>1091</v>
      </c>
      <c r="B5160" t="s">
        <v>512</v>
      </c>
      <c r="C5160" s="5">
        <v>125186</v>
      </c>
      <c r="D5160" s="5">
        <v>3185</v>
      </c>
      <c r="E5160">
        <v>66054</v>
      </c>
      <c r="F5160" s="4" t="s">
        <v>141</v>
      </c>
      <c r="G5160" t="s">
        <v>29</v>
      </c>
      <c r="H5160" t="s">
        <v>142</v>
      </c>
    </row>
    <row r="5161" spans="1:8" x14ac:dyDescent="0.25">
      <c r="A5161" t="s">
        <v>1091</v>
      </c>
      <c r="B5161" t="s">
        <v>509</v>
      </c>
      <c r="C5161" s="5">
        <v>2757328</v>
      </c>
      <c r="D5161" s="5">
        <v>64603</v>
      </c>
      <c r="E5161">
        <v>1326612</v>
      </c>
      <c r="F5161" s="4" t="s">
        <v>681</v>
      </c>
      <c r="G5161" t="s">
        <v>29</v>
      </c>
      <c r="H5161" t="s">
        <v>682</v>
      </c>
    </row>
    <row r="5162" spans="1:8" x14ac:dyDescent="0.25">
      <c r="A5162" t="s">
        <v>1091</v>
      </c>
      <c r="B5162" t="s">
        <v>506</v>
      </c>
      <c r="C5162" s="5">
        <v>26034</v>
      </c>
      <c r="D5162" s="5">
        <v>724</v>
      </c>
      <c r="E5162">
        <v>21861</v>
      </c>
      <c r="F5162" s="4" t="s">
        <v>98</v>
      </c>
      <c r="G5162" t="s">
        <v>29</v>
      </c>
      <c r="H5162" t="s">
        <v>99</v>
      </c>
    </row>
    <row r="5163" spans="1:8" x14ac:dyDescent="0.25">
      <c r="A5163" t="s">
        <v>1091</v>
      </c>
      <c r="B5163" t="s">
        <v>503</v>
      </c>
      <c r="C5163" s="5">
        <v>16337</v>
      </c>
      <c r="D5163" s="5">
        <v>846</v>
      </c>
      <c r="E5163">
        <v>3255</v>
      </c>
      <c r="F5163" s="4" t="s">
        <v>1071</v>
      </c>
      <c r="G5163" t="s">
        <v>29</v>
      </c>
      <c r="H5163" t="s">
        <v>1072</v>
      </c>
    </row>
    <row r="5164" spans="1:8" x14ac:dyDescent="0.25">
      <c r="A5164" t="s">
        <v>1091</v>
      </c>
      <c r="B5164" t="s">
        <v>500</v>
      </c>
      <c r="C5164" s="5">
        <v>54114</v>
      </c>
      <c r="D5164" s="5">
        <v>1600</v>
      </c>
      <c r="E5164">
        <v>28009</v>
      </c>
      <c r="F5164" s="4" t="s">
        <v>731</v>
      </c>
      <c r="G5164" t="s">
        <v>29</v>
      </c>
      <c r="H5164" t="s">
        <v>732</v>
      </c>
    </row>
    <row r="5165" spans="1:8" x14ac:dyDescent="0.25">
      <c r="A5165" t="s">
        <v>1091</v>
      </c>
      <c r="B5165" t="s">
        <v>497</v>
      </c>
      <c r="C5165" s="5">
        <v>7654247</v>
      </c>
      <c r="D5165" s="5">
        <v>67623</v>
      </c>
      <c r="E5165">
        <v>2564139</v>
      </c>
      <c r="F5165" s="4" t="s">
        <v>609</v>
      </c>
      <c r="G5165" t="s">
        <v>29</v>
      </c>
      <c r="H5165" t="s">
        <v>610</v>
      </c>
    </row>
    <row r="5166" spans="1:8" x14ac:dyDescent="0.25">
      <c r="A5166" t="s">
        <v>1091</v>
      </c>
      <c r="B5166" t="s">
        <v>493</v>
      </c>
      <c r="C5166" s="5">
        <v>710906</v>
      </c>
      <c r="D5166" s="5">
        <v>25098</v>
      </c>
      <c r="E5166">
        <v>506917</v>
      </c>
      <c r="F5166" s="4" t="s">
        <v>430</v>
      </c>
      <c r="G5166" t="s">
        <v>29</v>
      </c>
      <c r="H5166" t="s">
        <v>431</v>
      </c>
    </row>
    <row r="5167" spans="1:8" x14ac:dyDescent="0.25">
      <c r="A5167" t="s">
        <v>1091</v>
      </c>
      <c r="B5167" t="s">
        <v>490</v>
      </c>
      <c r="C5167" s="5">
        <v>19714</v>
      </c>
      <c r="D5167" s="5">
        <v>119</v>
      </c>
      <c r="E5167">
        <v>8186</v>
      </c>
      <c r="F5167" s="4" t="s">
        <v>300</v>
      </c>
      <c r="G5167" t="s">
        <v>29</v>
      </c>
      <c r="H5167" t="s">
        <v>301</v>
      </c>
    </row>
    <row r="5168" spans="1:8" x14ac:dyDescent="0.25">
      <c r="A5168" t="s">
        <v>1091</v>
      </c>
      <c r="B5168" t="s">
        <v>487</v>
      </c>
      <c r="C5168" s="5">
        <v>17484</v>
      </c>
      <c r="D5168" s="5">
        <v>125</v>
      </c>
      <c r="E5168">
        <v>9316</v>
      </c>
      <c r="F5168" s="4" t="s">
        <v>488</v>
      </c>
      <c r="G5168" t="s">
        <v>29</v>
      </c>
      <c r="H5168" t="s">
        <v>489</v>
      </c>
    </row>
    <row r="5169" spans="1:8" x14ac:dyDescent="0.25">
      <c r="A5169" t="s">
        <v>1091</v>
      </c>
      <c r="B5169" t="s">
        <v>486</v>
      </c>
      <c r="C5169" s="5">
        <v>1783701</v>
      </c>
      <c r="D5169" s="5">
        <v>18273</v>
      </c>
      <c r="E5169">
        <v>796733</v>
      </c>
      <c r="F5169" s="4" t="s">
        <v>326</v>
      </c>
      <c r="G5169" t="s">
        <v>29</v>
      </c>
      <c r="H5169" t="s">
        <v>327</v>
      </c>
    </row>
    <row r="5170" spans="1:8" x14ac:dyDescent="0.25">
      <c r="A5170" t="s">
        <v>1091</v>
      </c>
      <c r="B5170" t="s">
        <v>483</v>
      </c>
      <c r="C5170" s="5">
        <v>25899</v>
      </c>
      <c r="D5170" s="5">
        <v>239</v>
      </c>
      <c r="E5170">
        <v>18587</v>
      </c>
      <c r="F5170" s="4" t="s">
        <v>214</v>
      </c>
      <c r="G5170" t="s">
        <v>29</v>
      </c>
      <c r="H5170" t="s">
        <v>215</v>
      </c>
    </row>
    <row r="5171" spans="1:8" x14ac:dyDescent="0.25">
      <c r="A5171" t="s">
        <v>1091</v>
      </c>
      <c r="B5171" t="s">
        <v>482</v>
      </c>
      <c r="C5171" s="5">
        <v>5067</v>
      </c>
      <c r="D5171" s="5">
        <v>174</v>
      </c>
      <c r="E5171">
        <v>1017</v>
      </c>
      <c r="F5171" s="4" t="s">
        <v>252</v>
      </c>
      <c r="G5171" t="s">
        <v>29</v>
      </c>
      <c r="H5171" t="s">
        <v>253</v>
      </c>
    </row>
    <row r="5172" spans="1:8" x14ac:dyDescent="0.25">
      <c r="A5172" t="s">
        <v>1091</v>
      </c>
      <c r="B5172" t="s">
        <v>479</v>
      </c>
      <c r="C5172" s="5">
        <v>46363</v>
      </c>
      <c r="D5172" s="5">
        <v>1233</v>
      </c>
      <c r="E5172">
        <v>32051</v>
      </c>
      <c r="F5172" s="4" t="s">
        <v>47</v>
      </c>
      <c r="G5172" t="s">
        <v>29</v>
      </c>
      <c r="H5172" t="s">
        <v>48</v>
      </c>
    </row>
    <row r="5173" spans="1:8" x14ac:dyDescent="0.25">
      <c r="A5173" t="s">
        <v>1091</v>
      </c>
      <c r="B5173" t="s">
        <v>476</v>
      </c>
      <c r="C5173" s="5">
        <v>39086</v>
      </c>
      <c r="D5173" s="5">
        <v>2408</v>
      </c>
      <c r="E5173">
        <v>3074</v>
      </c>
      <c r="F5173" s="4" t="s">
        <v>1094</v>
      </c>
      <c r="G5173" t="s">
        <v>29</v>
      </c>
      <c r="H5173" t="s">
        <v>1095</v>
      </c>
    </row>
    <row r="5174" spans="1:8" x14ac:dyDescent="0.25">
      <c r="A5174" t="s">
        <v>1091</v>
      </c>
      <c r="B5174" t="s">
        <v>473</v>
      </c>
      <c r="C5174" s="5">
        <v>110188</v>
      </c>
      <c r="D5174" s="5">
        <v>3477</v>
      </c>
      <c r="E5174">
        <v>105307</v>
      </c>
      <c r="F5174" s="4" t="s">
        <v>474</v>
      </c>
      <c r="G5174" t="s">
        <v>29</v>
      </c>
      <c r="H5174" t="s">
        <v>475</v>
      </c>
    </row>
    <row r="5175" spans="1:8" x14ac:dyDescent="0.25">
      <c r="A5175" t="s">
        <v>1091</v>
      </c>
      <c r="B5175" t="s">
        <v>471</v>
      </c>
      <c r="C5175" s="5">
        <v>12184</v>
      </c>
      <c r="D5175" s="5">
        <v>130</v>
      </c>
      <c r="E5175">
        <v>1189</v>
      </c>
      <c r="F5175" s="4" t="s">
        <v>654</v>
      </c>
      <c r="G5175" t="s">
        <v>29</v>
      </c>
      <c r="H5175" t="s">
        <v>655</v>
      </c>
    </row>
    <row r="5176" spans="1:8" x14ac:dyDescent="0.25">
      <c r="A5176" t="s">
        <v>1091</v>
      </c>
      <c r="B5176" t="s">
        <v>472</v>
      </c>
      <c r="C5176" s="5">
        <v>3677</v>
      </c>
      <c r="D5176" s="5">
        <v>56</v>
      </c>
      <c r="E5176">
        <v>2368</v>
      </c>
      <c r="F5176" s="4" t="s">
        <v>589</v>
      </c>
      <c r="G5176" t="s">
        <v>29</v>
      </c>
      <c r="H5176" t="s">
        <v>590</v>
      </c>
    </row>
    <row r="5177" spans="1:8" x14ac:dyDescent="0.25">
      <c r="A5177" t="s">
        <v>1091</v>
      </c>
      <c r="B5177" t="s">
        <v>468</v>
      </c>
      <c r="C5177" s="5">
        <v>46447</v>
      </c>
      <c r="D5177" s="5">
        <v>1022</v>
      </c>
      <c r="E5177">
        <v>39851</v>
      </c>
      <c r="F5177" s="4" t="s">
        <v>969</v>
      </c>
      <c r="G5177" t="s">
        <v>29</v>
      </c>
      <c r="H5177" t="s">
        <v>970</v>
      </c>
    </row>
    <row r="5178" spans="1:8" x14ac:dyDescent="0.25">
      <c r="A5178" t="s">
        <v>1091</v>
      </c>
      <c r="B5178" t="s">
        <v>465</v>
      </c>
      <c r="C5178" s="5">
        <v>21269</v>
      </c>
      <c r="D5178" s="5">
        <v>1180</v>
      </c>
      <c r="E5178">
        <v>16164</v>
      </c>
      <c r="F5178" s="4" t="s">
        <v>1005</v>
      </c>
      <c r="G5178" t="s">
        <v>29</v>
      </c>
      <c r="H5178" t="s">
        <v>1006</v>
      </c>
    </row>
    <row r="5179" spans="1:8" x14ac:dyDescent="0.25">
      <c r="A5179" t="s">
        <v>1091</v>
      </c>
      <c r="B5179" t="s">
        <v>464</v>
      </c>
      <c r="C5179" s="5">
        <v>73866</v>
      </c>
      <c r="D5179" s="5">
        <v>1871</v>
      </c>
      <c r="E5179">
        <v>12869</v>
      </c>
      <c r="F5179" s="4" t="s">
        <v>611</v>
      </c>
      <c r="G5179" t="s">
        <v>29</v>
      </c>
      <c r="H5179" t="s">
        <v>612</v>
      </c>
    </row>
    <row r="5180" spans="1:8" x14ac:dyDescent="0.25">
      <c r="A5180" t="s">
        <v>1091</v>
      </c>
      <c r="B5180" t="s">
        <v>463</v>
      </c>
      <c r="C5180" s="5">
        <v>5473</v>
      </c>
      <c r="D5180" s="5">
        <v>91</v>
      </c>
      <c r="E5180">
        <v>3363</v>
      </c>
      <c r="F5180" s="4" t="s">
        <v>135</v>
      </c>
      <c r="G5180" t="s">
        <v>29</v>
      </c>
      <c r="H5180" t="s">
        <v>136</v>
      </c>
    </row>
    <row r="5181" spans="1:8" x14ac:dyDescent="0.25">
      <c r="A5181" t="s">
        <v>1091</v>
      </c>
      <c r="B5181" t="s">
        <v>460</v>
      </c>
      <c r="C5181" s="5">
        <v>6396</v>
      </c>
      <c r="D5181" s="5">
        <v>121</v>
      </c>
      <c r="E5181">
        <v>1995</v>
      </c>
      <c r="F5181" s="4" t="s">
        <v>461</v>
      </c>
      <c r="G5181" t="s">
        <v>29</v>
      </c>
      <c r="H5181" t="s">
        <v>462</v>
      </c>
    </row>
    <row r="5182" spans="1:8" x14ac:dyDescent="0.25">
      <c r="A5182" t="s">
        <v>1091</v>
      </c>
      <c r="B5182" t="s">
        <v>457</v>
      </c>
      <c r="C5182" s="5">
        <v>437385</v>
      </c>
      <c r="D5182" s="5">
        <v>12846</v>
      </c>
      <c r="E5182">
        <v>258220</v>
      </c>
      <c r="F5182" s="4" t="s">
        <v>748</v>
      </c>
      <c r="G5182" t="s">
        <v>29</v>
      </c>
      <c r="H5182" t="s">
        <v>749</v>
      </c>
    </row>
    <row r="5183" spans="1:8" x14ac:dyDescent="0.25">
      <c r="A5183" t="s">
        <v>1091</v>
      </c>
      <c r="B5183" t="s">
        <v>456</v>
      </c>
      <c r="C5183" s="5">
        <v>308136</v>
      </c>
      <c r="D5183" s="5">
        <v>4638</v>
      </c>
      <c r="E5183">
        <v>39042</v>
      </c>
      <c r="F5183" s="4" t="s">
        <v>202</v>
      </c>
      <c r="G5183" t="s">
        <v>29</v>
      </c>
      <c r="H5183" t="s">
        <v>203</v>
      </c>
    </row>
    <row r="5184" spans="1:8" x14ac:dyDescent="0.25">
      <c r="A5184" t="s">
        <v>1091</v>
      </c>
      <c r="B5184" t="s">
        <v>453</v>
      </c>
      <c r="C5184" s="5">
        <v>148178</v>
      </c>
      <c r="D5184" s="5">
        <v>233</v>
      </c>
      <c r="E5184">
        <v>10494</v>
      </c>
      <c r="F5184" s="4" t="s">
        <v>825</v>
      </c>
      <c r="G5184" t="s">
        <v>29</v>
      </c>
      <c r="H5184" t="s">
        <v>826</v>
      </c>
    </row>
    <row r="5185" spans="1:8" x14ac:dyDescent="0.25">
      <c r="A5185" t="s">
        <v>1091</v>
      </c>
      <c r="B5185" t="s">
        <v>452</v>
      </c>
      <c r="C5185" s="5">
        <v>1161933</v>
      </c>
      <c r="D5185" s="5">
        <v>14956</v>
      </c>
      <c r="E5185">
        <v>912694</v>
      </c>
      <c r="F5185" s="4" t="s">
        <v>417</v>
      </c>
      <c r="G5185" t="s">
        <v>29</v>
      </c>
      <c r="H5185" t="s">
        <v>418</v>
      </c>
    </row>
    <row r="5186" spans="1:8" x14ac:dyDescent="0.25">
      <c r="A5186" t="s">
        <v>1091</v>
      </c>
      <c r="B5186" t="s">
        <v>449</v>
      </c>
      <c r="C5186" s="5">
        <v>39550</v>
      </c>
      <c r="D5186" s="5">
        <v>3038</v>
      </c>
      <c r="E5186">
        <v>12801</v>
      </c>
      <c r="F5186" s="4" t="s">
        <v>1096</v>
      </c>
      <c r="G5186" t="s">
        <v>29</v>
      </c>
      <c r="H5186" t="s">
        <v>1097</v>
      </c>
    </row>
    <row r="5187" spans="1:8" x14ac:dyDescent="0.25">
      <c r="A5187" t="s">
        <v>1091</v>
      </c>
      <c r="B5187" t="s">
        <v>446</v>
      </c>
      <c r="C5187" s="5">
        <v>21854</v>
      </c>
      <c r="D5187" s="5">
        <v>119</v>
      </c>
      <c r="E5187">
        <v>14786</v>
      </c>
      <c r="F5187" s="4" t="s">
        <v>919</v>
      </c>
      <c r="G5187" t="s">
        <v>29</v>
      </c>
      <c r="H5187" t="s">
        <v>920</v>
      </c>
    </row>
    <row r="5188" spans="1:8" x14ac:dyDescent="0.25">
      <c r="A5188" t="s">
        <v>1091</v>
      </c>
      <c r="B5188" t="s">
        <v>445</v>
      </c>
      <c r="C5188" s="5">
        <v>20</v>
      </c>
      <c r="D5188" s="5">
        <v>0</v>
      </c>
      <c r="E5188">
        <v>2</v>
      </c>
      <c r="F5188" s="4" t="s">
        <v>29</v>
      </c>
      <c r="G5188" t="s">
        <v>29</v>
      </c>
      <c r="H5188" t="s">
        <v>291</v>
      </c>
    </row>
    <row r="5189" spans="1:8" x14ac:dyDescent="0.25">
      <c r="A5189" t="s">
        <v>1091</v>
      </c>
      <c r="B5189" t="s">
        <v>444</v>
      </c>
      <c r="C5189" s="5">
        <v>547931</v>
      </c>
      <c r="D5189" s="5">
        <v>8763</v>
      </c>
      <c r="E5189">
        <v>502218</v>
      </c>
      <c r="F5189" s="4" t="s">
        <v>313</v>
      </c>
      <c r="G5189" t="s">
        <v>29</v>
      </c>
      <c r="H5189" t="s">
        <v>314</v>
      </c>
    </row>
    <row r="5190" spans="1:8" x14ac:dyDescent="0.25">
      <c r="A5190" t="s">
        <v>1091</v>
      </c>
      <c r="B5190" t="s">
        <v>443</v>
      </c>
      <c r="C5190" s="5">
        <v>99145</v>
      </c>
      <c r="D5190" s="5">
        <v>1313</v>
      </c>
      <c r="E5190">
        <v>94200</v>
      </c>
      <c r="F5190" s="4" t="s">
        <v>307</v>
      </c>
      <c r="G5190" t="s">
        <v>29</v>
      </c>
      <c r="H5190" t="s">
        <v>308</v>
      </c>
    </row>
    <row r="5191" spans="1:8" x14ac:dyDescent="0.25">
      <c r="A5191" t="s">
        <v>1091</v>
      </c>
      <c r="B5191" t="s">
        <v>440</v>
      </c>
      <c r="C5191" s="5">
        <v>7870529</v>
      </c>
      <c r="D5191" s="5">
        <v>219342</v>
      </c>
      <c r="E5191">
        <v>3273447</v>
      </c>
      <c r="F5191" s="4" t="s">
        <v>662</v>
      </c>
      <c r="G5191" t="s">
        <v>29</v>
      </c>
      <c r="H5191" t="s">
        <v>663</v>
      </c>
    </row>
    <row r="5192" spans="1:8" x14ac:dyDescent="0.25">
      <c r="A5192" t="s">
        <v>1091</v>
      </c>
      <c r="B5192" t="s">
        <v>439</v>
      </c>
      <c r="C5192" s="5">
        <v>1048835</v>
      </c>
      <c r="D5192" s="5">
        <v>9105</v>
      </c>
      <c r="E5192">
        <v>1022845</v>
      </c>
      <c r="F5192" s="4" t="s">
        <v>498</v>
      </c>
      <c r="G5192" t="s">
        <v>29</v>
      </c>
      <c r="H5192" t="s">
        <v>499</v>
      </c>
    </row>
    <row r="5193" spans="1:8" x14ac:dyDescent="0.25">
      <c r="A5193" t="s">
        <v>1091</v>
      </c>
      <c r="B5193" t="s">
        <v>436</v>
      </c>
      <c r="C5193" s="5">
        <v>1457260</v>
      </c>
      <c r="D5193" s="5">
        <v>41781</v>
      </c>
      <c r="E5193">
        <v>85526</v>
      </c>
      <c r="F5193" s="4" t="s">
        <v>168</v>
      </c>
      <c r="G5193" t="s">
        <v>29</v>
      </c>
      <c r="H5193" t="s">
        <v>169</v>
      </c>
    </row>
    <row r="5194" spans="1:8" x14ac:dyDescent="0.25">
      <c r="A5194" t="s">
        <v>1091</v>
      </c>
      <c r="B5194" t="s">
        <v>435</v>
      </c>
      <c r="C5194" s="5">
        <v>54024</v>
      </c>
      <c r="D5194" s="5">
        <v>370</v>
      </c>
      <c r="E5194">
        <v>42822</v>
      </c>
      <c r="F5194" s="4" t="s">
        <v>605</v>
      </c>
      <c r="G5194" t="s">
        <v>29</v>
      </c>
      <c r="H5194" t="s">
        <v>606</v>
      </c>
    </row>
    <row r="5195" spans="1:8" x14ac:dyDescent="0.25">
      <c r="A5195" t="s">
        <v>1091</v>
      </c>
      <c r="B5195" t="s">
        <v>432</v>
      </c>
      <c r="C5195" s="5">
        <v>237929</v>
      </c>
      <c r="D5195" s="5">
        <v>608</v>
      </c>
      <c r="E5195">
        <v>32135</v>
      </c>
      <c r="F5195" s="4" t="s">
        <v>794</v>
      </c>
      <c r="G5195" t="s">
        <v>29</v>
      </c>
      <c r="H5195" t="s">
        <v>795</v>
      </c>
    </row>
    <row r="5196" spans="1:8" x14ac:dyDescent="0.25">
      <c r="A5196" t="s">
        <v>1091</v>
      </c>
      <c r="B5196" t="s">
        <v>429</v>
      </c>
      <c r="C5196" s="5">
        <v>460322</v>
      </c>
      <c r="D5196" s="5">
        <v>16209</v>
      </c>
      <c r="E5196">
        <v>120864</v>
      </c>
      <c r="F5196" s="4" t="s">
        <v>353</v>
      </c>
      <c r="G5196" t="s">
        <v>29</v>
      </c>
      <c r="H5196" t="s">
        <v>354</v>
      </c>
    </row>
    <row r="5197" spans="1:8" x14ac:dyDescent="0.25">
      <c r="A5197" t="s">
        <v>1091</v>
      </c>
      <c r="B5197" t="s">
        <v>428</v>
      </c>
      <c r="C5197" s="5">
        <v>8</v>
      </c>
      <c r="D5197" s="5">
        <v>0</v>
      </c>
      <c r="E5197">
        <v>6</v>
      </c>
      <c r="F5197" s="4" t="s">
        <v>29</v>
      </c>
      <c r="G5197" t="s">
        <v>29</v>
      </c>
      <c r="H5197" t="s">
        <v>291</v>
      </c>
    </row>
    <row r="5198" spans="1:8" x14ac:dyDescent="0.25">
      <c r="A5198" t="s">
        <v>1091</v>
      </c>
      <c r="B5198" t="s">
        <v>427</v>
      </c>
      <c r="C5198" s="5">
        <v>1079806</v>
      </c>
      <c r="D5198" s="5">
        <v>18097</v>
      </c>
      <c r="E5198">
        <v>996686</v>
      </c>
      <c r="F5198" s="4" t="s">
        <v>116</v>
      </c>
      <c r="G5198" t="s">
        <v>29</v>
      </c>
      <c r="H5198" t="s">
        <v>117</v>
      </c>
    </row>
    <row r="5199" spans="1:8" x14ac:dyDescent="0.25">
      <c r="A5199" t="s">
        <v>1091</v>
      </c>
      <c r="B5199" t="s">
        <v>426</v>
      </c>
      <c r="C5199" s="5">
        <v>447032</v>
      </c>
      <c r="D5199" s="5">
        <v>4556</v>
      </c>
      <c r="E5199">
        <v>223195</v>
      </c>
      <c r="F5199" s="4" t="s">
        <v>326</v>
      </c>
      <c r="G5199" t="s">
        <v>29</v>
      </c>
      <c r="H5199" t="s">
        <v>327</v>
      </c>
    </row>
    <row r="5200" spans="1:8" x14ac:dyDescent="0.25">
      <c r="A5200" t="s">
        <v>1091</v>
      </c>
      <c r="B5200" t="s">
        <v>423</v>
      </c>
      <c r="C5200" s="5">
        <v>2939590</v>
      </c>
      <c r="D5200" s="5">
        <v>76112</v>
      </c>
      <c r="E5200">
        <v>136156</v>
      </c>
      <c r="F5200" s="4" t="s">
        <v>719</v>
      </c>
      <c r="G5200" t="s">
        <v>29</v>
      </c>
      <c r="H5200" t="s">
        <v>720</v>
      </c>
    </row>
    <row r="5201" spans="1:8" x14ac:dyDescent="0.25">
      <c r="A5201" t="s">
        <v>1091</v>
      </c>
      <c r="B5201" t="s">
        <v>419</v>
      </c>
      <c r="C5201" s="5">
        <v>2720368</v>
      </c>
      <c r="D5201" s="5">
        <v>40675</v>
      </c>
      <c r="E5201">
        <v>2410637</v>
      </c>
      <c r="F5201" s="4" t="s">
        <v>226</v>
      </c>
      <c r="G5201" t="s">
        <v>29</v>
      </c>
      <c r="H5201" t="s">
        <v>227</v>
      </c>
    </row>
    <row r="5202" spans="1:8" x14ac:dyDescent="0.25">
      <c r="A5202" t="s">
        <v>1091</v>
      </c>
      <c r="B5202" t="s">
        <v>420</v>
      </c>
      <c r="C5202" s="5">
        <v>1265047</v>
      </c>
      <c r="D5202" s="5">
        <v>28280</v>
      </c>
      <c r="E5202">
        <v>298921</v>
      </c>
      <c r="F5202" s="4" t="s">
        <v>603</v>
      </c>
      <c r="G5202" t="s">
        <v>29</v>
      </c>
      <c r="H5202" t="s">
        <v>604</v>
      </c>
    </row>
    <row r="5203" spans="1:8" x14ac:dyDescent="0.25">
      <c r="A5203" t="s">
        <v>1091</v>
      </c>
      <c r="B5203" t="s">
        <v>416</v>
      </c>
      <c r="C5203" s="5">
        <v>24041</v>
      </c>
      <c r="D5203" s="5">
        <v>266</v>
      </c>
      <c r="E5203">
        <v>17692</v>
      </c>
      <c r="F5203" s="4" t="s">
        <v>1098</v>
      </c>
      <c r="G5203" t="s">
        <v>29</v>
      </c>
      <c r="H5203" t="s">
        <v>1099</v>
      </c>
    </row>
    <row r="5204" spans="1:8" x14ac:dyDescent="0.25">
      <c r="A5204" t="s">
        <v>1091</v>
      </c>
      <c r="B5204" t="s">
        <v>415</v>
      </c>
      <c r="C5204" s="5">
        <v>45439</v>
      </c>
      <c r="D5204" s="5">
        <v>633</v>
      </c>
      <c r="E5204">
        <v>13818</v>
      </c>
      <c r="F5204" s="4" t="s">
        <v>208</v>
      </c>
      <c r="G5204" t="s">
        <v>29</v>
      </c>
      <c r="H5204" t="s">
        <v>209</v>
      </c>
    </row>
    <row r="5205" spans="1:8" x14ac:dyDescent="0.25">
      <c r="A5205" t="s">
        <v>1091</v>
      </c>
      <c r="B5205" t="s">
        <v>412</v>
      </c>
      <c r="C5205" s="5">
        <v>2190009</v>
      </c>
      <c r="D5205" s="5">
        <v>199843</v>
      </c>
      <c r="E5205">
        <v>1053529</v>
      </c>
      <c r="F5205" s="4" t="s">
        <v>1085</v>
      </c>
      <c r="G5205" t="s">
        <v>29</v>
      </c>
      <c r="H5205" t="s">
        <v>1086</v>
      </c>
    </row>
    <row r="5206" spans="1:8" x14ac:dyDescent="0.25">
      <c r="A5206" t="s">
        <v>1091</v>
      </c>
      <c r="B5206" t="s">
        <v>411</v>
      </c>
      <c r="C5206" s="5">
        <v>470264</v>
      </c>
      <c r="D5206" s="5">
        <v>7291</v>
      </c>
      <c r="E5206">
        <v>271218</v>
      </c>
      <c r="F5206" s="4" t="s">
        <v>333</v>
      </c>
      <c r="G5206" t="s">
        <v>29</v>
      </c>
      <c r="H5206" t="s">
        <v>334</v>
      </c>
    </row>
    <row r="5207" spans="1:8" x14ac:dyDescent="0.25">
      <c r="A5207" t="s">
        <v>1091</v>
      </c>
      <c r="B5207" t="s">
        <v>408</v>
      </c>
      <c r="C5207" s="5">
        <v>304054</v>
      </c>
      <c r="D5207" s="5">
        <v>4105</v>
      </c>
      <c r="E5207">
        <v>142735</v>
      </c>
      <c r="F5207" s="4" t="s">
        <v>409</v>
      </c>
      <c r="G5207" t="s">
        <v>29</v>
      </c>
      <c r="H5207" t="s">
        <v>410</v>
      </c>
    </row>
    <row r="5208" spans="1:8" x14ac:dyDescent="0.25">
      <c r="A5208" t="s">
        <v>1091</v>
      </c>
      <c r="B5208" t="s">
        <v>405</v>
      </c>
      <c r="C5208" s="5">
        <v>5056</v>
      </c>
      <c r="D5208" s="5">
        <v>28</v>
      </c>
      <c r="E5208">
        <v>3084</v>
      </c>
      <c r="F5208" s="4" t="s">
        <v>1100</v>
      </c>
      <c r="G5208" t="s">
        <v>29</v>
      </c>
      <c r="H5208" t="s">
        <v>1101</v>
      </c>
    </row>
    <row r="5209" spans="1:8" x14ac:dyDescent="0.25">
      <c r="A5209" t="s">
        <v>1091</v>
      </c>
      <c r="B5209" t="s">
        <v>402</v>
      </c>
      <c r="C5209" s="5">
        <v>805037</v>
      </c>
      <c r="D5209" s="5">
        <v>11284</v>
      </c>
      <c r="E5209">
        <v>36872</v>
      </c>
      <c r="F5209" s="4" t="s">
        <v>403</v>
      </c>
      <c r="G5209" t="s">
        <v>29</v>
      </c>
      <c r="H5209" t="s">
        <v>404</v>
      </c>
    </row>
    <row r="5210" spans="1:8" x14ac:dyDescent="0.25">
      <c r="A5210" t="s">
        <v>1091</v>
      </c>
      <c r="B5210" t="s">
        <v>399</v>
      </c>
      <c r="C5210" s="5">
        <v>196351</v>
      </c>
      <c r="D5210" s="5">
        <v>884</v>
      </c>
      <c r="E5210">
        <v>157444</v>
      </c>
      <c r="F5210" s="4" t="s">
        <v>888</v>
      </c>
      <c r="G5210" t="s">
        <v>29</v>
      </c>
      <c r="H5210" t="s">
        <v>889</v>
      </c>
    </row>
    <row r="5211" spans="1:8" x14ac:dyDescent="0.25">
      <c r="A5211" t="s">
        <v>1091</v>
      </c>
      <c r="B5211" t="s">
        <v>396</v>
      </c>
      <c r="C5211" s="5">
        <v>2087144</v>
      </c>
      <c r="D5211" s="5">
        <v>18680</v>
      </c>
      <c r="E5211">
        <v>749858</v>
      </c>
      <c r="F5211" s="4" t="s">
        <v>667</v>
      </c>
      <c r="G5211" t="s">
        <v>29</v>
      </c>
      <c r="H5211" t="s">
        <v>668</v>
      </c>
    </row>
    <row r="5212" spans="1:8" x14ac:dyDescent="0.25">
      <c r="A5212" t="s">
        <v>1091</v>
      </c>
      <c r="B5212" t="s">
        <v>393</v>
      </c>
      <c r="C5212" s="5">
        <v>15737</v>
      </c>
      <c r="D5212" s="5">
        <v>206</v>
      </c>
      <c r="E5212">
        <v>14245</v>
      </c>
      <c r="F5212" s="4" t="s">
        <v>708</v>
      </c>
      <c r="G5212" t="s">
        <v>29</v>
      </c>
      <c r="H5212" t="s">
        <v>709</v>
      </c>
    </row>
    <row r="5213" spans="1:8" x14ac:dyDescent="0.25">
      <c r="A5213" t="s">
        <v>1091</v>
      </c>
      <c r="B5213" t="s">
        <v>390</v>
      </c>
      <c r="C5213" s="5">
        <v>209298</v>
      </c>
      <c r="D5213" s="5">
        <v>2837</v>
      </c>
      <c r="E5213">
        <v>62477</v>
      </c>
      <c r="F5213" s="4" t="s">
        <v>630</v>
      </c>
      <c r="G5213" t="s">
        <v>29</v>
      </c>
      <c r="H5213" t="s">
        <v>631</v>
      </c>
    </row>
    <row r="5214" spans="1:8" x14ac:dyDescent="0.25">
      <c r="A5214" t="s">
        <v>1091</v>
      </c>
      <c r="B5214" t="s">
        <v>387</v>
      </c>
      <c r="C5214" s="5">
        <v>6170</v>
      </c>
      <c r="D5214" s="5">
        <v>204</v>
      </c>
      <c r="E5214">
        <v>3115</v>
      </c>
      <c r="F5214" s="4" t="s">
        <v>1001</v>
      </c>
      <c r="G5214" t="s">
        <v>29</v>
      </c>
      <c r="H5214" t="s">
        <v>1002</v>
      </c>
    </row>
    <row r="5215" spans="1:8" x14ac:dyDescent="0.25">
      <c r="A5215" t="s">
        <v>1091</v>
      </c>
      <c r="B5215" t="s">
        <v>386</v>
      </c>
      <c r="C5215" s="5">
        <v>9977</v>
      </c>
      <c r="D5215" s="5">
        <v>241</v>
      </c>
      <c r="E5215">
        <v>9659</v>
      </c>
      <c r="F5215" s="4" t="s">
        <v>796</v>
      </c>
      <c r="G5215" t="s">
        <v>29</v>
      </c>
      <c r="H5215" t="s">
        <v>797</v>
      </c>
    </row>
    <row r="5216" spans="1:8" x14ac:dyDescent="0.25">
      <c r="A5216" t="s">
        <v>1091</v>
      </c>
      <c r="B5216" t="s">
        <v>383</v>
      </c>
      <c r="C5216" s="5">
        <v>128328</v>
      </c>
      <c r="D5216" s="5">
        <v>3538</v>
      </c>
      <c r="E5216">
        <v>28205</v>
      </c>
      <c r="F5216" s="4" t="s">
        <v>384</v>
      </c>
      <c r="G5216" t="s">
        <v>29</v>
      </c>
      <c r="H5216" t="s">
        <v>385</v>
      </c>
    </row>
    <row r="5217" spans="1:8" x14ac:dyDescent="0.25">
      <c r="A5217" t="s">
        <v>1091</v>
      </c>
      <c r="B5217" t="s">
        <v>380</v>
      </c>
      <c r="C5217" s="5">
        <v>151102</v>
      </c>
      <c r="D5217" s="5">
        <v>1926</v>
      </c>
      <c r="E5217">
        <v>115209</v>
      </c>
      <c r="F5217" s="4" t="s">
        <v>53</v>
      </c>
      <c r="G5217" t="s">
        <v>29</v>
      </c>
      <c r="H5217" t="s">
        <v>54</v>
      </c>
    </row>
    <row r="5218" spans="1:8" x14ac:dyDescent="0.25">
      <c r="A5218" t="s">
        <v>1091</v>
      </c>
      <c r="B5218" t="s">
        <v>377</v>
      </c>
      <c r="C5218" s="5">
        <v>2390687</v>
      </c>
      <c r="D5218" s="5">
        <v>27921</v>
      </c>
      <c r="E5218">
        <v>625246</v>
      </c>
      <c r="F5218" s="4" t="s">
        <v>378</v>
      </c>
      <c r="G5218" t="s">
        <v>29</v>
      </c>
      <c r="H5218" t="s">
        <v>379</v>
      </c>
    </row>
    <row r="5219" spans="1:8" x14ac:dyDescent="0.25">
      <c r="A5219" t="s">
        <v>1091</v>
      </c>
      <c r="B5219" t="s">
        <v>374</v>
      </c>
      <c r="C5219" s="5">
        <v>3757056</v>
      </c>
      <c r="D5219" s="5">
        <v>284381</v>
      </c>
      <c r="E5219">
        <v>3107814</v>
      </c>
      <c r="F5219" s="4" t="s">
        <v>375</v>
      </c>
      <c r="G5219" t="s">
        <v>29</v>
      </c>
      <c r="H5219" t="s">
        <v>376</v>
      </c>
    </row>
    <row r="5220" spans="1:8" x14ac:dyDescent="0.25">
      <c r="A5220" t="s">
        <v>1091</v>
      </c>
      <c r="B5220" t="s">
        <v>371</v>
      </c>
      <c r="C5220" s="5">
        <v>61716</v>
      </c>
      <c r="D5220" s="5">
        <v>2292</v>
      </c>
      <c r="E5220">
        <v>52251</v>
      </c>
      <c r="F5220" s="4" t="s">
        <v>593</v>
      </c>
      <c r="G5220" t="s">
        <v>29</v>
      </c>
      <c r="H5220" t="s">
        <v>594</v>
      </c>
    </row>
    <row r="5221" spans="1:8" x14ac:dyDescent="0.25">
      <c r="A5221" t="s">
        <v>1091</v>
      </c>
      <c r="B5221" t="s">
        <v>368</v>
      </c>
      <c r="C5221" s="5">
        <v>86165</v>
      </c>
      <c r="D5221" s="5">
        <v>238</v>
      </c>
      <c r="E5221">
        <v>21892</v>
      </c>
      <c r="F5221" s="4" t="s">
        <v>369</v>
      </c>
      <c r="G5221" t="s">
        <v>29</v>
      </c>
      <c r="H5221" t="s">
        <v>370</v>
      </c>
    </row>
    <row r="5222" spans="1:8" x14ac:dyDescent="0.25">
      <c r="A5222" t="s">
        <v>1091</v>
      </c>
      <c r="B5222" t="s">
        <v>367</v>
      </c>
      <c r="C5222" s="5">
        <v>16621</v>
      </c>
      <c r="D5222" s="5">
        <v>129</v>
      </c>
      <c r="E5222">
        <v>4618</v>
      </c>
      <c r="F5222" s="4" t="s">
        <v>297</v>
      </c>
      <c r="G5222" t="s">
        <v>29</v>
      </c>
      <c r="H5222" t="s">
        <v>298</v>
      </c>
    </row>
    <row r="5223" spans="1:8" x14ac:dyDescent="0.25">
      <c r="A5223" t="s">
        <v>1091</v>
      </c>
      <c r="B5223" t="s">
        <v>364</v>
      </c>
      <c r="C5223" s="5">
        <v>37453</v>
      </c>
      <c r="D5223" s="5">
        <v>459</v>
      </c>
      <c r="E5223">
        <v>14315</v>
      </c>
      <c r="F5223" s="4" t="s">
        <v>798</v>
      </c>
      <c r="G5223" t="s">
        <v>29</v>
      </c>
      <c r="H5223" t="s">
        <v>799</v>
      </c>
    </row>
    <row r="5224" spans="1:8" x14ac:dyDescent="0.25">
      <c r="A5224" t="s">
        <v>1091</v>
      </c>
      <c r="B5224" t="s">
        <v>363</v>
      </c>
      <c r="C5224" s="5">
        <v>36677</v>
      </c>
      <c r="D5224" s="5">
        <v>788</v>
      </c>
      <c r="E5224">
        <v>17336</v>
      </c>
      <c r="F5224" s="4" t="s">
        <v>852</v>
      </c>
      <c r="G5224" t="s">
        <v>29</v>
      </c>
      <c r="H5224" t="s">
        <v>853</v>
      </c>
    </row>
    <row r="5225" spans="1:8" x14ac:dyDescent="0.25">
      <c r="A5225" t="s">
        <v>1091</v>
      </c>
      <c r="B5225" t="s">
        <v>360</v>
      </c>
      <c r="C5225" s="5">
        <v>42269</v>
      </c>
      <c r="D5225" s="5">
        <v>656</v>
      </c>
      <c r="E5225">
        <v>24673</v>
      </c>
      <c r="F5225" s="4" t="s">
        <v>333</v>
      </c>
      <c r="G5225" t="s">
        <v>29</v>
      </c>
      <c r="H5225" t="s">
        <v>334</v>
      </c>
    </row>
    <row r="5226" spans="1:8" x14ac:dyDescent="0.25">
      <c r="A5226" t="s">
        <v>1091</v>
      </c>
      <c r="B5226" t="s">
        <v>359</v>
      </c>
      <c r="C5226" s="5">
        <v>77</v>
      </c>
      <c r="D5226" s="5">
        <v>0</v>
      </c>
      <c r="E5226">
        <v>13</v>
      </c>
      <c r="F5226" s="4" t="s">
        <v>29</v>
      </c>
      <c r="G5226" t="s">
        <v>29</v>
      </c>
      <c r="H5226" t="s">
        <v>291</v>
      </c>
    </row>
    <row r="5227" spans="1:8" x14ac:dyDescent="0.25">
      <c r="A5227" t="s">
        <v>1091</v>
      </c>
      <c r="B5227" t="s">
        <v>358</v>
      </c>
      <c r="C5227" s="5">
        <v>339536</v>
      </c>
      <c r="D5227" s="5">
        <v>1556</v>
      </c>
      <c r="E5227">
        <v>182355</v>
      </c>
      <c r="F5227" s="4" t="s">
        <v>149</v>
      </c>
      <c r="G5227" t="s">
        <v>29</v>
      </c>
      <c r="H5227" t="s">
        <v>150</v>
      </c>
    </row>
    <row r="5228" spans="1:8" x14ac:dyDescent="0.25">
      <c r="A5228" t="s">
        <v>1091</v>
      </c>
      <c r="B5228" t="s">
        <v>355</v>
      </c>
      <c r="C5228" s="5">
        <v>487853</v>
      </c>
      <c r="D5228" s="5">
        <v>18359</v>
      </c>
      <c r="E5228">
        <v>342637</v>
      </c>
      <c r="F5228" s="4" t="s">
        <v>1040</v>
      </c>
      <c r="G5228" t="s">
        <v>29</v>
      </c>
      <c r="H5228" t="s">
        <v>1041</v>
      </c>
    </row>
    <row r="5229" spans="1:8" x14ac:dyDescent="0.25">
      <c r="A5229" t="s">
        <v>1091</v>
      </c>
      <c r="B5229" t="s">
        <v>352</v>
      </c>
      <c r="C5229" s="5">
        <v>15619</v>
      </c>
      <c r="D5229" s="5">
        <v>557</v>
      </c>
      <c r="E5229">
        <v>3508</v>
      </c>
      <c r="F5229" s="4" t="s">
        <v>909</v>
      </c>
      <c r="G5229" t="s">
        <v>29</v>
      </c>
      <c r="H5229" t="s">
        <v>910</v>
      </c>
    </row>
    <row r="5230" spans="1:8" x14ac:dyDescent="0.25">
      <c r="A5230" t="s">
        <v>1091</v>
      </c>
      <c r="B5230" t="s">
        <v>349</v>
      </c>
      <c r="C5230" s="5">
        <v>197091</v>
      </c>
      <c r="D5230" s="5">
        <v>6940</v>
      </c>
      <c r="E5230">
        <v>5717</v>
      </c>
      <c r="F5230" s="4" t="s">
        <v>353</v>
      </c>
      <c r="G5230" t="s">
        <v>29</v>
      </c>
      <c r="H5230" t="s">
        <v>354</v>
      </c>
    </row>
    <row r="5231" spans="1:8" x14ac:dyDescent="0.25">
      <c r="A5231" t="s">
        <v>1091</v>
      </c>
      <c r="B5231" t="s">
        <v>348</v>
      </c>
      <c r="C5231" s="5">
        <v>4</v>
      </c>
      <c r="D5231" s="5">
        <v>0</v>
      </c>
      <c r="E5231">
        <v>0</v>
      </c>
      <c r="F5231" s="4" t="s">
        <v>29</v>
      </c>
      <c r="G5231" t="s">
        <v>29</v>
      </c>
      <c r="H5231" t="s">
        <v>291</v>
      </c>
    </row>
    <row r="5232" spans="1:8" x14ac:dyDescent="0.25">
      <c r="A5232" t="s">
        <v>1091</v>
      </c>
      <c r="B5232" t="s">
        <v>347</v>
      </c>
      <c r="C5232" s="5">
        <v>43616</v>
      </c>
      <c r="D5232" s="5">
        <v>960</v>
      </c>
      <c r="E5232">
        <v>36390</v>
      </c>
      <c r="F5232" s="4" t="s">
        <v>969</v>
      </c>
      <c r="G5232" t="s">
        <v>29</v>
      </c>
      <c r="H5232" t="s">
        <v>970</v>
      </c>
    </row>
    <row r="5233" spans="1:8" x14ac:dyDescent="0.25">
      <c r="A5233" t="s">
        <v>1091</v>
      </c>
      <c r="B5233" t="s">
        <v>344</v>
      </c>
      <c r="C5233" s="5">
        <v>3878</v>
      </c>
      <c r="D5233" s="5">
        <v>55</v>
      </c>
      <c r="E5233">
        <v>2665</v>
      </c>
      <c r="F5233" s="4" t="s">
        <v>640</v>
      </c>
      <c r="G5233" t="s">
        <v>29</v>
      </c>
      <c r="H5233" t="s">
        <v>641</v>
      </c>
    </row>
    <row r="5234" spans="1:8" x14ac:dyDescent="0.25">
      <c r="A5234" t="s">
        <v>1091</v>
      </c>
      <c r="B5234" t="s">
        <v>341</v>
      </c>
      <c r="C5234" s="5">
        <v>137769</v>
      </c>
      <c r="D5234" s="5">
        <v>2023</v>
      </c>
      <c r="E5234">
        <v>98866</v>
      </c>
      <c r="F5234" s="4" t="s">
        <v>777</v>
      </c>
      <c r="G5234" t="s">
        <v>29</v>
      </c>
      <c r="H5234" t="s">
        <v>778</v>
      </c>
    </row>
    <row r="5235" spans="1:8" x14ac:dyDescent="0.25">
      <c r="A5235" t="s">
        <v>1091</v>
      </c>
      <c r="B5235" t="s">
        <v>338</v>
      </c>
      <c r="C5235" s="5">
        <v>316529</v>
      </c>
      <c r="D5235" s="5">
        <v>7241</v>
      </c>
      <c r="E5235">
        <v>90476</v>
      </c>
      <c r="F5235" s="4" t="s">
        <v>528</v>
      </c>
      <c r="G5235" t="s">
        <v>29</v>
      </c>
      <c r="H5235" t="s">
        <v>529</v>
      </c>
    </row>
    <row r="5236" spans="1:8" x14ac:dyDescent="0.25">
      <c r="A5236" t="s">
        <v>1091</v>
      </c>
      <c r="B5236" t="s">
        <v>335</v>
      </c>
      <c r="C5236" s="5">
        <v>3358</v>
      </c>
      <c r="D5236" s="5">
        <v>35</v>
      </c>
      <c r="E5236">
        <v>3115</v>
      </c>
      <c r="F5236" s="4" t="s">
        <v>336</v>
      </c>
      <c r="G5236" t="s">
        <v>29</v>
      </c>
      <c r="H5236" t="s">
        <v>337</v>
      </c>
    </row>
    <row r="5237" spans="1:8" x14ac:dyDescent="0.25">
      <c r="A5237" t="s">
        <v>1091</v>
      </c>
      <c r="B5237" t="s">
        <v>332</v>
      </c>
      <c r="C5237" s="5">
        <v>942132</v>
      </c>
      <c r="D5237" s="5">
        <v>14544</v>
      </c>
      <c r="E5237">
        <v>222813</v>
      </c>
      <c r="F5237" s="4" t="s">
        <v>519</v>
      </c>
      <c r="G5237" t="s">
        <v>29</v>
      </c>
      <c r="H5237" t="s">
        <v>520</v>
      </c>
    </row>
    <row r="5238" spans="1:8" x14ac:dyDescent="0.25">
      <c r="A5238" t="s">
        <v>1091</v>
      </c>
      <c r="B5238" t="s">
        <v>329</v>
      </c>
      <c r="C5238" s="5">
        <v>349990</v>
      </c>
      <c r="D5238" s="5">
        <v>4883</v>
      </c>
      <c r="E5238">
        <v>159873</v>
      </c>
      <c r="F5238" s="4" t="s">
        <v>403</v>
      </c>
      <c r="G5238" t="s">
        <v>29</v>
      </c>
      <c r="H5238" t="s">
        <v>404</v>
      </c>
    </row>
    <row r="5239" spans="1:8" x14ac:dyDescent="0.25">
      <c r="A5239" t="s">
        <v>1091</v>
      </c>
      <c r="B5239" t="s">
        <v>328</v>
      </c>
      <c r="C5239" s="5">
        <v>185614</v>
      </c>
      <c r="D5239" s="5">
        <v>2890</v>
      </c>
      <c r="E5239">
        <v>177992</v>
      </c>
      <c r="F5239" s="4" t="s">
        <v>41</v>
      </c>
      <c r="G5239" t="s">
        <v>29</v>
      </c>
      <c r="H5239" t="s">
        <v>42</v>
      </c>
    </row>
    <row r="5240" spans="1:8" x14ac:dyDescent="0.25">
      <c r="A5240" t="s">
        <v>1091</v>
      </c>
      <c r="B5240" t="s">
        <v>325</v>
      </c>
      <c r="C5240" s="5">
        <v>79720</v>
      </c>
      <c r="D5240" s="5">
        <v>839</v>
      </c>
      <c r="E5240">
        <v>16527</v>
      </c>
      <c r="F5240" s="4" t="s">
        <v>642</v>
      </c>
      <c r="G5240" t="s">
        <v>29</v>
      </c>
      <c r="H5240" t="s">
        <v>643</v>
      </c>
    </row>
    <row r="5241" spans="1:8" x14ac:dyDescent="0.25">
      <c r="A5241" t="s">
        <v>1091</v>
      </c>
      <c r="B5241" t="s">
        <v>322</v>
      </c>
      <c r="C5241" s="5">
        <v>368641</v>
      </c>
      <c r="D5241" s="5">
        <v>5439</v>
      </c>
      <c r="E5241">
        <v>314681</v>
      </c>
      <c r="F5241" s="4" t="s">
        <v>285</v>
      </c>
      <c r="G5241" t="s">
        <v>29</v>
      </c>
      <c r="H5241" t="s">
        <v>286</v>
      </c>
    </row>
    <row r="5242" spans="1:8" x14ac:dyDescent="0.25">
      <c r="A5242" t="s">
        <v>1091</v>
      </c>
      <c r="B5242" t="s">
        <v>319</v>
      </c>
      <c r="C5242" s="5">
        <v>21530</v>
      </c>
      <c r="D5242" s="5">
        <v>655</v>
      </c>
      <c r="E5242">
        <v>3820</v>
      </c>
      <c r="F5242" s="4" t="s">
        <v>320</v>
      </c>
      <c r="G5242" t="s">
        <v>29</v>
      </c>
      <c r="H5242" t="s">
        <v>321</v>
      </c>
    </row>
    <row r="5243" spans="1:8" x14ac:dyDescent="0.25">
      <c r="A5243" t="s">
        <v>1091</v>
      </c>
      <c r="B5243" t="s">
        <v>316</v>
      </c>
      <c r="C5243" s="5">
        <v>5803</v>
      </c>
      <c r="D5243" s="5">
        <v>286</v>
      </c>
      <c r="E5243">
        <v>348</v>
      </c>
      <c r="F5243" s="4" t="s">
        <v>317</v>
      </c>
      <c r="G5243" t="s">
        <v>29</v>
      </c>
      <c r="H5243" t="s">
        <v>318</v>
      </c>
    </row>
    <row r="5244" spans="1:8" x14ac:dyDescent="0.25">
      <c r="A5244" t="s">
        <v>1091</v>
      </c>
      <c r="B5244" t="s">
        <v>315</v>
      </c>
      <c r="C5244" s="5">
        <v>531648</v>
      </c>
      <c r="D5244" s="5">
        <v>13484</v>
      </c>
      <c r="E5244">
        <v>375089</v>
      </c>
      <c r="F5244" s="4" t="s">
        <v>141</v>
      </c>
      <c r="G5244" t="s">
        <v>29</v>
      </c>
      <c r="H5244" t="s">
        <v>142</v>
      </c>
    </row>
    <row r="5245" spans="1:8" x14ac:dyDescent="0.25">
      <c r="A5245" t="s">
        <v>1091</v>
      </c>
      <c r="B5245" t="s">
        <v>312</v>
      </c>
      <c r="C5245" s="5">
        <v>3584</v>
      </c>
      <c r="D5245" s="5">
        <v>60</v>
      </c>
      <c r="E5245">
        <v>1483</v>
      </c>
      <c r="F5245" s="4" t="s">
        <v>827</v>
      </c>
      <c r="G5245" t="s">
        <v>29</v>
      </c>
      <c r="H5245" t="s">
        <v>828</v>
      </c>
    </row>
    <row r="5246" spans="1:8" x14ac:dyDescent="0.25">
      <c r="A5246" t="s">
        <v>1091</v>
      </c>
      <c r="B5246" t="s">
        <v>309</v>
      </c>
      <c r="C5246" s="5">
        <v>12228</v>
      </c>
      <c r="D5246" s="5">
        <v>236</v>
      </c>
      <c r="E5246">
        <v>3992</v>
      </c>
      <c r="F5246" s="4" t="s">
        <v>946</v>
      </c>
      <c r="G5246" t="s">
        <v>29</v>
      </c>
      <c r="H5246" t="s">
        <v>947</v>
      </c>
    </row>
    <row r="5247" spans="1:8" x14ac:dyDescent="0.25">
      <c r="A5247" t="s">
        <v>1091</v>
      </c>
      <c r="B5247" t="s">
        <v>306</v>
      </c>
      <c r="C5247" s="5">
        <v>633909</v>
      </c>
      <c r="D5247" s="5">
        <v>8425</v>
      </c>
      <c r="E5247">
        <v>273047</v>
      </c>
      <c r="F5247" s="4" t="s">
        <v>59</v>
      </c>
      <c r="G5247" t="s">
        <v>29</v>
      </c>
      <c r="H5247" t="s">
        <v>60</v>
      </c>
    </row>
    <row r="5248" spans="1:8" x14ac:dyDescent="0.25">
      <c r="A5248" t="s">
        <v>1091</v>
      </c>
      <c r="B5248" t="s">
        <v>303</v>
      </c>
      <c r="C5248" s="5">
        <v>32029</v>
      </c>
      <c r="D5248" s="5">
        <v>40</v>
      </c>
      <c r="E5248">
        <v>4790</v>
      </c>
      <c r="F5248" s="4" t="s">
        <v>957</v>
      </c>
      <c r="G5248" t="s">
        <v>29</v>
      </c>
      <c r="H5248" t="s">
        <v>958</v>
      </c>
    </row>
    <row r="5249" spans="1:8" x14ac:dyDescent="0.25">
      <c r="A5249" t="s">
        <v>1091</v>
      </c>
      <c r="B5249" t="s">
        <v>302</v>
      </c>
      <c r="C5249" s="5">
        <v>996141</v>
      </c>
      <c r="D5249" s="5">
        <v>16618</v>
      </c>
      <c r="E5249">
        <v>557015</v>
      </c>
      <c r="F5249" s="4" t="s">
        <v>827</v>
      </c>
      <c r="G5249" t="s">
        <v>29</v>
      </c>
      <c r="H5249" t="s">
        <v>828</v>
      </c>
    </row>
    <row r="5250" spans="1:8" x14ac:dyDescent="0.25">
      <c r="A5250" t="s">
        <v>1091</v>
      </c>
      <c r="B5250" t="s">
        <v>299</v>
      </c>
      <c r="C5250" s="5">
        <v>412332</v>
      </c>
      <c r="D5250" s="5">
        <v>2457</v>
      </c>
      <c r="E5250">
        <v>224739</v>
      </c>
      <c r="F5250" s="4" t="s">
        <v>300</v>
      </c>
      <c r="G5250" t="s">
        <v>29</v>
      </c>
      <c r="H5250" t="s">
        <v>301</v>
      </c>
    </row>
    <row r="5251" spans="1:8" x14ac:dyDescent="0.25">
      <c r="A5251" t="s">
        <v>1091</v>
      </c>
      <c r="B5251" t="s">
        <v>296</v>
      </c>
      <c r="C5251" s="5">
        <v>343445</v>
      </c>
      <c r="D5251" s="5">
        <v>2668</v>
      </c>
      <c r="E5251">
        <v>323404</v>
      </c>
      <c r="F5251" s="4" t="s">
        <v>297</v>
      </c>
      <c r="G5251" t="s">
        <v>29</v>
      </c>
      <c r="H5251" t="s">
        <v>298</v>
      </c>
    </row>
    <row r="5252" spans="1:8" x14ac:dyDescent="0.25">
      <c r="A5252" t="s">
        <v>1091</v>
      </c>
      <c r="B5252" t="s">
        <v>293</v>
      </c>
      <c r="C5252" s="5">
        <v>2550</v>
      </c>
      <c r="D5252" s="5">
        <v>21</v>
      </c>
      <c r="E5252">
        <v>1288</v>
      </c>
      <c r="F5252" s="4" t="s">
        <v>1057</v>
      </c>
      <c r="G5252" t="s">
        <v>29</v>
      </c>
      <c r="H5252" t="s">
        <v>1058</v>
      </c>
    </row>
    <row r="5253" spans="1:8" x14ac:dyDescent="0.25">
      <c r="A5253" t="s">
        <v>1091</v>
      </c>
      <c r="B5253" t="s">
        <v>292</v>
      </c>
      <c r="C5253" s="5">
        <v>4186</v>
      </c>
      <c r="D5253" s="5">
        <v>147</v>
      </c>
      <c r="E5253">
        <v>1479</v>
      </c>
      <c r="F5253" s="4" t="s">
        <v>350</v>
      </c>
      <c r="G5253" t="s">
        <v>29</v>
      </c>
      <c r="H5253" t="s">
        <v>351</v>
      </c>
    </row>
    <row r="5254" spans="1:8" x14ac:dyDescent="0.25">
      <c r="A5254" t="s">
        <v>1091</v>
      </c>
      <c r="B5254" t="s">
        <v>287</v>
      </c>
      <c r="C5254" s="5">
        <v>116665</v>
      </c>
      <c r="D5254" s="5">
        <v>2658</v>
      </c>
      <c r="E5254">
        <v>79335</v>
      </c>
      <c r="F5254" s="4" t="s">
        <v>892</v>
      </c>
      <c r="G5254" t="s">
        <v>29</v>
      </c>
      <c r="H5254" t="s">
        <v>893</v>
      </c>
    </row>
    <row r="5255" spans="1:8" x14ac:dyDescent="0.25">
      <c r="A5255" t="s">
        <v>1091</v>
      </c>
      <c r="B5255" t="s">
        <v>290</v>
      </c>
      <c r="C5255" s="5">
        <v>2</v>
      </c>
      <c r="D5255" s="5">
        <v>0</v>
      </c>
      <c r="E5255">
        <v>1</v>
      </c>
      <c r="F5255" s="4" t="s">
        <v>29</v>
      </c>
      <c r="G5255" t="s">
        <v>29</v>
      </c>
      <c r="H5255" t="s">
        <v>291</v>
      </c>
    </row>
    <row r="5256" spans="1:8" x14ac:dyDescent="0.25">
      <c r="A5256" t="s">
        <v>1091</v>
      </c>
      <c r="B5256" t="s">
        <v>284</v>
      </c>
      <c r="C5256" s="5">
        <v>179845</v>
      </c>
      <c r="D5256" s="5">
        <v>2634</v>
      </c>
      <c r="E5256">
        <v>152646</v>
      </c>
      <c r="F5256" s="4" t="s">
        <v>565</v>
      </c>
      <c r="G5256" t="s">
        <v>29</v>
      </c>
      <c r="H5256" t="s">
        <v>566</v>
      </c>
    </row>
    <row r="5257" spans="1:8" x14ac:dyDescent="0.25">
      <c r="A5257" t="s">
        <v>1091</v>
      </c>
      <c r="B5257" t="s">
        <v>280</v>
      </c>
      <c r="C5257" s="5">
        <v>1715515</v>
      </c>
      <c r="D5257" s="5">
        <v>18112</v>
      </c>
      <c r="E5257">
        <v>668794</v>
      </c>
      <c r="F5257" s="4" t="s">
        <v>165</v>
      </c>
      <c r="G5257" t="s">
        <v>29</v>
      </c>
      <c r="H5257" t="s">
        <v>166</v>
      </c>
    </row>
    <row r="5258" spans="1:8" x14ac:dyDescent="0.25">
      <c r="A5258" t="s">
        <v>1091</v>
      </c>
      <c r="B5258" t="s">
        <v>281</v>
      </c>
      <c r="C5258" s="5">
        <v>252033</v>
      </c>
      <c r="D5258" s="5">
        <v>5223</v>
      </c>
      <c r="E5258">
        <v>39753</v>
      </c>
      <c r="F5258" s="4" t="s">
        <v>310</v>
      </c>
      <c r="G5258" t="s">
        <v>29</v>
      </c>
      <c r="H5258" t="s">
        <v>311</v>
      </c>
    </row>
    <row r="5259" spans="1:8" x14ac:dyDescent="0.25">
      <c r="A5259" t="s">
        <v>1091</v>
      </c>
      <c r="B5259" t="s">
        <v>279</v>
      </c>
      <c r="C5259" s="5">
        <v>841489</v>
      </c>
      <c r="D5259" s="5">
        <v>10879</v>
      </c>
      <c r="E5259">
        <v>149207</v>
      </c>
      <c r="F5259" s="4" t="s">
        <v>417</v>
      </c>
      <c r="G5259" t="s">
        <v>29</v>
      </c>
      <c r="H5259" t="s">
        <v>418</v>
      </c>
    </row>
    <row r="5260" spans="1:8" x14ac:dyDescent="0.25">
      <c r="A5260" t="s">
        <v>1091</v>
      </c>
      <c r="B5260" t="s">
        <v>278</v>
      </c>
      <c r="C5260" s="5">
        <v>87389</v>
      </c>
      <c r="D5260" s="5">
        <v>2110</v>
      </c>
      <c r="E5260">
        <v>47855</v>
      </c>
      <c r="F5260" s="4" t="s">
        <v>510</v>
      </c>
      <c r="G5260" t="s">
        <v>29</v>
      </c>
      <c r="H5260" t="s">
        <v>511</v>
      </c>
    </row>
    <row r="5261" spans="1:8" x14ac:dyDescent="0.25">
      <c r="A5261" t="s">
        <v>1091</v>
      </c>
      <c r="B5261" t="s">
        <v>275</v>
      </c>
      <c r="C5261" s="5">
        <v>4717899</v>
      </c>
      <c r="D5261" s="5">
        <v>131541</v>
      </c>
      <c r="E5261">
        <v>1872026</v>
      </c>
      <c r="F5261" s="4" t="s">
        <v>662</v>
      </c>
      <c r="G5261" t="s">
        <v>29</v>
      </c>
      <c r="H5261" t="s">
        <v>663</v>
      </c>
    </row>
    <row r="5262" spans="1:8" x14ac:dyDescent="0.25">
      <c r="A5262" t="s">
        <v>1091</v>
      </c>
      <c r="B5262" t="s">
        <v>272</v>
      </c>
      <c r="C5262" s="5">
        <v>12455</v>
      </c>
      <c r="D5262" s="5">
        <v>33</v>
      </c>
      <c r="E5262">
        <v>513</v>
      </c>
      <c r="F5262" s="4" t="s">
        <v>794</v>
      </c>
      <c r="G5262" t="s">
        <v>29</v>
      </c>
      <c r="H5262" t="s">
        <v>795</v>
      </c>
    </row>
    <row r="5263" spans="1:8" x14ac:dyDescent="0.25">
      <c r="A5263" t="s">
        <v>1091</v>
      </c>
      <c r="B5263" t="s">
        <v>269</v>
      </c>
      <c r="C5263" s="5">
        <v>5784815</v>
      </c>
      <c r="D5263" s="5">
        <v>124075</v>
      </c>
      <c r="E5263">
        <v>2798726</v>
      </c>
      <c r="F5263" s="4" t="s">
        <v>823</v>
      </c>
      <c r="G5263" t="s">
        <v>29</v>
      </c>
      <c r="H5263" t="s">
        <v>824</v>
      </c>
    </row>
    <row r="5264" spans="1:8" x14ac:dyDescent="0.25">
      <c r="A5264" t="s">
        <v>1091</v>
      </c>
      <c r="B5264" t="s">
        <v>266</v>
      </c>
      <c r="C5264" s="5">
        <v>2035453</v>
      </c>
      <c r="D5264" s="5">
        <v>22756</v>
      </c>
      <c r="E5264">
        <v>711971</v>
      </c>
      <c r="F5264" s="4" t="s">
        <v>911</v>
      </c>
      <c r="G5264" t="s">
        <v>29</v>
      </c>
      <c r="H5264" t="s">
        <v>912</v>
      </c>
    </row>
    <row r="5265" spans="1:8" x14ac:dyDescent="0.25">
      <c r="A5265" t="s">
        <v>1091</v>
      </c>
      <c r="B5265" t="s">
        <v>263</v>
      </c>
      <c r="C5265" s="5">
        <v>34081315</v>
      </c>
      <c r="D5265" s="5">
        <v>452290</v>
      </c>
      <c r="E5265">
        <v>24853461</v>
      </c>
      <c r="F5265" s="4" t="s">
        <v>59</v>
      </c>
      <c r="G5265" t="s">
        <v>29</v>
      </c>
      <c r="H5265" t="s">
        <v>60</v>
      </c>
    </row>
    <row r="5266" spans="1:8" x14ac:dyDescent="0.25">
      <c r="A5266" t="s">
        <v>1091</v>
      </c>
      <c r="B5266" t="s">
        <v>260</v>
      </c>
      <c r="C5266" s="5">
        <v>1316317</v>
      </c>
      <c r="D5266" s="5">
        <v>7999</v>
      </c>
      <c r="E5266">
        <v>894181</v>
      </c>
      <c r="F5266" s="4" t="s">
        <v>261</v>
      </c>
      <c r="G5266" t="s">
        <v>29</v>
      </c>
      <c r="H5266" t="s">
        <v>262</v>
      </c>
    </row>
    <row r="5267" spans="1:8" x14ac:dyDescent="0.25">
      <c r="A5267" t="s">
        <v>1091</v>
      </c>
      <c r="B5267" t="s">
        <v>257</v>
      </c>
      <c r="C5267" s="5">
        <v>415114</v>
      </c>
      <c r="D5267" s="5">
        <v>5306</v>
      </c>
      <c r="E5267">
        <v>81178</v>
      </c>
      <c r="F5267" s="4" t="s">
        <v>381</v>
      </c>
      <c r="G5267" t="s">
        <v>29</v>
      </c>
      <c r="H5267" t="s">
        <v>382</v>
      </c>
    </row>
    <row r="5268" spans="1:8" x14ac:dyDescent="0.25">
      <c r="A5268" t="s">
        <v>1091</v>
      </c>
      <c r="B5268" t="s">
        <v>254</v>
      </c>
      <c r="C5268" s="5">
        <v>4234758</v>
      </c>
      <c r="D5268" s="5">
        <v>142952</v>
      </c>
      <c r="E5268">
        <v>2767973</v>
      </c>
      <c r="F5268" s="4" t="s">
        <v>255</v>
      </c>
      <c r="G5268" t="s">
        <v>29</v>
      </c>
      <c r="H5268" t="s">
        <v>256</v>
      </c>
    </row>
    <row r="5269" spans="1:8" x14ac:dyDescent="0.25">
      <c r="A5269" t="s">
        <v>1091</v>
      </c>
      <c r="B5269" t="s">
        <v>251</v>
      </c>
      <c r="C5269" s="5">
        <v>833115</v>
      </c>
      <c r="D5269" s="5">
        <v>30351</v>
      </c>
      <c r="E5269">
        <v>401151</v>
      </c>
      <c r="F5269" s="4" t="s">
        <v>1102</v>
      </c>
      <c r="G5269" t="s">
        <v>29</v>
      </c>
      <c r="H5269" t="s">
        <v>1103</v>
      </c>
    </row>
    <row r="5270" spans="1:8" x14ac:dyDescent="0.25">
      <c r="A5270" t="s">
        <v>1091</v>
      </c>
      <c r="B5270" t="s">
        <v>248</v>
      </c>
      <c r="C5270" s="5">
        <v>22933</v>
      </c>
      <c r="D5270" s="5">
        <v>657</v>
      </c>
      <c r="E5270">
        <v>17493</v>
      </c>
      <c r="F5270" s="4" t="s">
        <v>955</v>
      </c>
      <c r="G5270" t="s">
        <v>29</v>
      </c>
      <c r="H5270" t="s">
        <v>956</v>
      </c>
    </row>
    <row r="5271" spans="1:8" x14ac:dyDescent="0.25">
      <c r="A5271" t="s">
        <v>1091</v>
      </c>
      <c r="B5271" t="s">
        <v>245</v>
      </c>
      <c r="C5271" s="5">
        <v>427914</v>
      </c>
      <c r="D5271" s="5">
        <v>8896</v>
      </c>
      <c r="E5271">
        <v>55297</v>
      </c>
      <c r="F5271" s="4" t="s">
        <v>549</v>
      </c>
      <c r="G5271" t="s">
        <v>29</v>
      </c>
      <c r="H5271" t="s">
        <v>550</v>
      </c>
    </row>
    <row r="5272" spans="1:8" x14ac:dyDescent="0.25">
      <c r="A5272" t="s">
        <v>1091</v>
      </c>
      <c r="B5272" t="s">
        <v>242</v>
      </c>
      <c r="C5272" s="5">
        <v>372179</v>
      </c>
      <c r="D5272" s="5">
        <v>10096</v>
      </c>
      <c r="E5272">
        <v>239095</v>
      </c>
      <c r="F5272" s="4" t="s">
        <v>875</v>
      </c>
      <c r="G5272" t="s">
        <v>29</v>
      </c>
      <c r="H5272" t="s">
        <v>876</v>
      </c>
    </row>
    <row r="5273" spans="1:8" x14ac:dyDescent="0.25">
      <c r="A5273" t="s">
        <v>1091</v>
      </c>
      <c r="B5273" t="s">
        <v>239</v>
      </c>
      <c r="C5273" s="5">
        <v>12294</v>
      </c>
      <c r="D5273" s="5">
        <v>213</v>
      </c>
      <c r="E5273">
        <v>7668</v>
      </c>
      <c r="F5273" s="4" t="s">
        <v>765</v>
      </c>
      <c r="G5273" t="s">
        <v>29</v>
      </c>
      <c r="H5273" t="s">
        <v>766</v>
      </c>
    </row>
    <row r="5274" spans="1:8" x14ac:dyDescent="0.25">
      <c r="A5274" t="s">
        <v>1091</v>
      </c>
      <c r="B5274" t="s">
        <v>236</v>
      </c>
      <c r="C5274" s="5">
        <v>34455</v>
      </c>
      <c r="D5274" s="5">
        <v>870</v>
      </c>
      <c r="E5274">
        <v>23863</v>
      </c>
      <c r="F5274" s="4" t="s">
        <v>611</v>
      </c>
      <c r="G5274" t="s">
        <v>29</v>
      </c>
      <c r="H5274" t="s">
        <v>612</v>
      </c>
    </row>
    <row r="5275" spans="1:8" x14ac:dyDescent="0.25">
      <c r="A5275" t="s">
        <v>1091</v>
      </c>
      <c r="B5275" t="s">
        <v>233</v>
      </c>
      <c r="C5275" s="5">
        <v>6130</v>
      </c>
      <c r="D5275" s="5">
        <v>141</v>
      </c>
      <c r="E5275">
        <v>3889</v>
      </c>
      <c r="F5275" s="4" t="s">
        <v>619</v>
      </c>
      <c r="G5275" t="s">
        <v>29</v>
      </c>
      <c r="H5275" t="s">
        <v>620</v>
      </c>
    </row>
    <row r="5276" spans="1:8" x14ac:dyDescent="0.25">
      <c r="A5276" t="s">
        <v>1091</v>
      </c>
      <c r="B5276" t="s">
        <v>232</v>
      </c>
      <c r="C5276" s="5">
        <v>588069</v>
      </c>
      <c r="D5276" s="5">
        <v>14330</v>
      </c>
      <c r="E5276">
        <v>489271</v>
      </c>
      <c r="F5276" s="4" t="s">
        <v>934</v>
      </c>
      <c r="G5276" t="s">
        <v>29</v>
      </c>
      <c r="H5276" t="s">
        <v>935</v>
      </c>
    </row>
    <row r="5277" spans="1:8" x14ac:dyDescent="0.25">
      <c r="A5277" t="s">
        <v>1091</v>
      </c>
      <c r="B5277" t="s">
        <v>229</v>
      </c>
      <c r="C5277" s="5">
        <v>693886</v>
      </c>
      <c r="D5277" s="5">
        <v>15375</v>
      </c>
      <c r="E5277">
        <v>77963</v>
      </c>
      <c r="F5277" s="4" t="s">
        <v>673</v>
      </c>
      <c r="G5277" t="s">
        <v>29</v>
      </c>
      <c r="H5277" t="s">
        <v>674</v>
      </c>
    </row>
    <row r="5278" spans="1:8" x14ac:dyDescent="0.25">
      <c r="A5278" t="s">
        <v>1091</v>
      </c>
      <c r="B5278" t="s">
        <v>228</v>
      </c>
      <c r="C5278" s="5">
        <v>12840</v>
      </c>
      <c r="D5278" s="5">
        <v>156</v>
      </c>
      <c r="E5278">
        <v>10935</v>
      </c>
      <c r="F5278" s="4" t="s">
        <v>775</v>
      </c>
      <c r="G5278" t="s">
        <v>29</v>
      </c>
      <c r="H5278" t="s">
        <v>776</v>
      </c>
    </row>
    <row r="5279" spans="1:8" x14ac:dyDescent="0.25">
      <c r="A5279" t="s">
        <v>1091</v>
      </c>
      <c r="B5279" t="s">
        <v>225</v>
      </c>
      <c r="C5279" s="5">
        <v>53836</v>
      </c>
      <c r="D5279" s="5">
        <v>800</v>
      </c>
      <c r="E5279">
        <v>28675</v>
      </c>
      <c r="F5279" s="4" t="s">
        <v>800</v>
      </c>
      <c r="G5279" t="s">
        <v>29</v>
      </c>
      <c r="H5279" t="s">
        <v>801</v>
      </c>
    </row>
    <row r="5280" spans="1:8" x14ac:dyDescent="0.25">
      <c r="A5280" t="s">
        <v>1091</v>
      </c>
      <c r="B5280" t="s">
        <v>219</v>
      </c>
      <c r="C5280" s="5">
        <v>9946</v>
      </c>
      <c r="D5280" s="5">
        <v>339</v>
      </c>
      <c r="E5280">
        <v>1612</v>
      </c>
      <c r="F5280" s="4" t="s">
        <v>205</v>
      </c>
      <c r="G5280" t="s">
        <v>29</v>
      </c>
      <c r="H5280" t="s">
        <v>206</v>
      </c>
    </row>
    <row r="5281" spans="1:8" x14ac:dyDescent="0.25">
      <c r="A5281" t="s">
        <v>1091</v>
      </c>
      <c r="B5281" t="s">
        <v>222</v>
      </c>
      <c r="C5281" s="5">
        <v>30572</v>
      </c>
      <c r="D5281" s="5">
        <v>385</v>
      </c>
      <c r="E5281">
        <v>2790</v>
      </c>
      <c r="F5281" s="4" t="s">
        <v>223</v>
      </c>
      <c r="G5281" t="s">
        <v>29</v>
      </c>
      <c r="H5281" t="s">
        <v>224</v>
      </c>
    </row>
    <row r="5282" spans="1:8" x14ac:dyDescent="0.25">
      <c r="A5282" t="s">
        <v>1091</v>
      </c>
      <c r="B5282" t="s">
        <v>216</v>
      </c>
      <c r="C5282" s="5">
        <v>5758</v>
      </c>
      <c r="D5282" s="5">
        <v>98</v>
      </c>
      <c r="E5282">
        <v>3351</v>
      </c>
      <c r="F5282" s="4" t="s">
        <v>125</v>
      </c>
      <c r="G5282" t="s">
        <v>29</v>
      </c>
      <c r="H5282" t="s">
        <v>126</v>
      </c>
    </row>
    <row r="5283" spans="1:8" x14ac:dyDescent="0.25">
      <c r="A5283" t="s">
        <v>1091</v>
      </c>
      <c r="B5283" t="s">
        <v>213</v>
      </c>
      <c r="C5283" s="5">
        <v>129440</v>
      </c>
      <c r="D5283" s="5">
        <v>1167</v>
      </c>
      <c r="E5283">
        <v>80238</v>
      </c>
      <c r="F5283" s="4" t="s">
        <v>667</v>
      </c>
      <c r="G5283" t="s">
        <v>29</v>
      </c>
      <c r="H5283" t="s">
        <v>668</v>
      </c>
    </row>
    <row r="5284" spans="1:8" x14ac:dyDescent="0.25">
      <c r="A5284" t="s">
        <v>1091</v>
      </c>
      <c r="B5284" t="s">
        <v>210</v>
      </c>
      <c r="C5284" s="5">
        <v>43255</v>
      </c>
      <c r="D5284" s="5">
        <v>293</v>
      </c>
      <c r="E5284">
        <v>22029</v>
      </c>
      <c r="F5284" s="4" t="s">
        <v>605</v>
      </c>
      <c r="G5284" t="s">
        <v>29</v>
      </c>
      <c r="H5284" t="s">
        <v>606</v>
      </c>
    </row>
    <row r="5285" spans="1:8" x14ac:dyDescent="0.25">
      <c r="A5285" t="s">
        <v>1091</v>
      </c>
      <c r="B5285" t="s">
        <v>204</v>
      </c>
      <c r="C5285" s="5">
        <v>5746</v>
      </c>
      <c r="D5285" s="5">
        <v>192</v>
      </c>
      <c r="E5285">
        <v>567</v>
      </c>
      <c r="F5285" s="4" t="s">
        <v>869</v>
      </c>
      <c r="G5285" t="s">
        <v>29</v>
      </c>
      <c r="H5285" t="s">
        <v>870</v>
      </c>
    </row>
    <row r="5286" spans="1:8" x14ac:dyDescent="0.25">
      <c r="A5286" t="s">
        <v>1091</v>
      </c>
      <c r="B5286" t="s">
        <v>207</v>
      </c>
      <c r="C5286" s="5">
        <v>662334</v>
      </c>
      <c r="D5286" s="5">
        <v>9468</v>
      </c>
      <c r="E5286">
        <v>353417</v>
      </c>
      <c r="F5286" s="4" t="s">
        <v>323</v>
      </c>
      <c r="G5286" t="s">
        <v>29</v>
      </c>
      <c r="H5286" t="s">
        <v>324</v>
      </c>
    </row>
    <row r="5287" spans="1:8" x14ac:dyDescent="0.25">
      <c r="A5287" t="s">
        <v>1091</v>
      </c>
      <c r="B5287" t="s">
        <v>201</v>
      </c>
      <c r="C5287" s="5">
        <v>8482927</v>
      </c>
      <c r="D5287" s="5">
        <v>138899</v>
      </c>
      <c r="E5287">
        <v>374914</v>
      </c>
      <c r="F5287" s="4" t="s">
        <v>196</v>
      </c>
      <c r="G5287" t="s">
        <v>29</v>
      </c>
      <c r="H5287" t="s">
        <v>197</v>
      </c>
    </row>
    <row r="5288" spans="1:8" x14ac:dyDescent="0.25">
      <c r="A5288" t="s">
        <v>1091</v>
      </c>
      <c r="B5288" t="s">
        <v>198</v>
      </c>
      <c r="C5288" s="5">
        <v>33442</v>
      </c>
      <c r="D5288" s="5">
        <v>213</v>
      </c>
      <c r="E5288">
        <v>8975</v>
      </c>
      <c r="F5288" s="4" t="s">
        <v>953</v>
      </c>
      <c r="G5288" t="s">
        <v>29</v>
      </c>
      <c r="H5288" t="s">
        <v>954</v>
      </c>
    </row>
    <row r="5289" spans="1:8" x14ac:dyDescent="0.25">
      <c r="A5289" t="s">
        <v>1091</v>
      </c>
      <c r="B5289" t="s">
        <v>195</v>
      </c>
      <c r="C5289" s="5">
        <v>6914791</v>
      </c>
      <c r="D5289" s="5">
        <v>114948</v>
      </c>
      <c r="E5289">
        <v>161747</v>
      </c>
      <c r="F5289" s="4" t="s">
        <v>135</v>
      </c>
      <c r="G5289" t="s">
        <v>29</v>
      </c>
      <c r="H5289" t="s">
        <v>136</v>
      </c>
    </row>
    <row r="5290" spans="1:8" x14ac:dyDescent="0.25">
      <c r="A5290" t="s">
        <v>1091</v>
      </c>
      <c r="B5290" t="s">
        <v>192</v>
      </c>
      <c r="C5290" s="5">
        <v>1350</v>
      </c>
      <c r="D5290" s="5">
        <v>2</v>
      </c>
      <c r="E5290">
        <v>105</v>
      </c>
      <c r="F5290" s="4" t="s">
        <v>915</v>
      </c>
      <c r="G5290" t="s">
        <v>29</v>
      </c>
      <c r="H5290" t="s">
        <v>916</v>
      </c>
    </row>
    <row r="5291" spans="1:8" x14ac:dyDescent="0.25">
      <c r="A5291" t="s">
        <v>1091</v>
      </c>
      <c r="B5291" t="s">
        <v>189</v>
      </c>
      <c r="C5291" s="5">
        <v>51701</v>
      </c>
      <c r="D5291" s="5">
        <v>663</v>
      </c>
      <c r="E5291">
        <v>1885</v>
      </c>
      <c r="F5291" s="4" t="s">
        <v>381</v>
      </c>
      <c r="G5291" t="s">
        <v>29</v>
      </c>
      <c r="H5291" t="s">
        <v>382</v>
      </c>
    </row>
    <row r="5292" spans="1:8" x14ac:dyDescent="0.25">
      <c r="A5292" t="s">
        <v>1091</v>
      </c>
      <c r="B5292" t="s">
        <v>186</v>
      </c>
      <c r="C5292" s="5">
        <v>149897</v>
      </c>
      <c r="D5292" s="5">
        <v>1116</v>
      </c>
      <c r="E5292">
        <v>45361</v>
      </c>
      <c r="F5292" s="4" t="s">
        <v>819</v>
      </c>
      <c r="G5292" t="s">
        <v>29</v>
      </c>
      <c r="H5292" t="s">
        <v>820</v>
      </c>
    </row>
    <row r="5293" spans="1:8" x14ac:dyDescent="0.25">
      <c r="A5293" t="s">
        <v>1091</v>
      </c>
      <c r="B5293" t="s">
        <v>185</v>
      </c>
      <c r="C5293" s="5">
        <v>359247</v>
      </c>
      <c r="D5293" s="5">
        <v>6217</v>
      </c>
      <c r="E5293">
        <v>129100</v>
      </c>
      <c r="F5293" s="4" t="s">
        <v>765</v>
      </c>
      <c r="G5293" t="s">
        <v>29</v>
      </c>
      <c r="H5293" t="s">
        <v>766</v>
      </c>
    </row>
    <row r="5294" spans="1:8" x14ac:dyDescent="0.25">
      <c r="A5294" t="s">
        <v>1091</v>
      </c>
      <c r="B5294" t="s">
        <v>182</v>
      </c>
      <c r="C5294" s="5">
        <v>4984386</v>
      </c>
      <c r="D5294" s="5">
        <v>86974</v>
      </c>
      <c r="E5294">
        <v>622044</v>
      </c>
      <c r="F5294" s="4" t="s">
        <v>183</v>
      </c>
      <c r="G5294" t="s">
        <v>29</v>
      </c>
      <c r="H5294" t="s">
        <v>184</v>
      </c>
    </row>
    <row r="5295" spans="1:8" x14ac:dyDescent="0.25">
      <c r="A5295" t="s">
        <v>1091</v>
      </c>
      <c r="B5295" t="s">
        <v>179</v>
      </c>
      <c r="C5295" s="5">
        <v>6774</v>
      </c>
      <c r="D5295" s="5">
        <v>45</v>
      </c>
      <c r="E5295">
        <v>5593</v>
      </c>
      <c r="F5295" s="4" t="s">
        <v>162</v>
      </c>
      <c r="G5295" t="s">
        <v>29</v>
      </c>
      <c r="H5295" t="s">
        <v>163</v>
      </c>
    </row>
    <row r="5296" spans="1:8" x14ac:dyDescent="0.25">
      <c r="A5296" t="s">
        <v>1091</v>
      </c>
      <c r="B5296" t="s">
        <v>176</v>
      </c>
      <c r="C5296" s="5">
        <v>318456</v>
      </c>
      <c r="D5296" s="5">
        <v>17970</v>
      </c>
      <c r="E5296">
        <v>298137</v>
      </c>
      <c r="F5296" s="4" t="s">
        <v>756</v>
      </c>
      <c r="G5296" t="s">
        <v>29</v>
      </c>
      <c r="H5296" t="s">
        <v>757</v>
      </c>
    </row>
    <row r="5297" spans="1:8" x14ac:dyDescent="0.25">
      <c r="A5297" t="s">
        <v>1091</v>
      </c>
      <c r="B5297" t="s">
        <v>173</v>
      </c>
      <c r="C5297" s="5">
        <v>172514</v>
      </c>
      <c r="D5297" s="5">
        <v>1426</v>
      </c>
      <c r="E5297">
        <v>108015</v>
      </c>
      <c r="F5297" s="4" t="s">
        <v>28</v>
      </c>
      <c r="G5297" t="s">
        <v>29</v>
      </c>
      <c r="H5297" t="s">
        <v>30</v>
      </c>
    </row>
    <row r="5298" spans="1:8" x14ac:dyDescent="0.25">
      <c r="A5298" t="s">
        <v>1091</v>
      </c>
      <c r="B5298" t="s">
        <v>170</v>
      </c>
      <c r="C5298" s="5">
        <v>513026</v>
      </c>
      <c r="D5298" s="5">
        <v>32899</v>
      </c>
      <c r="E5298">
        <v>402731</v>
      </c>
      <c r="F5298" s="4" t="s">
        <v>1020</v>
      </c>
      <c r="G5298" t="s">
        <v>29</v>
      </c>
      <c r="H5298" t="s">
        <v>1021</v>
      </c>
    </row>
    <row r="5299" spans="1:8" x14ac:dyDescent="0.25">
      <c r="A5299" t="s">
        <v>1091</v>
      </c>
      <c r="B5299" t="s">
        <v>167</v>
      </c>
      <c r="C5299" s="5">
        <v>205286</v>
      </c>
      <c r="D5299" s="5">
        <v>5872</v>
      </c>
      <c r="E5299">
        <v>67761</v>
      </c>
      <c r="F5299" s="4" t="s">
        <v>955</v>
      </c>
      <c r="G5299" t="s">
        <v>29</v>
      </c>
      <c r="H5299" t="s">
        <v>956</v>
      </c>
    </row>
    <row r="5300" spans="1:8" x14ac:dyDescent="0.25">
      <c r="A5300" t="s">
        <v>1091</v>
      </c>
      <c r="B5300" t="s">
        <v>164</v>
      </c>
      <c r="C5300" s="5">
        <v>370451</v>
      </c>
      <c r="D5300" s="5">
        <v>4087</v>
      </c>
      <c r="E5300">
        <v>357113</v>
      </c>
      <c r="F5300" s="4" t="s">
        <v>1044</v>
      </c>
      <c r="G5300" t="s">
        <v>29</v>
      </c>
      <c r="H5300" t="s">
        <v>1045</v>
      </c>
    </row>
    <row r="5301" spans="1:8" x14ac:dyDescent="0.25">
      <c r="A5301" t="s">
        <v>1091</v>
      </c>
      <c r="B5301" t="s">
        <v>161</v>
      </c>
      <c r="C5301" s="5">
        <v>4153</v>
      </c>
      <c r="D5301" s="5">
        <v>28</v>
      </c>
      <c r="E5301">
        <v>3687</v>
      </c>
      <c r="F5301" s="4" t="s">
        <v>92</v>
      </c>
      <c r="G5301" t="s">
        <v>29</v>
      </c>
      <c r="H5301" t="s">
        <v>93</v>
      </c>
    </row>
    <row r="5302" spans="1:8" x14ac:dyDescent="0.25">
      <c r="A5302" t="s">
        <v>1091</v>
      </c>
      <c r="B5302" t="s">
        <v>160</v>
      </c>
      <c r="C5302" s="5">
        <v>369305</v>
      </c>
      <c r="D5302" s="5">
        <v>2685</v>
      </c>
      <c r="E5302">
        <v>299291</v>
      </c>
      <c r="F5302" s="4" t="s">
        <v>187</v>
      </c>
      <c r="G5302" t="s">
        <v>29</v>
      </c>
      <c r="H5302" t="s">
        <v>188</v>
      </c>
    </row>
    <row r="5303" spans="1:8" x14ac:dyDescent="0.25">
      <c r="A5303" t="s">
        <v>1091</v>
      </c>
      <c r="B5303" t="s">
        <v>157</v>
      </c>
      <c r="C5303" s="5">
        <v>13396</v>
      </c>
      <c r="D5303" s="5">
        <v>179</v>
      </c>
      <c r="E5303">
        <v>4186</v>
      </c>
      <c r="F5303" s="4" t="s">
        <v>264</v>
      </c>
      <c r="G5303" t="s">
        <v>29</v>
      </c>
      <c r="H5303" t="s">
        <v>265</v>
      </c>
    </row>
    <row r="5304" spans="1:8" x14ac:dyDescent="0.25">
      <c r="A5304" t="s">
        <v>1091</v>
      </c>
      <c r="B5304" t="s">
        <v>154</v>
      </c>
      <c r="C5304" s="5">
        <v>4382019</v>
      </c>
      <c r="D5304" s="5">
        <v>94632</v>
      </c>
      <c r="E5304">
        <v>3743987</v>
      </c>
      <c r="F5304" s="4" t="s">
        <v>894</v>
      </c>
      <c r="G5304" t="s">
        <v>29</v>
      </c>
      <c r="H5304" t="s">
        <v>895</v>
      </c>
    </row>
    <row r="5305" spans="1:8" x14ac:dyDescent="0.25">
      <c r="A5305" t="s">
        <v>1091</v>
      </c>
      <c r="B5305" t="s">
        <v>151</v>
      </c>
      <c r="C5305" s="5">
        <v>1708925</v>
      </c>
      <c r="D5305" s="5">
        <v>30545</v>
      </c>
      <c r="E5305">
        <v>450067</v>
      </c>
      <c r="F5305" s="4" t="s">
        <v>71</v>
      </c>
      <c r="G5305" t="s">
        <v>29</v>
      </c>
      <c r="H5305" t="s">
        <v>72</v>
      </c>
    </row>
    <row r="5306" spans="1:8" x14ac:dyDescent="0.25">
      <c r="A5306" t="s">
        <v>1091</v>
      </c>
      <c r="B5306" t="s">
        <v>148</v>
      </c>
      <c r="C5306" s="5">
        <v>121995</v>
      </c>
      <c r="D5306" s="5">
        <v>563</v>
      </c>
      <c r="E5306">
        <v>41559</v>
      </c>
      <c r="F5306" s="4" t="s">
        <v>149</v>
      </c>
      <c r="G5306" t="s">
        <v>29</v>
      </c>
      <c r="H5306" t="s">
        <v>150</v>
      </c>
    </row>
    <row r="5307" spans="1:8" x14ac:dyDescent="0.25">
      <c r="A5307" t="s">
        <v>1091</v>
      </c>
      <c r="B5307" t="s">
        <v>145</v>
      </c>
      <c r="C5307" s="5">
        <v>38040</v>
      </c>
      <c r="D5307" s="5">
        <v>347</v>
      </c>
      <c r="E5307">
        <v>10949</v>
      </c>
      <c r="F5307" s="4" t="s">
        <v>146</v>
      </c>
      <c r="G5307" t="s">
        <v>29</v>
      </c>
      <c r="H5307" t="s">
        <v>147</v>
      </c>
    </row>
    <row r="5308" spans="1:8" x14ac:dyDescent="0.25">
      <c r="A5308" t="s">
        <v>1091</v>
      </c>
      <c r="B5308" t="s">
        <v>144</v>
      </c>
      <c r="C5308" s="5">
        <v>934965</v>
      </c>
      <c r="D5308" s="5">
        <v>8058</v>
      </c>
      <c r="E5308">
        <v>40345</v>
      </c>
      <c r="F5308" s="4" t="s">
        <v>122</v>
      </c>
      <c r="G5308" t="s">
        <v>29</v>
      </c>
      <c r="H5308" t="s">
        <v>123</v>
      </c>
    </row>
    <row r="5309" spans="1:8" x14ac:dyDescent="0.25">
      <c r="A5309" t="s">
        <v>1091</v>
      </c>
      <c r="B5309" t="s">
        <v>143</v>
      </c>
      <c r="C5309" s="5">
        <v>551144</v>
      </c>
      <c r="D5309" s="5">
        <v>6797</v>
      </c>
      <c r="E5309">
        <v>390131</v>
      </c>
      <c r="F5309" s="4" t="s">
        <v>798</v>
      </c>
      <c r="G5309" t="s">
        <v>29</v>
      </c>
      <c r="H5309" t="s">
        <v>799</v>
      </c>
    </row>
    <row r="5310" spans="1:8" x14ac:dyDescent="0.25">
      <c r="A5310" t="s">
        <v>1091</v>
      </c>
      <c r="B5310" t="s">
        <v>140</v>
      </c>
      <c r="C5310" s="5">
        <v>4981532</v>
      </c>
      <c r="D5310" s="5">
        <v>126865</v>
      </c>
      <c r="E5310">
        <v>598156</v>
      </c>
      <c r="F5310" s="4" t="s">
        <v>513</v>
      </c>
      <c r="G5310" t="s">
        <v>29</v>
      </c>
      <c r="H5310" t="s">
        <v>514</v>
      </c>
    </row>
    <row r="5311" spans="1:8" x14ac:dyDescent="0.25">
      <c r="A5311" t="s">
        <v>1091</v>
      </c>
      <c r="B5311" t="s">
        <v>137</v>
      </c>
      <c r="C5311" s="5">
        <v>96550</v>
      </c>
      <c r="D5311" s="5">
        <v>4636</v>
      </c>
      <c r="E5311">
        <v>77838</v>
      </c>
      <c r="F5311" s="4" t="s">
        <v>1046</v>
      </c>
      <c r="G5311" t="s">
        <v>29</v>
      </c>
      <c r="H5311" t="s">
        <v>1047</v>
      </c>
    </row>
    <row r="5312" spans="1:8" x14ac:dyDescent="0.25">
      <c r="A5312" t="s">
        <v>1091</v>
      </c>
      <c r="B5312" t="s">
        <v>134</v>
      </c>
      <c r="C5312" s="5">
        <v>98402</v>
      </c>
      <c r="D5312" s="5">
        <v>1550</v>
      </c>
      <c r="E5312">
        <v>81531</v>
      </c>
      <c r="F5312" s="4" t="s">
        <v>577</v>
      </c>
      <c r="G5312" t="s">
        <v>29</v>
      </c>
      <c r="H5312" t="s">
        <v>578</v>
      </c>
    </row>
    <row r="5313" spans="1:8" x14ac:dyDescent="0.25">
      <c r="A5313" t="s">
        <v>1091</v>
      </c>
      <c r="B5313" t="s">
        <v>131</v>
      </c>
      <c r="C5313" s="5">
        <v>1670750</v>
      </c>
      <c r="D5313" s="5">
        <v>37609</v>
      </c>
      <c r="E5313">
        <v>1010211</v>
      </c>
      <c r="F5313" s="4" t="s">
        <v>613</v>
      </c>
      <c r="G5313" t="s">
        <v>29</v>
      </c>
      <c r="H5313" t="s">
        <v>614</v>
      </c>
    </row>
    <row r="5314" spans="1:8" x14ac:dyDescent="0.25">
      <c r="A5314" t="s">
        <v>1091</v>
      </c>
      <c r="B5314" t="s">
        <v>128</v>
      </c>
      <c r="C5314" s="5">
        <v>61038</v>
      </c>
      <c r="D5314" s="5">
        <v>682</v>
      </c>
      <c r="E5314">
        <v>16096</v>
      </c>
      <c r="F5314" s="4" t="s">
        <v>911</v>
      </c>
      <c r="G5314" t="s">
        <v>29</v>
      </c>
      <c r="H5314" t="s">
        <v>912</v>
      </c>
    </row>
    <row r="5315" spans="1:8" x14ac:dyDescent="0.25">
      <c r="A5315" t="s">
        <v>1091</v>
      </c>
      <c r="B5315" t="s">
        <v>127</v>
      </c>
      <c r="C5315" s="5">
        <v>854591</v>
      </c>
      <c r="D5315" s="5">
        <v>11156</v>
      </c>
      <c r="E5315">
        <v>257753</v>
      </c>
      <c r="F5315" s="4" t="s">
        <v>708</v>
      </c>
      <c r="G5315" t="s">
        <v>29</v>
      </c>
      <c r="H5315" t="s">
        <v>709</v>
      </c>
    </row>
    <row r="5316" spans="1:8" x14ac:dyDescent="0.25">
      <c r="A5316" t="s">
        <v>1091</v>
      </c>
      <c r="B5316" t="s">
        <v>124</v>
      </c>
      <c r="C5316" s="5">
        <v>15514</v>
      </c>
      <c r="D5316" s="5">
        <v>222</v>
      </c>
      <c r="E5316">
        <v>12559</v>
      </c>
      <c r="F5316" s="4" t="s">
        <v>323</v>
      </c>
      <c r="G5316" t="s">
        <v>29</v>
      </c>
      <c r="H5316" t="s">
        <v>324</v>
      </c>
    </row>
    <row r="5317" spans="1:8" x14ac:dyDescent="0.25">
      <c r="A5317" t="s">
        <v>1091</v>
      </c>
      <c r="B5317" t="s">
        <v>121</v>
      </c>
      <c r="C5317" s="5">
        <v>11469</v>
      </c>
      <c r="D5317" s="5">
        <v>100</v>
      </c>
      <c r="E5317">
        <v>7474</v>
      </c>
      <c r="F5317" s="4" t="s">
        <v>498</v>
      </c>
      <c r="G5317" t="s">
        <v>29</v>
      </c>
      <c r="H5317" t="s">
        <v>499</v>
      </c>
    </row>
    <row r="5318" spans="1:8" x14ac:dyDescent="0.25">
      <c r="A5318" t="s">
        <v>1091</v>
      </c>
      <c r="B5318" t="s">
        <v>118</v>
      </c>
      <c r="C5318" s="5">
        <v>57269</v>
      </c>
      <c r="D5318" s="5">
        <v>1089</v>
      </c>
      <c r="E5318">
        <v>49651</v>
      </c>
      <c r="F5318" s="4" t="s">
        <v>652</v>
      </c>
      <c r="G5318" t="s">
        <v>29</v>
      </c>
      <c r="H5318" t="s">
        <v>653</v>
      </c>
    </row>
    <row r="5319" spans="1:8" x14ac:dyDescent="0.25">
      <c r="A5319" t="s">
        <v>1091</v>
      </c>
      <c r="B5319" t="s">
        <v>115</v>
      </c>
      <c r="C5319" s="5">
        <v>1687883</v>
      </c>
      <c r="D5319" s="5">
        <v>28545</v>
      </c>
      <c r="E5319">
        <v>792509</v>
      </c>
      <c r="F5319" s="4" t="s">
        <v>152</v>
      </c>
      <c r="G5319" t="s">
        <v>29</v>
      </c>
      <c r="H5319" t="s">
        <v>153</v>
      </c>
    </row>
    <row r="5320" spans="1:8" x14ac:dyDescent="0.25">
      <c r="A5320" t="s">
        <v>1091</v>
      </c>
      <c r="B5320" t="s">
        <v>112</v>
      </c>
      <c r="C5320" s="5">
        <v>23990</v>
      </c>
      <c r="D5320" s="5">
        <v>461</v>
      </c>
      <c r="E5320">
        <v>14124</v>
      </c>
      <c r="F5320" s="4" t="s">
        <v>721</v>
      </c>
      <c r="G5320" t="s">
        <v>29</v>
      </c>
      <c r="H5320" t="s">
        <v>722</v>
      </c>
    </row>
    <row r="5321" spans="1:8" x14ac:dyDescent="0.25">
      <c r="A5321" t="s">
        <v>1091</v>
      </c>
      <c r="B5321" t="s">
        <v>109</v>
      </c>
      <c r="C5321" s="5">
        <v>571987</v>
      </c>
      <c r="D5321" s="5">
        <v>4402</v>
      </c>
      <c r="E5321">
        <v>372176</v>
      </c>
      <c r="F5321" s="4" t="s">
        <v>110</v>
      </c>
      <c r="G5321" t="s">
        <v>29</v>
      </c>
      <c r="H5321" t="s">
        <v>111</v>
      </c>
    </row>
    <row r="5322" spans="1:8" x14ac:dyDescent="0.25">
      <c r="A5322" t="s">
        <v>1091</v>
      </c>
      <c r="B5322" t="s">
        <v>106</v>
      </c>
      <c r="C5322" s="5">
        <v>181856</v>
      </c>
      <c r="D5322" s="5">
        <v>2386</v>
      </c>
      <c r="E5322">
        <v>83931</v>
      </c>
      <c r="F5322" s="4" t="s">
        <v>708</v>
      </c>
      <c r="G5322" t="s">
        <v>29</v>
      </c>
      <c r="H5322" t="s">
        <v>709</v>
      </c>
    </row>
    <row r="5323" spans="1:8" x14ac:dyDescent="0.25">
      <c r="A5323" t="s">
        <v>1091</v>
      </c>
      <c r="B5323" t="s">
        <v>103</v>
      </c>
      <c r="C5323" s="5">
        <v>2617</v>
      </c>
      <c r="D5323" s="5">
        <v>3</v>
      </c>
      <c r="E5323">
        <v>1984</v>
      </c>
      <c r="F5323" s="4" t="s">
        <v>104</v>
      </c>
      <c r="G5323" t="s">
        <v>29</v>
      </c>
      <c r="H5323" t="s">
        <v>105</v>
      </c>
    </row>
    <row r="5324" spans="1:8" x14ac:dyDescent="0.25">
      <c r="A5324" t="s">
        <v>1091</v>
      </c>
      <c r="B5324" t="s">
        <v>100</v>
      </c>
      <c r="C5324" s="5">
        <v>21580</v>
      </c>
      <c r="D5324" s="5">
        <v>590</v>
      </c>
      <c r="E5324">
        <v>11516</v>
      </c>
      <c r="F5324" s="4" t="s">
        <v>806</v>
      </c>
      <c r="G5324" t="s">
        <v>29</v>
      </c>
      <c r="H5324" t="s">
        <v>807</v>
      </c>
    </row>
    <row r="5325" spans="1:8" x14ac:dyDescent="0.25">
      <c r="A5325" t="s">
        <v>1091</v>
      </c>
      <c r="B5325" t="s">
        <v>97</v>
      </c>
      <c r="C5325" s="5">
        <v>21644464</v>
      </c>
      <c r="D5325" s="5">
        <v>603282</v>
      </c>
      <c r="E5325">
        <v>12198405</v>
      </c>
      <c r="F5325" s="4" t="s">
        <v>662</v>
      </c>
      <c r="G5325" t="s">
        <v>29</v>
      </c>
      <c r="H5325" t="s">
        <v>663</v>
      </c>
    </row>
    <row r="5326" spans="1:8" x14ac:dyDescent="0.25">
      <c r="A5326" t="s">
        <v>1091</v>
      </c>
      <c r="B5326" t="s">
        <v>94</v>
      </c>
      <c r="C5326" s="5">
        <v>506654</v>
      </c>
      <c r="D5326" s="5">
        <v>18834</v>
      </c>
      <c r="E5326">
        <v>421170</v>
      </c>
      <c r="F5326" s="4" t="s">
        <v>372</v>
      </c>
      <c r="G5326" t="s">
        <v>29</v>
      </c>
      <c r="H5326" t="s">
        <v>373</v>
      </c>
    </row>
    <row r="5327" spans="1:8" x14ac:dyDescent="0.25">
      <c r="A5327" t="s">
        <v>1091</v>
      </c>
      <c r="B5327" t="s">
        <v>91</v>
      </c>
      <c r="C5327" s="5">
        <v>10860</v>
      </c>
      <c r="D5327" s="5">
        <v>73</v>
      </c>
      <c r="E5327">
        <v>4358</v>
      </c>
      <c r="F5327" s="4" t="s">
        <v>92</v>
      </c>
      <c r="G5327" t="s">
        <v>29</v>
      </c>
      <c r="H5327" t="s">
        <v>93</v>
      </c>
    </row>
    <row r="5328" spans="1:8" x14ac:dyDescent="0.25">
      <c r="A5328" t="s">
        <v>1091</v>
      </c>
      <c r="B5328" t="s">
        <v>88</v>
      </c>
      <c r="C5328" s="5">
        <v>1658</v>
      </c>
      <c r="D5328" s="5">
        <v>6</v>
      </c>
      <c r="E5328">
        <v>1121</v>
      </c>
      <c r="F5328" s="4" t="s">
        <v>89</v>
      </c>
      <c r="G5328" t="s">
        <v>29</v>
      </c>
      <c r="H5328" t="s">
        <v>90</v>
      </c>
    </row>
    <row r="5329" spans="1:8" x14ac:dyDescent="0.25">
      <c r="A5329" t="s">
        <v>1091</v>
      </c>
      <c r="B5329" t="s">
        <v>85</v>
      </c>
      <c r="C5329" s="5">
        <v>24560</v>
      </c>
      <c r="D5329" s="5">
        <v>161</v>
      </c>
      <c r="E5329">
        <v>16277</v>
      </c>
      <c r="F5329" s="4" t="s">
        <v>162</v>
      </c>
      <c r="G5329" t="s">
        <v>29</v>
      </c>
      <c r="H5329" t="s">
        <v>163</v>
      </c>
    </row>
    <row r="5330" spans="1:8" x14ac:dyDescent="0.25">
      <c r="A5330" t="s">
        <v>1091</v>
      </c>
      <c r="B5330" t="s">
        <v>82</v>
      </c>
      <c r="C5330" s="5">
        <v>19555</v>
      </c>
      <c r="D5330" s="5">
        <v>38</v>
      </c>
      <c r="E5330">
        <v>14715</v>
      </c>
      <c r="F5330" s="4" t="s">
        <v>83</v>
      </c>
      <c r="G5330" t="s">
        <v>29</v>
      </c>
      <c r="H5330" t="s">
        <v>84</v>
      </c>
    </row>
    <row r="5331" spans="1:8" x14ac:dyDescent="0.25">
      <c r="A5331" t="s">
        <v>1091</v>
      </c>
      <c r="B5331" t="s">
        <v>79</v>
      </c>
      <c r="C5331" s="5">
        <v>276118</v>
      </c>
      <c r="D5331" s="5">
        <v>1391</v>
      </c>
      <c r="E5331">
        <v>1275</v>
      </c>
      <c r="F5331" s="4" t="s">
        <v>80</v>
      </c>
      <c r="G5331" t="s">
        <v>29</v>
      </c>
      <c r="H5331" t="s">
        <v>81</v>
      </c>
    </row>
    <row r="5332" spans="1:8" x14ac:dyDescent="0.25">
      <c r="A5332" t="s">
        <v>1091</v>
      </c>
      <c r="B5332" t="s">
        <v>76</v>
      </c>
      <c r="C5332" s="5">
        <v>540619</v>
      </c>
      <c r="D5332" s="5">
        <v>22274</v>
      </c>
      <c r="E5332">
        <v>458462</v>
      </c>
      <c r="F5332" s="4" t="s">
        <v>1083</v>
      </c>
      <c r="G5332" t="s">
        <v>29</v>
      </c>
      <c r="H5332" t="s">
        <v>1084</v>
      </c>
    </row>
    <row r="5333" spans="1:8" x14ac:dyDescent="0.25">
      <c r="A5333" t="s">
        <v>1091</v>
      </c>
      <c r="B5333" t="s">
        <v>73</v>
      </c>
      <c r="C5333" s="5">
        <v>14734</v>
      </c>
      <c r="D5333" s="5">
        <v>203</v>
      </c>
      <c r="E5333">
        <v>268</v>
      </c>
      <c r="F5333" s="4" t="s">
        <v>158</v>
      </c>
      <c r="G5333" t="s">
        <v>29</v>
      </c>
      <c r="H5333" t="s">
        <v>159</v>
      </c>
    </row>
    <row r="5334" spans="1:8" x14ac:dyDescent="0.25">
      <c r="A5334" t="s">
        <v>1091</v>
      </c>
      <c r="B5334" t="s">
        <v>70</v>
      </c>
      <c r="C5334" s="5">
        <v>1279869</v>
      </c>
      <c r="D5334" s="5">
        <v>25747</v>
      </c>
      <c r="E5334">
        <v>22110</v>
      </c>
      <c r="F5334" s="4" t="s">
        <v>656</v>
      </c>
      <c r="G5334" t="s">
        <v>29</v>
      </c>
      <c r="H5334" t="s">
        <v>657</v>
      </c>
    </row>
    <row r="5335" spans="1:8" x14ac:dyDescent="0.25">
      <c r="A5335" t="s">
        <v>1091</v>
      </c>
      <c r="B5335" t="s">
        <v>67</v>
      </c>
      <c r="C5335" s="5">
        <v>1565488</v>
      </c>
      <c r="D5335" s="5">
        <v>27768</v>
      </c>
      <c r="E5335">
        <v>174907</v>
      </c>
      <c r="F5335" s="4" t="s">
        <v>769</v>
      </c>
      <c r="G5335" t="s">
        <v>29</v>
      </c>
      <c r="H5335" t="s">
        <v>770</v>
      </c>
    </row>
    <row r="5336" spans="1:8" x14ac:dyDescent="0.25">
      <c r="A5336" t="s">
        <v>1091</v>
      </c>
      <c r="B5336" t="s">
        <v>64</v>
      </c>
      <c r="C5336" s="5">
        <v>12968</v>
      </c>
      <c r="D5336" s="5">
        <v>119</v>
      </c>
      <c r="E5336">
        <v>2196</v>
      </c>
      <c r="F5336" s="4" t="s">
        <v>214</v>
      </c>
      <c r="G5336" t="s">
        <v>29</v>
      </c>
      <c r="H5336" t="s">
        <v>215</v>
      </c>
    </row>
    <row r="5337" spans="1:8" x14ac:dyDescent="0.25">
      <c r="A5337" t="s">
        <v>1091</v>
      </c>
      <c r="B5337" t="s">
        <v>61</v>
      </c>
      <c r="C5337" s="5">
        <v>243914</v>
      </c>
      <c r="D5337" s="5">
        <v>11110</v>
      </c>
      <c r="E5337">
        <v>56778</v>
      </c>
      <c r="F5337" s="4" t="s">
        <v>561</v>
      </c>
      <c r="G5337" t="s">
        <v>29</v>
      </c>
      <c r="H5337" t="s">
        <v>562</v>
      </c>
    </row>
    <row r="5338" spans="1:8" x14ac:dyDescent="0.25">
      <c r="A5338" t="s">
        <v>1091</v>
      </c>
      <c r="B5338" t="s">
        <v>58</v>
      </c>
      <c r="C5338" s="5">
        <v>502207</v>
      </c>
      <c r="D5338" s="5">
        <v>6765</v>
      </c>
      <c r="E5338">
        <v>246510</v>
      </c>
      <c r="F5338" s="4" t="s">
        <v>409</v>
      </c>
      <c r="G5338" t="s">
        <v>29</v>
      </c>
      <c r="H5338" t="s">
        <v>410</v>
      </c>
    </row>
    <row r="5339" spans="1:8" x14ac:dyDescent="0.25">
      <c r="A5339" t="s">
        <v>1091</v>
      </c>
      <c r="B5339" t="s">
        <v>55</v>
      </c>
      <c r="C5339" s="5">
        <v>145263</v>
      </c>
      <c r="D5339" s="5">
        <v>1543</v>
      </c>
      <c r="E5339">
        <v>122389</v>
      </c>
      <c r="F5339" s="4" t="s">
        <v>165</v>
      </c>
      <c r="G5339" t="s">
        <v>29</v>
      </c>
      <c r="H5339" t="s">
        <v>166</v>
      </c>
    </row>
    <row r="5340" spans="1:8" x14ac:dyDescent="0.25">
      <c r="A5340" t="s">
        <v>1091</v>
      </c>
      <c r="B5340" t="s">
        <v>52</v>
      </c>
      <c r="C5340" s="5">
        <v>775782</v>
      </c>
      <c r="D5340" s="5">
        <v>11167</v>
      </c>
      <c r="E5340">
        <v>68803</v>
      </c>
      <c r="F5340" s="4" t="s">
        <v>330</v>
      </c>
      <c r="G5340" t="s">
        <v>29</v>
      </c>
      <c r="H5340" t="s">
        <v>331</v>
      </c>
    </row>
    <row r="5341" spans="1:8" x14ac:dyDescent="0.25">
      <c r="A5341" t="s">
        <v>1091</v>
      </c>
      <c r="B5341" t="s">
        <v>49</v>
      </c>
      <c r="C5341" s="5">
        <v>5272551</v>
      </c>
      <c r="D5341" s="5">
        <v>115666</v>
      </c>
      <c r="E5341">
        <v>4207778</v>
      </c>
      <c r="F5341" s="4" t="s">
        <v>50</v>
      </c>
      <c r="G5341" t="s">
        <v>29</v>
      </c>
      <c r="H5341" t="s">
        <v>51</v>
      </c>
    </row>
    <row r="5342" spans="1:8" x14ac:dyDescent="0.25">
      <c r="A5342" t="s">
        <v>1091</v>
      </c>
      <c r="B5342" t="s">
        <v>46</v>
      </c>
      <c r="C5342" s="5">
        <v>62842</v>
      </c>
      <c r="D5342" s="5">
        <v>1664</v>
      </c>
      <c r="E5342">
        <v>16030</v>
      </c>
      <c r="F5342" s="4" t="s">
        <v>862</v>
      </c>
      <c r="G5342" t="s">
        <v>29</v>
      </c>
      <c r="H5342" t="s">
        <v>863</v>
      </c>
    </row>
    <row r="5343" spans="1:8" x14ac:dyDescent="0.25">
      <c r="A5343" t="s">
        <v>1091</v>
      </c>
      <c r="B5343" t="s">
        <v>43</v>
      </c>
      <c r="C5343" s="5">
        <v>281991</v>
      </c>
      <c r="D5343" s="5">
        <v>5778</v>
      </c>
      <c r="E5343">
        <v>169728</v>
      </c>
      <c r="F5343" s="4" t="s">
        <v>579</v>
      </c>
      <c r="G5343" t="s">
        <v>29</v>
      </c>
      <c r="H5343" t="s">
        <v>580</v>
      </c>
    </row>
    <row r="5344" spans="1:8" x14ac:dyDescent="0.25">
      <c r="A5344" t="s">
        <v>1091</v>
      </c>
      <c r="B5344" t="s">
        <v>40</v>
      </c>
      <c r="C5344" s="5">
        <v>177971</v>
      </c>
      <c r="D5344" s="5">
        <v>2820</v>
      </c>
      <c r="E5344">
        <v>126632</v>
      </c>
      <c r="F5344" s="4" t="s">
        <v>577</v>
      </c>
      <c r="G5344" t="s">
        <v>29</v>
      </c>
      <c r="H5344" t="s">
        <v>578</v>
      </c>
    </row>
    <row r="5345" spans="1:8" x14ac:dyDescent="0.25">
      <c r="A5345" t="s">
        <v>1091</v>
      </c>
      <c r="B5345" t="s">
        <v>37</v>
      </c>
      <c r="C5345" s="5">
        <v>3888</v>
      </c>
      <c r="D5345" s="5">
        <v>95</v>
      </c>
      <c r="E5345">
        <v>1295</v>
      </c>
      <c r="F5345" s="4" t="s">
        <v>934</v>
      </c>
      <c r="G5345" t="s">
        <v>29</v>
      </c>
      <c r="H5345" t="s">
        <v>935</v>
      </c>
    </row>
    <row r="5346" spans="1:8" x14ac:dyDescent="0.25">
      <c r="A5346" t="s">
        <v>1091</v>
      </c>
      <c r="B5346" t="s">
        <v>34</v>
      </c>
      <c r="C5346" s="5">
        <v>155764</v>
      </c>
      <c r="D5346" s="5">
        <v>7243</v>
      </c>
      <c r="E5346">
        <v>21799</v>
      </c>
      <c r="F5346" s="4" t="s">
        <v>900</v>
      </c>
      <c r="G5346" t="s">
        <v>29</v>
      </c>
      <c r="H5346" t="s">
        <v>901</v>
      </c>
    </row>
    <row r="5347" spans="1:8" x14ac:dyDescent="0.25">
      <c r="A5347" t="s">
        <v>1091</v>
      </c>
      <c r="B5347" t="s">
        <v>31</v>
      </c>
      <c r="C5347" s="5">
        <v>738586</v>
      </c>
      <c r="D5347" s="5">
        <v>2120</v>
      </c>
      <c r="E5347">
        <v>397323</v>
      </c>
      <c r="F5347" s="4" t="s">
        <v>32</v>
      </c>
      <c r="G5347" t="s">
        <v>29</v>
      </c>
      <c r="H5347" t="s">
        <v>33</v>
      </c>
    </row>
    <row r="5348" spans="1:8" x14ac:dyDescent="0.25">
      <c r="A5348" t="s">
        <v>1091</v>
      </c>
      <c r="B5348" t="s">
        <v>27</v>
      </c>
      <c r="C5348" s="5">
        <v>15338</v>
      </c>
      <c r="D5348" s="5">
        <v>130</v>
      </c>
      <c r="E5348">
        <v>12046</v>
      </c>
      <c r="F5348" s="4" t="s">
        <v>685</v>
      </c>
      <c r="G5348" t="s">
        <v>29</v>
      </c>
      <c r="H5348" t="s">
        <v>686</v>
      </c>
    </row>
    <row r="5349" spans="1:8" x14ac:dyDescent="0.25">
      <c r="A5349" t="s">
        <v>1104</v>
      </c>
      <c r="B5349" t="s">
        <v>27</v>
      </c>
      <c r="C5349" s="5">
        <v>15338</v>
      </c>
      <c r="D5349" s="5">
        <v>130</v>
      </c>
      <c r="E5349">
        <v>12487</v>
      </c>
      <c r="F5349" s="4" t="s">
        <v>685</v>
      </c>
      <c r="G5349" t="s">
        <v>29</v>
      </c>
      <c r="H5349" t="s">
        <v>686</v>
      </c>
    </row>
    <row r="5350" spans="1:8" x14ac:dyDescent="0.25">
      <c r="A5350" t="s">
        <v>1104</v>
      </c>
      <c r="B5350" t="s">
        <v>31</v>
      </c>
      <c r="C5350" s="5">
        <v>738487</v>
      </c>
      <c r="D5350" s="5">
        <v>2118</v>
      </c>
      <c r="E5350">
        <v>359494</v>
      </c>
      <c r="F5350" s="4" t="s">
        <v>32</v>
      </c>
      <c r="G5350" t="s">
        <v>29</v>
      </c>
      <c r="H5350" t="s">
        <v>33</v>
      </c>
    </row>
    <row r="5351" spans="1:8" x14ac:dyDescent="0.25">
      <c r="A5351" t="s">
        <v>1104</v>
      </c>
      <c r="B5351" t="s">
        <v>34</v>
      </c>
      <c r="C5351" s="5">
        <v>155739</v>
      </c>
      <c r="D5351" s="5">
        <v>7238</v>
      </c>
      <c r="E5351">
        <v>136451</v>
      </c>
      <c r="F5351" s="4" t="s">
        <v>900</v>
      </c>
      <c r="G5351" t="s">
        <v>29</v>
      </c>
      <c r="H5351" t="s">
        <v>901</v>
      </c>
    </row>
    <row r="5352" spans="1:8" x14ac:dyDescent="0.25">
      <c r="A5352" t="s">
        <v>1104</v>
      </c>
      <c r="B5352" t="s">
        <v>37</v>
      </c>
      <c r="C5352" s="5">
        <v>3888</v>
      </c>
      <c r="D5352" s="5">
        <v>95</v>
      </c>
      <c r="E5352">
        <v>749</v>
      </c>
      <c r="F5352" s="4" t="s">
        <v>934</v>
      </c>
      <c r="G5352" t="s">
        <v>29</v>
      </c>
      <c r="H5352" t="s">
        <v>935</v>
      </c>
    </row>
    <row r="5353" spans="1:8" x14ac:dyDescent="0.25">
      <c r="A5353" t="s">
        <v>1104</v>
      </c>
      <c r="B5353" t="s">
        <v>40</v>
      </c>
      <c r="C5353" s="5">
        <v>177536</v>
      </c>
      <c r="D5353" s="5">
        <v>2810</v>
      </c>
      <c r="E5353">
        <v>78865</v>
      </c>
      <c r="F5353" s="4" t="s">
        <v>577</v>
      </c>
      <c r="G5353" t="s">
        <v>29</v>
      </c>
      <c r="H5353" t="s">
        <v>578</v>
      </c>
    </row>
    <row r="5354" spans="1:8" x14ac:dyDescent="0.25">
      <c r="A5354" t="s">
        <v>1104</v>
      </c>
      <c r="B5354" t="s">
        <v>43</v>
      </c>
      <c r="C5354" s="5">
        <v>280294</v>
      </c>
      <c r="D5354" s="5">
        <v>5754</v>
      </c>
      <c r="E5354">
        <v>172268</v>
      </c>
      <c r="F5354" s="4" t="s">
        <v>579</v>
      </c>
      <c r="G5354" t="s">
        <v>29</v>
      </c>
      <c r="H5354" t="s">
        <v>580</v>
      </c>
    </row>
    <row r="5355" spans="1:8" x14ac:dyDescent="0.25">
      <c r="A5355" t="s">
        <v>1104</v>
      </c>
      <c r="B5355" t="s">
        <v>46</v>
      </c>
      <c r="C5355" s="5">
        <v>62789</v>
      </c>
      <c r="D5355" s="5">
        <v>1662</v>
      </c>
      <c r="E5355">
        <v>17572</v>
      </c>
      <c r="F5355" s="4" t="s">
        <v>862</v>
      </c>
      <c r="G5355" t="s">
        <v>29</v>
      </c>
      <c r="H5355" t="s">
        <v>863</v>
      </c>
    </row>
    <row r="5356" spans="1:8" x14ac:dyDescent="0.25">
      <c r="A5356" t="s">
        <v>1104</v>
      </c>
      <c r="B5356" t="s">
        <v>49</v>
      </c>
      <c r="C5356" s="5">
        <v>5272151</v>
      </c>
      <c r="D5356" s="5">
        <v>115663</v>
      </c>
      <c r="E5356">
        <v>3847557</v>
      </c>
      <c r="F5356" s="4" t="s">
        <v>50</v>
      </c>
      <c r="G5356" t="s">
        <v>29</v>
      </c>
      <c r="H5356" t="s">
        <v>51</v>
      </c>
    </row>
    <row r="5357" spans="1:8" x14ac:dyDescent="0.25">
      <c r="A5357" t="s">
        <v>1104</v>
      </c>
      <c r="B5357" t="s">
        <v>52</v>
      </c>
      <c r="C5357" s="5">
        <v>773540</v>
      </c>
      <c r="D5357" s="5">
        <v>11161</v>
      </c>
      <c r="E5357">
        <v>79644</v>
      </c>
      <c r="F5357" s="4" t="s">
        <v>330</v>
      </c>
      <c r="G5357" t="s">
        <v>29</v>
      </c>
      <c r="H5357" t="s">
        <v>331</v>
      </c>
    </row>
    <row r="5358" spans="1:8" x14ac:dyDescent="0.25">
      <c r="A5358" t="s">
        <v>1104</v>
      </c>
      <c r="B5358" t="s">
        <v>55</v>
      </c>
      <c r="C5358" s="5">
        <v>143204</v>
      </c>
      <c r="D5358" s="5">
        <v>1532</v>
      </c>
      <c r="E5358">
        <v>14733</v>
      </c>
      <c r="F5358" s="4" t="s">
        <v>654</v>
      </c>
      <c r="G5358" t="s">
        <v>29</v>
      </c>
      <c r="H5358" t="s">
        <v>655</v>
      </c>
    </row>
    <row r="5359" spans="1:8" x14ac:dyDescent="0.25">
      <c r="A5359" t="s">
        <v>1104</v>
      </c>
      <c r="B5359" t="s">
        <v>58</v>
      </c>
      <c r="C5359" s="5">
        <v>498630</v>
      </c>
      <c r="D5359" s="5">
        <v>6734</v>
      </c>
      <c r="E5359">
        <v>349555</v>
      </c>
      <c r="F5359" s="4" t="s">
        <v>409</v>
      </c>
      <c r="G5359" t="s">
        <v>29</v>
      </c>
      <c r="H5359" t="s">
        <v>410</v>
      </c>
    </row>
    <row r="5360" spans="1:8" x14ac:dyDescent="0.25">
      <c r="A5360" t="s">
        <v>1104</v>
      </c>
      <c r="B5360" t="s">
        <v>61</v>
      </c>
      <c r="C5360" s="5">
        <v>243914</v>
      </c>
      <c r="D5360" s="5">
        <v>11110</v>
      </c>
      <c r="E5360">
        <v>131702</v>
      </c>
      <c r="F5360" s="4" t="s">
        <v>561</v>
      </c>
      <c r="G5360" t="s">
        <v>29</v>
      </c>
      <c r="H5360" t="s">
        <v>562</v>
      </c>
    </row>
    <row r="5361" spans="1:8" x14ac:dyDescent="0.25">
      <c r="A5361" t="s">
        <v>1104</v>
      </c>
      <c r="B5361" t="s">
        <v>64</v>
      </c>
      <c r="C5361" s="5">
        <v>12773</v>
      </c>
      <c r="D5361" s="5">
        <v>114</v>
      </c>
      <c r="E5361">
        <v>8785</v>
      </c>
      <c r="F5361" s="4" t="s">
        <v>65</v>
      </c>
      <c r="G5361" t="s">
        <v>29</v>
      </c>
      <c r="H5361" t="s">
        <v>66</v>
      </c>
    </row>
    <row r="5362" spans="1:8" x14ac:dyDescent="0.25">
      <c r="A5362" t="s">
        <v>1104</v>
      </c>
      <c r="B5362" t="s">
        <v>67</v>
      </c>
      <c r="C5362" s="5">
        <v>1565174</v>
      </c>
      <c r="D5362" s="5">
        <v>27752</v>
      </c>
      <c r="E5362">
        <v>1301656</v>
      </c>
      <c r="F5362" s="4" t="s">
        <v>769</v>
      </c>
      <c r="G5362" t="s">
        <v>29</v>
      </c>
      <c r="H5362" t="s">
        <v>770</v>
      </c>
    </row>
    <row r="5363" spans="1:8" x14ac:dyDescent="0.25">
      <c r="A5363" t="s">
        <v>1104</v>
      </c>
      <c r="B5363" t="s">
        <v>70</v>
      </c>
      <c r="C5363" s="5">
        <v>1279869</v>
      </c>
      <c r="D5363" s="5">
        <v>25747</v>
      </c>
      <c r="E5363">
        <v>368368</v>
      </c>
      <c r="F5363" s="4" t="s">
        <v>656</v>
      </c>
      <c r="G5363" t="s">
        <v>29</v>
      </c>
      <c r="H5363" t="s">
        <v>657</v>
      </c>
    </row>
    <row r="5364" spans="1:8" x14ac:dyDescent="0.25">
      <c r="A5364" t="s">
        <v>1104</v>
      </c>
      <c r="B5364" t="s">
        <v>73</v>
      </c>
      <c r="C5364" s="5">
        <v>14686</v>
      </c>
      <c r="D5364" s="5">
        <v>203</v>
      </c>
      <c r="E5364">
        <v>9644</v>
      </c>
      <c r="F5364" s="4" t="s">
        <v>158</v>
      </c>
      <c r="G5364" t="s">
        <v>29</v>
      </c>
      <c r="H5364" t="s">
        <v>159</v>
      </c>
    </row>
    <row r="5365" spans="1:8" x14ac:dyDescent="0.25">
      <c r="A5365" t="s">
        <v>1104</v>
      </c>
      <c r="B5365" t="s">
        <v>76</v>
      </c>
      <c r="C5365" s="5">
        <v>539619</v>
      </c>
      <c r="D5365" s="5">
        <v>22231</v>
      </c>
      <c r="E5365">
        <v>8196</v>
      </c>
      <c r="F5365" s="4" t="s">
        <v>1083</v>
      </c>
      <c r="G5365" t="s">
        <v>29</v>
      </c>
      <c r="H5365" t="s">
        <v>1084</v>
      </c>
    </row>
    <row r="5366" spans="1:8" x14ac:dyDescent="0.25">
      <c r="A5366" t="s">
        <v>1104</v>
      </c>
      <c r="B5366" t="s">
        <v>79</v>
      </c>
      <c r="C5366" s="5">
        <v>276030</v>
      </c>
      <c r="D5366" s="5">
        <v>1391</v>
      </c>
      <c r="E5366">
        <v>65954</v>
      </c>
      <c r="F5366" s="4" t="s">
        <v>80</v>
      </c>
      <c r="G5366" t="s">
        <v>29</v>
      </c>
      <c r="H5366" t="s">
        <v>81</v>
      </c>
    </row>
    <row r="5367" spans="1:8" x14ac:dyDescent="0.25">
      <c r="A5367" t="s">
        <v>1104</v>
      </c>
      <c r="B5367" t="s">
        <v>82</v>
      </c>
      <c r="C5367" s="5">
        <v>19555</v>
      </c>
      <c r="D5367" s="5">
        <v>38</v>
      </c>
      <c r="E5367">
        <v>4355</v>
      </c>
      <c r="F5367" s="4" t="s">
        <v>83</v>
      </c>
      <c r="G5367" t="s">
        <v>29</v>
      </c>
      <c r="H5367" t="s">
        <v>84</v>
      </c>
    </row>
    <row r="5368" spans="1:8" x14ac:dyDescent="0.25">
      <c r="A5368" t="s">
        <v>1104</v>
      </c>
      <c r="B5368" t="s">
        <v>85</v>
      </c>
      <c r="C5368" s="5">
        <v>24560</v>
      </c>
      <c r="D5368" s="5">
        <v>161</v>
      </c>
      <c r="E5368">
        <v>7645</v>
      </c>
      <c r="F5368" s="4" t="s">
        <v>162</v>
      </c>
      <c r="G5368" t="s">
        <v>29</v>
      </c>
      <c r="H5368" t="s">
        <v>163</v>
      </c>
    </row>
    <row r="5369" spans="1:8" x14ac:dyDescent="0.25">
      <c r="A5369" t="s">
        <v>1104</v>
      </c>
      <c r="B5369" t="s">
        <v>88</v>
      </c>
      <c r="C5369" s="5">
        <v>1658</v>
      </c>
      <c r="D5369" s="5">
        <v>6</v>
      </c>
      <c r="E5369">
        <v>965</v>
      </c>
      <c r="F5369" s="4" t="s">
        <v>89</v>
      </c>
      <c r="G5369" t="s">
        <v>29</v>
      </c>
      <c r="H5369" t="s">
        <v>90</v>
      </c>
    </row>
    <row r="5370" spans="1:8" x14ac:dyDescent="0.25">
      <c r="A5370" t="s">
        <v>1104</v>
      </c>
      <c r="B5370" t="s">
        <v>91</v>
      </c>
      <c r="C5370" s="5">
        <v>10356</v>
      </c>
      <c r="D5370" s="5">
        <v>68</v>
      </c>
      <c r="E5370">
        <v>2413</v>
      </c>
      <c r="F5370" s="4" t="s">
        <v>162</v>
      </c>
      <c r="G5370" t="s">
        <v>29</v>
      </c>
      <c r="H5370" t="s">
        <v>163</v>
      </c>
    </row>
    <row r="5371" spans="1:8" x14ac:dyDescent="0.25">
      <c r="A5371" t="s">
        <v>1104</v>
      </c>
      <c r="B5371" t="s">
        <v>94</v>
      </c>
      <c r="C5371" s="5">
        <v>506150</v>
      </c>
      <c r="D5371" s="5">
        <v>18824</v>
      </c>
      <c r="E5371">
        <v>158445</v>
      </c>
      <c r="F5371" s="4" t="s">
        <v>372</v>
      </c>
      <c r="G5371" t="s">
        <v>29</v>
      </c>
      <c r="H5371" t="s">
        <v>373</v>
      </c>
    </row>
    <row r="5372" spans="1:8" x14ac:dyDescent="0.25">
      <c r="A5372" t="s">
        <v>1104</v>
      </c>
      <c r="B5372" t="s">
        <v>97</v>
      </c>
      <c r="C5372" s="5">
        <v>21638726</v>
      </c>
      <c r="D5372" s="5">
        <v>603152</v>
      </c>
      <c r="E5372">
        <v>7741463</v>
      </c>
      <c r="F5372" s="4" t="s">
        <v>662</v>
      </c>
      <c r="G5372" t="s">
        <v>29</v>
      </c>
      <c r="H5372" t="s">
        <v>663</v>
      </c>
    </row>
    <row r="5373" spans="1:8" x14ac:dyDescent="0.25">
      <c r="A5373" t="s">
        <v>1104</v>
      </c>
      <c r="B5373" t="s">
        <v>100</v>
      </c>
      <c r="C5373" s="5">
        <v>21580</v>
      </c>
      <c r="D5373" s="5">
        <v>590</v>
      </c>
      <c r="E5373">
        <v>9507</v>
      </c>
      <c r="F5373" s="4" t="s">
        <v>806</v>
      </c>
      <c r="G5373" t="s">
        <v>29</v>
      </c>
      <c r="H5373" t="s">
        <v>807</v>
      </c>
    </row>
    <row r="5374" spans="1:8" x14ac:dyDescent="0.25">
      <c r="A5374" t="s">
        <v>1104</v>
      </c>
      <c r="B5374" t="s">
        <v>103</v>
      </c>
      <c r="C5374" s="5">
        <v>2617</v>
      </c>
      <c r="D5374" s="5">
        <v>3</v>
      </c>
      <c r="E5374">
        <v>1428</v>
      </c>
      <c r="F5374" s="4" t="s">
        <v>104</v>
      </c>
      <c r="G5374" t="s">
        <v>29</v>
      </c>
      <c r="H5374" t="s">
        <v>105</v>
      </c>
    </row>
    <row r="5375" spans="1:8" x14ac:dyDescent="0.25">
      <c r="A5375" t="s">
        <v>1104</v>
      </c>
      <c r="B5375" t="s">
        <v>106</v>
      </c>
      <c r="C5375" s="5">
        <v>181856</v>
      </c>
      <c r="D5375" s="5">
        <v>2386</v>
      </c>
      <c r="E5375">
        <v>23829</v>
      </c>
      <c r="F5375" s="4" t="s">
        <v>708</v>
      </c>
      <c r="G5375" t="s">
        <v>29</v>
      </c>
      <c r="H5375" t="s">
        <v>709</v>
      </c>
    </row>
    <row r="5376" spans="1:8" x14ac:dyDescent="0.25">
      <c r="A5376" t="s">
        <v>1104</v>
      </c>
      <c r="B5376" t="s">
        <v>109</v>
      </c>
      <c r="C5376" s="5">
        <v>570006</v>
      </c>
      <c r="D5376" s="5">
        <v>4386</v>
      </c>
      <c r="E5376">
        <v>18016</v>
      </c>
      <c r="F5376" s="4" t="s">
        <v>110</v>
      </c>
      <c r="G5376" t="s">
        <v>29</v>
      </c>
      <c r="H5376" t="s">
        <v>111</v>
      </c>
    </row>
    <row r="5377" spans="1:8" x14ac:dyDescent="0.25">
      <c r="A5377" t="s">
        <v>1104</v>
      </c>
      <c r="B5377" t="s">
        <v>112</v>
      </c>
      <c r="C5377" s="5">
        <v>23990</v>
      </c>
      <c r="D5377" s="5">
        <v>461</v>
      </c>
      <c r="E5377">
        <v>4374</v>
      </c>
      <c r="F5377" s="4" t="s">
        <v>721</v>
      </c>
      <c r="G5377" t="s">
        <v>29</v>
      </c>
      <c r="H5377" t="s">
        <v>722</v>
      </c>
    </row>
    <row r="5378" spans="1:8" x14ac:dyDescent="0.25">
      <c r="A5378" t="s">
        <v>1104</v>
      </c>
      <c r="B5378" t="s">
        <v>115</v>
      </c>
      <c r="C5378" s="5">
        <v>1686625</v>
      </c>
      <c r="D5378" s="5">
        <v>28534</v>
      </c>
      <c r="E5378">
        <v>1332798</v>
      </c>
      <c r="F5378" s="4" t="s">
        <v>152</v>
      </c>
      <c r="G5378" t="s">
        <v>29</v>
      </c>
      <c r="H5378" t="s">
        <v>153</v>
      </c>
    </row>
    <row r="5379" spans="1:8" x14ac:dyDescent="0.25">
      <c r="A5379" t="s">
        <v>1104</v>
      </c>
      <c r="B5379" t="s">
        <v>118</v>
      </c>
      <c r="C5379" s="5">
        <v>57269</v>
      </c>
      <c r="D5379" s="5">
        <v>1089</v>
      </c>
      <c r="E5379">
        <v>21351</v>
      </c>
      <c r="F5379" s="4" t="s">
        <v>652</v>
      </c>
      <c r="G5379" t="s">
        <v>29</v>
      </c>
      <c r="H5379" t="s">
        <v>653</v>
      </c>
    </row>
    <row r="5380" spans="1:8" x14ac:dyDescent="0.25">
      <c r="A5380" t="s">
        <v>1104</v>
      </c>
      <c r="B5380" t="s">
        <v>121</v>
      </c>
      <c r="C5380" s="5">
        <v>11469</v>
      </c>
      <c r="D5380" s="5">
        <v>100</v>
      </c>
      <c r="E5380">
        <v>8532</v>
      </c>
      <c r="F5380" s="4" t="s">
        <v>498</v>
      </c>
      <c r="G5380" t="s">
        <v>29</v>
      </c>
      <c r="H5380" t="s">
        <v>499</v>
      </c>
    </row>
    <row r="5381" spans="1:8" x14ac:dyDescent="0.25">
      <c r="A5381" t="s">
        <v>1104</v>
      </c>
      <c r="B5381" t="s">
        <v>124</v>
      </c>
      <c r="C5381" s="5">
        <v>15514</v>
      </c>
      <c r="D5381" s="5">
        <v>222</v>
      </c>
      <c r="E5381">
        <v>14730</v>
      </c>
      <c r="F5381" s="4" t="s">
        <v>323</v>
      </c>
      <c r="G5381" t="s">
        <v>29</v>
      </c>
      <c r="H5381" t="s">
        <v>324</v>
      </c>
    </row>
    <row r="5382" spans="1:8" x14ac:dyDescent="0.25">
      <c r="A5382" t="s">
        <v>1104</v>
      </c>
      <c r="B5382" t="s">
        <v>127</v>
      </c>
      <c r="C5382" s="5">
        <v>854591</v>
      </c>
      <c r="D5382" s="5">
        <v>11157</v>
      </c>
      <c r="E5382">
        <v>715613</v>
      </c>
      <c r="F5382" s="4" t="s">
        <v>708</v>
      </c>
      <c r="G5382" t="s">
        <v>29</v>
      </c>
      <c r="H5382" t="s">
        <v>709</v>
      </c>
    </row>
    <row r="5383" spans="1:8" x14ac:dyDescent="0.25">
      <c r="A5383" t="s">
        <v>1104</v>
      </c>
      <c r="B5383" t="s">
        <v>128</v>
      </c>
      <c r="C5383" s="5">
        <v>60982</v>
      </c>
      <c r="D5383" s="5">
        <v>674</v>
      </c>
      <c r="E5383">
        <v>34468</v>
      </c>
      <c r="F5383" s="4" t="s">
        <v>1098</v>
      </c>
      <c r="G5383" t="s">
        <v>29</v>
      </c>
      <c r="H5383" t="s">
        <v>1099</v>
      </c>
    </row>
    <row r="5384" spans="1:8" x14ac:dyDescent="0.25">
      <c r="A5384" t="s">
        <v>1104</v>
      </c>
      <c r="B5384" t="s">
        <v>131</v>
      </c>
      <c r="C5384" s="5">
        <v>1669236</v>
      </c>
      <c r="D5384" s="5">
        <v>37597</v>
      </c>
      <c r="E5384">
        <v>1540896</v>
      </c>
      <c r="F5384" s="4" t="s">
        <v>613</v>
      </c>
      <c r="G5384" t="s">
        <v>29</v>
      </c>
      <c r="H5384" t="s">
        <v>614</v>
      </c>
    </row>
    <row r="5385" spans="1:8" x14ac:dyDescent="0.25">
      <c r="A5385" t="s">
        <v>1104</v>
      </c>
      <c r="B5385" t="s">
        <v>134</v>
      </c>
      <c r="C5385" s="5">
        <v>98402</v>
      </c>
      <c r="D5385" s="5">
        <v>1550</v>
      </c>
      <c r="E5385">
        <v>86840</v>
      </c>
      <c r="F5385" s="4" t="s">
        <v>577</v>
      </c>
      <c r="G5385" t="s">
        <v>29</v>
      </c>
      <c r="H5385" t="s">
        <v>578</v>
      </c>
    </row>
    <row r="5386" spans="1:8" x14ac:dyDescent="0.25">
      <c r="A5386" t="s">
        <v>1104</v>
      </c>
      <c r="B5386" t="s">
        <v>137</v>
      </c>
      <c r="C5386" s="5">
        <v>96523</v>
      </c>
      <c r="D5386" s="5">
        <v>4636</v>
      </c>
      <c r="E5386">
        <v>76490</v>
      </c>
      <c r="F5386" s="4" t="s">
        <v>1046</v>
      </c>
      <c r="G5386" t="s">
        <v>29</v>
      </c>
      <c r="H5386" t="s">
        <v>1047</v>
      </c>
    </row>
    <row r="5387" spans="1:8" x14ac:dyDescent="0.25">
      <c r="A5387" t="s">
        <v>1104</v>
      </c>
      <c r="B5387" t="s">
        <v>140</v>
      </c>
      <c r="C5387" s="5">
        <v>4980233</v>
      </c>
      <c r="D5387" s="5">
        <v>126830</v>
      </c>
      <c r="E5387">
        <v>2727664</v>
      </c>
      <c r="F5387" s="4" t="s">
        <v>513</v>
      </c>
      <c r="G5387" t="s">
        <v>29</v>
      </c>
      <c r="H5387" t="s">
        <v>514</v>
      </c>
    </row>
    <row r="5388" spans="1:8" x14ac:dyDescent="0.25">
      <c r="A5388" t="s">
        <v>1104</v>
      </c>
      <c r="B5388" t="s">
        <v>143</v>
      </c>
      <c r="C5388" s="5">
        <v>551144</v>
      </c>
      <c r="D5388" s="5">
        <v>6797</v>
      </c>
      <c r="E5388">
        <v>457367</v>
      </c>
      <c r="F5388" s="4" t="s">
        <v>798</v>
      </c>
      <c r="G5388" t="s">
        <v>29</v>
      </c>
      <c r="H5388" t="s">
        <v>799</v>
      </c>
    </row>
    <row r="5389" spans="1:8" x14ac:dyDescent="0.25">
      <c r="A5389" t="s">
        <v>1104</v>
      </c>
      <c r="B5389" t="s">
        <v>144</v>
      </c>
      <c r="C5389" s="5">
        <v>932768</v>
      </c>
      <c r="D5389" s="5">
        <v>8037</v>
      </c>
      <c r="E5389">
        <v>601572</v>
      </c>
      <c r="F5389" s="4" t="s">
        <v>122</v>
      </c>
      <c r="G5389" t="s">
        <v>29</v>
      </c>
      <c r="H5389" t="s">
        <v>123</v>
      </c>
    </row>
    <row r="5390" spans="1:8" x14ac:dyDescent="0.25">
      <c r="A5390" t="s">
        <v>1104</v>
      </c>
      <c r="B5390" t="s">
        <v>145</v>
      </c>
      <c r="C5390" s="5">
        <v>38035</v>
      </c>
      <c r="D5390" s="5">
        <v>347</v>
      </c>
      <c r="E5390">
        <v>11685</v>
      </c>
      <c r="F5390" s="4" t="s">
        <v>146</v>
      </c>
      <c r="G5390" t="s">
        <v>29</v>
      </c>
      <c r="H5390" t="s">
        <v>147</v>
      </c>
    </row>
    <row r="5391" spans="1:8" x14ac:dyDescent="0.25">
      <c r="A5391" t="s">
        <v>1104</v>
      </c>
      <c r="B5391" t="s">
        <v>148</v>
      </c>
      <c r="C5391" s="5">
        <v>121995</v>
      </c>
      <c r="D5391" s="5">
        <v>562</v>
      </c>
      <c r="E5391">
        <v>101266</v>
      </c>
      <c r="F5391" s="4" t="s">
        <v>149</v>
      </c>
      <c r="G5391" t="s">
        <v>29</v>
      </c>
      <c r="H5391" t="s">
        <v>150</v>
      </c>
    </row>
    <row r="5392" spans="1:8" x14ac:dyDescent="0.25">
      <c r="A5392" t="s">
        <v>1104</v>
      </c>
      <c r="B5392" t="s">
        <v>151</v>
      </c>
      <c r="C5392" s="5">
        <v>1707756</v>
      </c>
      <c r="D5392" s="5">
        <v>30539</v>
      </c>
      <c r="E5392">
        <v>392884</v>
      </c>
      <c r="F5392" s="4" t="s">
        <v>71</v>
      </c>
      <c r="G5392" t="s">
        <v>29</v>
      </c>
      <c r="H5392" t="s">
        <v>72</v>
      </c>
    </row>
    <row r="5393" spans="1:8" x14ac:dyDescent="0.25">
      <c r="A5393" t="s">
        <v>1104</v>
      </c>
      <c r="B5393" t="s">
        <v>154</v>
      </c>
      <c r="C5393" s="5">
        <v>4375253</v>
      </c>
      <c r="D5393" s="5">
        <v>94622</v>
      </c>
      <c r="E5393">
        <v>2506788</v>
      </c>
      <c r="F5393" s="4" t="s">
        <v>894</v>
      </c>
      <c r="G5393" t="s">
        <v>29</v>
      </c>
      <c r="H5393" t="s">
        <v>895</v>
      </c>
    </row>
    <row r="5394" spans="1:8" x14ac:dyDescent="0.25">
      <c r="A5394" t="s">
        <v>1104</v>
      </c>
      <c r="B5394" t="s">
        <v>157</v>
      </c>
      <c r="C5394" s="5">
        <v>13383</v>
      </c>
      <c r="D5394" s="5">
        <v>179</v>
      </c>
      <c r="E5394">
        <v>3331</v>
      </c>
      <c r="F5394" s="4" t="s">
        <v>264</v>
      </c>
      <c r="G5394" t="s">
        <v>29</v>
      </c>
      <c r="H5394" t="s">
        <v>265</v>
      </c>
    </row>
    <row r="5395" spans="1:8" x14ac:dyDescent="0.25">
      <c r="A5395" t="s">
        <v>1104</v>
      </c>
      <c r="B5395" t="s">
        <v>160</v>
      </c>
      <c r="C5395" s="5">
        <v>368714</v>
      </c>
      <c r="D5395" s="5">
        <v>2680</v>
      </c>
      <c r="E5395">
        <v>134366</v>
      </c>
      <c r="F5395" s="4" t="s">
        <v>187</v>
      </c>
      <c r="G5395" t="s">
        <v>29</v>
      </c>
      <c r="H5395" t="s">
        <v>188</v>
      </c>
    </row>
    <row r="5396" spans="1:8" x14ac:dyDescent="0.25">
      <c r="A5396" t="s">
        <v>1104</v>
      </c>
      <c r="B5396" t="s">
        <v>161</v>
      </c>
      <c r="C5396" s="5">
        <v>4153</v>
      </c>
      <c r="D5396" s="5">
        <v>28</v>
      </c>
      <c r="E5396">
        <v>963</v>
      </c>
      <c r="F5396" s="4" t="s">
        <v>92</v>
      </c>
      <c r="G5396" t="s">
        <v>29</v>
      </c>
      <c r="H5396" t="s">
        <v>93</v>
      </c>
    </row>
    <row r="5397" spans="1:8" x14ac:dyDescent="0.25">
      <c r="A5397" t="s">
        <v>1104</v>
      </c>
      <c r="B5397" t="s">
        <v>164</v>
      </c>
      <c r="C5397" s="5">
        <v>369700</v>
      </c>
      <c r="D5397" s="5">
        <v>4084</v>
      </c>
      <c r="E5397">
        <v>229190</v>
      </c>
      <c r="F5397" s="4" t="s">
        <v>1044</v>
      </c>
      <c r="G5397" t="s">
        <v>29</v>
      </c>
      <c r="H5397" t="s">
        <v>1045</v>
      </c>
    </row>
    <row r="5398" spans="1:8" x14ac:dyDescent="0.25">
      <c r="A5398" t="s">
        <v>1104</v>
      </c>
      <c r="B5398" t="s">
        <v>167</v>
      </c>
      <c r="C5398" s="5">
        <v>205199</v>
      </c>
      <c r="D5398" s="5">
        <v>5870</v>
      </c>
      <c r="E5398">
        <v>97147</v>
      </c>
      <c r="F5398" s="4" t="s">
        <v>955</v>
      </c>
      <c r="G5398" t="s">
        <v>29</v>
      </c>
      <c r="H5398" t="s">
        <v>956</v>
      </c>
    </row>
    <row r="5399" spans="1:8" x14ac:dyDescent="0.25">
      <c r="A5399" t="s">
        <v>1104</v>
      </c>
      <c r="B5399" t="s">
        <v>170</v>
      </c>
      <c r="C5399" s="5">
        <v>513026</v>
      </c>
      <c r="D5399" s="5">
        <v>32899</v>
      </c>
      <c r="E5399">
        <v>303268</v>
      </c>
      <c r="F5399" s="4" t="s">
        <v>1020</v>
      </c>
      <c r="G5399" t="s">
        <v>29</v>
      </c>
      <c r="H5399" t="s">
        <v>1021</v>
      </c>
    </row>
    <row r="5400" spans="1:8" x14ac:dyDescent="0.25">
      <c r="A5400" t="s">
        <v>1104</v>
      </c>
      <c r="B5400" t="s">
        <v>173</v>
      </c>
      <c r="C5400" s="5">
        <v>171395</v>
      </c>
      <c r="D5400" s="5">
        <v>1422</v>
      </c>
      <c r="E5400">
        <v>93512</v>
      </c>
      <c r="F5400" s="4" t="s">
        <v>28</v>
      </c>
      <c r="G5400" t="s">
        <v>29</v>
      </c>
      <c r="H5400" t="s">
        <v>30</v>
      </c>
    </row>
    <row r="5401" spans="1:8" x14ac:dyDescent="0.25">
      <c r="A5401" t="s">
        <v>1104</v>
      </c>
      <c r="B5401" t="s">
        <v>176</v>
      </c>
      <c r="C5401" s="5">
        <v>317585</v>
      </c>
      <c r="D5401" s="5">
        <v>17926</v>
      </c>
      <c r="E5401">
        <v>287745</v>
      </c>
      <c r="F5401" s="4" t="s">
        <v>756</v>
      </c>
      <c r="G5401" t="s">
        <v>29</v>
      </c>
      <c r="H5401" t="s">
        <v>757</v>
      </c>
    </row>
    <row r="5402" spans="1:8" x14ac:dyDescent="0.25">
      <c r="A5402" t="s">
        <v>1104</v>
      </c>
      <c r="B5402" t="s">
        <v>179</v>
      </c>
      <c r="C5402" s="5">
        <v>6773</v>
      </c>
      <c r="D5402" s="5">
        <v>44</v>
      </c>
      <c r="E5402">
        <v>238</v>
      </c>
      <c r="F5402" s="4" t="s">
        <v>86</v>
      </c>
      <c r="G5402" t="s">
        <v>29</v>
      </c>
      <c r="H5402" t="s">
        <v>87</v>
      </c>
    </row>
    <row r="5403" spans="1:8" x14ac:dyDescent="0.25">
      <c r="A5403" t="s">
        <v>1104</v>
      </c>
      <c r="B5403" t="s">
        <v>182</v>
      </c>
      <c r="C5403" s="5">
        <v>4984386</v>
      </c>
      <c r="D5403" s="5">
        <v>86974</v>
      </c>
      <c r="E5403">
        <v>1399404</v>
      </c>
      <c r="F5403" s="4" t="s">
        <v>183</v>
      </c>
      <c r="G5403" t="s">
        <v>29</v>
      </c>
      <c r="H5403" t="s">
        <v>184</v>
      </c>
    </row>
    <row r="5404" spans="1:8" x14ac:dyDescent="0.25">
      <c r="A5404" t="s">
        <v>1104</v>
      </c>
      <c r="B5404" t="s">
        <v>185</v>
      </c>
      <c r="C5404" s="5">
        <v>358739</v>
      </c>
      <c r="D5404" s="5">
        <v>6197</v>
      </c>
      <c r="E5404">
        <v>261026</v>
      </c>
      <c r="F5404" s="4" t="s">
        <v>765</v>
      </c>
      <c r="G5404" t="s">
        <v>29</v>
      </c>
      <c r="H5404" t="s">
        <v>766</v>
      </c>
    </row>
    <row r="5405" spans="1:8" x14ac:dyDescent="0.25">
      <c r="A5405" t="s">
        <v>1104</v>
      </c>
      <c r="B5405" t="s">
        <v>186</v>
      </c>
      <c r="C5405" s="5">
        <v>149897</v>
      </c>
      <c r="D5405" s="5">
        <v>1116</v>
      </c>
      <c r="E5405">
        <v>119911</v>
      </c>
      <c r="F5405" s="4" t="s">
        <v>819</v>
      </c>
      <c r="G5405" t="s">
        <v>29</v>
      </c>
      <c r="H5405" t="s">
        <v>820</v>
      </c>
    </row>
    <row r="5406" spans="1:8" x14ac:dyDescent="0.25">
      <c r="A5406" t="s">
        <v>1104</v>
      </c>
      <c r="B5406" t="s">
        <v>189</v>
      </c>
      <c r="C5406" s="5">
        <v>51701</v>
      </c>
      <c r="D5406" s="5">
        <v>663</v>
      </c>
      <c r="E5406">
        <v>11333</v>
      </c>
      <c r="F5406" s="4" t="s">
        <v>381</v>
      </c>
      <c r="G5406" t="s">
        <v>29</v>
      </c>
      <c r="H5406" t="s">
        <v>382</v>
      </c>
    </row>
    <row r="5407" spans="1:8" x14ac:dyDescent="0.25">
      <c r="A5407" t="s">
        <v>1104</v>
      </c>
      <c r="B5407" t="s">
        <v>192</v>
      </c>
      <c r="C5407" s="5">
        <v>1332</v>
      </c>
      <c r="D5407" s="5">
        <v>2</v>
      </c>
      <c r="E5407">
        <v>917</v>
      </c>
      <c r="F5407" s="4" t="s">
        <v>915</v>
      </c>
      <c r="G5407" t="s">
        <v>29</v>
      </c>
      <c r="H5407" t="s">
        <v>916</v>
      </c>
    </row>
    <row r="5408" spans="1:8" x14ac:dyDescent="0.25">
      <c r="A5408" t="s">
        <v>1104</v>
      </c>
      <c r="B5408" t="s">
        <v>195</v>
      </c>
      <c r="C5408" s="5">
        <v>6911013</v>
      </c>
      <c r="D5408" s="5">
        <v>114943</v>
      </c>
      <c r="E5408">
        <v>6284672</v>
      </c>
      <c r="F5408" s="4" t="s">
        <v>135</v>
      </c>
      <c r="G5408" t="s">
        <v>29</v>
      </c>
      <c r="H5408" t="s">
        <v>136</v>
      </c>
    </row>
    <row r="5409" spans="1:8" x14ac:dyDescent="0.25">
      <c r="A5409" t="s">
        <v>1104</v>
      </c>
      <c r="B5409" t="s">
        <v>198</v>
      </c>
      <c r="C5409" s="5">
        <v>33442</v>
      </c>
      <c r="D5409" s="5">
        <v>213</v>
      </c>
      <c r="E5409">
        <v>25051</v>
      </c>
      <c r="F5409" s="4" t="s">
        <v>953</v>
      </c>
      <c r="G5409" t="s">
        <v>29</v>
      </c>
      <c r="H5409" t="s">
        <v>954</v>
      </c>
    </row>
    <row r="5410" spans="1:8" x14ac:dyDescent="0.25">
      <c r="A5410" t="s">
        <v>1104</v>
      </c>
      <c r="B5410" t="s">
        <v>201</v>
      </c>
      <c r="C5410" s="5">
        <v>8438131</v>
      </c>
      <c r="D5410" s="5">
        <v>138842</v>
      </c>
      <c r="E5410">
        <v>2349338</v>
      </c>
      <c r="F5410" s="4" t="s">
        <v>691</v>
      </c>
      <c r="G5410" t="s">
        <v>29</v>
      </c>
      <c r="H5410" t="s">
        <v>692</v>
      </c>
    </row>
    <row r="5411" spans="1:8" x14ac:dyDescent="0.25">
      <c r="A5411" t="s">
        <v>1104</v>
      </c>
      <c r="B5411" t="s">
        <v>207</v>
      </c>
      <c r="C5411" s="5">
        <v>657753</v>
      </c>
      <c r="D5411" s="5">
        <v>9440</v>
      </c>
      <c r="E5411">
        <v>231873</v>
      </c>
      <c r="F5411" s="4" t="s">
        <v>330</v>
      </c>
      <c r="G5411" t="s">
        <v>29</v>
      </c>
      <c r="H5411" t="s">
        <v>331</v>
      </c>
    </row>
    <row r="5412" spans="1:8" x14ac:dyDescent="0.25">
      <c r="A5412" t="s">
        <v>1104</v>
      </c>
      <c r="B5412" t="s">
        <v>204</v>
      </c>
      <c r="C5412" s="5">
        <v>5734</v>
      </c>
      <c r="D5412" s="5">
        <v>192</v>
      </c>
      <c r="E5412">
        <v>1599</v>
      </c>
      <c r="F5412" s="4" t="s">
        <v>831</v>
      </c>
      <c r="G5412" t="s">
        <v>29</v>
      </c>
      <c r="H5412" t="s">
        <v>832</v>
      </c>
    </row>
    <row r="5413" spans="1:8" x14ac:dyDescent="0.25">
      <c r="A5413" t="s">
        <v>1104</v>
      </c>
      <c r="B5413" t="s">
        <v>210</v>
      </c>
      <c r="C5413" s="5">
        <v>43255</v>
      </c>
      <c r="D5413" s="5">
        <v>293</v>
      </c>
      <c r="E5413">
        <v>13606</v>
      </c>
      <c r="F5413" s="4" t="s">
        <v>605</v>
      </c>
      <c r="G5413" t="s">
        <v>29</v>
      </c>
      <c r="H5413" t="s">
        <v>606</v>
      </c>
    </row>
    <row r="5414" spans="1:8" x14ac:dyDescent="0.25">
      <c r="A5414" t="s">
        <v>1104</v>
      </c>
      <c r="B5414" t="s">
        <v>213</v>
      </c>
      <c r="C5414" s="5">
        <v>129258</v>
      </c>
      <c r="D5414" s="5">
        <v>1165</v>
      </c>
      <c r="E5414">
        <v>116087</v>
      </c>
      <c r="F5414" s="4" t="s">
        <v>667</v>
      </c>
      <c r="G5414" t="s">
        <v>29</v>
      </c>
      <c r="H5414" t="s">
        <v>668</v>
      </c>
    </row>
    <row r="5415" spans="1:8" x14ac:dyDescent="0.25">
      <c r="A5415" t="s">
        <v>1104</v>
      </c>
      <c r="B5415" t="s">
        <v>216</v>
      </c>
      <c r="C5415" s="5">
        <v>5751</v>
      </c>
      <c r="D5415" s="5">
        <v>98</v>
      </c>
      <c r="E5415">
        <v>5020</v>
      </c>
      <c r="F5415" s="4" t="s">
        <v>125</v>
      </c>
      <c r="G5415" t="s">
        <v>29</v>
      </c>
      <c r="H5415" t="s">
        <v>126</v>
      </c>
    </row>
    <row r="5416" spans="1:8" x14ac:dyDescent="0.25">
      <c r="A5416" t="s">
        <v>1104</v>
      </c>
      <c r="B5416" t="s">
        <v>222</v>
      </c>
      <c r="C5416" s="5">
        <v>30572</v>
      </c>
      <c r="D5416" s="5">
        <v>385</v>
      </c>
      <c r="E5416">
        <v>28264</v>
      </c>
      <c r="F5416" s="4" t="s">
        <v>223</v>
      </c>
      <c r="G5416" t="s">
        <v>29</v>
      </c>
      <c r="H5416" t="s">
        <v>224</v>
      </c>
    </row>
    <row r="5417" spans="1:8" x14ac:dyDescent="0.25">
      <c r="A5417" t="s">
        <v>1104</v>
      </c>
      <c r="B5417" t="s">
        <v>219</v>
      </c>
      <c r="C5417" s="5">
        <v>9946</v>
      </c>
      <c r="D5417" s="5">
        <v>339</v>
      </c>
      <c r="E5417">
        <v>7245</v>
      </c>
      <c r="F5417" s="4" t="s">
        <v>205</v>
      </c>
      <c r="G5417" t="s">
        <v>29</v>
      </c>
      <c r="H5417" t="s">
        <v>206</v>
      </c>
    </row>
    <row r="5418" spans="1:8" x14ac:dyDescent="0.25">
      <c r="A5418" t="s">
        <v>1104</v>
      </c>
      <c r="B5418" t="s">
        <v>225</v>
      </c>
      <c r="C5418" s="5">
        <v>53836</v>
      </c>
      <c r="D5418" s="5">
        <v>800</v>
      </c>
      <c r="E5418">
        <v>35542</v>
      </c>
      <c r="F5418" s="4" t="s">
        <v>800</v>
      </c>
      <c r="G5418" t="s">
        <v>29</v>
      </c>
      <c r="H5418" t="s">
        <v>801</v>
      </c>
    </row>
    <row r="5419" spans="1:8" x14ac:dyDescent="0.25">
      <c r="A5419" t="s">
        <v>1104</v>
      </c>
      <c r="B5419" t="s">
        <v>228</v>
      </c>
      <c r="C5419" s="5">
        <v>12840</v>
      </c>
      <c r="D5419" s="5">
        <v>156</v>
      </c>
      <c r="E5419">
        <v>773</v>
      </c>
      <c r="F5419" s="4" t="s">
        <v>775</v>
      </c>
      <c r="G5419" t="s">
        <v>29</v>
      </c>
      <c r="H5419" t="s">
        <v>776</v>
      </c>
    </row>
    <row r="5420" spans="1:8" x14ac:dyDescent="0.25">
      <c r="A5420" t="s">
        <v>1104</v>
      </c>
      <c r="B5420" t="s">
        <v>229</v>
      </c>
      <c r="C5420" s="5">
        <v>692197</v>
      </c>
      <c r="D5420" s="5">
        <v>15348</v>
      </c>
      <c r="E5420">
        <v>222717</v>
      </c>
      <c r="F5420" s="4" t="s">
        <v>673</v>
      </c>
      <c r="G5420" t="s">
        <v>29</v>
      </c>
      <c r="H5420" t="s">
        <v>674</v>
      </c>
    </row>
    <row r="5421" spans="1:8" x14ac:dyDescent="0.25">
      <c r="A5421" t="s">
        <v>1104</v>
      </c>
      <c r="B5421" t="s">
        <v>232</v>
      </c>
      <c r="C5421" s="5">
        <v>587687</v>
      </c>
      <c r="D5421" s="5">
        <v>14266</v>
      </c>
      <c r="E5421">
        <v>244841</v>
      </c>
      <c r="F5421" s="4" t="s">
        <v>917</v>
      </c>
      <c r="G5421" t="s">
        <v>29</v>
      </c>
      <c r="H5421" t="s">
        <v>918</v>
      </c>
    </row>
    <row r="5422" spans="1:8" x14ac:dyDescent="0.25">
      <c r="A5422" t="s">
        <v>1104</v>
      </c>
      <c r="B5422" t="s">
        <v>233</v>
      </c>
      <c r="C5422" s="5">
        <v>6129</v>
      </c>
      <c r="D5422" s="5">
        <v>141</v>
      </c>
      <c r="E5422">
        <v>3853</v>
      </c>
      <c r="F5422" s="4" t="s">
        <v>619</v>
      </c>
      <c r="G5422" t="s">
        <v>29</v>
      </c>
      <c r="H5422" t="s">
        <v>620</v>
      </c>
    </row>
    <row r="5423" spans="1:8" x14ac:dyDescent="0.25">
      <c r="A5423" t="s">
        <v>1104</v>
      </c>
      <c r="B5423" t="s">
        <v>236</v>
      </c>
      <c r="C5423" s="5">
        <v>34362</v>
      </c>
      <c r="D5423" s="5">
        <v>866</v>
      </c>
      <c r="E5423">
        <v>16841</v>
      </c>
      <c r="F5423" s="4" t="s">
        <v>729</v>
      </c>
      <c r="G5423" t="s">
        <v>29</v>
      </c>
      <c r="H5423" t="s">
        <v>730</v>
      </c>
    </row>
    <row r="5424" spans="1:8" x14ac:dyDescent="0.25">
      <c r="A5424" t="s">
        <v>1104</v>
      </c>
      <c r="B5424" t="s">
        <v>239</v>
      </c>
      <c r="C5424" s="5">
        <v>12291</v>
      </c>
      <c r="D5424" s="5">
        <v>213</v>
      </c>
      <c r="E5424">
        <v>9295</v>
      </c>
      <c r="F5424" s="4" t="s">
        <v>765</v>
      </c>
      <c r="G5424" t="s">
        <v>29</v>
      </c>
      <c r="H5424" t="s">
        <v>766</v>
      </c>
    </row>
    <row r="5425" spans="1:8" x14ac:dyDescent="0.25">
      <c r="A5425" t="s">
        <v>1104</v>
      </c>
      <c r="B5425" t="s">
        <v>242</v>
      </c>
      <c r="C5425" s="5">
        <v>372179</v>
      </c>
      <c r="D5425" s="5">
        <v>10096</v>
      </c>
      <c r="E5425">
        <v>335185</v>
      </c>
      <c r="F5425" s="4" t="s">
        <v>875</v>
      </c>
      <c r="G5425" t="s">
        <v>29</v>
      </c>
      <c r="H5425" t="s">
        <v>876</v>
      </c>
    </row>
    <row r="5426" spans="1:8" x14ac:dyDescent="0.25">
      <c r="A5426" t="s">
        <v>1104</v>
      </c>
      <c r="B5426" t="s">
        <v>245</v>
      </c>
      <c r="C5426" s="5">
        <v>426613</v>
      </c>
      <c r="D5426" s="5">
        <v>8877</v>
      </c>
      <c r="E5426">
        <v>7689</v>
      </c>
      <c r="F5426" s="4" t="s">
        <v>549</v>
      </c>
      <c r="G5426" t="s">
        <v>29</v>
      </c>
      <c r="H5426" t="s">
        <v>550</v>
      </c>
    </row>
    <row r="5427" spans="1:8" x14ac:dyDescent="0.25">
      <c r="A5427" t="s">
        <v>1104</v>
      </c>
      <c r="B5427" t="s">
        <v>248</v>
      </c>
      <c r="C5427" s="5">
        <v>22933</v>
      </c>
      <c r="D5427" s="5">
        <v>657</v>
      </c>
      <c r="E5427">
        <v>11282</v>
      </c>
      <c r="F5427" s="4" t="s">
        <v>955</v>
      </c>
      <c r="G5427" t="s">
        <v>29</v>
      </c>
      <c r="H5427" t="s">
        <v>956</v>
      </c>
    </row>
    <row r="5428" spans="1:8" x14ac:dyDescent="0.25">
      <c r="A5428" t="s">
        <v>1104</v>
      </c>
      <c r="B5428" t="s">
        <v>251</v>
      </c>
      <c r="C5428" s="5">
        <v>833115</v>
      </c>
      <c r="D5428" s="5">
        <v>30351</v>
      </c>
      <c r="E5428">
        <v>715282</v>
      </c>
      <c r="F5428" s="4" t="s">
        <v>1102</v>
      </c>
      <c r="G5428" t="s">
        <v>29</v>
      </c>
      <c r="H5428" t="s">
        <v>1103</v>
      </c>
    </row>
    <row r="5429" spans="1:8" x14ac:dyDescent="0.25">
      <c r="A5429" t="s">
        <v>1104</v>
      </c>
      <c r="B5429" t="s">
        <v>254</v>
      </c>
      <c r="C5429" s="5">
        <v>4234011</v>
      </c>
      <c r="D5429" s="5">
        <v>142933</v>
      </c>
      <c r="E5429">
        <v>3312856</v>
      </c>
      <c r="F5429" s="4" t="s">
        <v>255</v>
      </c>
      <c r="G5429" t="s">
        <v>29</v>
      </c>
      <c r="H5429" t="s">
        <v>256</v>
      </c>
    </row>
    <row r="5430" spans="1:8" x14ac:dyDescent="0.25">
      <c r="A5430" t="s">
        <v>1104</v>
      </c>
      <c r="B5430" t="s">
        <v>257</v>
      </c>
      <c r="C5430" s="5">
        <v>413734</v>
      </c>
      <c r="D5430" s="5">
        <v>5306</v>
      </c>
      <c r="E5430">
        <v>220579</v>
      </c>
      <c r="F5430" s="4" t="s">
        <v>381</v>
      </c>
      <c r="G5430" t="s">
        <v>29</v>
      </c>
      <c r="H5430" t="s">
        <v>382</v>
      </c>
    </row>
    <row r="5431" spans="1:8" x14ac:dyDescent="0.25">
      <c r="A5431" t="s">
        <v>1104</v>
      </c>
      <c r="B5431" t="s">
        <v>260</v>
      </c>
      <c r="C5431" s="5">
        <v>1315317</v>
      </c>
      <c r="D5431" s="5">
        <v>7983</v>
      </c>
      <c r="E5431">
        <v>1166906</v>
      </c>
      <c r="F5431" s="4" t="s">
        <v>261</v>
      </c>
      <c r="G5431" t="s">
        <v>29</v>
      </c>
      <c r="H5431" t="s">
        <v>262</v>
      </c>
    </row>
    <row r="5432" spans="1:8" x14ac:dyDescent="0.25">
      <c r="A5432" t="s">
        <v>1104</v>
      </c>
      <c r="B5432" t="s">
        <v>263</v>
      </c>
      <c r="C5432" s="5">
        <v>34067719</v>
      </c>
      <c r="D5432" s="5">
        <v>452124</v>
      </c>
      <c r="E5432">
        <v>19815051</v>
      </c>
      <c r="F5432" s="4" t="s">
        <v>59</v>
      </c>
      <c r="G5432" t="s">
        <v>29</v>
      </c>
      <c r="H5432" t="s">
        <v>60</v>
      </c>
    </row>
    <row r="5433" spans="1:8" x14ac:dyDescent="0.25">
      <c r="A5433" t="s">
        <v>1104</v>
      </c>
      <c r="B5433" t="s">
        <v>266</v>
      </c>
      <c r="C5433" s="5">
        <v>2033737</v>
      </c>
      <c r="D5433" s="5">
        <v>22738</v>
      </c>
      <c r="E5433">
        <v>1031216</v>
      </c>
      <c r="F5433" s="4" t="s">
        <v>911</v>
      </c>
      <c r="G5433" t="s">
        <v>29</v>
      </c>
      <c r="H5433" t="s">
        <v>912</v>
      </c>
    </row>
    <row r="5434" spans="1:8" x14ac:dyDescent="0.25">
      <c r="A5434" t="s">
        <v>1104</v>
      </c>
      <c r="B5434" t="s">
        <v>269</v>
      </c>
      <c r="C5434" s="5">
        <v>5773419</v>
      </c>
      <c r="D5434" s="5">
        <v>123876</v>
      </c>
      <c r="E5434">
        <v>590333</v>
      </c>
      <c r="F5434" s="4" t="s">
        <v>852</v>
      </c>
      <c r="G5434" t="s">
        <v>29</v>
      </c>
      <c r="H5434" t="s">
        <v>853</v>
      </c>
    </row>
    <row r="5435" spans="1:8" x14ac:dyDescent="0.25">
      <c r="A5435" t="s">
        <v>1104</v>
      </c>
      <c r="B5435" t="s">
        <v>272</v>
      </c>
      <c r="C5435" s="5">
        <v>12455</v>
      </c>
      <c r="D5435" s="5">
        <v>33</v>
      </c>
      <c r="E5435">
        <v>10705</v>
      </c>
      <c r="F5435" s="4" t="s">
        <v>794</v>
      </c>
      <c r="G5435" t="s">
        <v>29</v>
      </c>
      <c r="H5435" t="s">
        <v>795</v>
      </c>
    </row>
    <row r="5436" spans="1:8" x14ac:dyDescent="0.25">
      <c r="A5436" t="s">
        <v>1104</v>
      </c>
      <c r="B5436" t="s">
        <v>275</v>
      </c>
      <c r="C5436" s="5">
        <v>4715464</v>
      </c>
      <c r="D5436" s="5">
        <v>131517</v>
      </c>
      <c r="E5436">
        <v>3545029</v>
      </c>
      <c r="F5436" s="4" t="s">
        <v>662</v>
      </c>
      <c r="G5436" t="s">
        <v>29</v>
      </c>
      <c r="H5436" t="s">
        <v>663</v>
      </c>
    </row>
    <row r="5437" spans="1:8" x14ac:dyDescent="0.25">
      <c r="A5437" t="s">
        <v>1104</v>
      </c>
      <c r="B5437" t="s">
        <v>278</v>
      </c>
      <c r="C5437" s="5">
        <v>87232</v>
      </c>
      <c r="D5437" s="5">
        <v>2103</v>
      </c>
      <c r="E5437">
        <v>21770</v>
      </c>
      <c r="F5437" s="4" t="s">
        <v>510</v>
      </c>
      <c r="G5437" t="s">
        <v>29</v>
      </c>
      <c r="H5437" t="s">
        <v>511</v>
      </c>
    </row>
    <row r="5438" spans="1:8" x14ac:dyDescent="0.25">
      <c r="A5438" t="s">
        <v>1104</v>
      </c>
      <c r="B5438" t="s">
        <v>279</v>
      </c>
      <c r="C5438" s="5">
        <v>840117</v>
      </c>
      <c r="D5438" s="5">
        <v>10865</v>
      </c>
      <c r="E5438">
        <v>323024</v>
      </c>
      <c r="F5438" s="4" t="s">
        <v>417</v>
      </c>
      <c r="G5438" t="s">
        <v>29</v>
      </c>
      <c r="H5438" t="s">
        <v>418</v>
      </c>
    </row>
    <row r="5439" spans="1:8" x14ac:dyDescent="0.25">
      <c r="A5439" t="s">
        <v>1104</v>
      </c>
      <c r="B5439" t="s">
        <v>281</v>
      </c>
      <c r="C5439" s="5">
        <v>251959</v>
      </c>
      <c r="D5439" s="5">
        <v>5215</v>
      </c>
      <c r="E5439">
        <v>65642</v>
      </c>
      <c r="F5439" s="4" t="s">
        <v>310</v>
      </c>
      <c r="G5439" t="s">
        <v>29</v>
      </c>
      <c r="H5439" t="s">
        <v>311</v>
      </c>
    </row>
    <row r="5440" spans="1:8" x14ac:dyDescent="0.25">
      <c r="A5440" t="s">
        <v>1104</v>
      </c>
      <c r="B5440" t="s">
        <v>280</v>
      </c>
      <c r="C5440" s="5">
        <v>1715059</v>
      </c>
      <c r="D5440" s="5">
        <v>18099</v>
      </c>
      <c r="E5440">
        <v>218487</v>
      </c>
      <c r="F5440" s="4" t="s">
        <v>165</v>
      </c>
      <c r="G5440" t="s">
        <v>29</v>
      </c>
      <c r="H5440" t="s">
        <v>166</v>
      </c>
    </row>
    <row r="5441" spans="1:8" x14ac:dyDescent="0.25">
      <c r="A5441" t="s">
        <v>1104</v>
      </c>
      <c r="B5441" t="s">
        <v>284</v>
      </c>
      <c r="C5441" s="5">
        <v>179775</v>
      </c>
      <c r="D5441" s="5">
        <v>2632</v>
      </c>
      <c r="E5441">
        <v>140806</v>
      </c>
      <c r="F5441" s="4" t="s">
        <v>565</v>
      </c>
      <c r="G5441" t="s">
        <v>29</v>
      </c>
      <c r="H5441" t="s">
        <v>566</v>
      </c>
    </row>
    <row r="5442" spans="1:8" x14ac:dyDescent="0.25">
      <c r="A5442" t="s">
        <v>1104</v>
      </c>
      <c r="B5442" t="s">
        <v>290</v>
      </c>
      <c r="C5442" s="5">
        <v>2</v>
      </c>
      <c r="D5442" s="5">
        <v>0</v>
      </c>
      <c r="E5442">
        <v>2</v>
      </c>
      <c r="F5442" s="4" t="s">
        <v>29</v>
      </c>
      <c r="G5442" t="s">
        <v>29</v>
      </c>
      <c r="H5442" t="s">
        <v>291</v>
      </c>
    </row>
    <row r="5443" spans="1:8" x14ac:dyDescent="0.25">
      <c r="A5443" t="s">
        <v>1104</v>
      </c>
      <c r="B5443" t="s">
        <v>287</v>
      </c>
      <c r="C5443" s="5">
        <v>116407</v>
      </c>
      <c r="D5443" s="5">
        <v>2634</v>
      </c>
      <c r="E5443">
        <v>15261</v>
      </c>
      <c r="F5443" s="4" t="s">
        <v>469</v>
      </c>
      <c r="G5443" t="s">
        <v>29</v>
      </c>
      <c r="H5443" t="s">
        <v>470</v>
      </c>
    </row>
    <row r="5444" spans="1:8" x14ac:dyDescent="0.25">
      <c r="A5444" t="s">
        <v>1104</v>
      </c>
      <c r="B5444" t="s">
        <v>292</v>
      </c>
      <c r="C5444" s="5">
        <v>4184</v>
      </c>
      <c r="D5444" s="5">
        <v>147</v>
      </c>
      <c r="E5444">
        <v>63</v>
      </c>
      <c r="F5444" s="4" t="s">
        <v>350</v>
      </c>
      <c r="G5444" t="s">
        <v>29</v>
      </c>
      <c r="H5444" t="s">
        <v>351</v>
      </c>
    </row>
    <row r="5445" spans="1:8" x14ac:dyDescent="0.25">
      <c r="A5445" t="s">
        <v>1104</v>
      </c>
      <c r="B5445" t="s">
        <v>293</v>
      </c>
      <c r="C5445" s="5">
        <v>2546</v>
      </c>
      <c r="D5445" s="5">
        <v>21</v>
      </c>
      <c r="E5445">
        <v>858</v>
      </c>
      <c r="F5445" s="4" t="s">
        <v>1057</v>
      </c>
      <c r="G5445" t="s">
        <v>29</v>
      </c>
      <c r="H5445" t="s">
        <v>1058</v>
      </c>
    </row>
    <row r="5446" spans="1:8" x14ac:dyDescent="0.25">
      <c r="A5446" t="s">
        <v>1104</v>
      </c>
      <c r="B5446" t="s">
        <v>296</v>
      </c>
      <c r="C5446" s="5">
        <v>342396</v>
      </c>
      <c r="D5446" s="5">
        <v>2660</v>
      </c>
      <c r="E5446">
        <v>52344</v>
      </c>
      <c r="F5446" s="4" t="s">
        <v>297</v>
      </c>
      <c r="G5446" t="s">
        <v>29</v>
      </c>
      <c r="H5446" t="s">
        <v>298</v>
      </c>
    </row>
    <row r="5447" spans="1:8" x14ac:dyDescent="0.25">
      <c r="A5447" t="s">
        <v>1104</v>
      </c>
      <c r="B5447" t="s">
        <v>299</v>
      </c>
      <c r="C5447" s="5">
        <v>412297</v>
      </c>
      <c r="D5447" s="5">
        <v>2456</v>
      </c>
      <c r="E5447">
        <v>271858</v>
      </c>
      <c r="F5447" s="4" t="s">
        <v>300</v>
      </c>
      <c r="G5447" t="s">
        <v>29</v>
      </c>
      <c r="H5447" t="s">
        <v>301</v>
      </c>
    </row>
    <row r="5448" spans="1:8" x14ac:dyDescent="0.25">
      <c r="A5448" t="s">
        <v>1104</v>
      </c>
      <c r="B5448" t="s">
        <v>302</v>
      </c>
      <c r="C5448" s="5">
        <v>994464</v>
      </c>
      <c r="D5448" s="5">
        <v>16618</v>
      </c>
      <c r="E5448">
        <v>730324</v>
      </c>
      <c r="F5448" s="4" t="s">
        <v>827</v>
      </c>
      <c r="G5448" t="s">
        <v>29</v>
      </c>
      <c r="H5448" t="s">
        <v>828</v>
      </c>
    </row>
    <row r="5449" spans="1:8" x14ac:dyDescent="0.25">
      <c r="A5449" t="s">
        <v>1104</v>
      </c>
      <c r="B5449" t="s">
        <v>303</v>
      </c>
      <c r="C5449" s="5">
        <v>31736</v>
      </c>
      <c r="D5449" s="5">
        <v>38</v>
      </c>
      <c r="E5449">
        <v>13471</v>
      </c>
      <c r="F5449" s="4" t="s">
        <v>957</v>
      </c>
      <c r="G5449" t="s">
        <v>29</v>
      </c>
      <c r="H5449" t="s">
        <v>958</v>
      </c>
    </row>
    <row r="5450" spans="1:8" x14ac:dyDescent="0.25">
      <c r="A5450" t="s">
        <v>1104</v>
      </c>
      <c r="B5450" t="s">
        <v>306</v>
      </c>
      <c r="C5450" s="5">
        <v>633355</v>
      </c>
      <c r="D5450" s="5">
        <v>8419</v>
      </c>
      <c r="E5450">
        <v>469825</v>
      </c>
      <c r="F5450" s="4" t="s">
        <v>59</v>
      </c>
      <c r="G5450" t="s">
        <v>29</v>
      </c>
      <c r="H5450" t="s">
        <v>60</v>
      </c>
    </row>
    <row r="5451" spans="1:8" x14ac:dyDescent="0.25">
      <c r="A5451" t="s">
        <v>1104</v>
      </c>
      <c r="B5451" t="s">
        <v>309</v>
      </c>
      <c r="C5451" s="5">
        <v>12206</v>
      </c>
      <c r="D5451" s="5">
        <v>236</v>
      </c>
      <c r="E5451">
        <v>4609</v>
      </c>
      <c r="F5451" s="4" t="s">
        <v>946</v>
      </c>
      <c r="G5451" t="s">
        <v>29</v>
      </c>
      <c r="H5451" t="s">
        <v>947</v>
      </c>
    </row>
    <row r="5452" spans="1:8" x14ac:dyDescent="0.25">
      <c r="A5452" t="s">
        <v>1104</v>
      </c>
      <c r="B5452" t="s">
        <v>312</v>
      </c>
      <c r="C5452" s="5">
        <v>3584</v>
      </c>
      <c r="D5452" s="5">
        <v>60</v>
      </c>
      <c r="E5452">
        <v>2679</v>
      </c>
      <c r="F5452" s="4" t="s">
        <v>827</v>
      </c>
      <c r="G5452" t="s">
        <v>29</v>
      </c>
      <c r="H5452" t="s">
        <v>828</v>
      </c>
    </row>
    <row r="5453" spans="1:8" x14ac:dyDescent="0.25">
      <c r="A5453" t="s">
        <v>1104</v>
      </c>
      <c r="B5453" t="s">
        <v>315</v>
      </c>
      <c r="C5453" s="5">
        <v>531070</v>
      </c>
      <c r="D5453" s="5">
        <v>13472</v>
      </c>
      <c r="E5453">
        <v>279010</v>
      </c>
      <c r="F5453" s="4" t="s">
        <v>141</v>
      </c>
      <c r="G5453" t="s">
        <v>29</v>
      </c>
      <c r="H5453" t="s">
        <v>142</v>
      </c>
    </row>
    <row r="5454" spans="1:8" x14ac:dyDescent="0.25">
      <c r="A5454" t="s">
        <v>1104</v>
      </c>
      <c r="B5454" t="s">
        <v>316</v>
      </c>
      <c r="C5454" s="5">
        <v>5803</v>
      </c>
      <c r="D5454" s="5">
        <v>286</v>
      </c>
      <c r="E5454">
        <v>5457</v>
      </c>
      <c r="F5454" s="4" t="s">
        <v>317</v>
      </c>
      <c r="G5454" t="s">
        <v>29</v>
      </c>
      <c r="H5454" t="s">
        <v>318</v>
      </c>
    </row>
    <row r="5455" spans="1:8" x14ac:dyDescent="0.25">
      <c r="A5455" t="s">
        <v>1104</v>
      </c>
      <c r="B5455" t="s">
        <v>319</v>
      </c>
      <c r="C5455" s="5">
        <v>21524</v>
      </c>
      <c r="D5455" s="5">
        <v>655</v>
      </c>
      <c r="E5455">
        <v>17861</v>
      </c>
      <c r="F5455" s="4" t="s">
        <v>320</v>
      </c>
      <c r="G5455" t="s">
        <v>29</v>
      </c>
      <c r="H5455" t="s">
        <v>321</v>
      </c>
    </row>
    <row r="5456" spans="1:8" x14ac:dyDescent="0.25">
      <c r="A5456" t="s">
        <v>1104</v>
      </c>
      <c r="B5456" t="s">
        <v>322</v>
      </c>
      <c r="C5456" s="5">
        <v>366481</v>
      </c>
      <c r="D5456" s="5">
        <v>5406</v>
      </c>
      <c r="E5456">
        <v>203504</v>
      </c>
      <c r="F5456" s="4" t="s">
        <v>285</v>
      </c>
      <c r="G5456" t="s">
        <v>29</v>
      </c>
      <c r="H5456" t="s">
        <v>286</v>
      </c>
    </row>
    <row r="5457" spans="1:8" x14ac:dyDescent="0.25">
      <c r="A5457" t="s">
        <v>1104</v>
      </c>
      <c r="B5457" t="s">
        <v>325</v>
      </c>
      <c r="C5457" s="5">
        <v>79720</v>
      </c>
      <c r="D5457" s="5">
        <v>839</v>
      </c>
      <c r="E5457">
        <v>34349</v>
      </c>
      <c r="F5457" s="4" t="s">
        <v>642</v>
      </c>
      <c r="G5457" t="s">
        <v>29</v>
      </c>
      <c r="H5457" t="s">
        <v>643</v>
      </c>
    </row>
    <row r="5458" spans="1:8" x14ac:dyDescent="0.25">
      <c r="A5458" t="s">
        <v>1104</v>
      </c>
      <c r="B5458" t="s">
        <v>328</v>
      </c>
      <c r="C5458" s="5">
        <v>183239</v>
      </c>
      <c r="D5458" s="5">
        <v>2881</v>
      </c>
      <c r="E5458">
        <v>103379</v>
      </c>
      <c r="F5458" s="4" t="s">
        <v>217</v>
      </c>
      <c r="G5458" t="s">
        <v>29</v>
      </c>
      <c r="H5458" t="s">
        <v>218</v>
      </c>
    </row>
    <row r="5459" spans="1:8" x14ac:dyDescent="0.25">
      <c r="A5459" t="s">
        <v>1104</v>
      </c>
      <c r="B5459" t="s">
        <v>329</v>
      </c>
      <c r="C5459" s="5">
        <v>349210</v>
      </c>
      <c r="D5459" s="5">
        <v>4860</v>
      </c>
      <c r="E5459">
        <v>298122</v>
      </c>
      <c r="F5459" s="4" t="s">
        <v>208</v>
      </c>
      <c r="G5459" t="s">
        <v>29</v>
      </c>
      <c r="H5459" t="s">
        <v>209</v>
      </c>
    </row>
    <row r="5460" spans="1:8" x14ac:dyDescent="0.25">
      <c r="A5460" t="s">
        <v>1104</v>
      </c>
      <c r="B5460" t="s">
        <v>332</v>
      </c>
      <c r="C5460" s="5">
        <v>941863</v>
      </c>
      <c r="D5460" s="5">
        <v>14537</v>
      </c>
      <c r="E5460">
        <v>693049</v>
      </c>
      <c r="F5460" s="4" t="s">
        <v>519</v>
      </c>
      <c r="G5460" t="s">
        <v>29</v>
      </c>
      <c r="H5460" t="s">
        <v>520</v>
      </c>
    </row>
    <row r="5461" spans="1:8" x14ac:dyDescent="0.25">
      <c r="A5461" t="s">
        <v>1104</v>
      </c>
      <c r="B5461" t="s">
        <v>335</v>
      </c>
      <c r="C5461" s="5">
        <v>3358</v>
      </c>
      <c r="D5461" s="5">
        <v>35</v>
      </c>
      <c r="E5461">
        <v>102</v>
      </c>
      <c r="F5461" s="4" t="s">
        <v>336</v>
      </c>
      <c r="G5461" t="s">
        <v>29</v>
      </c>
      <c r="H5461" t="s">
        <v>337</v>
      </c>
    </row>
    <row r="5462" spans="1:8" x14ac:dyDescent="0.25">
      <c r="A5462" t="s">
        <v>1104</v>
      </c>
      <c r="B5462" t="s">
        <v>338</v>
      </c>
      <c r="C5462" s="5">
        <v>315414</v>
      </c>
      <c r="D5462" s="5">
        <v>7206</v>
      </c>
      <c r="E5462">
        <v>160398</v>
      </c>
      <c r="F5462" s="4" t="s">
        <v>892</v>
      </c>
      <c r="G5462" t="s">
        <v>29</v>
      </c>
      <c r="H5462" t="s">
        <v>893</v>
      </c>
    </row>
    <row r="5463" spans="1:8" x14ac:dyDescent="0.25">
      <c r="A5463" t="s">
        <v>1104</v>
      </c>
      <c r="B5463" t="s">
        <v>341</v>
      </c>
      <c r="C5463" s="5">
        <v>137401</v>
      </c>
      <c r="D5463" s="5">
        <v>2020</v>
      </c>
      <c r="E5463">
        <v>74751</v>
      </c>
      <c r="F5463" s="4" t="s">
        <v>777</v>
      </c>
      <c r="G5463" t="s">
        <v>29</v>
      </c>
      <c r="H5463" t="s">
        <v>778</v>
      </c>
    </row>
    <row r="5464" spans="1:8" x14ac:dyDescent="0.25">
      <c r="A5464" t="s">
        <v>1104</v>
      </c>
      <c r="B5464" t="s">
        <v>344</v>
      </c>
      <c r="C5464" s="5">
        <v>3878</v>
      </c>
      <c r="D5464" s="5">
        <v>55</v>
      </c>
      <c r="E5464">
        <v>2592</v>
      </c>
      <c r="F5464" s="4" t="s">
        <v>640</v>
      </c>
      <c r="G5464" t="s">
        <v>29</v>
      </c>
      <c r="H5464" t="s">
        <v>641</v>
      </c>
    </row>
    <row r="5465" spans="1:8" x14ac:dyDescent="0.25">
      <c r="A5465" t="s">
        <v>1104</v>
      </c>
      <c r="B5465" t="s">
        <v>347</v>
      </c>
      <c r="C5465" s="5">
        <v>43616</v>
      </c>
      <c r="D5465" s="5">
        <v>960</v>
      </c>
      <c r="E5465">
        <v>8932</v>
      </c>
      <c r="F5465" s="4" t="s">
        <v>969</v>
      </c>
      <c r="G5465" t="s">
        <v>29</v>
      </c>
      <c r="H5465" t="s">
        <v>970</v>
      </c>
    </row>
    <row r="5466" spans="1:8" x14ac:dyDescent="0.25">
      <c r="A5466" t="s">
        <v>1104</v>
      </c>
      <c r="B5466" t="s">
        <v>348</v>
      </c>
      <c r="C5466" s="5">
        <v>4</v>
      </c>
      <c r="D5466" s="5">
        <v>0</v>
      </c>
      <c r="E5466">
        <v>2</v>
      </c>
      <c r="F5466" s="4" t="s">
        <v>29</v>
      </c>
      <c r="G5466" t="s">
        <v>29</v>
      </c>
      <c r="H5466" t="s">
        <v>291</v>
      </c>
    </row>
    <row r="5467" spans="1:8" x14ac:dyDescent="0.25">
      <c r="A5467" t="s">
        <v>1104</v>
      </c>
      <c r="B5467" t="s">
        <v>349</v>
      </c>
      <c r="C5467" s="5">
        <v>196762</v>
      </c>
      <c r="D5467" s="5">
        <v>6922</v>
      </c>
      <c r="E5467">
        <v>86457</v>
      </c>
      <c r="F5467" s="4" t="s">
        <v>353</v>
      </c>
      <c r="G5467" t="s">
        <v>29</v>
      </c>
      <c r="H5467" t="s">
        <v>354</v>
      </c>
    </row>
    <row r="5468" spans="1:8" x14ac:dyDescent="0.25">
      <c r="A5468" t="s">
        <v>1104</v>
      </c>
      <c r="B5468" t="s">
        <v>352</v>
      </c>
      <c r="C5468" s="5">
        <v>15603</v>
      </c>
      <c r="D5468" s="5">
        <v>557</v>
      </c>
      <c r="E5468">
        <v>3263</v>
      </c>
      <c r="F5468" s="4" t="s">
        <v>909</v>
      </c>
      <c r="G5468" t="s">
        <v>29</v>
      </c>
      <c r="H5468" t="s">
        <v>910</v>
      </c>
    </row>
    <row r="5469" spans="1:8" x14ac:dyDescent="0.25">
      <c r="A5469" t="s">
        <v>1104</v>
      </c>
      <c r="B5469" t="s">
        <v>355</v>
      </c>
      <c r="C5469" s="5">
        <v>486851</v>
      </c>
      <c r="D5469" s="5">
        <v>18329</v>
      </c>
      <c r="E5469">
        <v>39142</v>
      </c>
      <c r="F5469" s="4" t="s">
        <v>1040</v>
      </c>
      <c r="G5469" t="s">
        <v>29</v>
      </c>
      <c r="H5469" t="s">
        <v>1041</v>
      </c>
    </row>
    <row r="5470" spans="1:8" x14ac:dyDescent="0.25">
      <c r="A5470" t="s">
        <v>1104</v>
      </c>
      <c r="B5470" t="s">
        <v>358</v>
      </c>
      <c r="C5470" s="5">
        <v>336508</v>
      </c>
      <c r="D5470" s="5">
        <v>1527</v>
      </c>
      <c r="E5470">
        <v>218732</v>
      </c>
      <c r="F5470" s="4" t="s">
        <v>888</v>
      </c>
      <c r="G5470" t="s">
        <v>29</v>
      </c>
      <c r="H5470" t="s">
        <v>889</v>
      </c>
    </row>
    <row r="5471" spans="1:8" x14ac:dyDescent="0.25">
      <c r="A5471" t="s">
        <v>1104</v>
      </c>
      <c r="B5471" t="s">
        <v>359</v>
      </c>
      <c r="C5471" s="5">
        <v>77</v>
      </c>
      <c r="D5471" s="5">
        <v>0</v>
      </c>
      <c r="E5471">
        <v>7</v>
      </c>
      <c r="F5471" s="4" t="s">
        <v>29</v>
      </c>
      <c r="G5471" t="s">
        <v>29</v>
      </c>
      <c r="H5471" t="s">
        <v>291</v>
      </c>
    </row>
    <row r="5472" spans="1:8" x14ac:dyDescent="0.25">
      <c r="A5472" t="s">
        <v>1104</v>
      </c>
      <c r="B5472" t="s">
        <v>360</v>
      </c>
      <c r="C5472" s="5">
        <v>42269</v>
      </c>
      <c r="D5472" s="5">
        <v>656</v>
      </c>
      <c r="E5472">
        <v>33326</v>
      </c>
      <c r="F5472" s="4" t="s">
        <v>333</v>
      </c>
      <c r="G5472" t="s">
        <v>29</v>
      </c>
      <c r="H5472" t="s">
        <v>334</v>
      </c>
    </row>
    <row r="5473" spans="1:8" x14ac:dyDescent="0.25">
      <c r="A5473" t="s">
        <v>1104</v>
      </c>
      <c r="B5473" t="s">
        <v>363</v>
      </c>
      <c r="C5473" s="5">
        <v>36645</v>
      </c>
      <c r="D5473" s="5">
        <v>788</v>
      </c>
      <c r="E5473">
        <v>26011</v>
      </c>
      <c r="F5473" s="4" t="s">
        <v>852</v>
      </c>
      <c r="G5473" t="s">
        <v>29</v>
      </c>
      <c r="H5473" t="s">
        <v>853</v>
      </c>
    </row>
    <row r="5474" spans="1:8" x14ac:dyDescent="0.25">
      <c r="A5474" t="s">
        <v>1104</v>
      </c>
      <c r="B5474" t="s">
        <v>364</v>
      </c>
      <c r="C5474" s="5">
        <v>37445</v>
      </c>
      <c r="D5474" s="5">
        <v>459</v>
      </c>
      <c r="E5474">
        <v>17714</v>
      </c>
      <c r="F5474" s="4" t="s">
        <v>798</v>
      </c>
      <c r="G5474" t="s">
        <v>29</v>
      </c>
      <c r="H5474" t="s">
        <v>799</v>
      </c>
    </row>
    <row r="5475" spans="1:8" x14ac:dyDescent="0.25">
      <c r="A5475" t="s">
        <v>1104</v>
      </c>
      <c r="B5475" t="s">
        <v>367</v>
      </c>
      <c r="C5475" s="5">
        <v>16621</v>
      </c>
      <c r="D5475" s="5">
        <v>129</v>
      </c>
      <c r="E5475">
        <v>15680</v>
      </c>
      <c r="F5475" s="4" t="s">
        <v>297</v>
      </c>
      <c r="G5475" t="s">
        <v>29</v>
      </c>
      <c r="H5475" t="s">
        <v>298</v>
      </c>
    </row>
    <row r="5476" spans="1:8" x14ac:dyDescent="0.25">
      <c r="A5476" t="s">
        <v>1104</v>
      </c>
      <c r="B5476" t="s">
        <v>368</v>
      </c>
      <c r="C5476" s="5">
        <v>86088</v>
      </c>
      <c r="D5476" s="5">
        <v>237</v>
      </c>
      <c r="E5476">
        <v>65330</v>
      </c>
      <c r="F5476" s="4" t="s">
        <v>369</v>
      </c>
      <c r="G5476" t="s">
        <v>29</v>
      </c>
      <c r="H5476" t="s">
        <v>370</v>
      </c>
    </row>
    <row r="5477" spans="1:8" x14ac:dyDescent="0.25">
      <c r="A5477" t="s">
        <v>1104</v>
      </c>
      <c r="B5477" t="s">
        <v>371</v>
      </c>
      <c r="C5477" s="5">
        <v>61712</v>
      </c>
      <c r="D5477" s="5">
        <v>2292</v>
      </c>
      <c r="E5477">
        <v>36218</v>
      </c>
      <c r="F5477" s="4" t="s">
        <v>593</v>
      </c>
      <c r="G5477" t="s">
        <v>29</v>
      </c>
      <c r="H5477" t="s">
        <v>594</v>
      </c>
    </row>
    <row r="5478" spans="1:8" x14ac:dyDescent="0.25">
      <c r="A5478" t="s">
        <v>1104</v>
      </c>
      <c r="B5478" t="s">
        <v>374</v>
      </c>
      <c r="C5478" s="5">
        <v>3755063</v>
      </c>
      <c r="D5478" s="5">
        <v>284321</v>
      </c>
      <c r="E5478">
        <v>2219699</v>
      </c>
      <c r="F5478" s="4" t="s">
        <v>375</v>
      </c>
      <c r="G5478" t="s">
        <v>29</v>
      </c>
      <c r="H5478" t="s">
        <v>376</v>
      </c>
    </row>
    <row r="5479" spans="1:8" x14ac:dyDescent="0.25">
      <c r="A5479" t="s">
        <v>1104</v>
      </c>
      <c r="B5479" t="s">
        <v>377</v>
      </c>
      <c r="C5479" s="5">
        <v>2384542</v>
      </c>
      <c r="D5479" s="5">
        <v>27858</v>
      </c>
      <c r="E5479">
        <v>1979965</v>
      </c>
      <c r="F5479" s="4" t="s">
        <v>378</v>
      </c>
      <c r="G5479" t="s">
        <v>29</v>
      </c>
      <c r="H5479" t="s">
        <v>379</v>
      </c>
    </row>
    <row r="5480" spans="1:8" x14ac:dyDescent="0.25">
      <c r="A5480" t="s">
        <v>1104</v>
      </c>
      <c r="B5480" t="s">
        <v>380</v>
      </c>
      <c r="C5480" s="5">
        <v>151097</v>
      </c>
      <c r="D5480" s="5">
        <v>1925</v>
      </c>
      <c r="E5480">
        <v>65909</v>
      </c>
      <c r="F5480" s="4" t="s">
        <v>53</v>
      </c>
      <c r="G5480" t="s">
        <v>29</v>
      </c>
      <c r="H5480" t="s">
        <v>54</v>
      </c>
    </row>
    <row r="5481" spans="1:8" x14ac:dyDescent="0.25">
      <c r="A5481" t="s">
        <v>1104</v>
      </c>
      <c r="B5481" t="s">
        <v>383</v>
      </c>
      <c r="C5481" s="5">
        <v>128239</v>
      </c>
      <c r="D5481" s="5">
        <v>3538</v>
      </c>
      <c r="E5481">
        <v>47562</v>
      </c>
      <c r="F5481" s="4" t="s">
        <v>384</v>
      </c>
      <c r="G5481" t="s">
        <v>29</v>
      </c>
      <c r="H5481" t="s">
        <v>385</v>
      </c>
    </row>
    <row r="5482" spans="1:8" x14ac:dyDescent="0.25">
      <c r="A5482" t="s">
        <v>1104</v>
      </c>
      <c r="B5482" t="s">
        <v>386</v>
      </c>
      <c r="C5482" s="5">
        <v>9933</v>
      </c>
      <c r="D5482" s="5">
        <v>236</v>
      </c>
      <c r="E5482">
        <v>4589</v>
      </c>
      <c r="F5482" s="4" t="s">
        <v>552</v>
      </c>
      <c r="G5482" t="s">
        <v>29</v>
      </c>
      <c r="H5482" t="s">
        <v>553</v>
      </c>
    </row>
    <row r="5483" spans="1:8" x14ac:dyDescent="0.25">
      <c r="A5483" t="s">
        <v>1104</v>
      </c>
      <c r="B5483" t="s">
        <v>387</v>
      </c>
      <c r="C5483" s="5">
        <v>6160</v>
      </c>
      <c r="D5483" s="5">
        <v>204</v>
      </c>
      <c r="E5483">
        <v>1820</v>
      </c>
      <c r="F5483" s="4" t="s">
        <v>1001</v>
      </c>
      <c r="G5483" t="s">
        <v>29</v>
      </c>
      <c r="H5483" t="s">
        <v>1002</v>
      </c>
    </row>
    <row r="5484" spans="1:8" x14ac:dyDescent="0.25">
      <c r="A5484" t="s">
        <v>1104</v>
      </c>
      <c r="B5484" t="s">
        <v>390</v>
      </c>
      <c r="C5484" s="5">
        <v>209173</v>
      </c>
      <c r="D5484" s="5">
        <v>2804</v>
      </c>
      <c r="E5484">
        <v>173628</v>
      </c>
      <c r="F5484" s="4" t="s">
        <v>264</v>
      </c>
      <c r="G5484" t="s">
        <v>29</v>
      </c>
      <c r="H5484" t="s">
        <v>265</v>
      </c>
    </row>
    <row r="5485" spans="1:8" x14ac:dyDescent="0.25">
      <c r="A5485" t="s">
        <v>1104</v>
      </c>
      <c r="B5485" t="s">
        <v>393</v>
      </c>
      <c r="C5485" s="5">
        <v>15737</v>
      </c>
      <c r="D5485" s="5">
        <v>206</v>
      </c>
      <c r="E5485">
        <v>14150</v>
      </c>
      <c r="F5485" s="4" t="s">
        <v>708</v>
      </c>
      <c r="G5485" t="s">
        <v>29</v>
      </c>
      <c r="H5485" t="s">
        <v>709</v>
      </c>
    </row>
    <row r="5486" spans="1:8" x14ac:dyDescent="0.25">
      <c r="A5486" t="s">
        <v>1104</v>
      </c>
      <c r="B5486" t="s">
        <v>396</v>
      </c>
      <c r="C5486" s="5">
        <v>2083444</v>
      </c>
      <c r="D5486" s="5">
        <v>18674</v>
      </c>
      <c r="E5486">
        <v>19504</v>
      </c>
      <c r="F5486" s="4" t="s">
        <v>667</v>
      </c>
      <c r="G5486" t="s">
        <v>29</v>
      </c>
      <c r="H5486" t="s">
        <v>668</v>
      </c>
    </row>
    <row r="5487" spans="1:8" x14ac:dyDescent="0.25">
      <c r="A5487" t="s">
        <v>1104</v>
      </c>
      <c r="B5487" t="s">
        <v>399</v>
      </c>
      <c r="C5487" s="5">
        <v>196142</v>
      </c>
      <c r="D5487" s="5">
        <v>884</v>
      </c>
      <c r="E5487">
        <v>182936</v>
      </c>
      <c r="F5487" s="4" t="s">
        <v>888</v>
      </c>
      <c r="G5487" t="s">
        <v>29</v>
      </c>
      <c r="H5487" t="s">
        <v>889</v>
      </c>
    </row>
    <row r="5488" spans="1:8" x14ac:dyDescent="0.25">
      <c r="A5488" t="s">
        <v>1104</v>
      </c>
      <c r="B5488" t="s">
        <v>402</v>
      </c>
      <c r="C5488" s="5">
        <v>804652</v>
      </c>
      <c r="D5488" s="5">
        <v>11278</v>
      </c>
      <c r="E5488">
        <v>300199</v>
      </c>
      <c r="F5488" s="4" t="s">
        <v>403</v>
      </c>
      <c r="G5488" t="s">
        <v>29</v>
      </c>
      <c r="H5488" t="s">
        <v>404</v>
      </c>
    </row>
    <row r="5489" spans="1:8" x14ac:dyDescent="0.25">
      <c r="A5489" t="s">
        <v>1104</v>
      </c>
      <c r="B5489" t="s">
        <v>405</v>
      </c>
      <c r="C5489" s="5">
        <v>4992</v>
      </c>
      <c r="D5489" s="5">
        <v>28</v>
      </c>
      <c r="E5489">
        <v>2312</v>
      </c>
      <c r="F5489" s="4" t="s">
        <v>1105</v>
      </c>
      <c r="G5489" t="s">
        <v>29</v>
      </c>
      <c r="H5489" t="s">
        <v>1106</v>
      </c>
    </row>
    <row r="5490" spans="1:8" x14ac:dyDescent="0.25">
      <c r="A5490" t="s">
        <v>1104</v>
      </c>
      <c r="B5490" t="s">
        <v>408</v>
      </c>
      <c r="C5490" s="5">
        <v>304025</v>
      </c>
      <c r="D5490" s="5">
        <v>4103</v>
      </c>
      <c r="E5490">
        <v>211513</v>
      </c>
      <c r="F5490" s="4" t="s">
        <v>409</v>
      </c>
      <c r="G5490" t="s">
        <v>29</v>
      </c>
      <c r="H5490" t="s">
        <v>410</v>
      </c>
    </row>
    <row r="5491" spans="1:8" x14ac:dyDescent="0.25">
      <c r="A5491" t="s">
        <v>1104</v>
      </c>
      <c r="B5491" t="s">
        <v>411</v>
      </c>
      <c r="C5491" s="5">
        <v>469998</v>
      </c>
      <c r="D5491" s="5">
        <v>7288</v>
      </c>
      <c r="E5491">
        <v>460183</v>
      </c>
      <c r="F5491" s="4" t="s">
        <v>333</v>
      </c>
      <c r="G5491" t="s">
        <v>29</v>
      </c>
      <c r="H5491" t="s">
        <v>334</v>
      </c>
    </row>
    <row r="5492" spans="1:8" x14ac:dyDescent="0.25">
      <c r="A5492" t="s">
        <v>1104</v>
      </c>
      <c r="B5492" t="s">
        <v>412</v>
      </c>
      <c r="C5492" s="5">
        <v>2189165</v>
      </c>
      <c r="D5492" s="5">
        <v>199816</v>
      </c>
      <c r="E5492">
        <v>497794</v>
      </c>
      <c r="F5492" s="4" t="s">
        <v>1085</v>
      </c>
      <c r="G5492" t="s">
        <v>29</v>
      </c>
      <c r="H5492" t="s">
        <v>1086</v>
      </c>
    </row>
    <row r="5493" spans="1:8" x14ac:dyDescent="0.25">
      <c r="A5493" t="s">
        <v>1104</v>
      </c>
      <c r="B5493" t="s">
        <v>415</v>
      </c>
      <c r="C5493" s="5">
        <v>45439</v>
      </c>
      <c r="D5493" s="5">
        <v>633</v>
      </c>
      <c r="E5493">
        <v>17354</v>
      </c>
      <c r="F5493" s="4" t="s">
        <v>208</v>
      </c>
      <c r="G5493" t="s">
        <v>29</v>
      </c>
      <c r="H5493" t="s">
        <v>209</v>
      </c>
    </row>
    <row r="5494" spans="1:8" x14ac:dyDescent="0.25">
      <c r="A5494" t="s">
        <v>1104</v>
      </c>
      <c r="B5494" t="s">
        <v>416</v>
      </c>
      <c r="C5494" s="5">
        <v>24041</v>
      </c>
      <c r="D5494" s="5">
        <v>266</v>
      </c>
      <c r="E5494">
        <v>12777</v>
      </c>
      <c r="F5494" s="4" t="s">
        <v>1098</v>
      </c>
      <c r="G5494" t="s">
        <v>29</v>
      </c>
      <c r="H5494" t="s">
        <v>1099</v>
      </c>
    </row>
    <row r="5495" spans="1:8" x14ac:dyDescent="0.25">
      <c r="A5495" t="s">
        <v>1104</v>
      </c>
      <c r="B5495" t="s">
        <v>420</v>
      </c>
      <c r="C5495" s="5">
        <v>1264384</v>
      </c>
      <c r="D5495" s="5">
        <v>28269</v>
      </c>
      <c r="E5495">
        <v>1067741</v>
      </c>
      <c r="F5495" s="4" t="s">
        <v>603</v>
      </c>
      <c r="G5495" t="s">
        <v>29</v>
      </c>
      <c r="H5495" t="s">
        <v>604</v>
      </c>
    </row>
    <row r="5496" spans="1:8" x14ac:dyDescent="0.25">
      <c r="A5496" t="s">
        <v>1104</v>
      </c>
      <c r="B5496" t="s">
        <v>419</v>
      </c>
      <c r="C5496" s="5">
        <v>2713509</v>
      </c>
      <c r="D5496" s="5">
        <v>40580</v>
      </c>
      <c r="E5496">
        <v>482670</v>
      </c>
      <c r="F5496" s="4" t="s">
        <v>226</v>
      </c>
      <c r="G5496" t="s">
        <v>29</v>
      </c>
      <c r="H5496" t="s">
        <v>227</v>
      </c>
    </row>
    <row r="5497" spans="1:8" x14ac:dyDescent="0.25">
      <c r="A5497" t="s">
        <v>1104</v>
      </c>
      <c r="B5497" t="s">
        <v>423</v>
      </c>
      <c r="C5497" s="5">
        <v>2937069</v>
      </c>
      <c r="D5497" s="5">
        <v>76111</v>
      </c>
      <c r="E5497">
        <v>582062</v>
      </c>
      <c r="F5497" s="4" t="s">
        <v>719</v>
      </c>
      <c r="G5497" t="s">
        <v>29</v>
      </c>
      <c r="H5497" t="s">
        <v>720</v>
      </c>
    </row>
    <row r="5498" spans="1:8" x14ac:dyDescent="0.25">
      <c r="A5498" t="s">
        <v>1104</v>
      </c>
      <c r="B5498" t="s">
        <v>426</v>
      </c>
      <c r="C5498" s="5">
        <v>447032</v>
      </c>
      <c r="D5498" s="5">
        <v>4556</v>
      </c>
      <c r="E5498">
        <v>344496</v>
      </c>
      <c r="F5498" s="4" t="s">
        <v>326</v>
      </c>
      <c r="G5498" t="s">
        <v>29</v>
      </c>
      <c r="H5498" t="s">
        <v>327</v>
      </c>
    </row>
    <row r="5499" spans="1:8" x14ac:dyDescent="0.25">
      <c r="A5499" t="s">
        <v>1104</v>
      </c>
      <c r="B5499" t="s">
        <v>427</v>
      </c>
      <c r="C5499" s="5">
        <v>1079341</v>
      </c>
      <c r="D5499" s="5">
        <v>18088</v>
      </c>
      <c r="E5499">
        <v>183454</v>
      </c>
      <c r="F5499" s="4" t="s">
        <v>116</v>
      </c>
      <c r="G5499" t="s">
        <v>29</v>
      </c>
      <c r="H5499" t="s">
        <v>117</v>
      </c>
    </row>
    <row r="5500" spans="1:8" x14ac:dyDescent="0.25">
      <c r="A5500" t="s">
        <v>1104</v>
      </c>
      <c r="B5500" t="s">
        <v>428</v>
      </c>
      <c r="C5500" s="5">
        <v>8</v>
      </c>
      <c r="D5500" s="5">
        <v>0</v>
      </c>
      <c r="E5500">
        <v>4</v>
      </c>
      <c r="F5500" s="4" t="s">
        <v>29</v>
      </c>
      <c r="G5500" t="s">
        <v>29</v>
      </c>
      <c r="H5500" t="s">
        <v>291</v>
      </c>
    </row>
    <row r="5501" spans="1:8" x14ac:dyDescent="0.25">
      <c r="A5501" t="s">
        <v>1104</v>
      </c>
      <c r="B5501" t="s">
        <v>429</v>
      </c>
      <c r="C5501" s="5">
        <v>460322</v>
      </c>
      <c r="D5501" s="5">
        <v>16209</v>
      </c>
      <c r="E5501">
        <v>133938</v>
      </c>
      <c r="F5501" s="4" t="s">
        <v>353</v>
      </c>
      <c r="G5501" t="s">
        <v>29</v>
      </c>
      <c r="H5501" t="s">
        <v>354</v>
      </c>
    </row>
    <row r="5502" spans="1:8" x14ac:dyDescent="0.25">
      <c r="A5502" t="s">
        <v>1104</v>
      </c>
      <c r="B5502" t="s">
        <v>432</v>
      </c>
      <c r="C5502" s="5">
        <v>237867</v>
      </c>
      <c r="D5502" s="5">
        <v>608</v>
      </c>
      <c r="E5502">
        <v>232331</v>
      </c>
      <c r="F5502" s="4" t="s">
        <v>794</v>
      </c>
      <c r="G5502" t="s">
        <v>29</v>
      </c>
      <c r="H5502" t="s">
        <v>795</v>
      </c>
    </row>
    <row r="5503" spans="1:8" x14ac:dyDescent="0.25">
      <c r="A5503" t="s">
        <v>1104</v>
      </c>
      <c r="B5503" t="s">
        <v>435</v>
      </c>
      <c r="C5503" s="5">
        <v>54024</v>
      </c>
      <c r="D5503" s="5">
        <v>370</v>
      </c>
      <c r="E5503">
        <v>26462</v>
      </c>
      <c r="F5503" s="4" t="s">
        <v>605</v>
      </c>
      <c r="G5503" t="s">
        <v>29</v>
      </c>
      <c r="H5503" t="s">
        <v>606</v>
      </c>
    </row>
    <row r="5504" spans="1:8" x14ac:dyDescent="0.25">
      <c r="A5504" t="s">
        <v>1104</v>
      </c>
      <c r="B5504" t="s">
        <v>436</v>
      </c>
      <c r="C5504" s="5">
        <v>1445714</v>
      </c>
      <c r="D5504" s="5">
        <v>41482</v>
      </c>
      <c r="E5504">
        <v>212663</v>
      </c>
      <c r="F5504" s="4" t="s">
        <v>168</v>
      </c>
      <c r="G5504" t="s">
        <v>29</v>
      </c>
      <c r="H5504" t="s">
        <v>169</v>
      </c>
    </row>
    <row r="5505" spans="1:8" x14ac:dyDescent="0.25">
      <c r="A5505" t="s">
        <v>1104</v>
      </c>
      <c r="B5505" t="s">
        <v>439</v>
      </c>
      <c r="C5505" s="5">
        <v>1043758</v>
      </c>
      <c r="D5505" s="5">
        <v>9052</v>
      </c>
      <c r="E5505">
        <v>155183</v>
      </c>
      <c r="F5505" s="4" t="s">
        <v>498</v>
      </c>
      <c r="G5505" t="s">
        <v>29</v>
      </c>
      <c r="H5505" t="s">
        <v>499</v>
      </c>
    </row>
    <row r="5506" spans="1:8" x14ac:dyDescent="0.25">
      <c r="A5506" t="s">
        <v>1104</v>
      </c>
      <c r="B5506" t="s">
        <v>440</v>
      </c>
      <c r="C5506" s="5">
        <v>7837101</v>
      </c>
      <c r="D5506" s="5">
        <v>218362</v>
      </c>
      <c r="E5506">
        <v>3556030</v>
      </c>
      <c r="F5506" s="4" t="s">
        <v>662</v>
      </c>
      <c r="G5506" t="s">
        <v>29</v>
      </c>
      <c r="H5506" t="s">
        <v>663</v>
      </c>
    </row>
    <row r="5507" spans="1:8" x14ac:dyDescent="0.25">
      <c r="A5507" t="s">
        <v>1104</v>
      </c>
      <c r="B5507" t="s">
        <v>443</v>
      </c>
      <c r="C5507" s="5">
        <v>99128</v>
      </c>
      <c r="D5507" s="5">
        <v>1313</v>
      </c>
      <c r="E5507">
        <v>6413</v>
      </c>
      <c r="F5507" s="4" t="s">
        <v>307</v>
      </c>
      <c r="G5507" t="s">
        <v>29</v>
      </c>
      <c r="H5507" t="s">
        <v>308</v>
      </c>
    </row>
    <row r="5508" spans="1:8" x14ac:dyDescent="0.25">
      <c r="A5508" t="s">
        <v>1104</v>
      </c>
      <c r="B5508" t="s">
        <v>444</v>
      </c>
      <c r="C5508" s="5">
        <v>547890</v>
      </c>
      <c r="D5508" s="5">
        <v>8760</v>
      </c>
      <c r="E5508">
        <v>184034</v>
      </c>
      <c r="F5508" s="4" t="s">
        <v>313</v>
      </c>
      <c r="G5508" t="s">
        <v>29</v>
      </c>
      <c r="H5508" t="s">
        <v>314</v>
      </c>
    </row>
    <row r="5509" spans="1:8" x14ac:dyDescent="0.25">
      <c r="A5509" t="s">
        <v>1104</v>
      </c>
      <c r="B5509" t="s">
        <v>445</v>
      </c>
      <c r="C5509" s="5">
        <v>20</v>
      </c>
      <c r="D5509" s="5">
        <v>0</v>
      </c>
      <c r="E5509">
        <v>3</v>
      </c>
      <c r="F5509" s="4" t="s">
        <v>29</v>
      </c>
      <c r="G5509" t="s">
        <v>29</v>
      </c>
      <c r="H5509" t="s">
        <v>291</v>
      </c>
    </row>
    <row r="5510" spans="1:8" x14ac:dyDescent="0.25">
      <c r="A5510" t="s">
        <v>1104</v>
      </c>
      <c r="B5510" t="s">
        <v>446</v>
      </c>
      <c r="C5510" s="5">
        <v>21854</v>
      </c>
      <c r="D5510" s="5">
        <v>119</v>
      </c>
      <c r="E5510">
        <v>10403</v>
      </c>
      <c r="F5510" s="4" t="s">
        <v>919</v>
      </c>
      <c r="G5510" t="s">
        <v>29</v>
      </c>
      <c r="H5510" t="s">
        <v>920</v>
      </c>
    </row>
    <row r="5511" spans="1:8" x14ac:dyDescent="0.25">
      <c r="A5511" t="s">
        <v>1104</v>
      </c>
      <c r="B5511" t="s">
        <v>449</v>
      </c>
      <c r="C5511" s="5">
        <v>39550</v>
      </c>
      <c r="D5511" s="5">
        <v>3038</v>
      </c>
      <c r="E5511">
        <v>27400</v>
      </c>
      <c r="F5511" s="4" t="s">
        <v>1096</v>
      </c>
      <c r="G5511" t="s">
        <v>29</v>
      </c>
      <c r="H5511" t="s">
        <v>1097</v>
      </c>
    </row>
    <row r="5512" spans="1:8" x14ac:dyDescent="0.25">
      <c r="A5512" t="s">
        <v>1104</v>
      </c>
      <c r="B5512" t="s">
        <v>452</v>
      </c>
      <c r="C5512" s="5">
        <v>1161933</v>
      </c>
      <c r="D5512" s="5">
        <v>14956</v>
      </c>
      <c r="E5512">
        <v>52235</v>
      </c>
      <c r="F5512" s="4" t="s">
        <v>417</v>
      </c>
      <c r="G5512" t="s">
        <v>29</v>
      </c>
      <c r="H5512" t="s">
        <v>418</v>
      </c>
    </row>
    <row r="5513" spans="1:8" x14ac:dyDescent="0.25">
      <c r="A5513" t="s">
        <v>1104</v>
      </c>
      <c r="B5513" t="s">
        <v>453</v>
      </c>
      <c r="C5513" s="5">
        <v>145120</v>
      </c>
      <c r="D5513" s="5">
        <v>224</v>
      </c>
      <c r="E5513">
        <v>13076</v>
      </c>
      <c r="F5513" s="4" t="s">
        <v>915</v>
      </c>
      <c r="G5513" t="s">
        <v>29</v>
      </c>
      <c r="H5513" t="s">
        <v>916</v>
      </c>
    </row>
    <row r="5514" spans="1:8" x14ac:dyDescent="0.25">
      <c r="A5514" t="s">
        <v>1104</v>
      </c>
      <c r="B5514" t="s">
        <v>456</v>
      </c>
      <c r="C5514" s="5">
        <v>307503</v>
      </c>
      <c r="D5514" s="5">
        <v>4635</v>
      </c>
      <c r="E5514">
        <v>20253</v>
      </c>
      <c r="F5514" s="4" t="s">
        <v>202</v>
      </c>
      <c r="G5514" t="s">
        <v>29</v>
      </c>
      <c r="H5514" t="s">
        <v>203</v>
      </c>
    </row>
    <row r="5515" spans="1:8" x14ac:dyDescent="0.25">
      <c r="A5515" t="s">
        <v>1104</v>
      </c>
      <c r="B5515" t="s">
        <v>457</v>
      </c>
      <c r="C5515" s="5">
        <v>433709</v>
      </c>
      <c r="D5515" s="5">
        <v>12816</v>
      </c>
      <c r="E5515">
        <v>240010</v>
      </c>
      <c r="F5515" s="4" t="s">
        <v>884</v>
      </c>
      <c r="G5515" t="s">
        <v>29</v>
      </c>
      <c r="H5515" t="s">
        <v>885</v>
      </c>
    </row>
    <row r="5516" spans="1:8" x14ac:dyDescent="0.25">
      <c r="A5516" t="s">
        <v>1104</v>
      </c>
      <c r="B5516" t="s">
        <v>460</v>
      </c>
      <c r="C5516" s="5">
        <v>6396</v>
      </c>
      <c r="D5516" s="5">
        <v>121</v>
      </c>
      <c r="E5516">
        <v>5922</v>
      </c>
      <c r="F5516" s="4" t="s">
        <v>461</v>
      </c>
      <c r="G5516" t="s">
        <v>29</v>
      </c>
      <c r="H5516" t="s">
        <v>462</v>
      </c>
    </row>
    <row r="5517" spans="1:8" x14ac:dyDescent="0.25">
      <c r="A5517" t="s">
        <v>1104</v>
      </c>
      <c r="B5517" t="s">
        <v>463</v>
      </c>
      <c r="C5517" s="5">
        <v>5473</v>
      </c>
      <c r="D5517" s="5">
        <v>91</v>
      </c>
      <c r="E5517">
        <v>4018</v>
      </c>
      <c r="F5517" s="4" t="s">
        <v>135</v>
      </c>
      <c r="G5517" t="s">
        <v>29</v>
      </c>
      <c r="H5517" t="s">
        <v>136</v>
      </c>
    </row>
    <row r="5518" spans="1:8" x14ac:dyDescent="0.25">
      <c r="A5518" t="s">
        <v>1104</v>
      </c>
      <c r="B5518" t="s">
        <v>464</v>
      </c>
      <c r="C5518" s="5">
        <v>73865</v>
      </c>
      <c r="D5518" s="5">
        <v>1871</v>
      </c>
      <c r="E5518">
        <v>27730</v>
      </c>
      <c r="F5518" s="4" t="s">
        <v>611</v>
      </c>
      <c r="G5518" t="s">
        <v>29</v>
      </c>
      <c r="H5518" t="s">
        <v>612</v>
      </c>
    </row>
    <row r="5519" spans="1:8" x14ac:dyDescent="0.25">
      <c r="A5519" t="s">
        <v>1104</v>
      </c>
      <c r="B5519" t="s">
        <v>465</v>
      </c>
      <c r="C5519" s="5">
        <v>21269</v>
      </c>
      <c r="D5519" s="5">
        <v>1180</v>
      </c>
      <c r="E5519">
        <v>5250</v>
      </c>
      <c r="F5519" s="4" t="s">
        <v>1005</v>
      </c>
      <c r="G5519" t="s">
        <v>29</v>
      </c>
      <c r="H5519" t="s">
        <v>1006</v>
      </c>
    </row>
    <row r="5520" spans="1:8" x14ac:dyDescent="0.25">
      <c r="A5520" t="s">
        <v>1104</v>
      </c>
      <c r="B5520" t="s">
        <v>468</v>
      </c>
      <c r="C5520" s="5">
        <v>46313</v>
      </c>
      <c r="D5520" s="5">
        <v>1014</v>
      </c>
      <c r="E5520">
        <v>17830</v>
      </c>
      <c r="F5520" s="4" t="s">
        <v>50</v>
      </c>
      <c r="G5520" t="s">
        <v>29</v>
      </c>
      <c r="H5520" t="s">
        <v>51</v>
      </c>
    </row>
    <row r="5521" spans="1:8" x14ac:dyDescent="0.25">
      <c r="A5521" t="s">
        <v>1104</v>
      </c>
      <c r="B5521" t="s">
        <v>472</v>
      </c>
      <c r="C5521" s="5">
        <v>3675</v>
      </c>
      <c r="D5521" s="5">
        <v>56</v>
      </c>
      <c r="E5521">
        <v>1650</v>
      </c>
      <c r="F5521" s="4" t="s">
        <v>589</v>
      </c>
      <c r="G5521" t="s">
        <v>29</v>
      </c>
      <c r="H5521" t="s">
        <v>590</v>
      </c>
    </row>
    <row r="5522" spans="1:8" x14ac:dyDescent="0.25">
      <c r="A5522" t="s">
        <v>1104</v>
      </c>
      <c r="B5522" t="s">
        <v>471</v>
      </c>
      <c r="C5522" s="5">
        <v>12184</v>
      </c>
      <c r="D5522" s="5">
        <v>130</v>
      </c>
      <c r="E5522">
        <v>1147</v>
      </c>
      <c r="F5522" s="4" t="s">
        <v>654</v>
      </c>
      <c r="G5522" t="s">
        <v>29</v>
      </c>
      <c r="H5522" t="s">
        <v>655</v>
      </c>
    </row>
    <row r="5523" spans="1:8" x14ac:dyDescent="0.25">
      <c r="A5523" t="s">
        <v>1104</v>
      </c>
      <c r="B5523" t="s">
        <v>473</v>
      </c>
      <c r="C5523" s="5">
        <v>110188</v>
      </c>
      <c r="D5523" s="5">
        <v>3460</v>
      </c>
      <c r="E5523">
        <v>83634</v>
      </c>
      <c r="F5523" s="4" t="s">
        <v>1107</v>
      </c>
      <c r="G5523" t="s">
        <v>29</v>
      </c>
      <c r="H5523" t="s">
        <v>1108</v>
      </c>
    </row>
    <row r="5524" spans="1:8" x14ac:dyDescent="0.25">
      <c r="A5524" t="s">
        <v>1104</v>
      </c>
      <c r="B5524" t="s">
        <v>476</v>
      </c>
      <c r="C5524" s="5">
        <v>38705</v>
      </c>
      <c r="D5524" s="5">
        <v>2391</v>
      </c>
      <c r="E5524">
        <v>7696</v>
      </c>
      <c r="F5524" s="4" t="s">
        <v>1109</v>
      </c>
      <c r="G5524" t="s">
        <v>29</v>
      </c>
      <c r="H5524" t="s">
        <v>1110</v>
      </c>
    </row>
    <row r="5525" spans="1:8" x14ac:dyDescent="0.25">
      <c r="A5525" t="s">
        <v>1104</v>
      </c>
      <c r="B5525" t="s">
        <v>479</v>
      </c>
      <c r="C5525" s="5">
        <v>46361</v>
      </c>
      <c r="D5525" s="5">
        <v>1233</v>
      </c>
      <c r="E5525">
        <v>19722</v>
      </c>
      <c r="F5525" s="4" t="s">
        <v>47</v>
      </c>
      <c r="G5525" t="s">
        <v>29</v>
      </c>
      <c r="H5525" t="s">
        <v>48</v>
      </c>
    </row>
    <row r="5526" spans="1:8" x14ac:dyDescent="0.25">
      <c r="A5526" t="s">
        <v>1104</v>
      </c>
      <c r="B5526" t="s">
        <v>482</v>
      </c>
      <c r="C5526" s="5">
        <v>5067</v>
      </c>
      <c r="D5526" s="5">
        <v>174</v>
      </c>
      <c r="E5526">
        <v>1869</v>
      </c>
      <c r="F5526" s="4" t="s">
        <v>252</v>
      </c>
      <c r="G5526" t="s">
        <v>29</v>
      </c>
      <c r="H5526" t="s">
        <v>253</v>
      </c>
    </row>
    <row r="5527" spans="1:8" x14ac:dyDescent="0.25">
      <c r="A5527" t="s">
        <v>1104</v>
      </c>
      <c r="B5527" t="s">
        <v>483</v>
      </c>
      <c r="C5527" s="5">
        <v>25865</v>
      </c>
      <c r="D5527" s="5">
        <v>238</v>
      </c>
      <c r="E5527">
        <v>17787</v>
      </c>
      <c r="F5527" s="4" t="s">
        <v>214</v>
      </c>
      <c r="G5527" t="s">
        <v>29</v>
      </c>
      <c r="H5527" t="s">
        <v>215</v>
      </c>
    </row>
    <row r="5528" spans="1:8" x14ac:dyDescent="0.25">
      <c r="A5528" t="s">
        <v>1104</v>
      </c>
      <c r="B5528" t="s">
        <v>486</v>
      </c>
      <c r="C5528" s="5">
        <v>1772838</v>
      </c>
      <c r="D5528" s="5">
        <v>18205</v>
      </c>
      <c r="E5528">
        <v>1688786</v>
      </c>
      <c r="F5528" s="4" t="s">
        <v>687</v>
      </c>
      <c r="G5528" t="s">
        <v>29</v>
      </c>
      <c r="H5528" t="s">
        <v>688</v>
      </c>
    </row>
    <row r="5529" spans="1:8" x14ac:dyDescent="0.25">
      <c r="A5529" t="s">
        <v>1104</v>
      </c>
      <c r="B5529" t="s">
        <v>487</v>
      </c>
      <c r="C5529" s="5">
        <v>17484</v>
      </c>
      <c r="D5529" s="5">
        <v>125</v>
      </c>
      <c r="E5529">
        <v>1273</v>
      </c>
      <c r="F5529" s="4" t="s">
        <v>488</v>
      </c>
      <c r="G5529" t="s">
        <v>29</v>
      </c>
      <c r="H5529" t="s">
        <v>489</v>
      </c>
    </row>
    <row r="5530" spans="1:8" x14ac:dyDescent="0.25">
      <c r="A5530" t="s">
        <v>1104</v>
      </c>
      <c r="B5530" t="s">
        <v>490</v>
      </c>
      <c r="C5530" s="5">
        <v>19707</v>
      </c>
      <c r="D5530" s="5">
        <v>119</v>
      </c>
      <c r="E5530">
        <v>13013</v>
      </c>
      <c r="F5530" s="4" t="s">
        <v>300</v>
      </c>
      <c r="G5530" t="s">
        <v>29</v>
      </c>
      <c r="H5530" t="s">
        <v>301</v>
      </c>
    </row>
    <row r="5531" spans="1:8" x14ac:dyDescent="0.25">
      <c r="A5531" t="s">
        <v>1104</v>
      </c>
      <c r="B5531" t="s">
        <v>493</v>
      </c>
      <c r="C5531" s="5">
        <v>710773</v>
      </c>
      <c r="D5531" s="5">
        <v>25085</v>
      </c>
      <c r="E5531">
        <v>574591</v>
      </c>
      <c r="F5531" s="4" t="s">
        <v>430</v>
      </c>
      <c r="G5531" t="s">
        <v>29</v>
      </c>
      <c r="H5531" t="s">
        <v>431</v>
      </c>
    </row>
    <row r="5532" spans="1:8" x14ac:dyDescent="0.25">
      <c r="A5532" t="s">
        <v>1104</v>
      </c>
      <c r="B5532" t="s">
        <v>497</v>
      </c>
      <c r="C5532" s="5">
        <v>7630133</v>
      </c>
      <c r="D5532" s="5">
        <v>67437</v>
      </c>
      <c r="E5532">
        <v>6127408</v>
      </c>
      <c r="F5532" s="4" t="s">
        <v>609</v>
      </c>
      <c r="G5532" t="s">
        <v>29</v>
      </c>
      <c r="H5532" t="s">
        <v>610</v>
      </c>
    </row>
    <row r="5533" spans="1:8" x14ac:dyDescent="0.25">
      <c r="A5533" t="s">
        <v>1104</v>
      </c>
      <c r="B5533" t="s">
        <v>500</v>
      </c>
      <c r="C5533" s="5">
        <v>53887</v>
      </c>
      <c r="D5533" s="5">
        <v>1593</v>
      </c>
      <c r="E5533">
        <v>7557</v>
      </c>
      <c r="F5533" s="4" t="s">
        <v>731</v>
      </c>
      <c r="G5533" t="s">
        <v>29</v>
      </c>
      <c r="H5533" t="s">
        <v>732</v>
      </c>
    </row>
    <row r="5534" spans="1:8" x14ac:dyDescent="0.25">
      <c r="A5534" t="s">
        <v>1104</v>
      </c>
      <c r="B5534" t="s">
        <v>503</v>
      </c>
      <c r="C5534" s="5">
        <v>16336</v>
      </c>
      <c r="D5534" s="5">
        <v>846</v>
      </c>
      <c r="E5534">
        <v>8607</v>
      </c>
      <c r="F5534" s="4" t="s">
        <v>1071</v>
      </c>
      <c r="G5534" t="s">
        <v>29</v>
      </c>
      <c r="H5534" t="s">
        <v>1072</v>
      </c>
    </row>
    <row r="5535" spans="1:8" x14ac:dyDescent="0.25">
      <c r="A5535" t="s">
        <v>1104</v>
      </c>
      <c r="B5535" t="s">
        <v>506</v>
      </c>
      <c r="C5535" s="5">
        <v>26034</v>
      </c>
      <c r="D5535" s="5">
        <v>724</v>
      </c>
      <c r="E5535">
        <v>10875</v>
      </c>
      <c r="F5535" s="4" t="s">
        <v>98</v>
      </c>
      <c r="G5535" t="s">
        <v>29</v>
      </c>
      <c r="H5535" t="s">
        <v>99</v>
      </c>
    </row>
    <row r="5536" spans="1:8" x14ac:dyDescent="0.25">
      <c r="A5536" t="s">
        <v>1104</v>
      </c>
      <c r="B5536" t="s">
        <v>509</v>
      </c>
      <c r="C5536" s="5">
        <v>2745165</v>
      </c>
      <c r="D5536" s="5">
        <v>64367</v>
      </c>
      <c r="E5536">
        <v>2130191</v>
      </c>
      <c r="F5536" s="4" t="s">
        <v>681</v>
      </c>
      <c r="G5536" t="s">
        <v>29</v>
      </c>
      <c r="H5536" t="s">
        <v>682</v>
      </c>
    </row>
    <row r="5537" spans="1:8" x14ac:dyDescent="0.25">
      <c r="A5537" t="s">
        <v>1104</v>
      </c>
      <c r="B5537" t="s">
        <v>512</v>
      </c>
      <c r="C5537" s="5">
        <v>125094</v>
      </c>
      <c r="D5537" s="5">
        <v>3182</v>
      </c>
      <c r="E5537">
        <v>5834</v>
      </c>
      <c r="F5537" s="4" t="s">
        <v>141</v>
      </c>
      <c r="G5537" t="s">
        <v>29</v>
      </c>
      <c r="H5537" t="s">
        <v>142</v>
      </c>
    </row>
    <row r="5538" spans="1:8" x14ac:dyDescent="0.25">
      <c r="A5538" t="s">
        <v>1104</v>
      </c>
      <c r="B5538" t="s">
        <v>515</v>
      </c>
      <c r="C5538" s="5">
        <v>44916737</v>
      </c>
      <c r="D5538" s="5">
        <v>723765</v>
      </c>
      <c r="E5538">
        <v>34999952</v>
      </c>
      <c r="F5538" s="4" t="s">
        <v>587</v>
      </c>
      <c r="G5538" t="s">
        <v>29</v>
      </c>
      <c r="H5538" t="s">
        <v>588</v>
      </c>
    </row>
    <row r="5539" spans="1:8" x14ac:dyDescent="0.25">
      <c r="A5539" t="s">
        <v>1104</v>
      </c>
      <c r="B5539" t="s">
        <v>518</v>
      </c>
      <c r="C5539" s="5">
        <v>390915</v>
      </c>
      <c r="D5539" s="5">
        <v>6067</v>
      </c>
      <c r="E5539">
        <v>57647</v>
      </c>
      <c r="F5539" s="4" t="s">
        <v>333</v>
      </c>
      <c r="G5539" t="s">
        <v>29</v>
      </c>
      <c r="H5539" t="s">
        <v>334</v>
      </c>
    </row>
    <row r="5540" spans="1:8" x14ac:dyDescent="0.25">
      <c r="A5540" t="s">
        <v>1104</v>
      </c>
      <c r="B5540" t="s">
        <v>521</v>
      </c>
      <c r="C5540" s="5">
        <v>180566</v>
      </c>
      <c r="D5540" s="5">
        <v>1285</v>
      </c>
      <c r="E5540">
        <v>38606</v>
      </c>
      <c r="F5540" s="4" t="s">
        <v>488</v>
      </c>
      <c r="G5540" t="s">
        <v>29</v>
      </c>
      <c r="H5540" t="s">
        <v>489</v>
      </c>
    </row>
    <row r="5541" spans="1:8" x14ac:dyDescent="0.25">
      <c r="A5541" t="s">
        <v>1104</v>
      </c>
      <c r="B5541" t="s">
        <v>523</v>
      </c>
      <c r="C5541" s="5">
        <v>4418</v>
      </c>
      <c r="D5541" s="5">
        <v>47</v>
      </c>
      <c r="E5541">
        <v>4256</v>
      </c>
      <c r="F5541" s="4" t="s">
        <v>165</v>
      </c>
      <c r="G5541" t="s">
        <v>29</v>
      </c>
      <c r="H5541" t="s">
        <v>166</v>
      </c>
    </row>
    <row r="5542" spans="1:8" x14ac:dyDescent="0.25">
      <c r="A5542" t="s">
        <v>1104</v>
      </c>
      <c r="B5542" t="s">
        <v>522</v>
      </c>
      <c r="C5542" s="5">
        <v>27</v>
      </c>
      <c r="D5542" s="5">
        <v>0</v>
      </c>
      <c r="E5542">
        <v>19</v>
      </c>
      <c r="F5542" s="4" t="s">
        <v>29</v>
      </c>
      <c r="G5542" t="s">
        <v>29</v>
      </c>
      <c r="H5542" t="s">
        <v>291</v>
      </c>
    </row>
    <row r="5543" spans="1:8" x14ac:dyDescent="0.25">
      <c r="A5543" t="s">
        <v>1104</v>
      </c>
      <c r="B5543" t="s">
        <v>524</v>
      </c>
      <c r="C5543" s="5">
        <v>390045</v>
      </c>
      <c r="D5543" s="5">
        <v>4693</v>
      </c>
      <c r="E5543">
        <v>69485</v>
      </c>
      <c r="F5543" s="4" t="s">
        <v>525</v>
      </c>
      <c r="G5543" t="s">
        <v>29</v>
      </c>
      <c r="H5543" t="s">
        <v>526</v>
      </c>
    </row>
    <row r="5544" spans="1:8" x14ac:dyDescent="0.25">
      <c r="A5544" t="s">
        <v>1104</v>
      </c>
      <c r="B5544" t="s">
        <v>527</v>
      </c>
      <c r="C5544" s="5">
        <v>860860</v>
      </c>
      <c r="D5544" s="5">
        <v>21131</v>
      </c>
      <c r="E5544">
        <v>134131</v>
      </c>
      <c r="F5544" s="4" t="s">
        <v>999</v>
      </c>
      <c r="G5544" t="s">
        <v>29</v>
      </c>
      <c r="H5544" t="s">
        <v>1000</v>
      </c>
    </row>
    <row r="5545" spans="1:8" x14ac:dyDescent="0.25">
      <c r="A5545" t="s">
        <v>1104</v>
      </c>
      <c r="B5545" t="s">
        <v>530</v>
      </c>
      <c r="C5545" s="5">
        <v>4</v>
      </c>
      <c r="D5545" s="5">
        <v>1</v>
      </c>
      <c r="E5545">
        <v>1</v>
      </c>
      <c r="F5545" s="4" t="s">
        <v>973</v>
      </c>
      <c r="G5545" t="s">
        <v>29</v>
      </c>
      <c r="H5545" t="s">
        <v>974</v>
      </c>
    </row>
    <row r="5546" spans="1:8" x14ac:dyDescent="0.25">
      <c r="A5546" t="s">
        <v>1104</v>
      </c>
      <c r="B5546" t="s">
        <v>533</v>
      </c>
      <c r="C5546" s="5">
        <v>3</v>
      </c>
      <c r="D5546" s="5">
        <v>0</v>
      </c>
      <c r="E5546">
        <v>0</v>
      </c>
      <c r="F5546" s="4" t="s">
        <v>29</v>
      </c>
      <c r="G5546" t="s">
        <v>29</v>
      </c>
      <c r="H5546" t="s">
        <v>291</v>
      </c>
    </row>
    <row r="5547" spans="1:8" x14ac:dyDescent="0.25">
      <c r="A5547" t="s">
        <v>1104</v>
      </c>
      <c r="B5547" t="s">
        <v>534</v>
      </c>
      <c r="C5547" s="5">
        <v>160530</v>
      </c>
      <c r="D5547" s="5">
        <v>2973</v>
      </c>
      <c r="E5547">
        <v>100930</v>
      </c>
      <c r="F5547" s="4" t="s">
        <v>535</v>
      </c>
      <c r="G5547" t="s">
        <v>29</v>
      </c>
      <c r="H5547" t="s">
        <v>536</v>
      </c>
    </row>
    <row r="5548" spans="1:8" x14ac:dyDescent="0.25">
      <c r="A5548" t="s">
        <v>1104</v>
      </c>
      <c r="B5548" t="s">
        <v>537</v>
      </c>
      <c r="C5548" s="5">
        <v>9512</v>
      </c>
      <c r="D5548" s="5">
        <v>1802</v>
      </c>
      <c r="E5548">
        <v>5884</v>
      </c>
      <c r="F5548" s="4" t="s">
        <v>1092</v>
      </c>
      <c r="G5548" t="s">
        <v>29</v>
      </c>
      <c r="H5548" t="s">
        <v>1093</v>
      </c>
    </row>
    <row r="5549" spans="1:8" x14ac:dyDescent="0.25">
      <c r="A5549" t="s">
        <v>1104</v>
      </c>
      <c r="B5549" t="s">
        <v>540</v>
      </c>
      <c r="C5549" s="5">
        <v>20439</v>
      </c>
      <c r="D5549" s="5">
        <v>181</v>
      </c>
      <c r="E5549">
        <v>13914</v>
      </c>
      <c r="F5549" s="4" t="s">
        <v>65</v>
      </c>
      <c r="G5549" t="s">
        <v>29</v>
      </c>
      <c r="H5549" t="s">
        <v>66</v>
      </c>
    </row>
    <row r="5550" spans="1:8" x14ac:dyDescent="0.25">
      <c r="A5550" t="s">
        <v>1104</v>
      </c>
      <c r="B5550" t="s">
        <v>541</v>
      </c>
      <c r="C5550" s="5">
        <v>2916179</v>
      </c>
      <c r="D5550" s="5">
        <v>88587</v>
      </c>
      <c r="E5550">
        <v>879560</v>
      </c>
      <c r="F5550" s="4" t="s">
        <v>320</v>
      </c>
      <c r="G5550" t="s">
        <v>29</v>
      </c>
      <c r="H5550" t="s">
        <v>321</v>
      </c>
    </row>
    <row r="5551" spans="1:8" x14ac:dyDescent="0.25">
      <c r="A5551" t="s">
        <v>1104</v>
      </c>
      <c r="B5551" t="s">
        <v>544</v>
      </c>
      <c r="C5551" s="5">
        <v>209505</v>
      </c>
      <c r="D5551" s="5">
        <v>3658</v>
      </c>
      <c r="E5551">
        <v>128251</v>
      </c>
      <c r="F5551" s="4" t="s">
        <v>545</v>
      </c>
      <c r="G5551" t="s">
        <v>29</v>
      </c>
      <c r="H5551" t="s">
        <v>546</v>
      </c>
    </row>
    <row r="5552" spans="1:8" x14ac:dyDescent="0.25">
      <c r="A5552" t="s">
        <v>1104</v>
      </c>
      <c r="B5552" t="s">
        <v>547</v>
      </c>
      <c r="C5552" s="5">
        <v>132333</v>
      </c>
      <c r="D5552" s="5">
        <v>4657</v>
      </c>
      <c r="E5552">
        <v>22795</v>
      </c>
      <c r="F5552" s="4" t="s">
        <v>353</v>
      </c>
      <c r="G5552" t="s">
        <v>29</v>
      </c>
      <c r="H5552" t="s">
        <v>354</v>
      </c>
    </row>
    <row r="5553" spans="1:8" x14ac:dyDescent="0.25">
      <c r="A5553" t="s">
        <v>1104</v>
      </c>
      <c r="B5553" t="s">
        <v>548</v>
      </c>
      <c r="C5553" s="5">
        <v>721</v>
      </c>
      <c r="D5553" s="5">
        <v>15</v>
      </c>
      <c r="E5553">
        <v>465</v>
      </c>
      <c r="F5553" s="4" t="s">
        <v>549</v>
      </c>
      <c r="G5553" t="s">
        <v>29</v>
      </c>
      <c r="H5553" t="s">
        <v>550</v>
      </c>
    </row>
    <row r="5554" spans="1:8" x14ac:dyDescent="0.25">
      <c r="A5554" t="s">
        <v>1111</v>
      </c>
      <c r="B5554" t="s">
        <v>548</v>
      </c>
      <c r="C5554" s="5">
        <v>721</v>
      </c>
      <c r="D5554" s="5">
        <v>15</v>
      </c>
      <c r="E5554">
        <v>480</v>
      </c>
      <c r="F5554" s="4" t="s">
        <v>549</v>
      </c>
      <c r="G5554" t="s">
        <v>29</v>
      </c>
      <c r="H5554" t="s">
        <v>550</v>
      </c>
    </row>
    <row r="5555" spans="1:8" x14ac:dyDescent="0.25">
      <c r="A5555" t="s">
        <v>1111</v>
      </c>
      <c r="B5555" t="s">
        <v>547</v>
      </c>
      <c r="C5555" s="5">
        <v>132285</v>
      </c>
      <c r="D5555" s="5">
        <v>4655</v>
      </c>
      <c r="E5555">
        <v>39211</v>
      </c>
      <c r="F5555" s="4" t="s">
        <v>353</v>
      </c>
      <c r="G5555" t="s">
        <v>29</v>
      </c>
      <c r="H5555" t="s">
        <v>354</v>
      </c>
    </row>
    <row r="5556" spans="1:8" x14ac:dyDescent="0.25">
      <c r="A5556" t="s">
        <v>1111</v>
      </c>
      <c r="B5556" t="s">
        <v>544</v>
      </c>
      <c r="C5556" s="5">
        <v>209477</v>
      </c>
      <c r="D5556" s="5">
        <v>3657</v>
      </c>
      <c r="E5556">
        <v>5975</v>
      </c>
      <c r="F5556" s="4" t="s">
        <v>545</v>
      </c>
      <c r="G5556" t="s">
        <v>29</v>
      </c>
      <c r="H5556" t="s">
        <v>546</v>
      </c>
    </row>
    <row r="5557" spans="1:8" x14ac:dyDescent="0.25">
      <c r="A5557" t="s">
        <v>1111</v>
      </c>
      <c r="B5557" t="s">
        <v>541</v>
      </c>
      <c r="C5557" s="5">
        <v>2915560</v>
      </c>
      <c r="D5557" s="5">
        <v>88562</v>
      </c>
      <c r="E5557">
        <v>1357234</v>
      </c>
      <c r="F5557" s="4" t="s">
        <v>320</v>
      </c>
      <c r="G5557" t="s">
        <v>29</v>
      </c>
      <c r="H5557" t="s">
        <v>321</v>
      </c>
    </row>
    <row r="5558" spans="1:8" x14ac:dyDescent="0.25">
      <c r="A5558" t="s">
        <v>1111</v>
      </c>
      <c r="B5558" t="s">
        <v>540</v>
      </c>
      <c r="C5558" s="5">
        <v>20439</v>
      </c>
      <c r="D5558" s="5">
        <v>181</v>
      </c>
      <c r="E5558">
        <v>11003</v>
      </c>
      <c r="F5558" s="4" t="s">
        <v>65</v>
      </c>
      <c r="G5558" t="s">
        <v>29</v>
      </c>
      <c r="H5558" t="s">
        <v>66</v>
      </c>
    </row>
    <row r="5559" spans="1:8" x14ac:dyDescent="0.25">
      <c r="A5559" t="s">
        <v>1111</v>
      </c>
      <c r="B5559" t="s">
        <v>537</v>
      </c>
      <c r="C5559" s="5">
        <v>9495</v>
      </c>
      <c r="D5559" s="5">
        <v>1798</v>
      </c>
      <c r="E5559">
        <v>4867</v>
      </c>
      <c r="F5559" s="4" t="s">
        <v>1092</v>
      </c>
      <c r="G5559" t="s">
        <v>29</v>
      </c>
      <c r="H5559" t="s">
        <v>1093</v>
      </c>
    </row>
    <row r="5560" spans="1:8" x14ac:dyDescent="0.25">
      <c r="A5560" t="s">
        <v>1111</v>
      </c>
      <c r="B5560" t="s">
        <v>534</v>
      </c>
      <c r="C5560" s="5">
        <v>160515</v>
      </c>
      <c r="D5560" s="5">
        <v>2973</v>
      </c>
      <c r="E5560">
        <v>137230</v>
      </c>
      <c r="F5560" s="4" t="s">
        <v>535</v>
      </c>
      <c r="G5560" t="s">
        <v>29</v>
      </c>
      <c r="H5560" t="s">
        <v>536</v>
      </c>
    </row>
    <row r="5561" spans="1:8" x14ac:dyDescent="0.25">
      <c r="A5561" t="s">
        <v>1111</v>
      </c>
      <c r="B5561" t="s">
        <v>533</v>
      </c>
      <c r="C5561" s="5">
        <v>3</v>
      </c>
      <c r="D5561" s="5">
        <v>0</v>
      </c>
      <c r="E5561">
        <v>1</v>
      </c>
      <c r="F5561" s="4" t="s">
        <v>29</v>
      </c>
      <c r="G5561" t="s">
        <v>29</v>
      </c>
      <c r="H5561" t="s">
        <v>291</v>
      </c>
    </row>
    <row r="5562" spans="1:8" x14ac:dyDescent="0.25">
      <c r="A5562" t="s">
        <v>1111</v>
      </c>
      <c r="B5562" t="s">
        <v>530</v>
      </c>
      <c r="C5562" s="5">
        <v>4</v>
      </c>
      <c r="D5562" s="5">
        <v>1</v>
      </c>
      <c r="E5562">
        <v>0</v>
      </c>
      <c r="F5562" s="4" t="s">
        <v>973</v>
      </c>
      <c r="G5562" t="s">
        <v>29</v>
      </c>
      <c r="H5562" t="s">
        <v>974</v>
      </c>
    </row>
    <row r="5563" spans="1:8" x14ac:dyDescent="0.25">
      <c r="A5563" t="s">
        <v>1111</v>
      </c>
      <c r="B5563" t="s">
        <v>527</v>
      </c>
      <c r="C5563" s="5">
        <v>857639</v>
      </c>
      <c r="D5563" s="5">
        <v>21043</v>
      </c>
      <c r="E5563">
        <v>204401</v>
      </c>
      <c r="F5563" s="4" t="s">
        <v>999</v>
      </c>
      <c r="G5563" t="s">
        <v>29</v>
      </c>
      <c r="H5563" t="s">
        <v>1000</v>
      </c>
    </row>
    <row r="5564" spans="1:8" x14ac:dyDescent="0.25">
      <c r="A5564" t="s">
        <v>1111</v>
      </c>
      <c r="B5564" t="s">
        <v>524</v>
      </c>
      <c r="C5564" s="5">
        <v>390045</v>
      </c>
      <c r="D5564" s="5">
        <v>4693</v>
      </c>
      <c r="E5564">
        <v>381590</v>
      </c>
      <c r="F5564" s="4" t="s">
        <v>525</v>
      </c>
      <c r="G5564" t="s">
        <v>29</v>
      </c>
      <c r="H5564" t="s">
        <v>526</v>
      </c>
    </row>
    <row r="5565" spans="1:8" x14ac:dyDescent="0.25">
      <c r="A5565" t="s">
        <v>1111</v>
      </c>
      <c r="B5565" t="s">
        <v>522</v>
      </c>
      <c r="C5565" s="5">
        <v>27</v>
      </c>
      <c r="D5565" s="5">
        <v>0</v>
      </c>
      <c r="E5565">
        <v>3</v>
      </c>
      <c r="F5565" s="4" t="s">
        <v>29</v>
      </c>
      <c r="G5565" t="s">
        <v>29</v>
      </c>
      <c r="H5565" t="s">
        <v>291</v>
      </c>
    </row>
    <row r="5566" spans="1:8" x14ac:dyDescent="0.25">
      <c r="A5566" t="s">
        <v>1111</v>
      </c>
      <c r="B5566" t="s">
        <v>523</v>
      </c>
      <c r="C5566" s="5">
        <v>4096</v>
      </c>
      <c r="D5566" s="5">
        <v>38</v>
      </c>
      <c r="E5566">
        <v>1607</v>
      </c>
      <c r="F5566" s="4" t="s">
        <v>484</v>
      </c>
      <c r="G5566" t="s">
        <v>29</v>
      </c>
      <c r="H5566" t="s">
        <v>485</v>
      </c>
    </row>
    <row r="5567" spans="1:8" x14ac:dyDescent="0.25">
      <c r="A5567" t="s">
        <v>1111</v>
      </c>
      <c r="B5567" t="s">
        <v>521</v>
      </c>
      <c r="C5567" s="5">
        <v>180162</v>
      </c>
      <c r="D5567" s="5">
        <v>1283</v>
      </c>
      <c r="E5567">
        <v>1092</v>
      </c>
      <c r="F5567" s="4" t="s">
        <v>488</v>
      </c>
      <c r="G5567" t="s">
        <v>29</v>
      </c>
      <c r="H5567" t="s">
        <v>489</v>
      </c>
    </row>
    <row r="5568" spans="1:8" x14ac:dyDescent="0.25">
      <c r="A5568" t="s">
        <v>1111</v>
      </c>
      <c r="B5568" t="s">
        <v>518</v>
      </c>
      <c r="C5568" s="5">
        <v>390762</v>
      </c>
      <c r="D5568" s="5">
        <v>6066</v>
      </c>
      <c r="E5568">
        <v>285446</v>
      </c>
      <c r="F5568" s="4" t="s">
        <v>333</v>
      </c>
      <c r="G5568" t="s">
        <v>29</v>
      </c>
      <c r="H5568" t="s">
        <v>334</v>
      </c>
    </row>
    <row r="5569" spans="1:8" x14ac:dyDescent="0.25">
      <c r="A5569" t="s">
        <v>1111</v>
      </c>
      <c r="B5569" t="s">
        <v>515</v>
      </c>
      <c r="C5569" s="5">
        <v>44884598</v>
      </c>
      <c r="D5569" s="5">
        <v>723368</v>
      </c>
      <c r="E5569">
        <v>26206786</v>
      </c>
      <c r="F5569" s="4" t="s">
        <v>587</v>
      </c>
      <c r="G5569" t="s">
        <v>29</v>
      </c>
      <c r="H5569" t="s">
        <v>588</v>
      </c>
    </row>
    <row r="5570" spans="1:8" x14ac:dyDescent="0.25">
      <c r="A5570" t="s">
        <v>1111</v>
      </c>
      <c r="B5570" t="s">
        <v>512</v>
      </c>
      <c r="C5570" s="5">
        <v>125049</v>
      </c>
      <c r="D5570" s="5">
        <v>3180</v>
      </c>
      <c r="E5570">
        <v>99744</v>
      </c>
      <c r="F5570" s="4" t="s">
        <v>141</v>
      </c>
      <c r="G5570" t="s">
        <v>29</v>
      </c>
      <c r="H5570" t="s">
        <v>142</v>
      </c>
    </row>
    <row r="5571" spans="1:8" x14ac:dyDescent="0.25">
      <c r="A5571" t="s">
        <v>1111</v>
      </c>
      <c r="B5571" t="s">
        <v>509</v>
      </c>
      <c r="C5571" s="5">
        <v>2731325</v>
      </c>
      <c r="D5571" s="5">
        <v>64068</v>
      </c>
      <c r="E5571">
        <v>308137</v>
      </c>
      <c r="F5571" s="4" t="s">
        <v>591</v>
      </c>
      <c r="G5571" t="s">
        <v>29</v>
      </c>
      <c r="H5571" t="s">
        <v>592</v>
      </c>
    </row>
    <row r="5572" spans="1:8" x14ac:dyDescent="0.25">
      <c r="A5572" t="s">
        <v>1111</v>
      </c>
      <c r="B5572" t="s">
        <v>506</v>
      </c>
      <c r="C5572" s="5">
        <v>26034</v>
      </c>
      <c r="D5572" s="5">
        <v>724</v>
      </c>
      <c r="E5572">
        <v>24188</v>
      </c>
      <c r="F5572" s="4" t="s">
        <v>98</v>
      </c>
      <c r="G5572" t="s">
        <v>29</v>
      </c>
      <c r="H5572" t="s">
        <v>99</v>
      </c>
    </row>
    <row r="5573" spans="1:8" x14ac:dyDescent="0.25">
      <c r="A5573" t="s">
        <v>1111</v>
      </c>
      <c r="B5573" t="s">
        <v>503</v>
      </c>
      <c r="C5573" s="5">
        <v>16325</v>
      </c>
      <c r="D5573" s="5">
        <v>846</v>
      </c>
      <c r="E5573">
        <v>9731</v>
      </c>
      <c r="F5573" s="4" t="s">
        <v>1071</v>
      </c>
      <c r="G5573" t="s">
        <v>29</v>
      </c>
      <c r="H5573" t="s">
        <v>1072</v>
      </c>
    </row>
    <row r="5574" spans="1:8" x14ac:dyDescent="0.25">
      <c r="A5574" t="s">
        <v>1111</v>
      </c>
      <c r="B5574" t="s">
        <v>500</v>
      </c>
      <c r="C5574" s="5">
        <v>53689</v>
      </c>
      <c r="D5574" s="5">
        <v>1584</v>
      </c>
      <c r="E5574">
        <v>12896</v>
      </c>
      <c r="F5574" s="4" t="s">
        <v>884</v>
      </c>
      <c r="G5574" t="s">
        <v>29</v>
      </c>
      <c r="H5574" t="s">
        <v>885</v>
      </c>
    </row>
    <row r="5575" spans="1:8" x14ac:dyDescent="0.25">
      <c r="A5575" t="s">
        <v>1111</v>
      </c>
      <c r="B5575" t="s">
        <v>497</v>
      </c>
      <c r="C5575" s="5">
        <v>7601596</v>
      </c>
      <c r="D5575" s="5">
        <v>67225</v>
      </c>
      <c r="E5575">
        <v>2747794</v>
      </c>
      <c r="F5575" s="4" t="s">
        <v>609</v>
      </c>
      <c r="G5575" t="s">
        <v>29</v>
      </c>
      <c r="H5575" t="s">
        <v>610</v>
      </c>
    </row>
    <row r="5576" spans="1:8" x14ac:dyDescent="0.25">
      <c r="A5576" t="s">
        <v>1111</v>
      </c>
      <c r="B5576" t="s">
        <v>493</v>
      </c>
      <c r="C5576" s="5">
        <v>710673</v>
      </c>
      <c r="D5576" s="5">
        <v>25082</v>
      </c>
      <c r="E5576">
        <v>276333</v>
      </c>
      <c r="F5576" s="4" t="s">
        <v>430</v>
      </c>
      <c r="G5576" t="s">
        <v>29</v>
      </c>
      <c r="H5576" t="s">
        <v>431</v>
      </c>
    </row>
    <row r="5577" spans="1:8" x14ac:dyDescent="0.25">
      <c r="A5577" t="s">
        <v>1111</v>
      </c>
      <c r="B5577" t="s">
        <v>490</v>
      </c>
      <c r="C5577" s="5">
        <v>19703</v>
      </c>
      <c r="D5577" s="5">
        <v>119</v>
      </c>
      <c r="E5577">
        <v>15430</v>
      </c>
      <c r="F5577" s="4" t="s">
        <v>300</v>
      </c>
      <c r="G5577" t="s">
        <v>29</v>
      </c>
      <c r="H5577" t="s">
        <v>301</v>
      </c>
    </row>
    <row r="5578" spans="1:8" x14ac:dyDescent="0.25">
      <c r="A5578" t="s">
        <v>1111</v>
      </c>
      <c r="B5578" t="s">
        <v>487</v>
      </c>
      <c r="C5578" s="5">
        <v>17484</v>
      </c>
      <c r="D5578" s="5">
        <v>125</v>
      </c>
      <c r="E5578">
        <v>14710</v>
      </c>
      <c r="F5578" s="4" t="s">
        <v>488</v>
      </c>
      <c r="G5578" t="s">
        <v>29</v>
      </c>
      <c r="H5578" t="s">
        <v>489</v>
      </c>
    </row>
    <row r="5579" spans="1:8" x14ac:dyDescent="0.25">
      <c r="A5579" t="s">
        <v>1111</v>
      </c>
      <c r="B5579" t="s">
        <v>486</v>
      </c>
      <c r="C5579" s="5">
        <v>1762190</v>
      </c>
      <c r="D5579" s="5">
        <v>18123</v>
      </c>
      <c r="E5579">
        <v>784364</v>
      </c>
      <c r="F5579" s="4" t="s">
        <v>687</v>
      </c>
      <c r="G5579" t="s">
        <v>29</v>
      </c>
      <c r="H5579" t="s">
        <v>688</v>
      </c>
    </row>
    <row r="5580" spans="1:8" x14ac:dyDescent="0.25">
      <c r="A5580" t="s">
        <v>1111</v>
      </c>
      <c r="B5580" t="s">
        <v>483</v>
      </c>
      <c r="C5580" s="5">
        <v>25865</v>
      </c>
      <c r="D5580" s="5">
        <v>238</v>
      </c>
      <c r="E5580">
        <v>19416</v>
      </c>
      <c r="F5580" s="4" t="s">
        <v>214</v>
      </c>
      <c r="G5580" t="s">
        <v>29</v>
      </c>
      <c r="H5580" t="s">
        <v>215</v>
      </c>
    </row>
    <row r="5581" spans="1:8" x14ac:dyDescent="0.25">
      <c r="A5581" t="s">
        <v>1111</v>
      </c>
      <c r="B5581" t="s">
        <v>482</v>
      </c>
      <c r="C5581" s="5">
        <v>5067</v>
      </c>
      <c r="D5581" s="5">
        <v>174</v>
      </c>
      <c r="E5581">
        <v>1096</v>
      </c>
      <c r="F5581" s="4" t="s">
        <v>252</v>
      </c>
      <c r="G5581" t="s">
        <v>29</v>
      </c>
      <c r="H5581" t="s">
        <v>253</v>
      </c>
    </row>
    <row r="5582" spans="1:8" x14ac:dyDescent="0.25">
      <c r="A5582" t="s">
        <v>1111</v>
      </c>
      <c r="B5582" t="s">
        <v>479</v>
      </c>
      <c r="C5582" s="5">
        <v>46359</v>
      </c>
      <c r="D5582" s="5">
        <v>1233</v>
      </c>
      <c r="E5582">
        <v>21140</v>
      </c>
      <c r="F5582" s="4" t="s">
        <v>47</v>
      </c>
      <c r="G5582" t="s">
        <v>29</v>
      </c>
      <c r="H5582" t="s">
        <v>48</v>
      </c>
    </row>
    <row r="5583" spans="1:8" x14ac:dyDescent="0.25">
      <c r="A5583" t="s">
        <v>1111</v>
      </c>
      <c r="B5583" t="s">
        <v>476</v>
      </c>
      <c r="C5583" s="5">
        <v>38365</v>
      </c>
      <c r="D5583" s="5">
        <v>2382</v>
      </c>
      <c r="E5583">
        <v>12093</v>
      </c>
      <c r="F5583" s="4" t="s">
        <v>1112</v>
      </c>
      <c r="G5583" t="s">
        <v>29</v>
      </c>
      <c r="H5583" t="s">
        <v>1113</v>
      </c>
    </row>
    <row r="5584" spans="1:8" x14ac:dyDescent="0.25">
      <c r="A5584" t="s">
        <v>1111</v>
      </c>
      <c r="B5584" t="s">
        <v>473</v>
      </c>
      <c r="C5584" s="5">
        <v>110188</v>
      </c>
      <c r="D5584" s="5">
        <v>3447</v>
      </c>
      <c r="E5584">
        <v>74778</v>
      </c>
      <c r="F5584" s="4" t="s">
        <v>1114</v>
      </c>
      <c r="G5584" t="s">
        <v>29</v>
      </c>
      <c r="H5584" t="s">
        <v>1115</v>
      </c>
    </row>
    <row r="5585" spans="1:8" x14ac:dyDescent="0.25">
      <c r="A5585" t="s">
        <v>1111</v>
      </c>
      <c r="B5585" t="s">
        <v>471</v>
      </c>
      <c r="C5585" s="5">
        <v>12184</v>
      </c>
      <c r="D5585" s="5">
        <v>130</v>
      </c>
      <c r="E5585">
        <v>2283</v>
      </c>
      <c r="F5585" s="4" t="s">
        <v>654</v>
      </c>
      <c r="G5585" t="s">
        <v>29</v>
      </c>
      <c r="H5585" t="s">
        <v>655</v>
      </c>
    </row>
    <row r="5586" spans="1:8" x14ac:dyDescent="0.25">
      <c r="A5586" t="s">
        <v>1111</v>
      </c>
      <c r="B5586" t="s">
        <v>472</v>
      </c>
      <c r="C5586" s="5">
        <v>3670</v>
      </c>
      <c r="D5586" s="5">
        <v>56</v>
      </c>
      <c r="E5586">
        <v>3107</v>
      </c>
      <c r="F5586" s="4" t="s">
        <v>74</v>
      </c>
      <c r="G5586" t="s">
        <v>29</v>
      </c>
      <c r="H5586" t="s">
        <v>75</v>
      </c>
    </row>
    <row r="5587" spans="1:8" x14ac:dyDescent="0.25">
      <c r="A5587" t="s">
        <v>1111</v>
      </c>
      <c r="B5587" t="s">
        <v>468</v>
      </c>
      <c r="C5587" s="5">
        <v>46132</v>
      </c>
      <c r="D5587" s="5">
        <v>1007</v>
      </c>
      <c r="E5587">
        <v>29694</v>
      </c>
      <c r="F5587" s="4" t="s">
        <v>984</v>
      </c>
      <c r="G5587" t="s">
        <v>29</v>
      </c>
      <c r="H5587" t="s">
        <v>985</v>
      </c>
    </row>
    <row r="5588" spans="1:8" x14ac:dyDescent="0.25">
      <c r="A5588" t="s">
        <v>1111</v>
      </c>
      <c r="B5588" t="s">
        <v>465</v>
      </c>
      <c r="C5588" s="5">
        <v>21269</v>
      </c>
      <c r="D5588" s="5">
        <v>1180</v>
      </c>
      <c r="E5588">
        <v>7949</v>
      </c>
      <c r="F5588" s="4" t="s">
        <v>1005</v>
      </c>
      <c r="G5588" t="s">
        <v>29</v>
      </c>
      <c r="H5588" t="s">
        <v>1006</v>
      </c>
    </row>
    <row r="5589" spans="1:8" x14ac:dyDescent="0.25">
      <c r="A5589" t="s">
        <v>1111</v>
      </c>
      <c r="B5589" t="s">
        <v>464</v>
      </c>
      <c r="C5589" s="5">
        <v>73859</v>
      </c>
      <c r="D5589" s="5">
        <v>1871</v>
      </c>
      <c r="E5589">
        <v>60609</v>
      </c>
      <c r="F5589" s="4" t="s">
        <v>611</v>
      </c>
      <c r="G5589" t="s">
        <v>29</v>
      </c>
      <c r="H5589" t="s">
        <v>612</v>
      </c>
    </row>
    <row r="5590" spans="1:8" x14ac:dyDescent="0.25">
      <c r="A5590" t="s">
        <v>1111</v>
      </c>
      <c r="B5590" t="s">
        <v>463</v>
      </c>
      <c r="C5590" s="5">
        <v>5473</v>
      </c>
      <c r="D5590" s="5">
        <v>91</v>
      </c>
      <c r="E5590">
        <v>1538</v>
      </c>
      <c r="F5590" s="4" t="s">
        <v>135</v>
      </c>
      <c r="G5590" t="s">
        <v>29</v>
      </c>
      <c r="H5590" t="s">
        <v>136</v>
      </c>
    </row>
    <row r="5591" spans="1:8" x14ac:dyDescent="0.25">
      <c r="A5591" t="s">
        <v>1111</v>
      </c>
      <c r="B5591" t="s">
        <v>460</v>
      </c>
      <c r="C5591" s="5">
        <v>6396</v>
      </c>
      <c r="D5591" s="5">
        <v>121</v>
      </c>
      <c r="E5591">
        <v>654</v>
      </c>
      <c r="F5591" s="4" t="s">
        <v>461</v>
      </c>
      <c r="G5591" t="s">
        <v>29</v>
      </c>
      <c r="H5591" t="s">
        <v>462</v>
      </c>
    </row>
    <row r="5592" spans="1:8" x14ac:dyDescent="0.25">
      <c r="A5592" t="s">
        <v>1111</v>
      </c>
      <c r="B5592" t="s">
        <v>457</v>
      </c>
      <c r="C5592" s="5">
        <v>433709</v>
      </c>
      <c r="D5592" s="5">
        <v>12816</v>
      </c>
      <c r="E5592">
        <v>343746</v>
      </c>
      <c r="F5592" s="4" t="s">
        <v>884</v>
      </c>
      <c r="G5592" t="s">
        <v>29</v>
      </c>
      <c r="H5592" t="s">
        <v>885</v>
      </c>
    </row>
    <row r="5593" spans="1:8" x14ac:dyDescent="0.25">
      <c r="A5593" t="s">
        <v>1111</v>
      </c>
      <c r="B5593" t="s">
        <v>456</v>
      </c>
      <c r="C5593" s="5">
        <v>306064</v>
      </c>
      <c r="D5593" s="5">
        <v>4631</v>
      </c>
      <c r="E5593">
        <v>161826</v>
      </c>
      <c r="F5593" s="4" t="s">
        <v>202</v>
      </c>
      <c r="G5593" t="s">
        <v>29</v>
      </c>
      <c r="H5593" t="s">
        <v>203</v>
      </c>
    </row>
    <row r="5594" spans="1:8" x14ac:dyDescent="0.25">
      <c r="A5594" t="s">
        <v>1111</v>
      </c>
      <c r="B5594" t="s">
        <v>453</v>
      </c>
      <c r="C5594" s="5">
        <v>141772</v>
      </c>
      <c r="D5594" s="5">
        <v>215</v>
      </c>
      <c r="E5594">
        <v>94427</v>
      </c>
      <c r="F5594" s="4" t="s">
        <v>915</v>
      </c>
      <c r="G5594" t="s">
        <v>29</v>
      </c>
      <c r="H5594" t="s">
        <v>916</v>
      </c>
    </row>
    <row r="5595" spans="1:8" x14ac:dyDescent="0.25">
      <c r="A5595" t="s">
        <v>1111</v>
      </c>
      <c r="B5595" t="s">
        <v>452</v>
      </c>
      <c r="C5595" s="5">
        <v>1161933</v>
      </c>
      <c r="D5595" s="5">
        <v>14956</v>
      </c>
      <c r="E5595">
        <v>281554</v>
      </c>
      <c r="F5595" s="4" t="s">
        <v>417</v>
      </c>
      <c r="G5595" t="s">
        <v>29</v>
      </c>
      <c r="H5595" t="s">
        <v>418</v>
      </c>
    </row>
    <row r="5596" spans="1:8" x14ac:dyDescent="0.25">
      <c r="A5596" t="s">
        <v>1111</v>
      </c>
      <c r="B5596" t="s">
        <v>449</v>
      </c>
      <c r="C5596" s="5">
        <v>39416</v>
      </c>
      <c r="D5596" s="5">
        <v>2976</v>
      </c>
      <c r="E5596">
        <v>9634</v>
      </c>
      <c r="F5596" s="4" t="s">
        <v>1116</v>
      </c>
      <c r="G5596" t="s">
        <v>29</v>
      </c>
      <c r="H5596" t="s">
        <v>1117</v>
      </c>
    </row>
    <row r="5597" spans="1:8" x14ac:dyDescent="0.25">
      <c r="A5597" t="s">
        <v>1111</v>
      </c>
      <c r="B5597" t="s">
        <v>446</v>
      </c>
      <c r="C5597" s="5">
        <v>21854</v>
      </c>
      <c r="D5597" s="5">
        <v>119</v>
      </c>
      <c r="E5597">
        <v>4331</v>
      </c>
      <c r="F5597" s="4" t="s">
        <v>919</v>
      </c>
      <c r="G5597" t="s">
        <v>29</v>
      </c>
      <c r="H5597" t="s">
        <v>920</v>
      </c>
    </row>
    <row r="5598" spans="1:8" x14ac:dyDescent="0.25">
      <c r="A5598" t="s">
        <v>1111</v>
      </c>
      <c r="B5598" t="s">
        <v>445</v>
      </c>
      <c r="C5598" s="5">
        <v>20</v>
      </c>
      <c r="D5598" s="5">
        <v>0</v>
      </c>
      <c r="E5598">
        <v>16</v>
      </c>
      <c r="F5598" s="4" t="s">
        <v>29</v>
      </c>
      <c r="G5598" t="s">
        <v>29</v>
      </c>
      <c r="H5598" t="s">
        <v>291</v>
      </c>
    </row>
    <row r="5599" spans="1:8" x14ac:dyDescent="0.25">
      <c r="A5599" t="s">
        <v>1111</v>
      </c>
      <c r="B5599" t="s">
        <v>444</v>
      </c>
      <c r="C5599" s="5">
        <v>547845</v>
      </c>
      <c r="D5599" s="5">
        <v>8758</v>
      </c>
      <c r="E5599">
        <v>436242</v>
      </c>
      <c r="F5599" s="4" t="s">
        <v>313</v>
      </c>
      <c r="G5599" t="s">
        <v>29</v>
      </c>
      <c r="H5599" t="s">
        <v>314</v>
      </c>
    </row>
    <row r="5600" spans="1:8" x14ac:dyDescent="0.25">
      <c r="A5600" t="s">
        <v>1111</v>
      </c>
      <c r="B5600" t="s">
        <v>443</v>
      </c>
      <c r="C5600" s="5">
        <v>99067</v>
      </c>
      <c r="D5600" s="5">
        <v>1313</v>
      </c>
      <c r="E5600">
        <v>22477</v>
      </c>
      <c r="F5600" s="4" t="s">
        <v>59</v>
      </c>
      <c r="G5600" t="s">
        <v>29</v>
      </c>
      <c r="H5600" t="s">
        <v>60</v>
      </c>
    </row>
    <row r="5601" spans="1:8" x14ac:dyDescent="0.25">
      <c r="A5601" t="s">
        <v>1111</v>
      </c>
      <c r="B5601" t="s">
        <v>440</v>
      </c>
      <c r="C5601" s="5">
        <v>7804750</v>
      </c>
      <c r="D5601" s="5">
        <v>217382</v>
      </c>
      <c r="E5601">
        <v>4605916</v>
      </c>
      <c r="F5601" s="4" t="s">
        <v>662</v>
      </c>
      <c r="G5601" t="s">
        <v>29</v>
      </c>
      <c r="H5601" t="s">
        <v>663</v>
      </c>
    </row>
    <row r="5602" spans="1:8" x14ac:dyDescent="0.25">
      <c r="A5602" t="s">
        <v>1111</v>
      </c>
      <c r="B5602" t="s">
        <v>439</v>
      </c>
      <c r="C5602" s="5">
        <v>1037707</v>
      </c>
      <c r="D5602" s="5">
        <v>8996</v>
      </c>
      <c r="E5602">
        <v>684426</v>
      </c>
      <c r="F5602" s="4" t="s">
        <v>498</v>
      </c>
      <c r="G5602" t="s">
        <v>29</v>
      </c>
      <c r="H5602" t="s">
        <v>499</v>
      </c>
    </row>
    <row r="5603" spans="1:8" x14ac:dyDescent="0.25">
      <c r="A5603" t="s">
        <v>1111</v>
      </c>
      <c r="B5603" t="s">
        <v>436</v>
      </c>
      <c r="C5603" s="5">
        <v>1430475</v>
      </c>
      <c r="D5603" s="5">
        <v>41130</v>
      </c>
      <c r="E5603">
        <v>603922</v>
      </c>
      <c r="F5603" s="4" t="s">
        <v>860</v>
      </c>
      <c r="G5603" t="s">
        <v>29</v>
      </c>
      <c r="H5603" t="s">
        <v>861</v>
      </c>
    </row>
    <row r="5604" spans="1:8" x14ac:dyDescent="0.25">
      <c r="A5604" t="s">
        <v>1111</v>
      </c>
      <c r="B5604" t="s">
        <v>435</v>
      </c>
      <c r="C5604" s="5">
        <v>54024</v>
      </c>
      <c r="D5604" s="5">
        <v>370</v>
      </c>
      <c r="E5604">
        <v>4615</v>
      </c>
      <c r="F5604" s="4" t="s">
        <v>605</v>
      </c>
      <c r="G5604" t="s">
        <v>29</v>
      </c>
      <c r="H5604" t="s">
        <v>606</v>
      </c>
    </row>
    <row r="5605" spans="1:8" x14ac:dyDescent="0.25">
      <c r="A5605" t="s">
        <v>1111</v>
      </c>
      <c r="B5605" t="s">
        <v>432</v>
      </c>
      <c r="C5605" s="5">
        <v>237798</v>
      </c>
      <c r="D5605" s="5">
        <v>608</v>
      </c>
      <c r="E5605">
        <v>117737</v>
      </c>
      <c r="F5605" s="4" t="s">
        <v>794</v>
      </c>
      <c r="G5605" t="s">
        <v>29</v>
      </c>
      <c r="H5605" t="s">
        <v>795</v>
      </c>
    </row>
    <row r="5606" spans="1:8" x14ac:dyDescent="0.25">
      <c r="A5606" t="s">
        <v>1111</v>
      </c>
      <c r="B5606" t="s">
        <v>429</v>
      </c>
      <c r="C5606" s="5">
        <v>460322</v>
      </c>
      <c r="D5606" s="5">
        <v>16209</v>
      </c>
      <c r="E5606">
        <v>90280</v>
      </c>
      <c r="F5606" s="4" t="s">
        <v>353</v>
      </c>
      <c r="G5606" t="s">
        <v>29</v>
      </c>
      <c r="H5606" t="s">
        <v>354</v>
      </c>
    </row>
    <row r="5607" spans="1:8" x14ac:dyDescent="0.25">
      <c r="A5607" t="s">
        <v>1111</v>
      </c>
      <c r="B5607" t="s">
        <v>428</v>
      </c>
      <c r="C5607" s="5">
        <v>8</v>
      </c>
      <c r="D5607" s="5">
        <v>0</v>
      </c>
      <c r="E5607">
        <v>5</v>
      </c>
      <c r="F5607" s="4" t="s">
        <v>29</v>
      </c>
      <c r="G5607" t="s">
        <v>29</v>
      </c>
      <c r="H5607" t="s">
        <v>291</v>
      </c>
    </row>
    <row r="5608" spans="1:8" x14ac:dyDescent="0.25">
      <c r="A5608" t="s">
        <v>1111</v>
      </c>
      <c r="B5608" t="s">
        <v>427</v>
      </c>
      <c r="C5608" s="5">
        <v>1078729</v>
      </c>
      <c r="D5608" s="5">
        <v>18078</v>
      </c>
      <c r="E5608">
        <v>898225</v>
      </c>
      <c r="F5608" s="4" t="s">
        <v>116</v>
      </c>
      <c r="G5608" t="s">
        <v>29</v>
      </c>
      <c r="H5608" t="s">
        <v>117</v>
      </c>
    </row>
    <row r="5609" spans="1:8" x14ac:dyDescent="0.25">
      <c r="A5609" t="s">
        <v>1111</v>
      </c>
      <c r="B5609" t="s">
        <v>426</v>
      </c>
      <c r="C5609" s="5">
        <v>447032</v>
      </c>
      <c r="D5609" s="5">
        <v>4556</v>
      </c>
      <c r="E5609">
        <v>421218</v>
      </c>
      <c r="F5609" s="4" t="s">
        <v>326</v>
      </c>
      <c r="G5609" t="s">
        <v>29</v>
      </c>
      <c r="H5609" t="s">
        <v>327</v>
      </c>
    </row>
    <row r="5610" spans="1:8" x14ac:dyDescent="0.25">
      <c r="A5610" t="s">
        <v>1111</v>
      </c>
      <c r="B5610" t="s">
        <v>423</v>
      </c>
      <c r="C5610" s="5">
        <v>2933834</v>
      </c>
      <c r="D5610" s="5">
        <v>76067</v>
      </c>
      <c r="E5610">
        <v>1376594</v>
      </c>
      <c r="F5610" s="4" t="s">
        <v>719</v>
      </c>
      <c r="G5610" t="s">
        <v>29</v>
      </c>
      <c r="H5610" t="s">
        <v>720</v>
      </c>
    </row>
    <row r="5611" spans="1:8" x14ac:dyDescent="0.25">
      <c r="A5611" t="s">
        <v>1111</v>
      </c>
      <c r="B5611" t="s">
        <v>419</v>
      </c>
      <c r="C5611" s="5">
        <v>2705792</v>
      </c>
      <c r="D5611" s="5">
        <v>40424</v>
      </c>
      <c r="E5611">
        <v>1233062</v>
      </c>
      <c r="F5611" s="4" t="s">
        <v>800</v>
      </c>
      <c r="G5611" t="s">
        <v>29</v>
      </c>
      <c r="H5611" t="s">
        <v>801</v>
      </c>
    </row>
    <row r="5612" spans="1:8" x14ac:dyDescent="0.25">
      <c r="A5612" t="s">
        <v>1111</v>
      </c>
      <c r="B5612" t="s">
        <v>420</v>
      </c>
      <c r="C5612" s="5">
        <v>1263664</v>
      </c>
      <c r="D5612" s="5">
        <v>28252</v>
      </c>
      <c r="E5612">
        <v>455892</v>
      </c>
      <c r="F5612" s="4" t="s">
        <v>603</v>
      </c>
      <c r="G5612" t="s">
        <v>29</v>
      </c>
      <c r="H5612" t="s">
        <v>604</v>
      </c>
    </row>
    <row r="5613" spans="1:8" x14ac:dyDescent="0.25">
      <c r="A5613" t="s">
        <v>1111</v>
      </c>
      <c r="B5613" t="s">
        <v>416</v>
      </c>
      <c r="C5613" s="5">
        <v>24041</v>
      </c>
      <c r="D5613" s="5">
        <v>266</v>
      </c>
      <c r="E5613">
        <v>13219</v>
      </c>
      <c r="F5613" s="4" t="s">
        <v>1098</v>
      </c>
      <c r="G5613" t="s">
        <v>29</v>
      </c>
      <c r="H5613" t="s">
        <v>1099</v>
      </c>
    </row>
    <row r="5614" spans="1:8" x14ac:dyDescent="0.25">
      <c r="A5614" t="s">
        <v>1111</v>
      </c>
      <c r="B5614" t="s">
        <v>415</v>
      </c>
      <c r="C5614" s="5">
        <v>45439</v>
      </c>
      <c r="D5614" s="5">
        <v>633</v>
      </c>
      <c r="E5614">
        <v>42092</v>
      </c>
      <c r="F5614" s="4" t="s">
        <v>208</v>
      </c>
      <c r="G5614" t="s">
        <v>29</v>
      </c>
      <c r="H5614" t="s">
        <v>209</v>
      </c>
    </row>
    <row r="5615" spans="1:8" x14ac:dyDescent="0.25">
      <c r="A5615" t="s">
        <v>1111</v>
      </c>
      <c r="B5615" t="s">
        <v>412</v>
      </c>
      <c r="C5615" s="5">
        <v>2188351</v>
      </c>
      <c r="D5615" s="5">
        <v>199792</v>
      </c>
      <c r="E5615">
        <v>1660518</v>
      </c>
      <c r="F5615" s="4" t="s">
        <v>1085</v>
      </c>
      <c r="G5615" t="s">
        <v>29</v>
      </c>
      <c r="H5615" t="s">
        <v>1086</v>
      </c>
    </row>
    <row r="5616" spans="1:8" x14ac:dyDescent="0.25">
      <c r="A5616" t="s">
        <v>1111</v>
      </c>
      <c r="B5616" t="s">
        <v>411</v>
      </c>
      <c r="C5616" s="5">
        <v>469998</v>
      </c>
      <c r="D5616" s="5">
        <v>7288</v>
      </c>
      <c r="E5616">
        <v>259636</v>
      </c>
      <c r="F5616" s="4" t="s">
        <v>333</v>
      </c>
      <c r="G5616" t="s">
        <v>29</v>
      </c>
      <c r="H5616" t="s">
        <v>334</v>
      </c>
    </row>
    <row r="5617" spans="1:8" x14ac:dyDescent="0.25">
      <c r="A5617" t="s">
        <v>1111</v>
      </c>
      <c r="B5617" t="s">
        <v>408</v>
      </c>
      <c r="C5617" s="5">
        <v>304025</v>
      </c>
      <c r="D5617" s="5">
        <v>4103</v>
      </c>
      <c r="E5617">
        <v>104324</v>
      </c>
      <c r="F5617" s="4" t="s">
        <v>409</v>
      </c>
      <c r="G5617" t="s">
        <v>29</v>
      </c>
      <c r="H5617" t="s">
        <v>410</v>
      </c>
    </row>
    <row r="5618" spans="1:8" x14ac:dyDescent="0.25">
      <c r="A5618" t="s">
        <v>1111</v>
      </c>
      <c r="B5618" t="s">
        <v>405</v>
      </c>
      <c r="C5618" s="5">
        <v>4940</v>
      </c>
      <c r="D5618" s="5">
        <v>28</v>
      </c>
      <c r="E5618">
        <v>3315</v>
      </c>
      <c r="F5618" s="4" t="s">
        <v>1118</v>
      </c>
      <c r="G5618" t="s">
        <v>29</v>
      </c>
      <c r="H5618" t="s">
        <v>1119</v>
      </c>
    </row>
    <row r="5619" spans="1:8" x14ac:dyDescent="0.25">
      <c r="A5619" t="s">
        <v>1111</v>
      </c>
      <c r="B5619" t="s">
        <v>402</v>
      </c>
      <c r="C5619" s="5">
        <v>804516</v>
      </c>
      <c r="D5619" s="5">
        <v>11277</v>
      </c>
      <c r="E5619">
        <v>715235</v>
      </c>
      <c r="F5619" s="4" t="s">
        <v>403</v>
      </c>
      <c r="G5619" t="s">
        <v>29</v>
      </c>
      <c r="H5619" t="s">
        <v>404</v>
      </c>
    </row>
    <row r="5620" spans="1:8" x14ac:dyDescent="0.25">
      <c r="A5620" t="s">
        <v>1111</v>
      </c>
      <c r="B5620" t="s">
        <v>399</v>
      </c>
      <c r="C5620" s="5">
        <v>195808</v>
      </c>
      <c r="D5620" s="5">
        <v>884</v>
      </c>
      <c r="E5620">
        <v>37707</v>
      </c>
      <c r="F5620" s="4" t="s">
        <v>888</v>
      </c>
      <c r="G5620" t="s">
        <v>29</v>
      </c>
      <c r="H5620" t="s">
        <v>889</v>
      </c>
    </row>
    <row r="5621" spans="1:8" x14ac:dyDescent="0.25">
      <c r="A5621" t="s">
        <v>1111</v>
      </c>
      <c r="B5621" t="s">
        <v>396</v>
      </c>
      <c r="C5621" s="5">
        <v>2079689</v>
      </c>
      <c r="D5621" s="5">
        <v>18669</v>
      </c>
      <c r="E5621">
        <v>1287998</v>
      </c>
      <c r="F5621" s="4" t="s">
        <v>667</v>
      </c>
      <c r="G5621" t="s">
        <v>29</v>
      </c>
      <c r="H5621" t="s">
        <v>668</v>
      </c>
    </row>
    <row r="5622" spans="1:8" x14ac:dyDescent="0.25">
      <c r="A5622" t="s">
        <v>1111</v>
      </c>
      <c r="B5622" t="s">
        <v>393</v>
      </c>
      <c r="C5622" s="5">
        <v>15737</v>
      </c>
      <c r="D5622" s="5">
        <v>206</v>
      </c>
      <c r="E5622">
        <v>655</v>
      </c>
      <c r="F5622" s="4" t="s">
        <v>708</v>
      </c>
      <c r="G5622" t="s">
        <v>29</v>
      </c>
      <c r="H5622" t="s">
        <v>709</v>
      </c>
    </row>
    <row r="5623" spans="1:8" x14ac:dyDescent="0.25">
      <c r="A5623" t="s">
        <v>1111</v>
      </c>
      <c r="B5623" t="s">
        <v>390</v>
      </c>
      <c r="C5623" s="5">
        <v>208797</v>
      </c>
      <c r="D5623" s="5">
        <v>2769</v>
      </c>
      <c r="E5623">
        <v>77666</v>
      </c>
      <c r="F5623" s="4" t="s">
        <v>59</v>
      </c>
      <c r="G5623" t="s">
        <v>29</v>
      </c>
      <c r="H5623" t="s">
        <v>60</v>
      </c>
    </row>
    <row r="5624" spans="1:8" x14ac:dyDescent="0.25">
      <c r="A5624" t="s">
        <v>1111</v>
      </c>
      <c r="B5624" t="s">
        <v>387</v>
      </c>
      <c r="C5624" s="5">
        <v>6143</v>
      </c>
      <c r="D5624" s="5">
        <v>204</v>
      </c>
      <c r="E5624">
        <v>5593</v>
      </c>
      <c r="F5624" s="4" t="s">
        <v>965</v>
      </c>
      <c r="G5624" t="s">
        <v>29</v>
      </c>
      <c r="H5624" t="s">
        <v>966</v>
      </c>
    </row>
    <row r="5625" spans="1:8" x14ac:dyDescent="0.25">
      <c r="A5625" t="s">
        <v>1111</v>
      </c>
      <c r="B5625" t="s">
        <v>386</v>
      </c>
      <c r="C5625" s="5">
        <v>9861</v>
      </c>
      <c r="D5625" s="5">
        <v>231</v>
      </c>
      <c r="E5625">
        <v>5614</v>
      </c>
      <c r="F5625" s="4" t="s">
        <v>681</v>
      </c>
      <c r="G5625" t="s">
        <v>29</v>
      </c>
      <c r="H5625" t="s">
        <v>682</v>
      </c>
    </row>
    <row r="5626" spans="1:8" x14ac:dyDescent="0.25">
      <c r="A5626" t="s">
        <v>1111</v>
      </c>
      <c r="B5626" t="s">
        <v>383</v>
      </c>
      <c r="C5626" s="5">
        <v>128239</v>
      </c>
      <c r="D5626" s="5">
        <v>3538</v>
      </c>
      <c r="E5626">
        <v>68628</v>
      </c>
      <c r="F5626" s="4" t="s">
        <v>384</v>
      </c>
      <c r="G5626" t="s">
        <v>29</v>
      </c>
      <c r="H5626" t="s">
        <v>385</v>
      </c>
    </row>
    <row r="5627" spans="1:8" x14ac:dyDescent="0.25">
      <c r="A5627" t="s">
        <v>1111</v>
      </c>
      <c r="B5627" t="s">
        <v>380</v>
      </c>
      <c r="C5627" s="5">
        <v>151080</v>
      </c>
      <c r="D5627" s="5">
        <v>1925</v>
      </c>
      <c r="E5627">
        <v>40310</v>
      </c>
      <c r="F5627" s="4" t="s">
        <v>53</v>
      </c>
      <c r="G5627" t="s">
        <v>29</v>
      </c>
      <c r="H5627" t="s">
        <v>54</v>
      </c>
    </row>
    <row r="5628" spans="1:8" x14ac:dyDescent="0.25">
      <c r="A5628" t="s">
        <v>1111</v>
      </c>
      <c r="B5628" t="s">
        <v>377</v>
      </c>
      <c r="C5628" s="5">
        <v>2377033</v>
      </c>
      <c r="D5628" s="5">
        <v>27770</v>
      </c>
      <c r="E5628">
        <v>1214930</v>
      </c>
      <c r="F5628" s="4" t="s">
        <v>378</v>
      </c>
      <c r="G5628" t="s">
        <v>29</v>
      </c>
      <c r="H5628" t="s">
        <v>379</v>
      </c>
    </row>
    <row r="5629" spans="1:8" x14ac:dyDescent="0.25">
      <c r="A5629" t="s">
        <v>1111</v>
      </c>
      <c r="B5629" t="s">
        <v>374</v>
      </c>
      <c r="C5629" s="5">
        <v>3749860</v>
      </c>
      <c r="D5629" s="5">
        <v>284008</v>
      </c>
      <c r="E5629">
        <v>2209246</v>
      </c>
      <c r="F5629" s="4" t="s">
        <v>375</v>
      </c>
      <c r="G5629" t="s">
        <v>29</v>
      </c>
      <c r="H5629" t="s">
        <v>376</v>
      </c>
    </row>
    <row r="5630" spans="1:8" x14ac:dyDescent="0.25">
      <c r="A5630" t="s">
        <v>1111</v>
      </c>
      <c r="B5630" t="s">
        <v>371</v>
      </c>
      <c r="C5630" s="5">
        <v>61709</v>
      </c>
      <c r="D5630" s="5">
        <v>2292</v>
      </c>
      <c r="E5630">
        <v>32937</v>
      </c>
      <c r="F5630" s="4" t="s">
        <v>593</v>
      </c>
      <c r="G5630" t="s">
        <v>29</v>
      </c>
      <c r="H5630" t="s">
        <v>594</v>
      </c>
    </row>
    <row r="5631" spans="1:8" x14ac:dyDescent="0.25">
      <c r="A5631" t="s">
        <v>1111</v>
      </c>
      <c r="B5631" t="s">
        <v>368</v>
      </c>
      <c r="C5631" s="5">
        <v>85977</v>
      </c>
      <c r="D5631" s="5">
        <v>237</v>
      </c>
      <c r="E5631">
        <v>80850</v>
      </c>
      <c r="F5631" s="4" t="s">
        <v>369</v>
      </c>
      <c r="G5631" t="s">
        <v>29</v>
      </c>
      <c r="H5631" t="s">
        <v>370</v>
      </c>
    </row>
    <row r="5632" spans="1:8" x14ac:dyDescent="0.25">
      <c r="A5632" t="s">
        <v>1111</v>
      </c>
      <c r="B5632" t="s">
        <v>367</v>
      </c>
      <c r="C5632" s="5">
        <v>16621</v>
      </c>
      <c r="D5632" s="5">
        <v>129</v>
      </c>
      <c r="E5632">
        <v>13384</v>
      </c>
      <c r="F5632" s="4" t="s">
        <v>297</v>
      </c>
      <c r="G5632" t="s">
        <v>29</v>
      </c>
      <c r="H5632" t="s">
        <v>298</v>
      </c>
    </row>
    <row r="5633" spans="1:8" x14ac:dyDescent="0.25">
      <c r="A5633" t="s">
        <v>1111</v>
      </c>
      <c r="B5633" t="s">
        <v>364</v>
      </c>
      <c r="C5633" s="5">
        <v>37437</v>
      </c>
      <c r="D5633" s="5">
        <v>459</v>
      </c>
      <c r="E5633">
        <v>26772</v>
      </c>
      <c r="F5633" s="4" t="s">
        <v>798</v>
      </c>
      <c r="G5633" t="s">
        <v>29</v>
      </c>
      <c r="H5633" t="s">
        <v>799</v>
      </c>
    </row>
    <row r="5634" spans="1:8" x14ac:dyDescent="0.25">
      <c r="A5634" t="s">
        <v>1111</v>
      </c>
      <c r="B5634" t="s">
        <v>363</v>
      </c>
      <c r="C5634" s="5">
        <v>36591</v>
      </c>
      <c r="D5634" s="5">
        <v>787</v>
      </c>
      <c r="E5634">
        <v>33144</v>
      </c>
      <c r="F5634" s="4" t="s">
        <v>852</v>
      </c>
      <c r="G5634" t="s">
        <v>29</v>
      </c>
      <c r="H5634" t="s">
        <v>853</v>
      </c>
    </row>
    <row r="5635" spans="1:8" x14ac:dyDescent="0.25">
      <c r="A5635" t="s">
        <v>1111</v>
      </c>
      <c r="B5635" t="s">
        <v>360</v>
      </c>
      <c r="C5635" s="5">
        <v>42269</v>
      </c>
      <c r="D5635" s="5">
        <v>656</v>
      </c>
      <c r="E5635">
        <v>1919</v>
      </c>
      <c r="F5635" s="4" t="s">
        <v>333</v>
      </c>
      <c r="G5635" t="s">
        <v>29</v>
      </c>
      <c r="H5635" t="s">
        <v>334</v>
      </c>
    </row>
    <row r="5636" spans="1:8" x14ac:dyDescent="0.25">
      <c r="A5636" t="s">
        <v>1111</v>
      </c>
      <c r="B5636" t="s">
        <v>359</v>
      </c>
      <c r="C5636" s="5">
        <v>77</v>
      </c>
      <c r="D5636" s="5">
        <v>0</v>
      </c>
      <c r="E5636">
        <v>72</v>
      </c>
      <c r="F5636" s="4" t="s">
        <v>29</v>
      </c>
      <c r="G5636" t="s">
        <v>29</v>
      </c>
      <c r="H5636" t="s">
        <v>291</v>
      </c>
    </row>
    <row r="5637" spans="1:8" x14ac:dyDescent="0.25">
      <c r="A5637" t="s">
        <v>1111</v>
      </c>
      <c r="B5637" t="s">
        <v>358</v>
      </c>
      <c r="C5637" s="5">
        <v>336508</v>
      </c>
      <c r="D5637" s="5">
        <v>1527</v>
      </c>
      <c r="E5637">
        <v>3662</v>
      </c>
      <c r="F5637" s="4" t="s">
        <v>888</v>
      </c>
      <c r="G5637" t="s">
        <v>29</v>
      </c>
      <c r="H5637" t="s">
        <v>889</v>
      </c>
    </row>
    <row r="5638" spans="1:8" x14ac:dyDescent="0.25">
      <c r="A5638" t="s">
        <v>1111</v>
      </c>
      <c r="B5638" t="s">
        <v>355</v>
      </c>
      <c r="C5638" s="5">
        <v>485646</v>
      </c>
      <c r="D5638" s="5">
        <v>18297</v>
      </c>
      <c r="E5638">
        <v>124328</v>
      </c>
      <c r="F5638" s="4" t="s">
        <v>1120</v>
      </c>
      <c r="G5638" t="s">
        <v>29</v>
      </c>
      <c r="H5638" t="s">
        <v>1121</v>
      </c>
    </row>
    <row r="5639" spans="1:8" x14ac:dyDescent="0.25">
      <c r="A5639" t="s">
        <v>1111</v>
      </c>
      <c r="B5639" t="s">
        <v>352</v>
      </c>
      <c r="C5639" s="5">
        <v>15577</v>
      </c>
      <c r="D5639" s="5">
        <v>555</v>
      </c>
      <c r="E5639">
        <v>7888</v>
      </c>
      <c r="F5639" s="4" t="s">
        <v>850</v>
      </c>
      <c r="G5639" t="s">
        <v>29</v>
      </c>
      <c r="H5639" t="s">
        <v>851</v>
      </c>
    </row>
    <row r="5640" spans="1:8" x14ac:dyDescent="0.25">
      <c r="A5640" t="s">
        <v>1111</v>
      </c>
      <c r="B5640" t="s">
        <v>349</v>
      </c>
      <c r="C5640" s="5">
        <v>196376</v>
      </c>
      <c r="D5640" s="5">
        <v>6901</v>
      </c>
      <c r="E5640">
        <v>25136</v>
      </c>
      <c r="F5640" s="4" t="s">
        <v>350</v>
      </c>
      <c r="G5640" t="s">
        <v>29</v>
      </c>
      <c r="H5640" t="s">
        <v>351</v>
      </c>
    </row>
    <row r="5641" spans="1:8" x14ac:dyDescent="0.25">
      <c r="A5641" t="s">
        <v>1111</v>
      </c>
      <c r="B5641" t="s">
        <v>348</v>
      </c>
      <c r="C5641" s="5">
        <v>4</v>
      </c>
      <c r="D5641" s="5">
        <v>0</v>
      </c>
      <c r="E5641">
        <v>0</v>
      </c>
      <c r="F5641" s="4" t="s">
        <v>29</v>
      </c>
      <c r="G5641" t="s">
        <v>29</v>
      </c>
      <c r="H5641" t="s">
        <v>291</v>
      </c>
    </row>
    <row r="5642" spans="1:8" x14ac:dyDescent="0.25">
      <c r="A5642" t="s">
        <v>1111</v>
      </c>
      <c r="B5642" t="s">
        <v>347</v>
      </c>
      <c r="C5642" s="5">
        <v>43616</v>
      </c>
      <c r="D5642" s="5">
        <v>960</v>
      </c>
      <c r="E5642">
        <v>3893</v>
      </c>
      <c r="F5642" s="4" t="s">
        <v>969</v>
      </c>
      <c r="G5642" t="s">
        <v>29</v>
      </c>
      <c r="H5642" t="s">
        <v>970</v>
      </c>
    </row>
    <row r="5643" spans="1:8" x14ac:dyDescent="0.25">
      <c r="A5643" t="s">
        <v>1111</v>
      </c>
      <c r="B5643" t="s">
        <v>344</v>
      </c>
      <c r="C5643" s="5">
        <v>3878</v>
      </c>
      <c r="D5643" s="5">
        <v>55</v>
      </c>
      <c r="E5643">
        <v>442</v>
      </c>
      <c r="F5643" s="4" t="s">
        <v>640</v>
      </c>
      <c r="G5643" t="s">
        <v>29</v>
      </c>
      <c r="H5643" t="s">
        <v>641</v>
      </c>
    </row>
    <row r="5644" spans="1:8" x14ac:dyDescent="0.25">
      <c r="A5644" t="s">
        <v>1111</v>
      </c>
      <c r="B5644" t="s">
        <v>341</v>
      </c>
      <c r="C5644" s="5">
        <v>137046</v>
      </c>
      <c r="D5644" s="5">
        <v>2018</v>
      </c>
      <c r="E5644">
        <v>87903</v>
      </c>
      <c r="F5644" s="4" t="s">
        <v>777</v>
      </c>
      <c r="G5644" t="s">
        <v>29</v>
      </c>
      <c r="H5644" t="s">
        <v>778</v>
      </c>
    </row>
    <row r="5645" spans="1:8" x14ac:dyDescent="0.25">
      <c r="A5645" t="s">
        <v>1111</v>
      </c>
      <c r="B5645" t="s">
        <v>338</v>
      </c>
      <c r="C5645" s="5">
        <v>313849</v>
      </c>
      <c r="D5645" s="5">
        <v>7172</v>
      </c>
      <c r="E5645">
        <v>121555</v>
      </c>
      <c r="F5645" s="4" t="s">
        <v>528</v>
      </c>
      <c r="G5645" t="s">
        <v>29</v>
      </c>
      <c r="H5645" t="s">
        <v>529</v>
      </c>
    </row>
    <row r="5646" spans="1:8" x14ac:dyDescent="0.25">
      <c r="A5646" t="s">
        <v>1111</v>
      </c>
      <c r="B5646" t="s">
        <v>335</v>
      </c>
      <c r="C5646" s="5">
        <v>3357</v>
      </c>
      <c r="D5646" s="5">
        <v>35</v>
      </c>
      <c r="E5646">
        <v>622</v>
      </c>
      <c r="F5646" s="4" t="s">
        <v>336</v>
      </c>
      <c r="G5646" t="s">
        <v>29</v>
      </c>
      <c r="H5646" t="s">
        <v>337</v>
      </c>
    </row>
    <row r="5647" spans="1:8" x14ac:dyDescent="0.25">
      <c r="A5647" t="s">
        <v>1111</v>
      </c>
      <c r="B5647" t="s">
        <v>332</v>
      </c>
      <c r="C5647" s="5">
        <v>941446</v>
      </c>
      <c r="D5647" s="5">
        <v>14533</v>
      </c>
      <c r="E5647">
        <v>313971</v>
      </c>
      <c r="F5647" s="4" t="s">
        <v>519</v>
      </c>
      <c r="G5647" t="s">
        <v>29</v>
      </c>
      <c r="H5647" t="s">
        <v>520</v>
      </c>
    </row>
    <row r="5648" spans="1:8" x14ac:dyDescent="0.25">
      <c r="A5648" t="s">
        <v>1111</v>
      </c>
      <c r="B5648" t="s">
        <v>329</v>
      </c>
      <c r="C5648" s="5">
        <v>349210</v>
      </c>
      <c r="D5648" s="5">
        <v>4860</v>
      </c>
      <c r="E5648">
        <v>197016</v>
      </c>
      <c r="F5648" s="4" t="s">
        <v>208</v>
      </c>
      <c r="G5648" t="s">
        <v>29</v>
      </c>
      <c r="H5648" t="s">
        <v>209</v>
      </c>
    </row>
    <row r="5649" spans="1:8" x14ac:dyDescent="0.25">
      <c r="A5649" t="s">
        <v>1111</v>
      </c>
      <c r="B5649" t="s">
        <v>328</v>
      </c>
      <c r="C5649" s="5">
        <v>180440</v>
      </c>
      <c r="D5649" s="5">
        <v>2869</v>
      </c>
      <c r="E5649">
        <v>10980</v>
      </c>
      <c r="F5649" s="4" t="s">
        <v>361</v>
      </c>
      <c r="G5649" t="s">
        <v>29</v>
      </c>
      <c r="H5649" t="s">
        <v>362</v>
      </c>
    </row>
    <row r="5650" spans="1:8" x14ac:dyDescent="0.25">
      <c r="A5650" t="s">
        <v>1111</v>
      </c>
      <c r="B5650" t="s">
        <v>325</v>
      </c>
      <c r="C5650" s="5">
        <v>79720</v>
      </c>
      <c r="D5650" s="5">
        <v>839</v>
      </c>
      <c r="E5650">
        <v>78122</v>
      </c>
      <c r="F5650" s="4" t="s">
        <v>642</v>
      </c>
      <c r="G5650" t="s">
        <v>29</v>
      </c>
      <c r="H5650" t="s">
        <v>643</v>
      </c>
    </row>
    <row r="5651" spans="1:8" x14ac:dyDescent="0.25">
      <c r="A5651" t="s">
        <v>1111</v>
      </c>
      <c r="B5651" t="s">
        <v>322</v>
      </c>
      <c r="C5651" s="5">
        <v>363630</v>
      </c>
      <c r="D5651" s="5">
        <v>5376</v>
      </c>
      <c r="E5651">
        <v>26024</v>
      </c>
      <c r="F5651" s="4" t="s">
        <v>285</v>
      </c>
      <c r="G5651" t="s">
        <v>29</v>
      </c>
      <c r="H5651" t="s">
        <v>286</v>
      </c>
    </row>
    <row r="5652" spans="1:8" x14ac:dyDescent="0.25">
      <c r="A5652" t="s">
        <v>1111</v>
      </c>
      <c r="B5652" t="s">
        <v>319</v>
      </c>
      <c r="C5652" s="5">
        <v>21524</v>
      </c>
      <c r="D5652" s="5">
        <v>655</v>
      </c>
      <c r="E5652">
        <v>12968</v>
      </c>
      <c r="F5652" s="4" t="s">
        <v>320</v>
      </c>
      <c r="G5652" t="s">
        <v>29</v>
      </c>
      <c r="H5652" t="s">
        <v>321</v>
      </c>
    </row>
    <row r="5653" spans="1:8" x14ac:dyDescent="0.25">
      <c r="A5653" t="s">
        <v>1111</v>
      </c>
      <c r="B5653" t="s">
        <v>316</v>
      </c>
      <c r="C5653" s="5">
        <v>5803</v>
      </c>
      <c r="D5653" s="5">
        <v>286</v>
      </c>
      <c r="E5653">
        <v>5141</v>
      </c>
      <c r="F5653" s="4" t="s">
        <v>317</v>
      </c>
      <c r="G5653" t="s">
        <v>29</v>
      </c>
      <c r="H5653" t="s">
        <v>318</v>
      </c>
    </row>
    <row r="5654" spans="1:8" x14ac:dyDescent="0.25">
      <c r="A5654" t="s">
        <v>1111</v>
      </c>
      <c r="B5654" t="s">
        <v>315</v>
      </c>
      <c r="C5654" s="5">
        <v>530421</v>
      </c>
      <c r="D5654" s="5">
        <v>13449</v>
      </c>
      <c r="E5654">
        <v>121458</v>
      </c>
      <c r="F5654" s="4" t="s">
        <v>141</v>
      </c>
      <c r="G5654" t="s">
        <v>29</v>
      </c>
      <c r="H5654" t="s">
        <v>142</v>
      </c>
    </row>
    <row r="5655" spans="1:8" x14ac:dyDescent="0.25">
      <c r="A5655" t="s">
        <v>1111</v>
      </c>
      <c r="B5655" t="s">
        <v>312</v>
      </c>
      <c r="C5655" s="5">
        <v>3584</v>
      </c>
      <c r="D5655" s="5">
        <v>60</v>
      </c>
      <c r="E5655">
        <v>3116</v>
      </c>
      <c r="F5655" s="4" t="s">
        <v>827</v>
      </c>
      <c r="G5655" t="s">
        <v>29</v>
      </c>
      <c r="H5655" t="s">
        <v>828</v>
      </c>
    </row>
    <row r="5656" spans="1:8" x14ac:dyDescent="0.25">
      <c r="A5656" t="s">
        <v>1111</v>
      </c>
      <c r="B5656" t="s">
        <v>309</v>
      </c>
      <c r="C5656" s="5">
        <v>12129</v>
      </c>
      <c r="D5656" s="5">
        <v>232</v>
      </c>
      <c r="E5656">
        <v>11364</v>
      </c>
      <c r="F5656" s="4" t="s">
        <v>119</v>
      </c>
      <c r="G5656" t="s">
        <v>29</v>
      </c>
      <c r="H5656" t="s">
        <v>120</v>
      </c>
    </row>
    <row r="5657" spans="1:8" x14ac:dyDescent="0.25">
      <c r="A5657" t="s">
        <v>1111</v>
      </c>
      <c r="B5657" t="s">
        <v>306</v>
      </c>
      <c r="C5657" s="5">
        <v>632781</v>
      </c>
      <c r="D5657" s="5">
        <v>8413</v>
      </c>
      <c r="E5657">
        <v>124260</v>
      </c>
      <c r="F5657" s="4" t="s">
        <v>59</v>
      </c>
      <c r="G5657" t="s">
        <v>29</v>
      </c>
      <c r="H5657" t="s">
        <v>60</v>
      </c>
    </row>
    <row r="5658" spans="1:8" x14ac:dyDescent="0.25">
      <c r="A5658" t="s">
        <v>1111</v>
      </c>
      <c r="B5658" t="s">
        <v>303</v>
      </c>
      <c r="C5658" s="5">
        <v>31188</v>
      </c>
      <c r="D5658" s="5">
        <v>36</v>
      </c>
      <c r="E5658">
        <v>6537</v>
      </c>
      <c r="F5658" s="4" t="s">
        <v>957</v>
      </c>
      <c r="G5658" t="s">
        <v>29</v>
      </c>
      <c r="H5658" t="s">
        <v>958</v>
      </c>
    </row>
    <row r="5659" spans="1:8" x14ac:dyDescent="0.25">
      <c r="A5659" t="s">
        <v>1111</v>
      </c>
      <c r="B5659" t="s">
        <v>302</v>
      </c>
      <c r="C5659" s="5">
        <v>992488</v>
      </c>
      <c r="D5659" s="5">
        <v>16618</v>
      </c>
      <c r="E5659">
        <v>152772</v>
      </c>
      <c r="F5659" s="4" t="s">
        <v>827</v>
      </c>
      <c r="G5659" t="s">
        <v>29</v>
      </c>
      <c r="H5659" t="s">
        <v>828</v>
      </c>
    </row>
    <row r="5660" spans="1:8" x14ac:dyDescent="0.25">
      <c r="A5660" t="s">
        <v>1111</v>
      </c>
      <c r="B5660" t="s">
        <v>299</v>
      </c>
      <c r="C5660" s="5">
        <v>412258</v>
      </c>
      <c r="D5660" s="5">
        <v>2455</v>
      </c>
      <c r="E5660">
        <v>91545</v>
      </c>
      <c r="F5660" s="4" t="s">
        <v>300</v>
      </c>
      <c r="G5660" t="s">
        <v>29</v>
      </c>
      <c r="H5660" t="s">
        <v>301</v>
      </c>
    </row>
    <row r="5661" spans="1:8" x14ac:dyDescent="0.25">
      <c r="A5661" t="s">
        <v>1111</v>
      </c>
      <c r="B5661" t="s">
        <v>296</v>
      </c>
      <c r="C5661" s="5">
        <v>340978</v>
      </c>
      <c r="D5661" s="5">
        <v>2644</v>
      </c>
      <c r="E5661">
        <v>156231</v>
      </c>
      <c r="F5661" s="4" t="s">
        <v>297</v>
      </c>
      <c r="G5661" t="s">
        <v>29</v>
      </c>
      <c r="H5661" t="s">
        <v>298</v>
      </c>
    </row>
    <row r="5662" spans="1:8" x14ac:dyDescent="0.25">
      <c r="A5662" t="s">
        <v>1111</v>
      </c>
      <c r="B5662" t="s">
        <v>293</v>
      </c>
      <c r="C5662" s="5">
        <v>2525</v>
      </c>
      <c r="D5662" s="5">
        <v>21</v>
      </c>
      <c r="E5662">
        <v>696</v>
      </c>
      <c r="F5662" s="4" t="s">
        <v>28</v>
      </c>
      <c r="G5662" t="s">
        <v>29</v>
      </c>
      <c r="H5662" t="s">
        <v>30</v>
      </c>
    </row>
    <row r="5663" spans="1:8" x14ac:dyDescent="0.25">
      <c r="A5663" t="s">
        <v>1111</v>
      </c>
      <c r="B5663" t="s">
        <v>292</v>
      </c>
      <c r="C5663" s="5">
        <v>4184</v>
      </c>
      <c r="D5663" s="5">
        <v>147</v>
      </c>
      <c r="E5663">
        <v>3590</v>
      </c>
      <c r="F5663" s="4" t="s">
        <v>350</v>
      </c>
      <c r="G5663" t="s">
        <v>29</v>
      </c>
      <c r="H5663" t="s">
        <v>351</v>
      </c>
    </row>
    <row r="5664" spans="1:8" x14ac:dyDescent="0.25">
      <c r="A5664" t="s">
        <v>1111</v>
      </c>
      <c r="B5664" t="s">
        <v>287</v>
      </c>
      <c r="C5664" s="5">
        <v>116140</v>
      </c>
      <c r="D5664" s="5">
        <v>2610</v>
      </c>
      <c r="E5664">
        <v>64261</v>
      </c>
      <c r="F5664" s="4" t="s">
        <v>613</v>
      </c>
      <c r="G5664" t="s">
        <v>29</v>
      </c>
      <c r="H5664" t="s">
        <v>614</v>
      </c>
    </row>
    <row r="5665" spans="1:8" x14ac:dyDescent="0.25">
      <c r="A5665" t="s">
        <v>1111</v>
      </c>
      <c r="B5665" t="s">
        <v>290</v>
      </c>
      <c r="C5665" s="5">
        <v>2</v>
      </c>
      <c r="D5665" s="5">
        <v>0</v>
      </c>
      <c r="E5665">
        <v>0</v>
      </c>
      <c r="F5665" s="4" t="s">
        <v>29</v>
      </c>
      <c r="G5665" t="s">
        <v>29</v>
      </c>
      <c r="H5665" t="s">
        <v>291</v>
      </c>
    </row>
    <row r="5666" spans="1:8" x14ac:dyDescent="0.25">
      <c r="A5666" t="s">
        <v>1111</v>
      </c>
      <c r="B5666" t="s">
        <v>284</v>
      </c>
      <c r="C5666" s="5">
        <v>179681</v>
      </c>
      <c r="D5666" s="5">
        <v>2629</v>
      </c>
      <c r="E5666">
        <v>93500</v>
      </c>
      <c r="F5666" s="4" t="s">
        <v>565</v>
      </c>
      <c r="G5666" t="s">
        <v>29</v>
      </c>
      <c r="H5666" t="s">
        <v>566</v>
      </c>
    </row>
    <row r="5667" spans="1:8" x14ac:dyDescent="0.25">
      <c r="A5667" t="s">
        <v>1111</v>
      </c>
      <c r="B5667" t="s">
        <v>280</v>
      </c>
      <c r="C5667" s="5">
        <v>1714201</v>
      </c>
      <c r="D5667" s="5">
        <v>18084</v>
      </c>
      <c r="E5667">
        <v>1381060</v>
      </c>
      <c r="F5667" s="4" t="s">
        <v>642</v>
      </c>
      <c r="G5667" t="s">
        <v>29</v>
      </c>
      <c r="H5667" t="s">
        <v>643</v>
      </c>
    </row>
    <row r="5668" spans="1:8" x14ac:dyDescent="0.25">
      <c r="A5668" t="s">
        <v>1111</v>
      </c>
      <c r="B5668" t="s">
        <v>281</v>
      </c>
      <c r="C5668" s="5">
        <v>251803</v>
      </c>
      <c r="D5668" s="5">
        <v>5210</v>
      </c>
      <c r="E5668">
        <v>28918</v>
      </c>
      <c r="F5668" s="4" t="s">
        <v>310</v>
      </c>
      <c r="G5668" t="s">
        <v>29</v>
      </c>
      <c r="H5668" t="s">
        <v>311</v>
      </c>
    </row>
    <row r="5669" spans="1:8" x14ac:dyDescent="0.25">
      <c r="A5669" t="s">
        <v>1111</v>
      </c>
      <c r="B5669" t="s">
        <v>279</v>
      </c>
      <c r="C5669" s="5">
        <v>839544</v>
      </c>
      <c r="D5669" s="5">
        <v>10859</v>
      </c>
      <c r="E5669">
        <v>177431</v>
      </c>
      <c r="F5669" s="4" t="s">
        <v>417</v>
      </c>
      <c r="G5669" t="s">
        <v>29</v>
      </c>
      <c r="H5669" t="s">
        <v>418</v>
      </c>
    </row>
    <row r="5670" spans="1:8" x14ac:dyDescent="0.25">
      <c r="A5670" t="s">
        <v>1111</v>
      </c>
      <c r="B5670" t="s">
        <v>278</v>
      </c>
      <c r="C5670" s="5">
        <v>86986</v>
      </c>
      <c r="D5670" s="5">
        <v>2072</v>
      </c>
      <c r="E5670">
        <v>76870</v>
      </c>
      <c r="F5670" s="4" t="s">
        <v>552</v>
      </c>
      <c r="G5670" t="s">
        <v>29</v>
      </c>
      <c r="H5670" t="s">
        <v>553</v>
      </c>
    </row>
    <row r="5671" spans="1:8" x14ac:dyDescent="0.25">
      <c r="A5671" t="s">
        <v>1111</v>
      </c>
      <c r="B5671" t="s">
        <v>275</v>
      </c>
      <c r="C5671" s="5">
        <v>4712482</v>
      </c>
      <c r="D5671" s="5">
        <v>131503</v>
      </c>
      <c r="E5671">
        <v>2272654</v>
      </c>
      <c r="F5671" s="4" t="s">
        <v>662</v>
      </c>
      <c r="G5671" t="s">
        <v>29</v>
      </c>
      <c r="H5671" t="s">
        <v>663</v>
      </c>
    </row>
    <row r="5672" spans="1:8" x14ac:dyDescent="0.25">
      <c r="A5672" t="s">
        <v>1111</v>
      </c>
      <c r="B5672" t="s">
        <v>272</v>
      </c>
      <c r="C5672" s="5">
        <v>12455</v>
      </c>
      <c r="D5672" s="5">
        <v>33</v>
      </c>
      <c r="E5672">
        <v>1199</v>
      </c>
      <c r="F5672" s="4" t="s">
        <v>794</v>
      </c>
      <c r="G5672" t="s">
        <v>29</v>
      </c>
      <c r="H5672" t="s">
        <v>795</v>
      </c>
    </row>
    <row r="5673" spans="1:8" x14ac:dyDescent="0.25">
      <c r="A5673" t="s">
        <v>1111</v>
      </c>
      <c r="B5673" t="s">
        <v>269</v>
      </c>
      <c r="C5673" s="5">
        <v>5765904</v>
      </c>
      <c r="D5673" s="5">
        <v>123695</v>
      </c>
      <c r="E5673">
        <v>5150330</v>
      </c>
      <c r="F5673" s="4" t="s">
        <v>852</v>
      </c>
      <c r="G5673" t="s">
        <v>29</v>
      </c>
      <c r="H5673" t="s">
        <v>853</v>
      </c>
    </row>
    <row r="5674" spans="1:8" x14ac:dyDescent="0.25">
      <c r="A5674" t="s">
        <v>1111</v>
      </c>
      <c r="B5674" t="s">
        <v>266</v>
      </c>
      <c r="C5674" s="5">
        <v>2032660</v>
      </c>
      <c r="D5674" s="5">
        <v>22713</v>
      </c>
      <c r="E5674">
        <v>35138</v>
      </c>
      <c r="F5674" s="4" t="s">
        <v>911</v>
      </c>
      <c r="G5674" t="s">
        <v>29</v>
      </c>
      <c r="H5674" t="s">
        <v>912</v>
      </c>
    </row>
    <row r="5675" spans="1:8" x14ac:dyDescent="0.25">
      <c r="A5675" t="s">
        <v>1111</v>
      </c>
      <c r="B5675" t="s">
        <v>263</v>
      </c>
      <c r="C5675" s="5">
        <v>34053573</v>
      </c>
      <c r="D5675" s="5">
        <v>451980</v>
      </c>
      <c r="E5675">
        <v>28438146</v>
      </c>
      <c r="F5675" s="4" t="s">
        <v>59</v>
      </c>
      <c r="G5675" t="s">
        <v>29</v>
      </c>
      <c r="H5675" t="s">
        <v>60</v>
      </c>
    </row>
    <row r="5676" spans="1:8" x14ac:dyDescent="0.25">
      <c r="A5676" t="s">
        <v>1111</v>
      </c>
      <c r="B5676" t="s">
        <v>260</v>
      </c>
      <c r="C5676" s="5">
        <v>1314213</v>
      </c>
      <c r="D5676" s="5">
        <v>7976</v>
      </c>
      <c r="E5676">
        <v>842606</v>
      </c>
      <c r="F5676" s="4" t="s">
        <v>261</v>
      </c>
      <c r="G5676" t="s">
        <v>29</v>
      </c>
      <c r="H5676" t="s">
        <v>262</v>
      </c>
    </row>
    <row r="5677" spans="1:8" x14ac:dyDescent="0.25">
      <c r="A5677" t="s">
        <v>1111</v>
      </c>
      <c r="B5677" t="s">
        <v>257</v>
      </c>
      <c r="C5677" s="5">
        <v>411554</v>
      </c>
      <c r="D5677" s="5">
        <v>5306</v>
      </c>
      <c r="E5677">
        <v>382284</v>
      </c>
      <c r="F5677" s="4" t="s">
        <v>417</v>
      </c>
      <c r="G5677" t="s">
        <v>29</v>
      </c>
      <c r="H5677" t="s">
        <v>418</v>
      </c>
    </row>
    <row r="5678" spans="1:8" x14ac:dyDescent="0.25">
      <c r="A5678" t="s">
        <v>1111</v>
      </c>
      <c r="B5678" t="s">
        <v>254</v>
      </c>
      <c r="C5678" s="5">
        <v>4233014</v>
      </c>
      <c r="D5678" s="5">
        <v>142889</v>
      </c>
      <c r="E5678">
        <v>3638792</v>
      </c>
      <c r="F5678" s="4" t="s">
        <v>255</v>
      </c>
      <c r="G5678" t="s">
        <v>29</v>
      </c>
      <c r="H5678" t="s">
        <v>256</v>
      </c>
    </row>
    <row r="5679" spans="1:8" x14ac:dyDescent="0.25">
      <c r="A5679" t="s">
        <v>1111</v>
      </c>
      <c r="B5679" t="s">
        <v>251</v>
      </c>
      <c r="C5679" s="5">
        <v>833115</v>
      </c>
      <c r="D5679" s="5">
        <v>30351</v>
      </c>
      <c r="E5679">
        <v>694964</v>
      </c>
      <c r="F5679" s="4" t="s">
        <v>1102</v>
      </c>
      <c r="G5679" t="s">
        <v>29</v>
      </c>
      <c r="H5679" t="s">
        <v>1103</v>
      </c>
    </row>
    <row r="5680" spans="1:8" x14ac:dyDescent="0.25">
      <c r="A5680" t="s">
        <v>1111</v>
      </c>
      <c r="B5680" t="s">
        <v>248</v>
      </c>
      <c r="C5680" s="5">
        <v>22827</v>
      </c>
      <c r="D5680" s="5">
        <v>649</v>
      </c>
      <c r="E5680">
        <v>15723</v>
      </c>
      <c r="F5680" s="4" t="s">
        <v>1048</v>
      </c>
      <c r="G5680" t="s">
        <v>29</v>
      </c>
      <c r="H5680" t="s">
        <v>1049</v>
      </c>
    </row>
    <row r="5681" spans="1:8" x14ac:dyDescent="0.25">
      <c r="A5681" t="s">
        <v>1111</v>
      </c>
      <c r="B5681" t="s">
        <v>245</v>
      </c>
      <c r="C5681" s="5">
        <v>424666</v>
      </c>
      <c r="D5681" s="5">
        <v>8862</v>
      </c>
      <c r="E5681">
        <v>241400</v>
      </c>
      <c r="F5681" s="4" t="s">
        <v>282</v>
      </c>
      <c r="G5681" t="s">
        <v>29</v>
      </c>
      <c r="H5681" t="s">
        <v>283</v>
      </c>
    </row>
    <row r="5682" spans="1:8" x14ac:dyDescent="0.25">
      <c r="A5682" t="s">
        <v>1111</v>
      </c>
      <c r="B5682" t="s">
        <v>242</v>
      </c>
      <c r="C5682" s="5">
        <v>371861</v>
      </c>
      <c r="D5682" s="5">
        <v>10083</v>
      </c>
      <c r="E5682">
        <v>325206</v>
      </c>
      <c r="F5682" s="4" t="s">
        <v>875</v>
      </c>
      <c r="G5682" t="s">
        <v>29</v>
      </c>
      <c r="H5682" t="s">
        <v>876</v>
      </c>
    </row>
    <row r="5683" spans="1:8" x14ac:dyDescent="0.25">
      <c r="A5683" t="s">
        <v>1111</v>
      </c>
      <c r="B5683" t="s">
        <v>239</v>
      </c>
      <c r="C5683" s="5">
        <v>12285</v>
      </c>
      <c r="D5683" s="5">
        <v>213</v>
      </c>
      <c r="E5683">
        <v>7191</v>
      </c>
      <c r="F5683" s="4" t="s">
        <v>765</v>
      </c>
      <c r="G5683" t="s">
        <v>29</v>
      </c>
      <c r="H5683" t="s">
        <v>766</v>
      </c>
    </row>
    <row r="5684" spans="1:8" x14ac:dyDescent="0.25">
      <c r="A5684" t="s">
        <v>1111</v>
      </c>
      <c r="B5684" t="s">
        <v>236</v>
      </c>
      <c r="C5684" s="5">
        <v>34240</v>
      </c>
      <c r="D5684" s="5">
        <v>862</v>
      </c>
      <c r="E5684">
        <v>27629</v>
      </c>
      <c r="F5684" s="4" t="s">
        <v>729</v>
      </c>
      <c r="G5684" t="s">
        <v>29</v>
      </c>
      <c r="H5684" t="s">
        <v>730</v>
      </c>
    </row>
    <row r="5685" spans="1:8" x14ac:dyDescent="0.25">
      <c r="A5685" t="s">
        <v>1111</v>
      </c>
      <c r="B5685" t="s">
        <v>233</v>
      </c>
      <c r="C5685" s="5">
        <v>6129</v>
      </c>
      <c r="D5685" s="5">
        <v>141</v>
      </c>
      <c r="E5685">
        <v>926</v>
      </c>
      <c r="F5685" s="4" t="s">
        <v>619</v>
      </c>
      <c r="G5685" t="s">
        <v>29</v>
      </c>
      <c r="H5685" t="s">
        <v>620</v>
      </c>
    </row>
    <row r="5686" spans="1:8" x14ac:dyDescent="0.25">
      <c r="A5686" t="s">
        <v>1111</v>
      </c>
      <c r="B5686" t="s">
        <v>232</v>
      </c>
      <c r="C5686" s="5">
        <v>586318</v>
      </c>
      <c r="D5686" s="5">
        <v>14236</v>
      </c>
      <c r="E5686">
        <v>17109</v>
      </c>
      <c r="F5686" s="4" t="s">
        <v>917</v>
      </c>
      <c r="G5686" t="s">
        <v>29</v>
      </c>
      <c r="H5686" t="s">
        <v>918</v>
      </c>
    </row>
    <row r="5687" spans="1:8" x14ac:dyDescent="0.25">
      <c r="A5687" t="s">
        <v>1111</v>
      </c>
      <c r="B5687" t="s">
        <v>229</v>
      </c>
      <c r="C5687" s="5">
        <v>689896</v>
      </c>
      <c r="D5687" s="5">
        <v>15317</v>
      </c>
      <c r="E5687">
        <v>400743</v>
      </c>
      <c r="F5687" s="4" t="s">
        <v>673</v>
      </c>
      <c r="G5687" t="s">
        <v>29</v>
      </c>
      <c r="H5687" t="s">
        <v>674</v>
      </c>
    </row>
    <row r="5688" spans="1:8" x14ac:dyDescent="0.25">
      <c r="A5688" t="s">
        <v>1111</v>
      </c>
      <c r="B5688" t="s">
        <v>228</v>
      </c>
      <c r="C5688" s="5">
        <v>12840</v>
      </c>
      <c r="D5688" s="5">
        <v>156</v>
      </c>
      <c r="E5688">
        <v>3715</v>
      </c>
      <c r="F5688" s="4" t="s">
        <v>775</v>
      </c>
      <c r="G5688" t="s">
        <v>29</v>
      </c>
      <c r="H5688" t="s">
        <v>776</v>
      </c>
    </row>
    <row r="5689" spans="1:8" x14ac:dyDescent="0.25">
      <c r="A5689" t="s">
        <v>1111</v>
      </c>
      <c r="B5689" t="s">
        <v>225</v>
      </c>
      <c r="C5689" s="5">
        <v>53836</v>
      </c>
      <c r="D5689" s="5">
        <v>800</v>
      </c>
      <c r="E5689">
        <v>35380</v>
      </c>
      <c r="F5689" s="4" t="s">
        <v>800</v>
      </c>
      <c r="G5689" t="s">
        <v>29</v>
      </c>
      <c r="H5689" t="s">
        <v>801</v>
      </c>
    </row>
    <row r="5690" spans="1:8" x14ac:dyDescent="0.25">
      <c r="A5690" t="s">
        <v>1111</v>
      </c>
      <c r="B5690" t="s">
        <v>219</v>
      </c>
      <c r="C5690" s="5">
        <v>9946</v>
      </c>
      <c r="D5690" s="5">
        <v>339</v>
      </c>
      <c r="E5690">
        <v>6351</v>
      </c>
      <c r="F5690" s="4" t="s">
        <v>205</v>
      </c>
      <c r="G5690" t="s">
        <v>29</v>
      </c>
      <c r="H5690" t="s">
        <v>206</v>
      </c>
    </row>
    <row r="5691" spans="1:8" x14ac:dyDescent="0.25">
      <c r="A5691" t="s">
        <v>1111</v>
      </c>
      <c r="B5691" t="s">
        <v>222</v>
      </c>
      <c r="C5691" s="5">
        <v>30572</v>
      </c>
      <c r="D5691" s="5">
        <v>385</v>
      </c>
      <c r="E5691">
        <v>4302</v>
      </c>
      <c r="F5691" s="4" t="s">
        <v>223</v>
      </c>
      <c r="G5691" t="s">
        <v>29</v>
      </c>
      <c r="H5691" t="s">
        <v>224</v>
      </c>
    </row>
    <row r="5692" spans="1:8" x14ac:dyDescent="0.25">
      <c r="A5692" t="s">
        <v>1111</v>
      </c>
      <c r="B5692" t="s">
        <v>216</v>
      </c>
      <c r="C5692" s="5">
        <v>5740</v>
      </c>
      <c r="D5692" s="5">
        <v>98</v>
      </c>
      <c r="E5692">
        <v>3795</v>
      </c>
      <c r="F5692" s="4" t="s">
        <v>658</v>
      </c>
      <c r="G5692" t="s">
        <v>29</v>
      </c>
      <c r="H5692" t="s">
        <v>659</v>
      </c>
    </row>
    <row r="5693" spans="1:8" x14ac:dyDescent="0.25">
      <c r="A5693" t="s">
        <v>1111</v>
      </c>
      <c r="B5693" t="s">
        <v>213</v>
      </c>
      <c r="C5693" s="5">
        <v>128368</v>
      </c>
      <c r="D5693" s="5">
        <v>1158</v>
      </c>
      <c r="E5693">
        <v>38060</v>
      </c>
      <c r="F5693" s="4" t="s">
        <v>667</v>
      </c>
      <c r="G5693" t="s">
        <v>29</v>
      </c>
      <c r="H5693" t="s">
        <v>668</v>
      </c>
    </row>
    <row r="5694" spans="1:8" x14ac:dyDescent="0.25">
      <c r="A5694" t="s">
        <v>1111</v>
      </c>
      <c r="B5694" t="s">
        <v>210</v>
      </c>
      <c r="C5694" s="5">
        <v>43255</v>
      </c>
      <c r="D5694" s="5">
        <v>293</v>
      </c>
      <c r="E5694">
        <v>9898</v>
      </c>
      <c r="F5694" s="4" t="s">
        <v>605</v>
      </c>
      <c r="G5694" t="s">
        <v>29</v>
      </c>
      <c r="H5694" t="s">
        <v>606</v>
      </c>
    </row>
    <row r="5695" spans="1:8" x14ac:dyDescent="0.25">
      <c r="A5695" t="s">
        <v>1111</v>
      </c>
      <c r="B5695" t="s">
        <v>204</v>
      </c>
      <c r="C5695" s="5">
        <v>5721</v>
      </c>
      <c r="D5695" s="5">
        <v>192</v>
      </c>
      <c r="E5695">
        <v>4210</v>
      </c>
      <c r="F5695" s="4" t="s">
        <v>890</v>
      </c>
      <c r="G5695" t="s">
        <v>29</v>
      </c>
      <c r="H5695" t="s">
        <v>891</v>
      </c>
    </row>
    <row r="5696" spans="1:8" x14ac:dyDescent="0.25">
      <c r="A5696" t="s">
        <v>1111</v>
      </c>
      <c r="B5696" t="s">
        <v>207</v>
      </c>
      <c r="C5696" s="5">
        <v>652677</v>
      </c>
      <c r="D5696" s="5">
        <v>9396</v>
      </c>
      <c r="E5696">
        <v>346783</v>
      </c>
      <c r="F5696" s="4" t="s">
        <v>330</v>
      </c>
      <c r="G5696" t="s">
        <v>29</v>
      </c>
      <c r="H5696" t="s">
        <v>331</v>
      </c>
    </row>
    <row r="5697" spans="1:8" x14ac:dyDescent="0.25">
      <c r="A5697" t="s">
        <v>1111</v>
      </c>
      <c r="B5697" t="s">
        <v>201</v>
      </c>
      <c r="C5697" s="5">
        <v>8395243</v>
      </c>
      <c r="D5697" s="5">
        <v>138694</v>
      </c>
      <c r="E5697">
        <v>914339</v>
      </c>
      <c r="F5697" s="4" t="s">
        <v>691</v>
      </c>
      <c r="G5697" t="s">
        <v>29</v>
      </c>
      <c r="H5697" t="s">
        <v>692</v>
      </c>
    </row>
    <row r="5698" spans="1:8" x14ac:dyDescent="0.25">
      <c r="A5698" t="s">
        <v>1111</v>
      </c>
      <c r="B5698" t="s">
        <v>198</v>
      </c>
      <c r="C5698" s="5">
        <v>33442</v>
      </c>
      <c r="D5698" s="5">
        <v>213</v>
      </c>
      <c r="E5698">
        <v>4832</v>
      </c>
      <c r="F5698" s="4" t="s">
        <v>953</v>
      </c>
      <c r="G5698" t="s">
        <v>29</v>
      </c>
      <c r="H5698" t="s">
        <v>954</v>
      </c>
    </row>
    <row r="5699" spans="1:8" x14ac:dyDescent="0.25">
      <c r="A5699" t="s">
        <v>1111</v>
      </c>
      <c r="B5699" t="s">
        <v>195</v>
      </c>
      <c r="C5699" s="5">
        <v>6906114</v>
      </c>
      <c r="D5699" s="5">
        <v>114928</v>
      </c>
      <c r="E5699">
        <v>1365819</v>
      </c>
      <c r="F5699" s="4" t="s">
        <v>135</v>
      </c>
      <c r="G5699" t="s">
        <v>29</v>
      </c>
      <c r="H5699" t="s">
        <v>136</v>
      </c>
    </row>
    <row r="5700" spans="1:8" x14ac:dyDescent="0.25">
      <c r="A5700" t="s">
        <v>1111</v>
      </c>
      <c r="B5700" t="s">
        <v>192</v>
      </c>
      <c r="C5700" s="5">
        <v>1332</v>
      </c>
      <c r="D5700" s="5">
        <v>2</v>
      </c>
      <c r="E5700">
        <v>893</v>
      </c>
      <c r="F5700" s="4" t="s">
        <v>915</v>
      </c>
      <c r="G5700" t="s">
        <v>29</v>
      </c>
      <c r="H5700" t="s">
        <v>916</v>
      </c>
    </row>
    <row r="5701" spans="1:8" x14ac:dyDescent="0.25">
      <c r="A5701" t="s">
        <v>1111</v>
      </c>
      <c r="B5701" t="s">
        <v>189</v>
      </c>
      <c r="C5701" s="5">
        <v>51701</v>
      </c>
      <c r="D5701" s="5">
        <v>663</v>
      </c>
      <c r="E5701">
        <v>25215</v>
      </c>
      <c r="F5701" s="4" t="s">
        <v>381</v>
      </c>
      <c r="G5701" t="s">
        <v>29</v>
      </c>
      <c r="H5701" t="s">
        <v>382</v>
      </c>
    </row>
    <row r="5702" spans="1:8" x14ac:dyDescent="0.25">
      <c r="A5702" t="s">
        <v>1111</v>
      </c>
      <c r="B5702" t="s">
        <v>186</v>
      </c>
      <c r="C5702" s="5">
        <v>149897</v>
      </c>
      <c r="D5702" s="5">
        <v>1116</v>
      </c>
      <c r="E5702">
        <v>25492</v>
      </c>
      <c r="F5702" s="4" t="s">
        <v>819</v>
      </c>
      <c r="G5702" t="s">
        <v>29</v>
      </c>
      <c r="H5702" t="s">
        <v>820</v>
      </c>
    </row>
    <row r="5703" spans="1:8" x14ac:dyDescent="0.25">
      <c r="A5703" t="s">
        <v>1111</v>
      </c>
      <c r="B5703" t="s">
        <v>185</v>
      </c>
      <c r="C5703" s="5">
        <v>358345</v>
      </c>
      <c r="D5703" s="5">
        <v>6169</v>
      </c>
      <c r="E5703">
        <v>135386</v>
      </c>
      <c r="F5703" s="4" t="s">
        <v>240</v>
      </c>
      <c r="G5703" t="s">
        <v>29</v>
      </c>
      <c r="H5703" t="s">
        <v>241</v>
      </c>
    </row>
    <row r="5704" spans="1:8" x14ac:dyDescent="0.25">
      <c r="A5704" t="s">
        <v>1111</v>
      </c>
      <c r="B5704" t="s">
        <v>182</v>
      </c>
      <c r="C5704" s="5">
        <v>4984386</v>
      </c>
      <c r="D5704" s="5">
        <v>86974</v>
      </c>
      <c r="E5704">
        <v>4691738</v>
      </c>
      <c r="F5704" s="4" t="s">
        <v>183</v>
      </c>
      <c r="G5704" t="s">
        <v>29</v>
      </c>
      <c r="H5704" t="s">
        <v>184</v>
      </c>
    </row>
    <row r="5705" spans="1:8" x14ac:dyDescent="0.25">
      <c r="A5705" t="s">
        <v>1111</v>
      </c>
      <c r="B5705" t="s">
        <v>179</v>
      </c>
      <c r="C5705" s="5">
        <v>6767</v>
      </c>
      <c r="D5705" s="5">
        <v>44</v>
      </c>
      <c r="E5705">
        <v>3670</v>
      </c>
      <c r="F5705" s="4" t="s">
        <v>86</v>
      </c>
      <c r="G5705" t="s">
        <v>29</v>
      </c>
      <c r="H5705" t="s">
        <v>87</v>
      </c>
    </row>
    <row r="5706" spans="1:8" x14ac:dyDescent="0.25">
      <c r="A5706" t="s">
        <v>1111</v>
      </c>
      <c r="B5706" t="s">
        <v>176</v>
      </c>
      <c r="C5706" s="5">
        <v>316711</v>
      </c>
      <c r="D5706" s="5">
        <v>17884</v>
      </c>
      <c r="E5706">
        <v>56184</v>
      </c>
      <c r="F5706" s="4" t="s">
        <v>575</v>
      </c>
      <c r="G5706" t="s">
        <v>29</v>
      </c>
      <c r="H5706" t="s">
        <v>576</v>
      </c>
    </row>
    <row r="5707" spans="1:8" x14ac:dyDescent="0.25">
      <c r="A5707" t="s">
        <v>1111</v>
      </c>
      <c r="B5707" t="s">
        <v>173</v>
      </c>
      <c r="C5707" s="5">
        <v>170159</v>
      </c>
      <c r="D5707" s="5">
        <v>1415</v>
      </c>
      <c r="E5707">
        <v>26273</v>
      </c>
      <c r="F5707" s="4" t="s">
        <v>28</v>
      </c>
      <c r="G5707" t="s">
        <v>29</v>
      </c>
      <c r="H5707" t="s">
        <v>30</v>
      </c>
    </row>
    <row r="5708" spans="1:8" x14ac:dyDescent="0.25">
      <c r="A5708" t="s">
        <v>1111</v>
      </c>
      <c r="B5708" t="s">
        <v>170</v>
      </c>
      <c r="C5708" s="5">
        <v>513026</v>
      </c>
      <c r="D5708" s="5">
        <v>32899</v>
      </c>
      <c r="E5708">
        <v>399206</v>
      </c>
      <c r="F5708" s="4" t="s">
        <v>1020</v>
      </c>
      <c r="G5708" t="s">
        <v>29</v>
      </c>
      <c r="H5708" t="s">
        <v>1021</v>
      </c>
    </row>
    <row r="5709" spans="1:8" x14ac:dyDescent="0.25">
      <c r="A5709" t="s">
        <v>1111</v>
      </c>
      <c r="B5709" t="s">
        <v>167</v>
      </c>
      <c r="C5709" s="5">
        <v>205106</v>
      </c>
      <c r="D5709" s="5">
        <v>5867</v>
      </c>
      <c r="E5709">
        <v>195512</v>
      </c>
      <c r="F5709" s="4" t="s">
        <v>955</v>
      </c>
      <c r="G5709" t="s">
        <v>29</v>
      </c>
      <c r="H5709" t="s">
        <v>956</v>
      </c>
    </row>
    <row r="5710" spans="1:8" x14ac:dyDescent="0.25">
      <c r="A5710" t="s">
        <v>1111</v>
      </c>
      <c r="B5710" t="s">
        <v>164</v>
      </c>
      <c r="C5710" s="5">
        <v>368830</v>
      </c>
      <c r="D5710" s="5">
        <v>4082</v>
      </c>
      <c r="E5710">
        <v>86870</v>
      </c>
      <c r="F5710" s="4" t="s">
        <v>1098</v>
      </c>
      <c r="G5710" t="s">
        <v>29</v>
      </c>
      <c r="H5710" t="s">
        <v>1099</v>
      </c>
    </row>
    <row r="5711" spans="1:8" x14ac:dyDescent="0.25">
      <c r="A5711" t="s">
        <v>1111</v>
      </c>
      <c r="B5711" t="s">
        <v>161</v>
      </c>
      <c r="C5711" s="5">
        <v>4153</v>
      </c>
      <c r="D5711" s="5">
        <v>28</v>
      </c>
      <c r="E5711">
        <v>2127</v>
      </c>
      <c r="F5711" s="4" t="s">
        <v>92</v>
      </c>
      <c r="G5711" t="s">
        <v>29</v>
      </c>
      <c r="H5711" t="s">
        <v>93</v>
      </c>
    </row>
    <row r="5712" spans="1:8" x14ac:dyDescent="0.25">
      <c r="A5712" t="s">
        <v>1111</v>
      </c>
      <c r="B5712" t="s">
        <v>160</v>
      </c>
      <c r="C5712" s="5">
        <v>367961</v>
      </c>
      <c r="D5712" s="5">
        <v>2679</v>
      </c>
      <c r="E5712">
        <v>79969</v>
      </c>
      <c r="F5712" s="4" t="s">
        <v>187</v>
      </c>
      <c r="G5712" t="s">
        <v>29</v>
      </c>
      <c r="H5712" t="s">
        <v>188</v>
      </c>
    </row>
    <row r="5713" spans="1:8" x14ac:dyDescent="0.25">
      <c r="A5713" t="s">
        <v>1111</v>
      </c>
      <c r="B5713" t="s">
        <v>157</v>
      </c>
      <c r="C5713" s="5">
        <v>13377</v>
      </c>
      <c r="D5713" s="5">
        <v>179</v>
      </c>
      <c r="E5713">
        <v>7110</v>
      </c>
      <c r="F5713" s="4" t="s">
        <v>264</v>
      </c>
      <c r="G5713" t="s">
        <v>29</v>
      </c>
      <c r="H5713" t="s">
        <v>265</v>
      </c>
    </row>
    <row r="5714" spans="1:8" x14ac:dyDescent="0.25">
      <c r="A5714" t="s">
        <v>1111</v>
      </c>
      <c r="B5714" t="s">
        <v>154</v>
      </c>
      <c r="C5714" s="5">
        <v>4366833</v>
      </c>
      <c r="D5714" s="5">
        <v>94605</v>
      </c>
      <c r="E5714">
        <v>221222</v>
      </c>
      <c r="F5714" s="4" t="s">
        <v>940</v>
      </c>
      <c r="G5714" t="s">
        <v>29</v>
      </c>
      <c r="H5714" t="s">
        <v>941</v>
      </c>
    </row>
    <row r="5715" spans="1:8" x14ac:dyDescent="0.25">
      <c r="A5715" t="s">
        <v>1111</v>
      </c>
      <c r="B5715" t="s">
        <v>151</v>
      </c>
      <c r="C5715" s="5">
        <v>1705971</v>
      </c>
      <c r="D5715" s="5">
        <v>30528</v>
      </c>
      <c r="E5715">
        <v>80200</v>
      </c>
      <c r="F5715" s="4" t="s">
        <v>71</v>
      </c>
      <c r="G5715" t="s">
        <v>29</v>
      </c>
      <c r="H5715" t="s">
        <v>72</v>
      </c>
    </row>
    <row r="5716" spans="1:8" x14ac:dyDescent="0.25">
      <c r="A5716" t="s">
        <v>1111</v>
      </c>
      <c r="B5716" t="s">
        <v>148</v>
      </c>
      <c r="C5716" s="5">
        <v>121995</v>
      </c>
      <c r="D5716" s="5">
        <v>560</v>
      </c>
      <c r="E5716">
        <v>28267</v>
      </c>
      <c r="F5716" s="4" t="s">
        <v>149</v>
      </c>
      <c r="G5716" t="s">
        <v>29</v>
      </c>
      <c r="H5716" t="s">
        <v>150</v>
      </c>
    </row>
    <row r="5717" spans="1:8" x14ac:dyDescent="0.25">
      <c r="A5717" t="s">
        <v>1111</v>
      </c>
      <c r="B5717" t="s">
        <v>145</v>
      </c>
      <c r="C5717" s="5">
        <v>38006</v>
      </c>
      <c r="D5717" s="5">
        <v>347</v>
      </c>
      <c r="E5717">
        <v>29280</v>
      </c>
      <c r="F5717" s="4" t="s">
        <v>146</v>
      </c>
      <c r="G5717" t="s">
        <v>29</v>
      </c>
      <c r="H5717" t="s">
        <v>147</v>
      </c>
    </row>
    <row r="5718" spans="1:8" x14ac:dyDescent="0.25">
      <c r="A5718" t="s">
        <v>1111</v>
      </c>
      <c r="B5718" t="s">
        <v>144</v>
      </c>
      <c r="C5718" s="5">
        <v>930822</v>
      </c>
      <c r="D5718" s="5">
        <v>8018</v>
      </c>
      <c r="E5718">
        <v>104315</v>
      </c>
      <c r="F5718" s="4" t="s">
        <v>122</v>
      </c>
      <c r="G5718" t="s">
        <v>29</v>
      </c>
      <c r="H5718" t="s">
        <v>123</v>
      </c>
    </row>
    <row r="5719" spans="1:8" x14ac:dyDescent="0.25">
      <c r="A5719" t="s">
        <v>1111</v>
      </c>
      <c r="B5719" t="s">
        <v>143</v>
      </c>
      <c r="C5719" s="5">
        <v>551144</v>
      </c>
      <c r="D5719" s="5">
        <v>6797</v>
      </c>
      <c r="E5719">
        <v>482698</v>
      </c>
      <c r="F5719" s="4" t="s">
        <v>798</v>
      </c>
      <c r="G5719" t="s">
        <v>29</v>
      </c>
      <c r="H5719" t="s">
        <v>799</v>
      </c>
    </row>
    <row r="5720" spans="1:8" x14ac:dyDescent="0.25">
      <c r="A5720" t="s">
        <v>1111</v>
      </c>
      <c r="B5720" t="s">
        <v>140</v>
      </c>
      <c r="C5720" s="5">
        <v>4978689</v>
      </c>
      <c r="D5720" s="5">
        <v>126796</v>
      </c>
      <c r="E5720">
        <v>3841497</v>
      </c>
      <c r="F5720" s="4" t="s">
        <v>513</v>
      </c>
      <c r="G5720" t="s">
        <v>29</v>
      </c>
      <c r="H5720" t="s">
        <v>514</v>
      </c>
    </row>
    <row r="5721" spans="1:8" x14ac:dyDescent="0.25">
      <c r="A5721" t="s">
        <v>1111</v>
      </c>
      <c r="B5721" t="s">
        <v>137</v>
      </c>
      <c r="C5721" s="5">
        <v>96502</v>
      </c>
      <c r="D5721" s="5">
        <v>4636</v>
      </c>
      <c r="E5721">
        <v>74101</v>
      </c>
      <c r="F5721" s="4" t="s">
        <v>1046</v>
      </c>
      <c r="G5721" t="s">
        <v>29</v>
      </c>
      <c r="H5721" t="s">
        <v>1047</v>
      </c>
    </row>
    <row r="5722" spans="1:8" x14ac:dyDescent="0.25">
      <c r="A5722" t="s">
        <v>1111</v>
      </c>
      <c r="B5722" t="s">
        <v>134</v>
      </c>
      <c r="C5722" s="5">
        <v>98402</v>
      </c>
      <c r="D5722" s="5">
        <v>1550</v>
      </c>
      <c r="E5722">
        <v>61501</v>
      </c>
      <c r="F5722" s="4" t="s">
        <v>577</v>
      </c>
      <c r="G5722" t="s">
        <v>29</v>
      </c>
      <c r="H5722" t="s">
        <v>578</v>
      </c>
    </row>
    <row r="5723" spans="1:8" x14ac:dyDescent="0.25">
      <c r="A5723" t="s">
        <v>1111</v>
      </c>
      <c r="B5723" t="s">
        <v>131</v>
      </c>
      <c r="C5723" s="5">
        <v>1667547</v>
      </c>
      <c r="D5723" s="5">
        <v>37594</v>
      </c>
      <c r="E5723">
        <v>1063604</v>
      </c>
      <c r="F5723" s="4" t="s">
        <v>613</v>
      </c>
      <c r="G5723" t="s">
        <v>29</v>
      </c>
      <c r="H5723" t="s">
        <v>614</v>
      </c>
    </row>
    <row r="5724" spans="1:8" x14ac:dyDescent="0.25">
      <c r="A5724" t="s">
        <v>1111</v>
      </c>
      <c r="B5724" t="s">
        <v>128</v>
      </c>
      <c r="C5724" s="5">
        <v>60982</v>
      </c>
      <c r="D5724" s="5">
        <v>674</v>
      </c>
      <c r="E5724">
        <v>50036</v>
      </c>
      <c r="F5724" s="4" t="s">
        <v>1098</v>
      </c>
      <c r="G5724" t="s">
        <v>29</v>
      </c>
      <c r="H5724" t="s">
        <v>1099</v>
      </c>
    </row>
    <row r="5725" spans="1:8" x14ac:dyDescent="0.25">
      <c r="A5725" t="s">
        <v>1111</v>
      </c>
      <c r="B5725" t="s">
        <v>127</v>
      </c>
      <c r="C5725" s="5">
        <v>854591</v>
      </c>
      <c r="D5725" s="5">
        <v>11158</v>
      </c>
      <c r="E5725">
        <v>239918</v>
      </c>
      <c r="F5725" s="4" t="s">
        <v>708</v>
      </c>
      <c r="G5725" t="s">
        <v>29</v>
      </c>
      <c r="H5725" t="s">
        <v>709</v>
      </c>
    </row>
    <row r="5726" spans="1:8" x14ac:dyDescent="0.25">
      <c r="A5726" t="s">
        <v>1111</v>
      </c>
      <c r="B5726" t="s">
        <v>124</v>
      </c>
      <c r="C5726" s="5">
        <v>15514</v>
      </c>
      <c r="D5726" s="5">
        <v>222</v>
      </c>
      <c r="E5726">
        <v>4157</v>
      </c>
      <c r="F5726" s="4" t="s">
        <v>323</v>
      </c>
      <c r="G5726" t="s">
        <v>29</v>
      </c>
      <c r="H5726" t="s">
        <v>324</v>
      </c>
    </row>
    <row r="5727" spans="1:8" x14ac:dyDescent="0.25">
      <c r="A5727" t="s">
        <v>1111</v>
      </c>
      <c r="B5727" t="s">
        <v>121</v>
      </c>
      <c r="C5727" s="5">
        <v>11469</v>
      </c>
      <c r="D5727" s="5">
        <v>100</v>
      </c>
      <c r="E5727">
        <v>6862</v>
      </c>
      <c r="F5727" s="4" t="s">
        <v>498</v>
      </c>
      <c r="G5727" t="s">
        <v>29</v>
      </c>
      <c r="H5727" t="s">
        <v>499</v>
      </c>
    </row>
    <row r="5728" spans="1:8" x14ac:dyDescent="0.25">
      <c r="A5728" t="s">
        <v>1111</v>
      </c>
      <c r="B5728" t="s">
        <v>118</v>
      </c>
      <c r="C5728" s="5">
        <v>57269</v>
      </c>
      <c r="D5728" s="5">
        <v>1089</v>
      </c>
      <c r="E5728">
        <v>201</v>
      </c>
      <c r="F5728" s="4" t="s">
        <v>652</v>
      </c>
      <c r="G5728" t="s">
        <v>29</v>
      </c>
      <c r="H5728" t="s">
        <v>653</v>
      </c>
    </row>
    <row r="5729" spans="1:8" x14ac:dyDescent="0.25">
      <c r="A5729" t="s">
        <v>1111</v>
      </c>
      <c r="B5729" t="s">
        <v>115</v>
      </c>
      <c r="C5729" s="5">
        <v>1685112</v>
      </c>
      <c r="D5729" s="5">
        <v>28521</v>
      </c>
      <c r="E5729">
        <v>728660</v>
      </c>
      <c r="F5729" s="4" t="s">
        <v>152</v>
      </c>
      <c r="G5729" t="s">
        <v>29</v>
      </c>
      <c r="H5729" t="s">
        <v>153</v>
      </c>
    </row>
    <row r="5730" spans="1:8" x14ac:dyDescent="0.25">
      <c r="A5730" t="s">
        <v>1111</v>
      </c>
      <c r="B5730" t="s">
        <v>112</v>
      </c>
      <c r="C5730" s="5">
        <v>23990</v>
      </c>
      <c r="D5730" s="5">
        <v>461</v>
      </c>
      <c r="E5730">
        <v>11920</v>
      </c>
      <c r="F5730" s="4" t="s">
        <v>721</v>
      </c>
      <c r="G5730" t="s">
        <v>29</v>
      </c>
      <c r="H5730" t="s">
        <v>722</v>
      </c>
    </row>
    <row r="5731" spans="1:8" x14ac:dyDescent="0.25">
      <c r="A5731" t="s">
        <v>1111</v>
      </c>
      <c r="B5731" t="s">
        <v>109</v>
      </c>
      <c r="C5731" s="5">
        <v>567938</v>
      </c>
      <c r="D5731" s="5">
        <v>4369</v>
      </c>
      <c r="E5731">
        <v>70872</v>
      </c>
      <c r="F5731" s="4" t="s">
        <v>110</v>
      </c>
      <c r="G5731" t="s">
        <v>29</v>
      </c>
      <c r="H5731" t="s">
        <v>111</v>
      </c>
    </row>
    <row r="5732" spans="1:8" x14ac:dyDescent="0.25">
      <c r="A5732" t="s">
        <v>1111</v>
      </c>
      <c r="B5732" t="s">
        <v>106</v>
      </c>
      <c r="C5732" s="5">
        <v>181856</v>
      </c>
      <c r="D5732" s="5">
        <v>2386</v>
      </c>
      <c r="E5732">
        <v>167895</v>
      </c>
      <c r="F5732" s="4" t="s">
        <v>708</v>
      </c>
      <c r="G5732" t="s">
        <v>29</v>
      </c>
      <c r="H5732" t="s">
        <v>709</v>
      </c>
    </row>
    <row r="5733" spans="1:8" x14ac:dyDescent="0.25">
      <c r="A5733" t="s">
        <v>1111</v>
      </c>
      <c r="B5733" t="s">
        <v>103</v>
      </c>
      <c r="C5733" s="5">
        <v>2617</v>
      </c>
      <c r="D5733" s="5">
        <v>3</v>
      </c>
      <c r="E5733">
        <v>672</v>
      </c>
      <c r="F5733" s="4" t="s">
        <v>104</v>
      </c>
      <c r="G5733" t="s">
        <v>29</v>
      </c>
      <c r="H5733" t="s">
        <v>105</v>
      </c>
    </row>
    <row r="5734" spans="1:8" x14ac:dyDescent="0.25">
      <c r="A5734" t="s">
        <v>1111</v>
      </c>
      <c r="B5734" t="s">
        <v>100</v>
      </c>
      <c r="C5734" s="5">
        <v>21580</v>
      </c>
      <c r="D5734" s="5">
        <v>590</v>
      </c>
      <c r="E5734">
        <v>2007</v>
      </c>
      <c r="F5734" s="4" t="s">
        <v>806</v>
      </c>
      <c r="G5734" t="s">
        <v>29</v>
      </c>
      <c r="H5734" t="s">
        <v>807</v>
      </c>
    </row>
    <row r="5735" spans="1:8" x14ac:dyDescent="0.25">
      <c r="A5735" t="s">
        <v>1111</v>
      </c>
      <c r="B5735" t="s">
        <v>97</v>
      </c>
      <c r="C5735" s="5">
        <v>21627476</v>
      </c>
      <c r="D5735" s="5">
        <v>602669</v>
      </c>
      <c r="E5735">
        <v>6439566</v>
      </c>
      <c r="F5735" s="4" t="s">
        <v>662</v>
      </c>
      <c r="G5735" t="s">
        <v>29</v>
      </c>
      <c r="H5735" t="s">
        <v>663</v>
      </c>
    </row>
    <row r="5736" spans="1:8" x14ac:dyDescent="0.25">
      <c r="A5736" t="s">
        <v>1111</v>
      </c>
      <c r="B5736" t="s">
        <v>94</v>
      </c>
      <c r="C5736" s="5">
        <v>506150</v>
      </c>
      <c r="D5736" s="5">
        <v>18824</v>
      </c>
      <c r="E5736">
        <v>381625</v>
      </c>
      <c r="F5736" s="4" t="s">
        <v>372</v>
      </c>
      <c r="G5736" t="s">
        <v>29</v>
      </c>
      <c r="H5736" t="s">
        <v>373</v>
      </c>
    </row>
    <row r="5737" spans="1:8" x14ac:dyDescent="0.25">
      <c r="A5737" t="s">
        <v>1111</v>
      </c>
      <c r="B5737" t="s">
        <v>91</v>
      </c>
      <c r="C5737" s="5">
        <v>10251</v>
      </c>
      <c r="D5737" s="5">
        <v>68</v>
      </c>
      <c r="E5737">
        <v>8442</v>
      </c>
      <c r="F5737" s="4" t="s">
        <v>162</v>
      </c>
      <c r="G5737" t="s">
        <v>29</v>
      </c>
      <c r="H5737" t="s">
        <v>163</v>
      </c>
    </row>
    <row r="5738" spans="1:8" x14ac:dyDescent="0.25">
      <c r="A5738" t="s">
        <v>1111</v>
      </c>
      <c r="B5738" t="s">
        <v>88</v>
      </c>
      <c r="C5738" s="5">
        <v>1658</v>
      </c>
      <c r="D5738" s="5">
        <v>6</v>
      </c>
      <c r="E5738">
        <v>138</v>
      </c>
      <c r="F5738" s="4" t="s">
        <v>89</v>
      </c>
      <c r="G5738" t="s">
        <v>29</v>
      </c>
      <c r="H5738" t="s">
        <v>90</v>
      </c>
    </row>
    <row r="5739" spans="1:8" x14ac:dyDescent="0.25">
      <c r="A5739" t="s">
        <v>1111</v>
      </c>
      <c r="B5739" t="s">
        <v>85</v>
      </c>
      <c r="C5739" s="5">
        <v>24560</v>
      </c>
      <c r="D5739" s="5">
        <v>161</v>
      </c>
      <c r="E5739">
        <v>19776</v>
      </c>
      <c r="F5739" s="4" t="s">
        <v>162</v>
      </c>
      <c r="G5739" t="s">
        <v>29</v>
      </c>
      <c r="H5739" t="s">
        <v>163</v>
      </c>
    </row>
    <row r="5740" spans="1:8" x14ac:dyDescent="0.25">
      <c r="A5740" t="s">
        <v>1111</v>
      </c>
      <c r="B5740" t="s">
        <v>82</v>
      </c>
      <c r="C5740" s="5">
        <v>19555</v>
      </c>
      <c r="D5740" s="5">
        <v>38</v>
      </c>
      <c r="E5740">
        <v>17348</v>
      </c>
      <c r="F5740" s="4" t="s">
        <v>83</v>
      </c>
      <c r="G5740" t="s">
        <v>29</v>
      </c>
      <c r="H5740" t="s">
        <v>84</v>
      </c>
    </row>
    <row r="5741" spans="1:8" x14ac:dyDescent="0.25">
      <c r="A5741" t="s">
        <v>1111</v>
      </c>
      <c r="B5741" t="s">
        <v>79</v>
      </c>
      <c r="C5741" s="5">
        <v>275975</v>
      </c>
      <c r="D5741" s="5">
        <v>1391</v>
      </c>
      <c r="E5741">
        <v>150929</v>
      </c>
      <c r="F5741" s="4" t="s">
        <v>80</v>
      </c>
      <c r="G5741" t="s">
        <v>29</v>
      </c>
      <c r="H5741" t="s">
        <v>81</v>
      </c>
    </row>
    <row r="5742" spans="1:8" x14ac:dyDescent="0.25">
      <c r="A5742" t="s">
        <v>1111</v>
      </c>
      <c r="B5742" t="s">
        <v>76</v>
      </c>
      <c r="C5742" s="5">
        <v>537752</v>
      </c>
      <c r="D5742" s="5">
        <v>22188</v>
      </c>
      <c r="E5742">
        <v>250964</v>
      </c>
      <c r="F5742" s="4" t="s">
        <v>1122</v>
      </c>
      <c r="G5742" t="s">
        <v>29</v>
      </c>
      <c r="H5742" t="s">
        <v>1123</v>
      </c>
    </row>
    <row r="5743" spans="1:8" x14ac:dyDescent="0.25">
      <c r="A5743" t="s">
        <v>1111</v>
      </c>
      <c r="B5743" t="s">
        <v>73</v>
      </c>
      <c r="C5743" s="5">
        <v>14657</v>
      </c>
      <c r="D5743" s="5">
        <v>203</v>
      </c>
      <c r="E5743">
        <v>1718</v>
      </c>
      <c r="F5743" s="4" t="s">
        <v>208</v>
      </c>
      <c r="G5743" t="s">
        <v>29</v>
      </c>
      <c r="H5743" t="s">
        <v>209</v>
      </c>
    </row>
    <row r="5744" spans="1:8" x14ac:dyDescent="0.25">
      <c r="A5744" t="s">
        <v>1111</v>
      </c>
      <c r="B5744" t="s">
        <v>70</v>
      </c>
      <c r="C5744" s="5">
        <v>1279869</v>
      </c>
      <c r="D5744" s="5">
        <v>25747</v>
      </c>
      <c r="E5744">
        <v>759099</v>
      </c>
      <c r="F5744" s="4" t="s">
        <v>656</v>
      </c>
      <c r="G5744" t="s">
        <v>29</v>
      </c>
      <c r="H5744" t="s">
        <v>657</v>
      </c>
    </row>
    <row r="5745" spans="1:8" x14ac:dyDescent="0.25">
      <c r="A5745" t="s">
        <v>1111</v>
      </c>
      <c r="B5745" t="s">
        <v>67</v>
      </c>
      <c r="C5745" s="5">
        <v>1564881</v>
      </c>
      <c r="D5745" s="5">
        <v>27746</v>
      </c>
      <c r="E5745">
        <v>1347871</v>
      </c>
      <c r="F5745" s="4" t="s">
        <v>769</v>
      </c>
      <c r="G5745" t="s">
        <v>29</v>
      </c>
      <c r="H5745" t="s">
        <v>770</v>
      </c>
    </row>
    <row r="5746" spans="1:8" x14ac:dyDescent="0.25">
      <c r="A5746" t="s">
        <v>1111</v>
      </c>
      <c r="B5746" t="s">
        <v>64</v>
      </c>
      <c r="C5746" s="5">
        <v>12427</v>
      </c>
      <c r="D5746" s="5">
        <v>109</v>
      </c>
      <c r="E5746">
        <v>10378</v>
      </c>
      <c r="F5746" s="4" t="s">
        <v>609</v>
      </c>
      <c r="G5746" t="s">
        <v>29</v>
      </c>
      <c r="H5746" t="s">
        <v>610</v>
      </c>
    </row>
    <row r="5747" spans="1:8" x14ac:dyDescent="0.25">
      <c r="A5747" t="s">
        <v>1111</v>
      </c>
      <c r="B5747" t="s">
        <v>61</v>
      </c>
      <c r="C5747" s="5">
        <v>243914</v>
      </c>
      <c r="D5747" s="5">
        <v>11110</v>
      </c>
      <c r="E5747">
        <v>31503</v>
      </c>
      <c r="F5747" s="4" t="s">
        <v>561</v>
      </c>
      <c r="G5747" t="s">
        <v>29</v>
      </c>
      <c r="H5747" t="s">
        <v>562</v>
      </c>
    </row>
    <row r="5748" spans="1:8" x14ac:dyDescent="0.25">
      <c r="A5748" t="s">
        <v>1111</v>
      </c>
      <c r="B5748" t="s">
        <v>58</v>
      </c>
      <c r="C5748" s="5">
        <v>498630</v>
      </c>
      <c r="D5748" s="5">
        <v>6734</v>
      </c>
      <c r="E5748">
        <v>7927</v>
      </c>
      <c r="F5748" s="4" t="s">
        <v>409</v>
      </c>
      <c r="G5748" t="s">
        <v>29</v>
      </c>
      <c r="H5748" t="s">
        <v>410</v>
      </c>
    </row>
    <row r="5749" spans="1:8" x14ac:dyDescent="0.25">
      <c r="A5749" t="s">
        <v>1111</v>
      </c>
      <c r="B5749" t="s">
        <v>55</v>
      </c>
      <c r="C5749" s="5">
        <v>141031</v>
      </c>
      <c r="D5749" s="5">
        <v>1515</v>
      </c>
      <c r="E5749">
        <v>74014</v>
      </c>
      <c r="F5749" s="4" t="s">
        <v>654</v>
      </c>
      <c r="G5749" t="s">
        <v>29</v>
      </c>
      <c r="H5749" t="s">
        <v>655</v>
      </c>
    </row>
    <row r="5750" spans="1:8" x14ac:dyDescent="0.25">
      <c r="A5750" t="s">
        <v>1111</v>
      </c>
      <c r="B5750" t="s">
        <v>52</v>
      </c>
      <c r="C5750" s="5">
        <v>771143</v>
      </c>
      <c r="D5750" s="5">
        <v>11151</v>
      </c>
      <c r="E5750">
        <v>632080</v>
      </c>
      <c r="F5750" s="4" t="s">
        <v>342</v>
      </c>
      <c r="G5750" t="s">
        <v>29</v>
      </c>
      <c r="H5750" t="s">
        <v>343</v>
      </c>
    </row>
    <row r="5751" spans="1:8" x14ac:dyDescent="0.25">
      <c r="A5751" t="s">
        <v>1111</v>
      </c>
      <c r="B5751" t="s">
        <v>49</v>
      </c>
      <c r="C5751" s="5">
        <v>5271361</v>
      </c>
      <c r="D5751" s="5">
        <v>115660</v>
      </c>
      <c r="E5751">
        <v>3343974</v>
      </c>
      <c r="F5751" s="4" t="s">
        <v>50</v>
      </c>
      <c r="G5751" t="s">
        <v>29</v>
      </c>
      <c r="H5751" t="s">
        <v>51</v>
      </c>
    </row>
    <row r="5752" spans="1:8" x14ac:dyDescent="0.25">
      <c r="A5752" t="s">
        <v>1111</v>
      </c>
      <c r="B5752" t="s">
        <v>46</v>
      </c>
      <c r="C5752" s="5">
        <v>62606</v>
      </c>
      <c r="D5752" s="5">
        <v>1660</v>
      </c>
      <c r="E5752">
        <v>82</v>
      </c>
      <c r="F5752" s="4" t="s">
        <v>862</v>
      </c>
      <c r="G5752" t="s">
        <v>29</v>
      </c>
      <c r="H5752" t="s">
        <v>863</v>
      </c>
    </row>
    <row r="5753" spans="1:8" x14ac:dyDescent="0.25">
      <c r="A5753" t="s">
        <v>1111</v>
      </c>
      <c r="B5753" t="s">
        <v>43</v>
      </c>
      <c r="C5753" s="5">
        <v>278431</v>
      </c>
      <c r="D5753" s="5">
        <v>5713</v>
      </c>
      <c r="E5753">
        <v>137320</v>
      </c>
      <c r="F5753" s="4" t="s">
        <v>579</v>
      </c>
      <c r="G5753" t="s">
        <v>29</v>
      </c>
      <c r="H5753" t="s">
        <v>580</v>
      </c>
    </row>
    <row r="5754" spans="1:8" x14ac:dyDescent="0.25">
      <c r="A5754" t="s">
        <v>1111</v>
      </c>
      <c r="B5754" t="s">
        <v>40</v>
      </c>
      <c r="C5754" s="5">
        <v>177108</v>
      </c>
      <c r="D5754" s="5">
        <v>2807</v>
      </c>
      <c r="E5754">
        <v>71047</v>
      </c>
      <c r="F5754" s="4" t="s">
        <v>577</v>
      </c>
      <c r="G5754" t="s">
        <v>29</v>
      </c>
      <c r="H5754" t="s">
        <v>578</v>
      </c>
    </row>
    <row r="5755" spans="1:8" x14ac:dyDescent="0.25">
      <c r="A5755" t="s">
        <v>1111</v>
      </c>
      <c r="B5755" t="s">
        <v>37</v>
      </c>
      <c r="C5755" s="5">
        <v>3858</v>
      </c>
      <c r="D5755" s="5">
        <v>93</v>
      </c>
      <c r="E5755">
        <v>2539</v>
      </c>
      <c r="F5755" s="4" t="s">
        <v>510</v>
      </c>
      <c r="G5755" t="s">
        <v>29</v>
      </c>
      <c r="H5755" t="s">
        <v>511</v>
      </c>
    </row>
    <row r="5756" spans="1:8" x14ac:dyDescent="0.25">
      <c r="A5756" t="s">
        <v>1111</v>
      </c>
      <c r="B5756" t="s">
        <v>34</v>
      </c>
      <c r="C5756" s="5">
        <v>155688</v>
      </c>
      <c r="D5756" s="5">
        <v>7238</v>
      </c>
      <c r="E5756">
        <v>13642</v>
      </c>
      <c r="F5756" s="4" t="s">
        <v>900</v>
      </c>
      <c r="G5756" t="s">
        <v>29</v>
      </c>
      <c r="H5756" t="s">
        <v>901</v>
      </c>
    </row>
    <row r="5757" spans="1:8" x14ac:dyDescent="0.25">
      <c r="A5757" t="s">
        <v>1111</v>
      </c>
      <c r="B5757" t="s">
        <v>31</v>
      </c>
      <c r="C5757" s="5">
        <v>738372</v>
      </c>
      <c r="D5757" s="5">
        <v>2118</v>
      </c>
      <c r="E5757">
        <v>168146</v>
      </c>
      <c r="F5757" s="4" t="s">
        <v>32</v>
      </c>
      <c r="G5757" t="s">
        <v>29</v>
      </c>
      <c r="H5757" t="s">
        <v>33</v>
      </c>
    </row>
    <row r="5758" spans="1:8" x14ac:dyDescent="0.25">
      <c r="A5758" t="s">
        <v>1111</v>
      </c>
      <c r="B5758" t="s">
        <v>27</v>
      </c>
      <c r="C5758" s="5">
        <v>15338</v>
      </c>
      <c r="D5758" s="5">
        <v>130</v>
      </c>
      <c r="E5758">
        <v>10193</v>
      </c>
      <c r="F5758" s="4" t="s">
        <v>685</v>
      </c>
      <c r="G5758" t="s">
        <v>29</v>
      </c>
      <c r="H5758" t="s">
        <v>686</v>
      </c>
    </row>
    <row r="5759" spans="1:8" x14ac:dyDescent="0.25">
      <c r="A5759" t="s">
        <v>1124</v>
      </c>
      <c r="B5759" t="s">
        <v>27</v>
      </c>
      <c r="C5759" s="5">
        <v>15326</v>
      </c>
      <c r="D5759" s="5">
        <v>130</v>
      </c>
      <c r="E5759">
        <v>9270</v>
      </c>
      <c r="F5759" s="4" t="s">
        <v>685</v>
      </c>
      <c r="G5759" t="s">
        <v>29</v>
      </c>
      <c r="H5759" t="s">
        <v>686</v>
      </c>
    </row>
    <row r="5760" spans="1:8" x14ac:dyDescent="0.25">
      <c r="A5760" t="s">
        <v>1124</v>
      </c>
      <c r="B5760" t="s">
        <v>31</v>
      </c>
      <c r="C5760" s="5">
        <v>738268</v>
      </c>
      <c r="D5760" s="5">
        <v>2117</v>
      </c>
      <c r="E5760">
        <v>584656</v>
      </c>
      <c r="F5760" s="4" t="s">
        <v>32</v>
      </c>
      <c r="G5760" t="s">
        <v>29</v>
      </c>
      <c r="H5760" t="s">
        <v>33</v>
      </c>
    </row>
    <row r="5761" spans="1:8" x14ac:dyDescent="0.25">
      <c r="A5761" t="s">
        <v>1124</v>
      </c>
      <c r="B5761" t="s">
        <v>34</v>
      </c>
      <c r="C5761" s="5">
        <v>155682</v>
      </c>
      <c r="D5761" s="5">
        <v>7238</v>
      </c>
      <c r="E5761">
        <v>49619</v>
      </c>
      <c r="F5761" s="4" t="s">
        <v>900</v>
      </c>
      <c r="G5761" t="s">
        <v>29</v>
      </c>
      <c r="H5761" t="s">
        <v>901</v>
      </c>
    </row>
    <row r="5762" spans="1:8" x14ac:dyDescent="0.25">
      <c r="A5762" t="s">
        <v>1124</v>
      </c>
      <c r="B5762" t="s">
        <v>37</v>
      </c>
      <c r="C5762" s="5">
        <v>3830</v>
      </c>
      <c r="D5762" s="5">
        <v>93</v>
      </c>
      <c r="E5762">
        <v>865</v>
      </c>
      <c r="F5762" s="4" t="s">
        <v>917</v>
      </c>
      <c r="G5762" t="s">
        <v>29</v>
      </c>
      <c r="H5762" t="s">
        <v>918</v>
      </c>
    </row>
    <row r="5763" spans="1:8" x14ac:dyDescent="0.25">
      <c r="A5763" t="s">
        <v>1124</v>
      </c>
      <c r="B5763" t="s">
        <v>40</v>
      </c>
      <c r="C5763" s="5">
        <v>176667</v>
      </c>
      <c r="D5763" s="5">
        <v>2797</v>
      </c>
      <c r="E5763">
        <v>103587</v>
      </c>
      <c r="F5763" s="4" t="s">
        <v>577</v>
      </c>
      <c r="G5763" t="s">
        <v>29</v>
      </c>
      <c r="H5763" t="s">
        <v>578</v>
      </c>
    </row>
    <row r="5764" spans="1:8" x14ac:dyDescent="0.25">
      <c r="A5764" t="s">
        <v>1124</v>
      </c>
      <c r="B5764" t="s">
        <v>43</v>
      </c>
      <c r="C5764" s="5">
        <v>276666</v>
      </c>
      <c r="D5764" s="5">
        <v>5675</v>
      </c>
      <c r="E5764">
        <v>235801</v>
      </c>
      <c r="F5764" s="4" t="s">
        <v>579</v>
      </c>
      <c r="G5764" t="s">
        <v>29</v>
      </c>
      <c r="H5764" t="s">
        <v>580</v>
      </c>
    </row>
    <row r="5765" spans="1:8" x14ac:dyDescent="0.25">
      <c r="A5765" t="s">
        <v>1124</v>
      </c>
      <c r="B5765" t="s">
        <v>46</v>
      </c>
      <c r="C5765" s="5">
        <v>62385</v>
      </c>
      <c r="D5765" s="5">
        <v>1653</v>
      </c>
      <c r="E5765">
        <v>10222</v>
      </c>
      <c r="F5765" s="4" t="s">
        <v>862</v>
      </c>
      <c r="G5765" t="s">
        <v>29</v>
      </c>
      <c r="H5765" t="s">
        <v>863</v>
      </c>
    </row>
    <row r="5766" spans="1:8" x14ac:dyDescent="0.25">
      <c r="A5766" t="s">
        <v>1124</v>
      </c>
      <c r="B5766" t="s">
        <v>49</v>
      </c>
      <c r="C5766" s="5">
        <v>5270003</v>
      </c>
      <c r="D5766" s="5">
        <v>115633</v>
      </c>
      <c r="E5766">
        <v>4287431</v>
      </c>
      <c r="F5766" s="4" t="s">
        <v>50</v>
      </c>
      <c r="G5766" t="s">
        <v>29</v>
      </c>
      <c r="H5766" t="s">
        <v>51</v>
      </c>
    </row>
    <row r="5767" spans="1:8" x14ac:dyDescent="0.25">
      <c r="A5767" t="s">
        <v>1124</v>
      </c>
      <c r="B5767" t="s">
        <v>52</v>
      </c>
      <c r="C5767" s="5">
        <v>768711</v>
      </c>
      <c r="D5767" s="5">
        <v>11143</v>
      </c>
      <c r="E5767">
        <v>737696</v>
      </c>
      <c r="F5767" s="4" t="s">
        <v>342</v>
      </c>
      <c r="G5767" t="s">
        <v>29</v>
      </c>
      <c r="H5767" t="s">
        <v>343</v>
      </c>
    </row>
    <row r="5768" spans="1:8" x14ac:dyDescent="0.25">
      <c r="A5768" t="s">
        <v>1124</v>
      </c>
      <c r="B5768" t="s">
        <v>55</v>
      </c>
      <c r="C5768" s="5">
        <v>138720</v>
      </c>
      <c r="D5768" s="5">
        <v>1507</v>
      </c>
      <c r="E5768">
        <v>84585</v>
      </c>
      <c r="F5768" s="4" t="s">
        <v>683</v>
      </c>
      <c r="G5768" t="s">
        <v>29</v>
      </c>
      <c r="H5768" t="s">
        <v>684</v>
      </c>
    </row>
    <row r="5769" spans="1:8" x14ac:dyDescent="0.25">
      <c r="A5769" t="s">
        <v>1124</v>
      </c>
      <c r="B5769" t="s">
        <v>58</v>
      </c>
      <c r="C5769" s="5">
        <v>496780</v>
      </c>
      <c r="D5769" s="5">
        <v>6720</v>
      </c>
      <c r="E5769">
        <v>328611</v>
      </c>
      <c r="F5769" s="4" t="s">
        <v>409</v>
      </c>
      <c r="G5769" t="s">
        <v>29</v>
      </c>
      <c r="H5769" t="s">
        <v>410</v>
      </c>
    </row>
    <row r="5770" spans="1:8" x14ac:dyDescent="0.25">
      <c r="A5770" t="s">
        <v>1124</v>
      </c>
      <c r="B5770" t="s">
        <v>61</v>
      </c>
      <c r="C5770" s="5">
        <v>243220</v>
      </c>
      <c r="D5770" s="5">
        <v>11078</v>
      </c>
      <c r="E5770">
        <v>209555</v>
      </c>
      <c r="F5770" s="4" t="s">
        <v>561</v>
      </c>
      <c r="G5770" t="s">
        <v>29</v>
      </c>
      <c r="H5770" t="s">
        <v>562</v>
      </c>
    </row>
    <row r="5771" spans="1:8" x14ac:dyDescent="0.25">
      <c r="A5771" t="s">
        <v>1124</v>
      </c>
      <c r="B5771" t="s">
        <v>64</v>
      </c>
      <c r="C5771" s="5">
        <v>12105</v>
      </c>
      <c r="D5771" s="5">
        <v>108</v>
      </c>
      <c r="E5771">
        <v>4067</v>
      </c>
      <c r="F5771" s="4" t="s">
        <v>65</v>
      </c>
      <c r="G5771" t="s">
        <v>29</v>
      </c>
      <c r="H5771" t="s">
        <v>66</v>
      </c>
    </row>
    <row r="5772" spans="1:8" x14ac:dyDescent="0.25">
      <c r="A5772" t="s">
        <v>1124</v>
      </c>
      <c r="B5772" t="s">
        <v>67</v>
      </c>
      <c r="C5772" s="5">
        <v>1564485</v>
      </c>
      <c r="D5772" s="5">
        <v>27737</v>
      </c>
      <c r="E5772">
        <v>486951</v>
      </c>
      <c r="F5772" s="4" t="s">
        <v>769</v>
      </c>
      <c r="G5772" t="s">
        <v>29</v>
      </c>
      <c r="H5772" t="s">
        <v>770</v>
      </c>
    </row>
    <row r="5773" spans="1:8" x14ac:dyDescent="0.25">
      <c r="A5773" t="s">
        <v>1124</v>
      </c>
      <c r="B5773" t="s">
        <v>70</v>
      </c>
      <c r="C5773" s="5">
        <v>1276221</v>
      </c>
      <c r="D5773" s="5">
        <v>25732</v>
      </c>
      <c r="E5773">
        <v>478962</v>
      </c>
      <c r="F5773" s="4" t="s">
        <v>704</v>
      </c>
      <c r="G5773" t="s">
        <v>29</v>
      </c>
      <c r="H5773" t="s">
        <v>705</v>
      </c>
    </row>
    <row r="5774" spans="1:8" x14ac:dyDescent="0.25">
      <c r="A5774" t="s">
        <v>1124</v>
      </c>
      <c r="B5774" t="s">
        <v>73</v>
      </c>
      <c r="C5774" s="5">
        <v>14640</v>
      </c>
      <c r="D5774" s="5">
        <v>203</v>
      </c>
      <c r="E5774">
        <v>5339</v>
      </c>
      <c r="F5774" s="4" t="s">
        <v>208</v>
      </c>
      <c r="G5774" t="s">
        <v>29</v>
      </c>
      <c r="H5774" t="s">
        <v>209</v>
      </c>
    </row>
    <row r="5775" spans="1:8" x14ac:dyDescent="0.25">
      <c r="A5775" t="s">
        <v>1124</v>
      </c>
      <c r="B5775" t="s">
        <v>76</v>
      </c>
      <c r="C5775" s="5">
        <v>534312</v>
      </c>
      <c r="D5775" s="5">
        <v>22102</v>
      </c>
      <c r="E5775">
        <v>123056</v>
      </c>
      <c r="F5775" s="4" t="s">
        <v>1125</v>
      </c>
      <c r="G5775" t="s">
        <v>29</v>
      </c>
      <c r="H5775" t="s">
        <v>1126</v>
      </c>
    </row>
    <row r="5776" spans="1:8" x14ac:dyDescent="0.25">
      <c r="A5776" t="s">
        <v>1124</v>
      </c>
      <c r="B5776" t="s">
        <v>79</v>
      </c>
      <c r="C5776" s="5">
        <v>275912</v>
      </c>
      <c r="D5776" s="5">
        <v>1391</v>
      </c>
      <c r="E5776">
        <v>26730</v>
      </c>
      <c r="F5776" s="4" t="s">
        <v>80</v>
      </c>
      <c r="G5776" t="s">
        <v>29</v>
      </c>
      <c r="H5776" t="s">
        <v>81</v>
      </c>
    </row>
    <row r="5777" spans="1:8" x14ac:dyDescent="0.25">
      <c r="A5777" t="s">
        <v>1124</v>
      </c>
      <c r="B5777" t="s">
        <v>82</v>
      </c>
      <c r="C5777" s="5">
        <v>19513</v>
      </c>
      <c r="D5777" s="5">
        <v>38</v>
      </c>
      <c r="E5777">
        <v>9092</v>
      </c>
      <c r="F5777" s="4" t="s">
        <v>83</v>
      </c>
      <c r="G5777" t="s">
        <v>29</v>
      </c>
      <c r="H5777" t="s">
        <v>84</v>
      </c>
    </row>
    <row r="5778" spans="1:8" x14ac:dyDescent="0.25">
      <c r="A5778" t="s">
        <v>1124</v>
      </c>
      <c r="B5778" t="s">
        <v>85</v>
      </c>
      <c r="C5778" s="5">
        <v>24560</v>
      </c>
      <c r="D5778" s="5">
        <v>161</v>
      </c>
      <c r="E5778">
        <v>18409</v>
      </c>
      <c r="F5778" s="4" t="s">
        <v>162</v>
      </c>
      <c r="G5778" t="s">
        <v>29</v>
      </c>
      <c r="H5778" t="s">
        <v>163</v>
      </c>
    </row>
    <row r="5779" spans="1:8" x14ac:dyDescent="0.25">
      <c r="A5779" t="s">
        <v>1124</v>
      </c>
      <c r="B5779" t="s">
        <v>88</v>
      </c>
      <c r="C5779" s="5">
        <v>1658</v>
      </c>
      <c r="D5779" s="5">
        <v>6</v>
      </c>
      <c r="E5779">
        <v>1204</v>
      </c>
      <c r="F5779" s="4" t="s">
        <v>89</v>
      </c>
      <c r="G5779" t="s">
        <v>29</v>
      </c>
      <c r="H5779" t="s">
        <v>90</v>
      </c>
    </row>
    <row r="5780" spans="1:8" x14ac:dyDescent="0.25">
      <c r="A5780" t="s">
        <v>1124</v>
      </c>
      <c r="B5780" t="s">
        <v>91</v>
      </c>
      <c r="C5780" s="5">
        <v>9828</v>
      </c>
      <c r="D5780" s="5">
        <v>67</v>
      </c>
      <c r="E5780">
        <v>2757</v>
      </c>
      <c r="F5780" s="4" t="s">
        <v>605</v>
      </c>
      <c r="G5780" t="s">
        <v>29</v>
      </c>
      <c r="H5780" t="s">
        <v>606</v>
      </c>
    </row>
    <row r="5781" spans="1:8" x14ac:dyDescent="0.25">
      <c r="A5781" t="s">
        <v>1124</v>
      </c>
      <c r="B5781" t="s">
        <v>94</v>
      </c>
      <c r="C5781" s="5">
        <v>505157</v>
      </c>
      <c r="D5781" s="5">
        <v>18811</v>
      </c>
      <c r="E5781">
        <v>43656</v>
      </c>
      <c r="F5781" s="4" t="s">
        <v>372</v>
      </c>
      <c r="G5781" t="s">
        <v>29</v>
      </c>
      <c r="H5781" t="s">
        <v>373</v>
      </c>
    </row>
    <row r="5782" spans="1:8" x14ac:dyDescent="0.25">
      <c r="A5782" t="s">
        <v>1124</v>
      </c>
      <c r="B5782" t="s">
        <v>97</v>
      </c>
      <c r="C5782" s="5">
        <v>21612237</v>
      </c>
      <c r="D5782" s="5">
        <v>602099</v>
      </c>
      <c r="E5782">
        <v>7847140</v>
      </c>
      <c r="F5782" s="4" t="s">
        <v>662</v>
      </c>
      <c r="G5782" t="s">
        <v>29</v>
      </c>
      <c r="H5782" t="s">
        <v>663</v>
      </c>
    </row>
    <row r="5783" spans="1:8" x14ac:dyDescent="0.25">
      <c r="A5783" t="s">
        <v>1124</v>
      </c>
      <c r="B5783" t="s">
        <v>100</v>
      </c>
      <c r="C5783" s="5">
        <v>21580</v>
      </c>
      <c r="D5783" s="5">
        <v>590</v>
      </c>
      <c r="E5783">
        <v>12387</v>
      </c>
      <c r="F5783" s="4" t="s">
        <v>806</v>
      </c>
      <c r="G5783" t="s">
        <v>29</v>
      </c>
      <c r="H5783" t="s">
        <v>807</v>
      </c>
    </row>
    <row r="5784" spans="1:8" x14ac:dyDescent="0.25">
      <c r="A5784" t="s">
        <v>1124</v>
      </c>
      <c r="B5784" t="s">
        <v>103</v>
      </c>
      <c r="C5784" s="5">
        <v>2616</v>
      </c>
      <c r="D5784" s="5">
        <v>3</v>
      </c>
      <c r="E5784">
        <v>645</v>
      </c>
      <c r="F5784" s="4" t="s">
        <v>104</v>
      </c>
      <c r="G5784" t="s">
        <v>29</v>
      </c>
      <c r="H5784" t="s">
        <v>105</v>
      </c>
    </row>
    <row r="5785" spans="1:8" x14ac:dyDescent="0.25">
      <c r="A5785" t="s">
        <v>1124</v>
      </c>
      <c r="B5785" t="s">
        <v>106</v>
      </c>
      <c r="C5785" s="5">
        <v>181856</v>
      </c>
      <c r="D5785" s="5">
        <v>2386</v>
      </c>
      <c r="E5785">
        <v>162313</v>
      </c>
      <c r="F5785" s="4" t="s">
        <v>708</v>
      </c>
      <c r="G5785" t="s">
        <v>29</v>
      </c>
      <c r="H5785" t="s">
        <v>709</v>
      </c>
    </row>
    <row r="5786" spans="1:8" x14ac:dyDescent="0.25">
      <c r="A5786" t="s">
        <v>1124</v>
      </c>
      <c r="B5786" t="s">
        <v>109</v>
      </c>
      <c r="C5786" s="5">
        <v>565865</v>
      </c>
      <c r="D5786" s="5">
        <v>4353</v>
      </c>
      <c r="E5786">
        <v>166803</v>
      </c>
      <c r="F5786" s="4" t="s">
        <v>110</v>
      </c>
      <c r="G5786" t="s">
        <v>29</v>
      </c>
      <c r="H5786" t="s">
        <v>111</v>
      </c>
    </row>
    <row r="5787" spans="1:8" x14ac:dyDescent="0.25">
      <c r="A5787" t="s">
        <v>1124</v>
      </c>
      <c r="B5787" t="s">
        <v>112</v>
      </c>
      <c r="C5787" s="5">
        <v>23762</v>
      </c>
      <c r="D5787" s="5">
        <v>457</v>
      </c>
      <c r="E5787">
        <v>9399</v>
      </c>
      <c r="F5787" s="4" t="s">
        <v>721</v>
      </c>
      <c r="G5787" t="s">
        <v>29</v>
      </c>
      <c r="H5787" t="s">
        <v>722</v>
      </c>
    </row>
    <row r="5788" spans="1:8" x14ac:dyDescent="0.25">
      <c r="A5788" t="s">
        <v>1124</v>
      </c>
      <c r="B5788" t="s">
        <v>115</v>
      </c>
      <c r="C5788" s="5">
        <v>1681669</v>
      </c>
      <c r="D5788" s="5">
        <v>28474</v>
      </c>
      <c r="E5788">
        <v>1610739</v>
      </c>
      <c r="F5788" s="4" t="s">
        <v>152</v>
      </c>
      <c r="G5788" t="s">
        <v>29</v>
      </c>
      <c r="H5788" t="s">
        <v>153</v>
      </c>
    </row>
    <row r="5789" spans="1:8" x14ac:dyDescent="0.25">
      <c r="A5789" t="s">
        <v>1124</v>
      </c>
      <c r="B5789" t="s">
        <v>118</v>
      </c>
      <c r="C5789" s="5">
        <v>57269</v>
      </c>
      <c r="D5789" s="5">
        <v>1089</v>
      </c>
      <c r="E5789">
        <v>20539</v>
      </c>
      <c r="F5789" s="4" t="s">
        <v>652</v>
      </c>
      <c r="G5789" t="s">
        <v>29</v>
      </c>
      <c r="H5789" t="s">
        <v>653</v>
      </c>
    </row>
    <row r="5790" spans="1:8" x14ac:dyDescent="0.25">
      <c r="A5790" t="s">
        <v>1124</v>
      </c>
      <c r="B5790" t="s">
        <v>121</v>
      </c>
      <c r="C5790" s="5">
        <v>11469</v>
      </c>
      <c r="D5790" s="5">
        <v>100</v>
      </c>
      <c r="E5790">
        <v>2191</v>
      </c>
      <c r="F5790" s="4" t="s">
        <v>498</v>
      </c>
      <c r="G5790" t="s">
        <v>29</v>
      </c>
      <c r="H5790" t="s">
        <v>499</v>
      </c>
    </row>
    <row r="5791" spans="1:8" x14ac:dyDescent="0.25">
      <c r="A5791" t="s">
        <v>1124</v>
      </c>
      <c r="B5791" t="s">
        <v>124</v>
      </c>
      <c r="C5791" s="5">
        <v>15255</v>
      </c>
      <c r="D5791" s="5">
        <v>219</v>
      </c>
      <c r="E5791">
        <v>9458</v>
      </c>
      <c r="F5791" s="4" t="s">
        <v>330</v>
      </c>
      <c r="G5791" t="s">
        <v>29</v>
      </c>
      <c r="H5791" t="s">
        <v>331</v>
      </c>
    </row>
    <row r="5792" spans="1:8" x14ac:dyDescent="0.25">
      <c r="A5792" t="s">
        <v>1124</v>
      </c>
      <c r="B5792" t="s">
        <v>127</v>
      </c>
      <c r="C5792" s="5">
        <v>853637</v>
      </c>
      <c r="D5792" s="5">
        <v>11152</v>
      </c>
      <c r="E5792">
        <v>131438</v>
      </c>
      <c r="F5792" s="4" t="s">
        <v>708</v>
      </c>
      <c r="G5792" t="s">
        <v>29</v>
      </c>
      <c r="H5792" t="s">
        <v>709</v>
      </c>
    </row>
    <row r="5793" spans="1:8" x14ac:dyDescent="0.25">
      <c r="A5793" t="s">
        <v>1124</v>
      </c>
      <c r="B5793" t="s">
        <v>128</v>
      </c>
      <c r="C5793" s="5">
        <v>60942</v>
      </c>
      <c r="D5793" s="5">
        <v>673</v>
      </c>
      <c r="E5793">
        <v>48741</v>
      </c>
      <c r="F5793" s="4" t="s">
        <v>1044</v>
      </c>
      <c r="G5793" t="s">
        <v>29</v>
      </c>
      <c r="H5793" t="s">
        <v>1045</v>
      </c>
    </row>
    <row r="5794" spans="1:8" x14ac:dyDescent="0.25">
      <c r="A5794" t="s">
        <v>1124</v>
      </c>
      <c r="B5794" t="s">
        <v>131</v>
      </c>
      <c r="C5794" s="5">
        <v>1665916</v>
      </c>
      <c r="D5794" s="5">
        <v>37583</v>
      </c>
      <c r="E5794">
        <v>1546102</v>
      </c>
      <c r="F5794" s="4" t="s">
        <v>469</v>
      </c>
      <c r="G5794" t="s">
        <v>29</v>
      </c>
      <c r="H5794" t="s">
        <v>470</v>
      </c>
    </row>
    <row r="5795" spans="1:8" x14ac:dyDescent="0.25">
      <c r="A5795" t="s">
        <v>1124</v>
      </c>
      <c r="B5795" t="s">
        <v>134</v>
      </c>
      <c r="C5795" s="5">
        <v>98402</v>
      </c>
      <c r="D5795" s="5">
        <v>1550</v>
      </c>
      <c r="E5795">
        <v>30265</v>
      </c>
      <c r="F5795" s="4" t="s">
        <v>577</v>
      </c>
      <c r="G5795" t="s">
        <v>29</v>
      </c>
      <c r="H5795" t="s">
        <v>578</v>
      </c>
    </row>
    <row r="5796" spans="1:8" x14ac:dyDescent="0.25">
      <c r="A5796" t="s">
        <v>1124</v>
      </c>
      <c r="B5796" t="s">
        <v>137</v>
      </c>
      <c r="C5796" s="5">
        <v>96488</v>
      </c>
      <c r="D5796" s="5">
        <v>4636</v>
      </c>
      <c r="E5796">
        <v>31343</v>
      </c>
      <c r="F5796" s="4" t="s">
        <v>1046</v>
      </c>
      <c r="G5796" t="s">
        <v>29</v>
      </c>
      <c r="H5796" t="s">
        <v>1047</v>
      </c>
    </row>
    <row r="5797" spans="1:8" x14ac:dyDescent="0.25">
      <c r="A5797" t="s">
        <v>1124</v>
      </c>
      <c r="B5797" t="s">
        <v>140</v>
      </c>
      <c r="C5797" s="5">
        <v>4977043</v>
      </c>
      <c r="D5797" s="5">
        <v>126759</v>
      </c>
      <c r="E5797">
        <v>678017</v>
      </c>
      <c r="F5797" s="4" t="s">
        <v>513</v>
      </c>
      <c r="G5797" t="s">
        <v>29</v>
      </c>
      <c r="H5797" t="s">
        <v>514</v>
      </c>
    </row>
    <row r="5798" spans="1:8" x14ac:dyDescent="0.25">
      <c r="A5798" t="s">
        <v>1124</v>
      </c>
      <c r="B5798" t="s">
        <v>143</v>
      </c>
      <c r="C5798" s="5">
        <v>550134</v>
      </c>
      <c r="D5798" s="5">
        <v>6771</v>
      </c>
      <c r="E5798">
        <v>288614</v>
      </c>
      <c r="F5798" s="4" t="s">
        <v>798</v>
      </c>
      <c r="G5798" t="s">
        <v>29</v>
      </c>
      <c r="H5798" t="s">
        <v>799</v>
      </c>
    </row>
    <row r="5799" spans="1:8" x14ac:dyDescent="0.25">
      <c r="A5799" t="s">
        <v>1124</v>
      </c>
      <c r="B5799" t="s">
        <v>144</v>
      </c>
      <c r="C5799" s="5">
        <v>928684</v>
      </c>
      <c r="D5799" s="5">
        <v>7994</v>
      </c>
      <c r="E5799">
        <v>106107</v>
      </c>
      <c r="F5799" s="4" t="s">
        <v>122</v>
      </c>
      <c r="G5799" t="s">
        <v>29</v>
      </c>
      <c r="H5799" t="s">
        <v>123</v>
      </c>
    </row>
    <row r="5800" spans="1:8" x14ac:dyDescent="0.25">
      <c r="A5800" t="s">
        <v>1124</v>
      </c>
      <c r="B5800" t="s">
        <v>145</v>
      </c>
      <c r="C5800" s="5">
        <v>37976</v>
      </c>
      <c r="D5800" s="5">
        <v>347</v>
      </c>
      <c r="E5800">
        <v>8059</v>
      </c>
      <c r="F5800" s="4" t="s">
        <v>146</v>
      </c>
      <c r="G5800" t="s">
        <v>29</v>
      </c>
      <c r="H5800" t="s">
        <v>147</v>
      </c>
    </row>
    <row r="5801" spans="1:8" x14ac:dyDescent="0.25">
      <c r="A5801" t="s">
        <v>1124</v>
      </c>
      <c r="B5801" t="s">
        <v>148</v>
      </c>
      <c r="C5801" s="5">
        <v>121842</v>
      </c>
      <c r="D5801" s="5">
        <v>560</v>
      </c>
      <c r="E5801">
        <v>58635</v>
      </c>
      <c r="F5801" s="4" t="s">
        <v>149</v>
      </c>
      <c r="G5801" t="s">
        <v>29</v>
      </c>
      <c r="H5801" t="s">
        <v>150</v>
      </c>
    </row>
    <row r="5802" spans="1:8" x14ac:dyDescent="0.25">
      <c r="A5802" t="s">
        <v>1124</v>
      </c>
      <c r="B5802" t="s">
        <v>151</v>
      </c>
      <c r="C5802" s="5">
        <v>1704436</v>
      </c>
      <c r="D5802" s="5">
        <v>30524</v>
      </c>
      <c r="E5802">
        <v>499250</v>
      </c>
      <c r="F5802" s="4" t="s">
        <v>71</v>
      </c>
      <c r="G5802" t="s">
        <v>29</v>
      </c>
      <c r="H5802" t="s">
        <v>72</v>
      </c>
    </row>
    <row r="5803" spans="1:8" x14ac:dyDescent="0.25">
      <c r="A5803" t="s">
        <v>1124</v>
      </c>
      <c r="B5803" t="s">
        <v>154</v>
      </c>
      <c r="C5803" s="5">
        <v>4355169</v>
      </c>
      <c r="D5803" s="5">
        <v>94530</v>
      </c>
      <c r="E5803">
        <v>1869159</v>
      </c>
      <c r="F5803" s="4" t="s">
        <v>940</v>
      </c>
      <c r="G5803" t="s">
        <v>29</v>
      </c>
      <c r="H5803" t="s">
        <v>941</v>
      </c>
    </row>
    <row r="5804" spans="1:8" x14ac:dyDescent="0.25">
      <c r="A5804" t="s">
        <v>1124</v>
      </c>
      <c r="B5804" t="s">
        <v>157</v>
      </c>
      <c r="C5804" s="5">
        <v>13369</v>
      </c>
      <c r="D5804" s="5">
        <v>179</v>
      </c>
      <c r="E5804">
        <v>1900</v>
      </c>
      <c r="F5804" s="4" t="s">
        <v>264</v>
      </c>
      <c r="G5804" t="s">
        <v>29</v>
      </c>
      <c r="H5804" t="s">
        <v>265</v>
      </c>
    </row>
    <row r="5805" spans="1:8" x14ac:dyDescent="0.25">
      <c r="A5805" t="s">
        <v>1124</v>
      </c>
      <c r="B5805" t="s">
        <v>160</v>
      </c>
      <c r="C5805" s="5">
        <v>367252</v>
      </c>
      <c r="D5805" s="5">
        <v>2676</v>
      </c>
      <c r="E5805">
        <v>64558</v>
      </c>
      <c r="F5805" s="4" t="s">
        <v>187</v>
      </c>
      <c r="G5805" t="s">
        <v>29</v>
      </c>
      <c r="H5805" t="s">
        <v>188</v>
      </c>
    </row>
    <row r="5806" spans="1:8" x14ac:dyDescent="0.25">
      <c r="A5806" t="s">
        <v>1124</v>
      </c>
      <c r="B5806" t="s">
        <v>161</v>
      </c>
      <c r="C5806" s="5">
        <v>4153</v>
      </c>
      <c r="D5806" s="5">
        <v>28</v>
      </c>
      <c r="E5806">
        <v>3314</v>
      </c>
      <c r="F5806" s="4" t="s">
        <v>92</v>
      </c>
      <c r="G5806" t="s">
        <v>29</v>
      </c>
      <c r="H5806" t="s">
        <v>93</v>
      </c>
    </row>
    <row r="5807" spans="1:8" x14ac:dyDescent="0.25">
      <c r="A5807" t="s">
        <v>1124</v>
      </c>
      <c r="B5807" t="s">
        <v>164</v>
      </c>
      <c r="C5807" s="5">
        <v>368131</v>
      </c>
      <c r="D5807" s="5">
        <v>4082</v>
      </c>
      <c r="E5807">
        <v>176049</v>
      </c>
      <c r="F5807" s="4" t="s">
        <v>1098</v>
      </c>
      <c r="G5807" t="s">
        <v>29</v>
      </c>
      <c r="H5807" t="s">
        <v>1099</v>
      </c>
    </row>
    <row r="5808" spans="1:8" x14ac:dyDescent="0.25">
      <c r="A5808" t="s">
        <v>1124</v>
      </c>
      <c r="B5808" t="s">
        <v>167</v>
      </c>
      <c r="C5808" s="5">
        <v>205005</v>
      </c>
      <c r="D5808" s="5">
        <v>5864</v>
      </c>
      <c r="E5808">
        <v>159106</v>
      </c>
      <c r="F5808" s="4" t="s">
        <v>955</v>
      </c>
      <c r="G5808" t="s">
        <v>29</v>
      </c>
      <c r="H5808" t="s">
        <v>956</v>
      </c>
    </row>
    <row r="5809" spans="1:8" x14ac:dyDescent="0.25">
      <c r="A5809" t="s">
        <v>1124</v>
      </c>
      <c r="B5809" t="s">
        <v>170</v>
      </c>
      <c r="C5809" s="5">
        <v>513026</v>
      </c>
      <c r="D5809" s="5">
        <v>32899</v>
      </c>
      <c r="E5809">
        <v>81367</v>
      </c>
      <c r="F5809" s="4" t="s">
        <v>1020</v>
      </c>
      <c r="G5809" t="s">
        <v>29</v>
      </c>
      <c r="H5809" t="s">
        <v>1021</v>
      </c>
    </row>
    <row r="5810" spans="1:8" x14ac:dyDescent="0.25">
      <c r="A5810" t="s">
        <v>1124</v>
      </c>
      <c r="B5810" t="s">
        <v>173</v>
      </c>
      <c r="C5810" s="5">
        <v>168884</v>
      </c>
      <c r="D5810" s="5">
        <v>1409</v>
      </c>
      <c r="E5810">
        <v>72302</v>
      </c>
      <c r="F5810" s="4" t="s">
        <v>28</v>
      </c>
      <c r="G5810" t="s">
        <v>29</v>
      </c>
      <c r="H5810" t="s">
        <v>30</v>
      </c>
    </row>
    <row r="5811" spans="1:8" x14ac:dyDescent="0.25">
      <c r="A5811" t="s">
        <v>1124</v>
      </c>
      <c r="B5811" t="s">
        <v>176</v>
      </c>
      <c r="C5811" s="5">
        <v>315842</v>
      </c>
      <c r="D5811" s="5">
        <v>17846</v>
      </c>
      <c r="E5811">
        <v>49903</v>
      </c>
      <c r="F5811" s="4" t="s">
        <v>575</v>
      </c>
      <c r="G5811" t="s">
        <v>29</v>
      </c>
      <c r="H5811" t="s">
        <v>576</v>
      </c>
    </row>
    <row r="5812" spans="1:8" x14ac:dyDescent="0.25">
      <c r="A5812" t="s">
        <v>1124</v>
      </c>
      <c r="B5812" t="s">
        <v>179</v>
      </c>
      <c r="C5812" s="5">
        <v>6764</v>
      </c>
      <c r="D5812" s="5">
        <v>44</v>
      </c>
      <c r="E5812">
        <v>4016</v>
      </c>
      <c r="F5812" s="4" t="s">
        <v>86</v>
      </c>
      <c r="G5812" t="s">
        <v>29</v>
      </c>
      <c r="H5812" t="s">
        <v>87</v>
      </c>
    </row>
    <row r="5813" spans="1:8" x14ac:dyDescent="0.25">
      <c r="A5813" t="s">
        <v>1124</v>
      </c>
      <c r="B5813" t="s">
        <v>182</v>
      </c>
      <c r="C5813" s="5">
        <v>4982138</v>
      </c>
      <c r="D5813" s="5">
        <v>86917</v>
      </c>
      <c r="E5813">
        <v>4005014</v>
      </c>
      <c r="F5813" s="4" t="s">
        <v>183</v>
      </c>
      <c r="G5813" t="s">
        <v>29</v>
      </c>
      <c r="H5813" t="s">
        <v>184</v>
      </c>
    </row>
    <row r="5814" spans="1:8" x14ac:dyDescent="0.25">
      <c r="A5814" t="s">
        <v>1124</v>
      </c>
      <c r="B5814" t="s">
        <v>185</v>
      </c>
      <c r="C5814" s="5">
        <v>357550</v>
      </c>
      <c r="D5814" s="5">
        <v>6141</v>
      </c>
      <c r="E5814">
        <v>234801</v>
      </c>
      <c r="F5814" s="4" t="s">
        <v>240</v>
      </c>
      <c r="G5814" t="s">
        <v>29</v>
      </c>
      <c r="H5814" t="s">
        <v>241</v>
      </c>
    </row>
    <row r="5815" spans="1:8" x14ac:dyDescent="0.25">
      <c r="A5815" t="s">
        <v>1124</v>
      </c>
      <c r="B5815" t="s">
        <v>186</v>
      </c>
      <c r="C5815" s="5">
        <v>149174</v>
      </c>
      <c r="D5815" s="5">
        <v>1112</v>
      </c>
      <c r="E5815">
        <v>29528</v>
      </c>
      <c r="F5815" s="4" t="s">
        <v>1127</v>
      </c>
      <c r="G5815" t="s">
        <v>29</v>
      </c>
      <c r="H5815" t="s">
        <v>1128</v>
      </c>
    </row>
    <row r="5816" spans="1:8" x14ac:dyDescent="0.25">
      <c r="A5816" t="s">
        <v>1124</v>
      </c>
      <c r="B5816" t="s">
        <v>189</v>
      </c>
      <c r="C5816" s="5">
        <v>51648</v>
      </c>
      <c r="D5816" s="5">
        <v>663</v>
      </c>
      <c r="E5816">
        <v>13816</v>
      </c>
      <c r="F5816" s="4" t="s">
        <v>381</v>
      </c>
      <c r="G5816" t="s">
        <v>29</v>
      </c>
      <c r="H5816" t="s">
        <v>382</v>
      </c>
    </row>
    <row r="5817" spans="1:8" x14ac:dyDescent="0.25">
      <c r="A5817" t="s">
        <v>1124</v>
      </c>
      <c r="B5817" t="s">
        <v>192</v>
      </c>
      <c r="C5817" s="5">
        <v>1323</v>
      </c>
      <c r="D5817" s="5">
        <v>2</v>
      </c>
      <c r="E5817">
        <v>826</v>
      </c>
      <c r="F5817" s="4" t="s">
        <v>915</v>
      </c>
      <c r="G5817" t="s">
        <v>29</v>
      </c>
      <c r="H5817" t="s">
        <v>916</v>
      </c>
    </row>
    <row r="5818" spans="1:8" x14ac:dyDescent="0.25">
      <c r="A5818" t="s">
        <v>1124</v>
      </c>
      <c r="B5818" t="s">
        <v>195</v>
      </c>
      <c r="C5818" s="5">
        <v>6900325</v>
      </c>
      <c r="D5818" s="5">
        <v>114894</v>
      </c>
      <c r="E5818">
        <v>542942</v>
      </c>
      <c r="F5818" s="4" t="s">
        <v>827</v>
      </c>
      <c r="G5818" t="s">
        <v>29</v>
      </c>
      <c r="H5818" t="s">
        <v>828</v>
      </c>
    </row>
    <row r="5819" spans="1:8" x14ac:dyDescent="0.25">
      <c r="A5819" t="s">
        <v>1124</v>
      </c>
      <c r="B5819" t="s">
        <v>198</v>
      </c>
      <c r="C5819" s="5">
        <v>33115</v>
      </c>
      <c r="D5819" s="5">
        <v>209</v>
      </c>
      <c r="E5819">
        <v>20617</v>
      </c>
      <c r="F5819" s="4" t="s">
        <v>1129</v>
      </c>
      <c r="G5819" t="s">
        <v>29</v>
      </c>
      <c r="H5819" t="s">
        <v>1130</v>
      </c>
    </row>
    <row r="5820" spans="1:8" x14ac:dyDescent="0.25">
      <c r="A5820" t="s">
        <v>1124</v>
      </c>
      <c r="B5820" t="s">
        <v>201</v>
      </c>
      <c r="C5820" s="5">
        <v>8350869</v>
      </c>
      <c r="D5820" s="5">
        <v>138550</v>
      </c>
      <c r="E5820">
        <v>7470372</v>
      </c>
      <c r="F5820" s="4" t="s">
        <v>135</v>
      </c>
      <c r="G5820" t="s">
        <v>29</v>
      </c>
      <c r="H5820" t="s">
        <v>136</v>
      </c>
    </row>
    <row r="5821" spans="1:8" x14ac:dyDescent="0.25">
      <c r="A5821" t="s">
        <v>1124</v>
      </c>
      <c r="B5821" t="s">
        <v>207</v>
      </c>
      <c r="C5821" s="5">
        <v>649407</v>
      </c>
      <c r="D5821" s="5">
        <v>9370</v>
      </c>
      <c r="E5821">
        <v>52604</v>
      </c>
      <c r="F5821" s="4" t="s">
        <v>330</v>
      </c>
      <c r="G5821" t="s">
        <v>29</v>
      </c>
      <c r="H5821" t="s">
        <v>331</v>
      </c>
    </row>
    <row r="5822" spans="1:8" x14ac:dyDescent="0.25">
      <c r="A5822" t="s">
        <v>1124</v>
      </c>
      <c r="B5822" t="s">
        <v>204</v>
      </c>
      <c r="C5822" s="5">
        <v>5704</v>
      </c>
      <c r="D5822" s="5">
        <v>191</v>
      </c>
      <c r="E5822">
        <v>4852</v>
      </c>
      <c r="F5822" s="4" t="s">
        <v>831</v>
      </c>
      <c r="G5822" t="s">
        <v>29</v>
      </c>
      <c r="H5822" t="s">
        <v>832</v>
      </c>
    </row>
    <row r="5823" spans="1:8" x14ac:dyDescent="0.25">
      <c r="A5823" t="s">
        <v>1124</v>
      </c>
      <c r="B5823" t="s">
        <v>210</v>
      </c>
      <c r="C5823" s="5">
        <v>42962</v>
      </c>
      <c r="D5823" s="5">
        <v>291</v>
      </c>
      <c r="E5823">
        <v>28186</v>
      </c>
      <c r="F5823" s="4" t="s">
        <v>605</v>
      </c>
      <c r="G5823" t="s">
        <v>29</v>
      </c>
      <c r="H5823" t="s">
        <v>606</v>
      </c>
    </row>
    <row r="5824" spans="1:8" x14ac:dyDescent="0.25">
      <c r="A5824" t="s">
        <v>1124</v>
      </c>
      <c r="B5824" t="s">
        <v>213</v>
      </c>
      <c r="C5824" s="5">
        <v>128368</v>
      </c>
      <c r="D5824" s="5">
        <v>1158</v>
      </c>
      <c r="E5824">
        <v>20503</v>
      </c>
      <c r="F5824" s="4" t="s">
        <v>667</v>
      </c>
      <c r="G5824" t="s">
        <v>29</v>
      </c>
      <c r="H5824" t="s">
        <v>668</v>
      </c>
    </row>
    <row r="5825" spans="1:8" x14ac:dyDescent="0.25">
      <c r="A5825" t="s">
        <v>1124</v>
      </c>
      <c r="B5825" t="s">
        <v>216</v>
      </c>
      <c r="C5825" s="5">
        <v>5727</v>
      </c>
      <c r="D5825" s="5">
        <v>97</v>
      </c>
      <c r="E5825">
        <v>1085</v>
      </c>
      <c r="F5825" s="4" t="s">
        <v>152</v>
      </c>
      <c r="G5825" t="s">
        <v>29</v>
      </c>
      <c r="H5825" t="s">
        <v>153</v>
      </c>
    </row>
    <row r="5826" spans="1:8" x14ac:dyDescent="0.25">
      <c r="A5826" t="s">
        <v>1124</v>
      </c>
      <c r="B5826" t="s">
        <v>222</v>
      </c>
      <c r="C5826" s="5">
        <v>30560</v>
      </c>
      <c r="D5826" s="5">
        <v>385</v>
      </c>
      <c r="E5826">
        <v>26874</v>
      </c>
      <c r="F5826" s="4" t="s">
        <v>223</v>
      </c>
      <c r="G5826" t="s">
        <v>29</v>
      </c>
      <c r="H5826" t="s">
        <v>224</v>
      </c>
    </row>
    <row r="5827" spans="1:8" x14ac:dyDescent="0.25">
      <c r="A5827" t="s">
        <v>1124</v>
      </c>
      <c r="B5827" t="s">
        <v>219</v>
      </c>
      <c r="C5827" s="5">
        <v>9943</v>
      </c>
      <c r="D5827" s="5">
        <v>339</v>
      </c>
      <c r="E5827">
        <v>1830</v>
      </c>
      <c r="F5827" s="4" t="s">
        <v>205</v>
      </c>
      <c r="G5827" t="s">
        <v>29</v>
      </c>
      <c r="H5827" t="s">
        <v>206</v>
      </c>
    </row>
    <row r="5828" spans="1:8" x14ac:dyDescent="0.25">
      <c r="A5828" t="s">
        <v>1124</v>
      </c>
      <c r="B5828" t="s">
        <v>225</v>
      </c>
      <c r="C5828" s="5">
        <v>53836</v>
      </c>
      <c r="D5828" s="5">
        <v>800</v>
      </c>
      <c r="E5828">
        <v>22483</v>
      </c>
      <c r="F5828" s="4" t="s">
        <v>800</v>
      </c>
      <c r="G5828" t="s">
        <v>29</v>
      </c>
      <c r="H5828" t="s">
        <v>801</v>
      </c>
    </row>
    <row r="5829" spans="1:8" x14ac:dyDescent="0.25">
      <c r="A5829" t="s">
        <v>1124</v>
      </c>
      <c r="B5829" t="s">
        <v>228</v>
      </c>
      <c r="C5829" s="5">
        <v>12840</v>
      </c>
      <c r="D5829" s="5">
        <v>156</v>
      </c>
      <c r="E5829">
        <v>3405</v>
      </c>
      <c r="F5829" s="4" t="s">
        <v>775</v>
      </c>
      <c r="G5829" t="s">
        <v>29</v>
      </c>
      <c r="H5829" t="s">
        <v>776</v>
      </c>
    </row>
    <row r="5830" spans="1:8" x14ac:dyDescent="0.25">
      <c r="A5830" t="s">
        <v>1124</v>
      </c>
      <c r="B5830" t="s">
        <v>229</v>
      </c>
      <c r="C5830" s="5">
        <v>687278</v>
      </c>
      <c r="D5830" s="5">
        <v>15289</v>
      </c>
      <c r="E5830">
        <v>512073</v>
      </c>
      <c r="F5830" s="4" t="s">
        <v>673</v>
      </c>
      <c r="G5830" t="s">
        <v>29</v>
      </c>
      <c r="H5830" t="s">
        <v>674</v>
      </c>
    </row>
    <row r="5831" spans="1:8" x14ac:dyDescent="0.25">
      <c r="A5831" t="s">
        <v>1124</v>
      </c>
      <c r="B5831" t="s">
        <v>232</v>
      </c>
      <c r="C5831" s="5">
        <v>584613</v>
      </c>
      <c r="D5831" s="5">
        <v>14204</v>
      </c>
      <c r="E5831">
        <v>398380</v>
      </c>
      <c r="F5831" s="4" t="s">
        <v>917</v>
      </c>
      <c r="G5831" t="s">
        <v>29</v>
      </c>
      <c r="H5831" t="s">
        <v>918</v>
      </c>
    </row>
    <row r="5832" spans="1:8" x14ac:dyDescent="0.25">
      <c r="A5832" t="s">
        <v>1124</v>
      </c>
      <c r="B5832" t="s">
        <v>233</v>
      </c>
      <c r="C5832" s="5">
        <v>6124</v>
      </c>
      <c r="D5832" s="5">
        <v>141</v>
      </c>
      <c r="E5832">
        <v>5975</v>
      </c>
      <c r="F5832" s="4" t="s">
        <v>619</v>
      </c>
      <c r="G5832" t="s">
        <v>29</v>
      </c>
      <c r="H5832" t="s">
        <v>620</v>
      </c>
    </row>
    <row r="5833" spans="1:8" x14ac:dyDescent="0.25">
      <c r="A5833" t="s">
        <v>1124</v>
      </c>
      <c r="B5833" t="s">
        <v>236</v>
      </c>
      <c r="C5833" s="5">
        <v>34132</v>
      </c>
      <c r="D5833" s="5">
        <v>857</v>
      </c>
      <c r="E5833">
        <v>21080</v>
      </c>
      <c r="F5833" s="4" t="s">
        <v>700</v>
      </c>
      <c r="G5833" t="s">
        <v>29</v>
      </c>
      <c r="H5833" t="s">
        <v>701</v>
      </c>
    </row>
    <row r="5834" spans="1:8" x14ac:dyDescent="0.25">
      <c r="A5834" t="s">
        <v>1124</v>
      </c>
      <c r="B5834" t="s">
        <v>239</v>
      </c>
      <c r="C5834" s="5">
        <v>12276</v>
      </c>
      <c r="D5834" s="5">
        <v>213</v>
      </c>
      <c r="E5834">
        <v>10587</v>
      </c>
      <c r="F5834" s="4" t="s">
        <v>183</v>
      </c>
      <c r="G5834" t="s">
        <v>29</v>
      </c>
      <c r="H5834" t="s">
        <v>184</v>
      </c>
    </row>
    <row r="5835" spans="1:8" x14ac:dyDescent="0.25">
      <c r="A5835" t="s">
        <v>1124</v>
      </c>
      <c r="B5835" t="s">
        <v>242</v>
      </c>
      <c r="C5835" s="5">
        <v>371861</v>
      </c>
      <c r="D5835" s="5">
        <v>10083</v>
      </c>
      <c r="E5835">
        <v>248873</v>
      </c>
      <c r="F5835" s="4" t="s">
        <v>875</v>
      </c>
      <c r="G5835" t="s">
        <v>29</v>
      </c>
      <c r="H5835" t="s">
        <v>876</v>
      </c>
    </row>
    <row r="5836" spans="1:8" x14ac:dyDescent="0.25">
      <c r="A5836" t="s">
        <v>1124</v>
      </c>
      <c r="B5836" t="s">
        <v>245</v>
      </c>
      <c r="C5836" s="5">
        <v>422908</v>
      </c>
      <c r="D5836" s="5">
        <v>8847</v>
      </c>
      <c r="E5836">
        <v>281407</v>
      </c>
      <c r="F5836" s="4" t="s">
        <v>282</v>
      </c>
      <c r="G5836" t="s">
        <v>29</v>
      </c>
      <c r="H5836" t="s">
        <v>283</v>
      </c>
    </row>
    <row r="5837" spans="1:8" x14ac:dyDescent="0.25">
      <c r="A5837" t="s">
        <v>1124</v>
      </c>
      <c r="B5837" t="s">
        <v>248</v>
      </c>
      <c r="C5837" s="5">
        <v>22827</v>
      </c>
      <c r="D5837" s="5">
        <v>649</v>
      </c>
      <c r="E5837">
        <v>4163</v>
      </c>
      <c r="F5837" s="4" t="s">
        <v>1048</v>
      </c>
      <c r="G5837" t="s">
        <v>29</v>
      </c>
      <c r="H5837" t="s">
        <v>1049</v>
      </c>
    </row>
    <row r="5838" spans="1:8" x14ac:dyDescent="0.25">
      <c r="A5838" t="s">
        <v>1124</v>
      </c>
      <c r="B5838" t="s">
        <v>251</v>
      </c>
      <c r="C5838" s="5">
        <v>831866</v>
      </c>
      <c r="D5838" s="5">
        <v>30341</v>
      </c>
      <c r="E5838">
        <v>690041</v>
      </c>
      <c r="F5838" s="4" t="s">
        <v>95</v>
      </c>
      <c r="G5838" t="s">
        <v>29</v>
      </c>
      <c r="H5838" t="s">
        <v>96</v>
      </c>
    </row>
    <row r="5839" spans="1:8" x14ac:dyDescent="0.25">
      <c r="A5839" t="s">
        <v>1124</v>
      </c>
      <c r="B5839" t="s">
        <v>254</v>
      </c>
      <c r="C5839" s="5">
        <v>4232099</v>
      </c>
      <c r="D5839" s="5">
        <v>142848</v>
      </c>
      <c r="E5839">
        <v>900181</v>
      </c>
      <c r="F5839" s="4" t="s">
        <v>255</v>
      </c>
      <c r="G5839" t="s">
        <v>29</v>
      </c>
      <c r="H5839" t="s">
        <v>256</v>
      </c>
    </row>
    <row r="5840" spans="1:8" x14ac:dyDescent="0.25">
      <c r="A5840" t="s">
        <v>1124</v>
      </c>
      <c r="B5840" t="s">
        <v>257</v>
      </c>
      <c r="C5840" s="5">
        <v>409647</v>
      </c>
      <c r="D5840" s="5">
        <v>5306</v>
      </c>
      <c r="E5840">
        <v>317173</v>
      </c>
      <c r="F5840" s="4" t="s">
        <v>190</v>
      </c>
      <c r="G5840" t="s">
        <v>29</v>
      </c>
      <c r="H5840" t="s">
        <v>191</v>
      </c>
    </row>
    <row r="5841" spans="1:8" x14ac:dyDescent="0.25">
      <c r="A5841" t="s">
        <v>1124</v>
      </c>
      <c r="B5841" t="s">
        <v>260</v>
      </c>
      <c r="C5841" s="5">
        <v>1312908</v>
      </c>
      <c r="D5841" s="5">
        <v>7972</v>
      </c>
      <c r="E5841">
        <v>441244</v>
      </c>
      <c r="F5841" s="4" t="s">
        <v>261</v>
      </c>
      <c r="G5841" t="s">
        <v>29</v>
      </c>
      <c r="H5841" t="s">
        <v>262</v>
      </c>
    </row>
    <row r="5842" spans="1:8" x14ac:dyDescent="0.25">
      <c r="A5842" t="s">
        <v>1124</v>
      </c>
      <c r="B5842" t="s">
        <v>263</v>
      </c>
      <c r="C5842" s="5">
        <v>34037592</v>
      </c>
      <c r="D5842" s="5">
        <v>451814</v>
      </c>
      <c r="E5842">
        <v>5567609</v>
      </c>
      <c r="F5842" s="4" t="s">
        <v>59</v>
      </c>
      <c r="G5842" t="s">
        <v>29</v>
      </c>
      <c r="H5842" t="s">
        <v>60</v>
      </c>
    </row>
    <row r="5843" spans="1:8" x14ac:dyDescent="0.25">
      <c r="A5843" t="s">
        <v>1124</v>
      </c>
      <c r="B5843" t="s">
        <v>266</v>
      </c>
      <c r="C5843" s="5">
        <v>2030498</v>
      </c>
      <c r="D5843" s="5">
        <v>22681</v>
      </c>
      <c r="E5843">
        <v>165291</v>
      </c>
      <c r="F5843" s="4" t="s">
        <v>911</v>
      </c>
      <c r="G5843" t="s">
        <v>29</v>
      </c>
      <c r="H5843" t="s">
        <v>912</v>
      </c>
    </row>
    <row r="5844" spans="1:8" x14ac:dyDescent="0.25">
      <c r="A5844" t="s">
        <v>1124</v>
      </c>
      <c r="B5844" t="s">
        <v>269</v>
      </c>
      <c r="C5844" s="5">
        <v>5754047</v>
      </c>
      <c r="D5844" s="5">
        <v>123498</v>
      </c>
      <c r="E5844">
        <v>3239638</v>
      </c>
      <c r="F5844" s="4" t="s">
        <v>852</v>
      </c>
      <c r="G5844" t="s">
        <v>29</v>
      </c>
      <c r="H5844" t="s">
        <v>853</v>
      </c>
    </row>
    <row r="5845" spans="1:8" x14ac:dyDescent="0.25">
      <c r="A5845" t="s">
        <v>1124</v>
      </c>
      <c r="B5845" t="s">
        <v>272</v>
      </c>
      <c r="C5845" s="5">
        <v>12390</v>
      </c>
      <c r="D5845" s="5">
        <v>33</v>
      </c>
      <c r="E5845">
        <v>3113</v>
      </c>
      <c r="F5845" s="4" t="s">
        <v>1131</v>
      </c>
      <c r="G5845" t="s">
        <v>29</v>
      </c>
      <c r="H5845" t="s">
        <v>1132</v>
      </c>
    </row>
    <row r="5846" spans="1:8" x14ac:dyDescent="0.25">
      <c r="A5846" t="s">
        <v>1124</v>
      </c>
      <c r="B5846" t="s">
        <v>275</v>
      </c>
      <c r="C5846" s="5">
        <v>4709753</v>
      </c>
      <c r="D5846" s="5">
        <v>131461</v>
      </c>
      <c r="E5846">
        <v>3299297</v>
      </c>
      <c r="F5846" s="4" t="s">
        <v>662</v>
      </c>
      <c r="G5846" t="s">
        <v>29</v>
      </c>
      <c r="H5846" t="s">
        <v>663</v>
      </c>
    </row>
    <row r="5847" spans="1:8" x14ac:dyDescent="0.25">
      <c r="A5847" t="s">
        <v>1124</v>
      </c>
      <c r="B5847" t="s">
        <v>278</v>
      </c>
      <c r="C5847" s="5">
        <v>86722</v>
      </c>
      <c r="D5847" s="5">
        <v>2059</v>
      </c>
      <c r="E5847">
        <v>75839</v>
      </c>
      <c r="F5847" s="4" t="s">
        <v>636</v>
      </c>
      <c r="G5847" t="s">
        <v>29</v>
      </c>
      <c r="H5847" t="s">
        <v>637</v>
      </c>
    </row>
    <row r="5848" spans="1:8" x14ac:dyDescent="0.25">
      <c r="A5848" t="s">
        <v>1124</v>
      </c>
      <c r="B5848" t="s">
        <v>279</v>
      </c>
      <c r="C5848" s="5">
        <v>838523</v>
      </c>
      <c r="D5848" s="5">
        <v>10847</v>
      </c>
      <c r="E5848">
        <v>336057</v>
      </c>
      <c r="F5848" s="4" t="s">
        <v>417</v>
      </c>
      <c r="G5848" t="s">
        <v>29</v>
      </c>
      <c r="H5848" t="s">
        <v>418</v>
      </c>
    </row>
    <row r="5849" spans="1:8" x14ac:dyDescent="0.25">
      <c r="A5849" t="s">
        <v>1124</v>
      </c>
      <c r="B5849" t="s">
        <v>281</v>
      </c>
      <c r="C5849" s="5">
        <v>251669</v>
      </c>
      <c r="D5849" s="5">
        <v>5202</v>
      </c>
      <c r="E5849">
        <v>94313</v>
      </c>
      <c r="F5849" s="4" t="s">
        <v>310</v>
      </c>
      <c r="G5849" t="s">
        <v>29</v>
      </c>
      <c r="H5849" t="s">
        <v>311</v>
      </c>
    </row>
    <row r="5850" spans="1:8" x14ac:dyDescent="0.25">
      <c r="A5850" t="s">
        <v>1124</v>
      </c>
      <c r="B5850" t="s">
        <v>280</v>
      </c>
      <c r="C5850" s="5">
        <v>1714060</v>
      </c>
      <c r="D5850" s="5">
        <v>18063</v>
      </c>
      <c r="E5850">
        <v>820185</v>
      </c>
      <c r="F5850" s="4" t="s">
        <v>642</v>
      </c>
      <c r="G5850" t="s">
        <v>29</v>
      </c>
      <c r="H5850" t="s">
        <v>643</v>
      </c>
    </row>
    <row r="5851" spans="1:8" x14ac:dyDescent="0.25">
      <c r="A5851" t="s">
        <v>1124</v>
      </c>
      <c r="B5851" t="s">
        <v>284</v>
      </c>
      <c r="C5851" s="5">
        <v>179583</v>
      </c>
      <c r="D5851" s="5">
        <v>2627</v>
      </c>
      <c r="E5851">
        <v>76975</v>
      </c>
      <c r="F5851" s="4" t="s">
        <v>565</v>
      </c>
      <c r="G5851" t="s">
        <v>29</v>
      </c>
      <c r="H5851" t="s">
        <v>566</v>
      </c>
    </row>
    <row r="5852" spans="1:8" x14ac:dyDescent="0.25">
      <c r="A5852" t="s">
        <v>1124</v>
      </c>
      <c r="B5852" t="s">
        <v>290</v>
      </c>
      <c r="C5852" s="5">
        <v>2</v>
      </c>
      <c r="D5852" s="5">
        <v>0</v>
      </c>
      <c r="E5852">
        <v>0</v>
      </c>
      <c r="F5852" s="4" t="s">
        <v>29</v>
      </c>
      <c r="G5852" t="s">
        <v>29</v>
      </c>
      <c r="H5852" t="s">
        <v>291</v>
      </c>
    </row>
    <row r="5853" spans="1:8" x14ac:dyDescent="0.25">
      <c r="A5853" t="s">
        <v>1124</v>
      </c>
      <c r="B5853" t="s">
        <v>287</v>
      </c>
      <c r="C5853" s="5">
        <v>115875</v>
      </c>
      <c r="D5853" s="5">
        <v>2584</v>
      </c>
      <c r="E5853">
        <v>67119</v>
      </c>
      <c r="F5853" s="4" t="s">
        <v>421</v>
      </c>
      <c r="G5853" t="s">
        <v>29</v>
      </c>
      <c r="H5853" t="s">
        <v>422</v>
      </c>
    </row>
    <row r="5854" spans="1:8" x14ac:dyDescent="0.25">
      <c r="A5854" t="s">
        <v>1124</v>
      </c>
      <c r="B5854" t="s">
        <v>292</v>
      </c>
      <c r="C5854" s="5">
        <v>4176</v>
      </c>
      <c r="D5854" s="5">
        <v>147</v>
      </c>
      <c r="E5854">
        <v>1930</v>
      </c>
      <c r="F5854" s="4" t="s">
        <v>353</v>
      </c>
      <c r="G5854" t="s">
        <v>29</v>
      </c>
      <c r="H5854" t="s">
        <v>354</v>
      </c>
    </row>
    <row r="5855" spans="1:8" x14ac:dyDescent="0.25">
      <c r="A5855" t="s">
        <v>1124</v>
      </c>
      <c r="B5855" t="s">
        <v>293</v>
      </c>
      <c r="C5855" s="5">
        <v>2511</v>
      </c>
      <c r="D5855" s="5">
        <v>21</v>
      </c>
      <c r="E5855">
        <v>2328</v>
      </c>
      <c r="F5855" s="4" t="s">
        <v>397</v>
      </c>
      <c r="G5855" t="s">
        <v>29</v>
      </c>
      <c r="H5855" t="s">
        <v>398</v>
      </c>
    </row>
    <row r="5856" spans="1:8" x14ac:dyDescent="0.25">
      <c r="A5856" t="s">
        <v>1124</v>
      </c>
      <c r="B5856" t="s">
        <v>296</v>
      </c>
      <c r="C5856" s="5">
        <v>339361</v>
      </c>
      <c r="D5856" s="5">
        <v>2626</v>
      </c>
      <c r="E5856">
        <v>245794</v>
      </c>
      <c r="F5856" s="4" t="s">
        <v>110</v>
      </c>
      <c r="G5856" t="s">
        <v>29</v>
      </c>
      <c r="H5856" t="s">
        <v>111</v>
      </c>
    </row>
    <row r="5857" spans="1:8" x14ac:dyDescent="0.25">
      <c r="A5857" t="s">
        <v>1124</v>
      </c>
      <c r="B5857" t="s">
        <v>299</v>
      </c>
      <c r="C5857" s="5">
        <v>412228</v>
      </c>
      <c r="D5857" s="5">
        <v>2455</v>
      </c>
      <c r="E5857">
        <v>164626</v>
      </c>
      <c r="F5857" s="4" t="s">
        <v>300</v>
      </c>
      <c r="G5857" t="s">
        <v>29</v>
      </c>
      <c r="H5857" t="s">
        <v>301</v>
      </c>
    </row>
    <row r="5858" spans="1:8" x14ac:dyDescent="0.25">
      <c r="A5858" t="s">
        <v>1124</v>
      </c>
      <c r="B5858" t="s">
        <v>302</v>
      </c>
      <c r="C5858" s="5">
        <v>990461</v>
      </c>
      <c r="D5858" s="5">
        <v>16583</v>
      </c>
      <c r="E5858">
        <v>136691</v>
      </c>
      <c r="F5858" s="4" t="s">
        <v>827</v>
      </c>
      <c r="G5858" t="s">
        <v>29</v>
      </c>
      <c r="H5858" t="s">
        <v>828</v>
      </c>
    </row>
    <row r="5859" spans="1:8" x14ac:dyDescent="0.25">
      <c r="A5859" t="s">
        <v>1124</v>
      </c>
      <c r="B5859" t="s">
        <v>303</v>
      </c>
      <c r="C5859" s="5">
        <v>30615</v>
      </c>
      <c r="D5859" s="5">
        <v>36</v>
      </c>
      <c r="E5859">
        <v>12071</v>
      </c>
      <c r="F5859" s="4" t="s">
        <v>957</v>
      </c>
      <c r="G5859" t="s">
        <v>29</v>
      </c>
      <c r="H5859" t="s">
        <v>958</v>
      </c>
    </row>
    <row r="5860" spans="1:8" x14ac:dyDescent="0.25">
      <c r="A5860" t="s">
        <v>1124</v>
      </c>
      <c r="B5860" t="s">
        <v>306</v>
      </c>
      <c r="C5860" s="5">
        <v>632271</v>
      </c>
      <c r="D5860" s="5">
        <v>8406</v>
      </c>
      <c r="E5860">
        <v>42968</v>
      </c>
      <c r="F5860" s="4" t="s">
        <v>59</v>
      </c>
      <c r="G5860" t="s">
        <v>29</v>
      </c>
      <c r="H5860" t="s">
        <v>60</v>
      </c>
    </row>
    <row r="5861" spans="1:8" x14ac:dyDescent="0.25">
      <c r="A5861" t="s">
        <v>1124</v>
      </c>
      <c r="B5861" t="s">
        <v>309</v>
      </c>
      <c r="C5861" s="5">
        <v>12129</v>
      </c>
      <c r="D5861" s="5">
        <v>232</v>
      </c>
      <c r="E5861">
        <v>4701</v>
      </c>
      <c r="F5861" s="4" t="s">
        <v>119</v>
      </c>
      <c r="G5861" t="s">
        <v>29</v>
      </c>
      <c r="H5861" t="s">
        <v>120</v>
      </c>
    </row>
    <row r="5862" spans="1:8" x14ac:dyDescent="0.25">
      <c r="A5862" t="s">
        <v>1124</v>
      </c>
      <c r="B5862" t="s">
        <v>312</v>
      </c>
      <c r="C5862" s="5">
        <v>3580</v>
      </c>
      <c r="D5862" s="5">
        <v>60</v>
      </c>
      <c r="E5862">
        <v>2480</v>
      </c>
      <c r="F5862" s="4" t="s">
        <v>116</v>
      </c>
      <c r="G5862" t="s">
        <v>29</v>
      </c>
      <c r="H5862" t="s">
        <v>117</v>
      </c>
    </row>
    <row r="5863" spans="1:8" x14ac:dyDescent="0.25">
      <c r="A5863" t="s">
        <v>1124</v>
      </c>
      <c r="B5863" t="s">
        <v>315</v>
      </c>
      <c r="C5863" s="5">
        <v>529755</v>
      </c>
      <c r="D5863" s="5">
        <v>13429</v>
      </c>
      <c r="E5863">
        <v>44926</v>
      </c>
      <c r="F5863" s="4" t="s">
        <v>611</v>
      </c>
      <c r="G5863" t="s">
        <v>29</v>
      </c>
      <c r="H5863" t="s">
        <v>612</v>
      </c>
    </row>
    <row r="5864" spans="1:8" x14ac:dyDescent="0.25">
      <c r="A5864" t="s">
        <v>1124</v>
      </c>
      <c r="B5864" t="s">
        <v>316</v>
      </c>
      <c r="C5864" s="5">
        <v>5803</v>
      </c>
      <c r="D5864" s="5">
        <v>286</v>
      </c>
      <c r="E5864">
        <v>3872</v>
      </c>
      <c r="F5864" s="4" t="s">
        <v>317</v>
      </c>
      <c r="G5864" t="s">
        <v>29</v>
      </c>
      <c r="H5864" t="s">
        <v>318</v>
      </c>
    </row>
    <row r="5865" spans="1:8" x14ac:dyDescent="0.25">
      <c r="A5865" t="s">
        <v>1124</v>
      </c>
      <c r="B5865" t="s">
        <v>319</v>
      </c>
      <c r="C5865" s="5">
        <v>21490</v>
      </c>
      <c r="D5865" s="5">
        <v>655</v>
      </c>
      <c r="E5865">
        <v>2852</v>
      </c>
      <c r="F5865" s="4" t="s">
        <v>698</v>
      </c>
      <c r="G5865" t="s">
        <v>29</v>
      </c>
      <c r="H5865" t="s">
        <v>699</v>
      </c>
    </row>
    <row r="5866" spans="1:8" x14ac:dyDescent="0.25">
      <c r="A5866" t="s">
        <v>1124</v>
      </c>
      <c r="B5866" t="s">
        <v>322</v>
      </c>
      <c r="C5866" s="5">
        <v>360763</v>
      </c>
      <c r="D5866" s="5">
        <v>5349</v>
      </c>
      <c r="E5866">
        <v>140128</v>
      </c>
      <c r="F5866" s="4" t="s">
        <v>285</v>
      </c>
      <c r="G5866" t="s">
        <v>29</v>
      </c>
      <c r="H5866" t="s">
        <v>286</v>
      </c>
    </row>
    <row r="5867" spans="1:8" x14ac:dyDescent="0.25">
      <c r="A5867" t="s">
        <v>1124</v>
      </c>
      <c r="B5867" t="s">
        <v>325</v>
      </c>
      <c r="C5867" s="5">
        <v>79628</v>
      </c>
      <c r="D5867" s="5">
        <v>838</v>
      </c>
      <c r="E5867">
        <v>63440</v>
      </c>
      <c r="F5867" s="4" t="s">
        <v>642</v>
      </c>
      <c r="G5867" t="s">
        <v>29</v>
      </c>
      <c r="H5867" t="s">
        <v>643</v>
      </c>
    </row>
    <row r="5868" spans="1:8" x14ac:dyDescent="0.25">
      <c r="A5868" t="s">
        <v>1124</v>
      </c>
      <c r="B5868" t="s">
        <v>328</v>
      </c>
      <c r="C5868" s="5">
        <v>178298</v>
      </c>
      <c r="D5868" s="5">
        <v>2857</v>
      </c>
      <c r="E5868">
        <v>28583</v>
      </c>
      <c r="F5868" s="4" t="s">
        <v>313</v>
      </c>
      <c r="G5868" t="s">
        <v>29</v>
      </c>
      <c r="H5868" t="s">
        <v>314</v>
      </c>
    </row>
    <row r="5869" spans="1:8" x14ac:dyDescent="0.25">
      <c r="A5869" t="s">
        <v>1124</v>
      </c>
      <c r="B5869" t="s">
        <v>329</v>
      </c>
      <c r="C5869" s="5">
        <v>348647</v>
      </c>
      <c r="D5869" s="5">
        <v>4849</v>
      </c>
      <c r="E5869">
        <v>257826</v>
      </c>
      <c r="F5869" s="4" t="s">
        <v>208</v>
      </c>
      <c r="G5869" t="s">
        <v>29</v>
      </c>
      <c r="H5869" t="s">
        <v>209</v>
      </c>
    </row>
    <row r="5870" spans="1:8" x14ac:dyDescent="0.25">
      <c r="A5870" t="s">
        <v>1124</v>
      </c>
      <c r="B5870" t="s">
        <v>332</v>
      </c>
      <c r="C5870" s="5">
        <v>941009</v>
      </c>
      <c r="D5870" s="5">
        <v>14520</v>
      </c>
      <c r="E5870">
        <v>756929</v>
      </c>
      <c r="F5870" s="4" t="s">
        <v>519</v>
      </c>
      <c r="G5870" t="s">
        <v>29</v>
      </c>
      <c r="H5870" t="s">
        <v>520</v>
      </c>
    </row>
    <row r="5871" spans="1:8" x14ac:dyDescent="0.25">
      <c r="A5871" t="s">
        <v>1124</v>
      </c>
      <c r="B5871" t="s">
        <v>335</v>
      </c>
      <c r="C5871" s="5">
        <v>3354</v>
      </c>
      <c r="D5871" s="5">
        <v>35</v>
      </c>
      <c r="E5871">
        <v>1449</v>
      </c>
      <c r="F5871" s="4" t="s">
        <v>336</v>
      </c>
      <c r="G5871" t="s">
        <v>29</v>
      </c>
      <c r="H5871" t="s">
        <v>337</v>
      </c>
    </row>
    <row r="5872" spans="1:8" x14ac:dyDescent="0.25">
      <c r="A5872" t="s">
        <v>1124</v>
      </c>
      <c r="B5872" t="s">
        <v>338</v>
      </c>
      <c r="C5872" s="5">
        <v>312442</v>
      </c>
      <c r="D5872" s="5">
        <v>7137</v>
      </c>
      <c r="E5872">
        <v>257012</v>
      </c>
      <c r="F5872" s="4" t="s">
        <v>892</v>
      </c>
      <c r="G5872" t="s">
        <v>29</v>
      </c>
      <c r="H5872" t="s">
        <v>893</v>
      </c>
    </row>
    <row r="5873" spans="1:8" x14ac:dyDescent="0.25">
      <c r="A5873" t="s">
        <v>1124</v>
      </c>
      <c r="B5873" t="s">
        <v>341</v>
      </c>
      <c r="C5873" s="5">
        <v>136681</v>
      </c>
      <c r="D5873" s="5">
        <v>2010</v>
      </c>
      <c r="E5873">
        <v>60709</v>
      </c>
      <c r="F5873" s="4" t="s">
        <v>777</v>
      </c>
      <c r="G5873" t="s">
        <v>29</v>
      </c>
      <c r="H5873" t="s">
        <v>778</v>
      </c>
    </row>
    <row r="5874" spans="1:8" x14ac:dyDescent="0.25">
      <c r="A5874" t="s">
        <v>1124</v>
      </c>
      <c r="B5874" t="s">
        <v>344</v>
      </c>
      <c r="C5874" s="5">
        <v>3878</v>
      </c>
      <c r="D5874" s="5">
        <v>55</v>
      </c>
      <c r="E5874">
        <v>3335</v>
      </c>
      <c r="F5874" s="4" t="s">
        <v>640</v>
      </c>
      <c r="G5874" t="s">
        <v>29</v>
      </c>
      <c r="H5874" t="s">
        <v>641</v>
      </c>
    </row>
    <row r="5875" spans="1:8" x14ac:dyDescent="0.25">
      <c r="A5875" t="s">
        <v>1124</v>
      </c>
      <c r="B5875" t="s">
        <v>347</v>
      </c>
      <c r="C5875" s="5">
        <v>43616</v>
      </c>
      <c r="D5875" s="5">
        <v>960</v>
      </c>
      <c r="E5875">
        <v>30081</v>
      </c>
      <c r="F5875" s="4" t="s">
        <v>969</v>
      </c>
      <c r="G5875" t="s">
        <v>29</v>
      </c>
      <c r="H5875" t="s">
        <v>970</v>
      </c>
    </row>
    <row r="5876" spans="1:8" x14ac:dyDescent="0.25">
      <c r="A5876" t="s">
        <v>1124</v>
      </c>
      <c r="B5876" t="s">
        <v>348</v>
      </c>
      <c r="C5876" s="5">
        <v>4</v>
      </c>
      <c r="D5876" s="5">
        <v>0</v>
      </c>
      <c r="E5876">
        <v>1</v>
      </c>
      <c r="F5876" s="4" t="s">
        <v>29</v>
      </c>
      <c r="G5876" t="s">
        <v>29</v>
      </c>
      <c r="H5876" t="s">
        <v>291</v>
      </c>
    </row>
    <row r="5877" spans="1:8" x14ac:dyDescent="0.25">
      <c r="A5877" t="s">
        <v>1124</v>
      </c>
      <c r="B5877" t="s">
        <v>349</v>
      </c>
      <c r="C5877" s="5">
        <v>195963</v>
      </c>
      <c r="D5877" s="5">
        <v>6888</v>
      </c>
      <c r="E5877">
        <v>103202</v>
      </c>
      <c r="F5877" s="4" t="s">
        <v>350</v>
      </c>
      <c r="G5877" t="s">
        <v>29</v>
      </c>
      <c r="H5877" t="s">
        <v>351</v>
      </c>
    </row>
    <row r="5878" spans="1:8" x14ac:dyDescent="0.25">
      <c r="A5878" t="s">
        <v>1124</v>
      </c>
      <c r="B5878" t="s">
        <v>352</v>
      </c>
      <c r="C5878" s="5">
        <v>15563</v>
      </c>
      <c r="D5878" s="5">
        <v>555</v>
      </c>
      <c r="E5878">
        <v>11964</v>
      </c>
      <c r="F5878" s="4" t="s">
        <v>909</v>
      </c>
      <c r="G5878" t="s">
        <v>29</v>
      </c>
      <c r="H5878" t="s">
        <v>910</v>
      </c>
    </row>
    <row r="5879" spans="1:8" x14ac:dyDescent="0.25">
      <c r="A5879" t="s">
        <v>1124</v>
      </c>
      <c r="B5879" t="s">
        <v>355</v>
      </c>
      <c r="C5879" s="5">
        <v>484317</v>
      </c>
      <c r="D5879" s="5">
        <v>18255</v>
      </c>
      <c r="E5879">
        <v>324654</v>
      </c>
      <c r="F5879" s="4" t="s">
        <v>1120</v>
      </c>
      <c r="G5879" t="s">
        <v>29</v>
      </c>
      <c r="H5879" t="s">
        <v>1121</v>
      </c>
    </row>
    <row r="5880" spans="1:8" x14ac:dyDescent="0.25">
      <c r="A5880" t="s">
        <v>1124</v>
      </c>
      <c r="B5880" t="s">
        <v>358</v>
      </c>
      <c r="C5880" s="5">
        <v>332789</v>
      </c>
      <c r="D5880" s="5">
        <v>1497</v>
      </c>
      <c r="E5880">
        <v>135887</v>
      </c>
      <c r="F5880" s="4" t="s">
        <v>888</v>
      </c>
      <c r="G5880" t="s">
        <v>29</v>
      </c>
      <c r="H5880" t="s">
        <v>889</v>
      </c>
    </row>
    <row r="5881" spans="1:8" x14ac:dyDescent="0.25">
      <c r="A5881" t="s">
        <v>1124</v>
      </c>
      <c r="B5881" t="s">
        <v>359</v>
      </c>
      <c r="C5881" s="5">
        <v>77</v>
      </c>
      <c r="D5881" s="5">
        <v>0</v>
      </c>
      <c r="E5881">
        <v>5</v>
      </c>
      <c r="F5881" s="4" t="s">
        <v>29</v>
      </c>
      <c r="G5881" t="s">
        <v>29</v>
      </c>
      <c r="H5881" t="s">
        <v>291</v>
      </c>
    </row>
    <row r="5882" spans="1:8" x14ac:dyDescent="0.25">
      <c r="A5882" t="s">
        <v>1124</v>
      </c>
      <c r="B5882" t="s">
        <v>360</v>
      </c>
      <c r="C5882" s="5">
        <v>42269</v>
      </c>
      <c r="D5882" s="5">
        <v>656</v>
      </c>
      <c r="E5882">
        <v>11850</v>
      </c>
      <c r="F5882" s="4" t="s">
        <v>333</v>
      </c>
      <c r="G5882" t="s">
        <v>29</v>
      </c>
      <c r="H5882" t="s">
        <v>334</v>
      </c>
    </row>
    <row r="5883" spans="1:8" x14ac:dyDescent="0.25">
      <c r="A5883" t="s">
        <v>1124</v>
      </c>
      <c r="B5883" t="s">
        <v>363</v>
      </c>
      <c r="C5883" s="5">
        <v>36550</v>
      </c>
      <c r="D5883" s="5">
        <v>786</v>
      </c>
      <c r="E5883">
        <v>24479</v>
      </c>
      <c r="F5883" s="4" t="s">
        <v>852</v>
      </c>
      <c r="G5883" t="s">
        <v>29</v>
      </c>
      <c r="H5883" t="s">
        <v>853</v>
      </c>
    </row>
    <row r="5884" spans="1:8" x14ac:dyDescent="0.25">
      <c r="A5884" t="s">
        <v>1124</v>
      </c>
      <c r="B5884" t="s">
        <v>364</v>
      </c>
      <c r="C5884" s="5">
        <v>37412</v>
      </c>
      <c r="D5884" s="5">
        <v>459</v>
      </c>
      <c r="E5884">
        <v>27235</v>
      </c>
      <c r="F5884" s="4" t="s">
        <v>798</v>
      </c>
      <c r="G5884" t="s">
        <v>29</v>
      </c>
      <c r="H5884" t="s">
        <v>799</v>
      </c>
    </row>
    <row r="5885" spans="1:8" x14ac:dyDescent="0.25">
      <c r="A5885" t="s">
        <v>1124</v>
      </c>
      <c r="B5885" t="s">
        <v>367</v>
      </c>
      <c r="C5885" s="5">
        <v>16472</v>
      </c>
      <c r="D5885" s="5">
        <v>123</v>
      </c>
      <c r="E5885">
        <v>3045</v>
      </c>
      <c r="F5885" s="4" t="s">
        <v>1127</v>
      </c>
      <c r="G5885" t="s">
        <v>29</v>
      </c>
      <c r="H5885" t="s">
        <v>1128</v>
      </c>
    </row>
    <row r="5886" spans="1:8" x14ac:dyDescent="0.25">
      <c r="A5886" t="s">
        <v>1124</v>
      </c>
      <c r="B5886" t="s">
        <v>368</v>
      </c>
      <c r="C5886" s="5">
        <v>85932</v>
      </c>
      <c r="D5886" s="5">
        <v>237</v>
      </c>
      <c r="E5886">
        <v>56934</v>
      </c>
      <c r="F5886" s="4" t="s">
        <v>369</v>
      </c>
      <c r="G5886" t="s">
        <v>29</v>
      </c>
      <c r="H5886" t="s">
        <v>370</v>
      </c>
    </row>
    <row r="5887" spans="1:8" x14ac:dyDescent="0.25">
      <c r="A5887" t="s">
        <v>1124</v>
      </c>
      <c r="B5887" t="s">
        <v>371</v>
      </c>
      <c r="C5887" s="5">
        <v>61702</v>
      </c>
      <c r="D5887" s="5">
        <v>2292</v>
      </c>
      <c r="E5887">
        <v>19981</v>
      </c>
      <c r="F5887" s="4" t="s">
        <v>593</v>
      </c>
      <c r="G5887" t="s">
        <v>29</v>
      </c>
      <c r="H5887" t="s">
        <v>594</v>
      </c>
    </row>
    <row r="5888" spans="1:8" x14ac:dyDescent="0.25">
      <c r="A5888" t="s">
        <v>1124</v>
      </c>
      <c r="B5888" t="s">
        <v>374</v>
      </c>
      <c r="C5888" s="5">
        <v>3744574</v>
      </c>
      <c r="D5888" s="5">
        <v>283574</v>
      </c>
      <c r="E5888">
        <v>2051666</v>
      </c>
      <c r="F5888" s="4" t="s">
        <v>375</v>
      </c>
      <c r="G5888" t="s">
        <v>29</v>
      </c>
      <c r="H5888" t="s">
        <v>376</v>
      </c>
    </row>
    <row r="5889" spans="1:8" x14ac:dyDescent="0.25">
      <c r="A5889" t="s">
        <v>1124</v>
      </c>
      <c r="B5889" t="s">
        <v>377</v>
      </c>
      <c r="C5889" s="5">
        <v>2369613</v>
      </c>
      <c r="D5889" s="5">
        <v>27681</v>
      </c>
      <c r="E5889">
        <v>2236772</v>
      </c>
      <c r="F5889" s="4" t="s">
        <v>378</v>
      </c>
      <c r="G5889" t="s">
        <v>29</v>
      </c>
      <c r="H5889" t="s">
        <v>379</v>
      </c>
    </row>
    <row r="5890" spans="1:8" x14ac:dyDescent="0.25">
      <c r="A5890" t="s">
        <v>1124</v>
      </c>
      <c r="B5890" t="s">
        <v>380</v>
      </c>
      <c r="C5890" s="5">
        <v>151061</v>
      </c>
      <c r="D5890" s="5">
        <v>1924</v>
      </c>
      <c r="E5890">
        <v>29683</v>
      </c>
      <c r="F5890" s="4" t="s">
        <v>53</v>
      </c>
      <c r="G5890" t="s">
        <v>29</v>
      </c>
      <c r="H5890" t="s">
        <v>54</v>
      </c>
    </row>
    <row r="5891" spans="1:8" x14ac:dyDescent="0.25">
      <c r="A5891" t="s">
        <v>1124</v>
      </c>
      <c r="B5891" t="s">
        <v>383</v>
      </c>
      <c r="C5891" s="5">
        <v>128187</v>
      </c>
      <c r="D5891" s="5">
        <v>3529</v>
      </c>
      <c r="E5891">
        <v>40909</v>
      </c>
      <c r="F5891" s="4" t="s">
        <v>276</v>
      </c>
      <c r="G5891" t="s">
        <v>29</v>
      </c>
      <c r="H5891" t="s">
        <v>277</v>
      </c>
    </row>
    <row r="5892" spans="1:8" x14ac:dyDescent="0.25">
      <c r="A5892" t="s">
        <v>1124</v>
      </c>
      <c r="B5892" t="s">
        <v>386</v>
      </c>
      <c r="C5892" s="5">
        <v>9767</v>
      </c>
      <c r="D5892" s="5">
        <v>226</v>
      </c>
      <c r="E5892">
        <v>320</v>
      </c>
      <c r="F5892" s="4" t="s">
        <v>234</v>
      </c>
      <c r="G5892" t="s">
        <v>29</v>
      </c>
      <c r="H5892" t="s">
        <v>235</v>
      </c>
    </row>
    <row r="5893" spans="1:8" x14ac:dyDescent="0.25">
      <c r="A5893" t="s">
        <v>1124</v>
      </c>
      <c r="B5893" t="s">
        <v>387</v>
      </c>
      <c r="C5893" s="5">
        <v>6139</v>
      </c>
      <c r="D5893" s="5">
        <v>204</v>
      </c>
      <c r="E5893">
        <v>1179</v>
      </c>
      <c r="F5893" s="4" t="s">
        <v>965</v>
      </c>
      <c r="G5893" t="s">
        <v>29</v>
      </c>
      <c r="H5893" t="s">
        <v>966</v>
      </c>
    </row>
    <row r="5894" spans="1:8" x14ac:dyDescent="0.25">
      <c r="A5894" t="s">
        <v>1124</v>
      </c>
      <c r="B5894" t="s">
        <v>390</v>
      </c>
      <c r="C5894" s="5">
        <v>208404</v>
      </c>
      <c r="D5894" s="5">
        <v>2761</v>
      </c>
      <c r="E5894">
        <v>124081</v>
      </c>
      <c r="F5894" s="4" t="s">
        <v>307</v>
      </c>
      <c r="G5894" t="s">
        <v>29</v>
      </c>
      <c r="H5894" t="s">
        <v>308</v>
      </c>
    </row>
    <row r="5895" spans="1:8" x14ac:dyDescent="0.25">
      <c r="A5895" t="s">
        <v>1124</v>
      </c>
      <c r="B5895" t="s">
        <v>393</v>
      </c>
      <c r="C5895" s="5">
        <v>15737</v>
      </c>
      <c r="D5895" s="5">
        <v>206</v>
      </c>
      <c r="E5895">
        <v>5514</v>
      </c>
      <c r="F5895" s="4" t="s">
        <v>708</v>
      </c>
      <c r="G5895" t="s">
        <v>29</v>
      </c>
      <c r="H5895" t="s">
        <v>709</v>
      </c>
    </row>
    <row r="5896" spans="1:8" x14ac:dyDescent="0.25">
      <c r="A5896" t="s">
        <v>1124</v>
      </c>
      <c r="B5896" t="s">
        <v>396</v>
      </c>
      <c r="C5896" s="5">
        <v>2075949</v>
      </c>
      <c r="D5896" s="5">
        <v>18660</v>
      </c>
      <c r="E5896">
        <v>547399</v>
      </c>
      <c r="F5896" s="4" t="s">
        <v>667</v>
      </c>
      <c r="G5896" t="s">
        <v>29</v>
      </c>
      <c r="H5896" t="s">
        <v>668</v>
      </c>
    </row>
    <row r="5897" spans="1:8" x14ac:dyDescent="0.25">
      <c r="A5897" t="s">
        <v>1124</v>
      </c>
      <c r="B5897" t="s">
        <v>399</v>
      </c>
      <c r="C5897" s="5">
        <v>195385</v>
      </c>
      <c r="D5897" s="5">
        <v>884</v>
      </c>
      <c r="E5897">
        <v>77495</v>
      </c>
      <c r="F5897" s="4" t="s">
        <v>888</v>
      </c>
      <c r="G5897" t="s">
        <v>29</v>
      </c>
      <c r="H5897" t="s">
        <v>889</v>
      </c>
    </row>
    <row r="5898" spans="1:8" x14ac:dyDescent="0.25">
      <c r="A5898" t="s">
        <v>1124</v>
      </c>
      <c r="B5898" t="s">
        <v>402</v>
      </c>
      <c r="C5898" s="5">
        <v>804276</v>
      </c>
      <c r="D5898" s="5">
        <v>11269</v>
      </c>
      <c r="E5898">
        <v>296553</v>
      </c>
      <c r="F5898" s="4" t="s">
        <v>403</v>
      </c>
      <c r="G5898" t="s">
        <v>29</v>
      </c>
      <c r="H5898" t="s">
        <v>404</v>
      </c>
    </row>
    <row r="5899" spans="1:8" x14ac:dyDescent="0.25">
      <c r="A5899" t="s">
        <v>1124</v>
      </c>
      <c r="B5899" t="s">
        <v>405</v>
      </c>
      <c r="C5899" s="5">
        <v>4898</v>
      </c>
      <c r="D5899" s="5">
        <v>28</v>
      </c>
      <c r="E5899">
        <v>2568</v>
      </c>
      <c r="F5899" s="4" t="s">
        <v>1118</v>
      </c>
      <c r="G5899" t="s">
        <v>29</v>
      </c>
      <c r="H5899" t="s">
        <v>1119</v>
      </c>
    </row>
    <row r="5900" spans="1:8" x14ac:dyDescent="0.25">
      <c r="A5900" t="s">
        <v>1124</v>
      </c>
      <c r="B5900" t="s">
        <v>408</v>
      </c>
      <c r="C5900" s="5">
        <v>304025</v>
      </c>
      <c r="D5900" s="5">
        <v>4103</v>
      </c>
      <c r="E5900">
        <v>4605</v>
      </c>
      <c r="F5900" s="4" t="s">
        <v>409</v>
      </c>
      <c r="G5900" t="s">
        <v>29</v>
      </c>
      <c r="H5900" t="s">
        <v>410</v>
      </c>
    </row>
    <row r="5901" spans="1:8" x14ac:dyDescent="0.25">
      <c r="A5901" t="s">
        <v>1124</v>
      </c>
      <c r="B5901" t="s">
        <v>411</v>
      </c>
      <c r="C5901" s="5">
        <v>469569</v>
      </c>
      <c r="D5901" s="5">
        <v>7275</v>
      </c>
      <c r="E5901">
        <v>438515</v>
      </c>
      <c r="F5901" s="4" t="s">
        <v>333</v>
      </c>
      <c r="G5901" t="s">
        <v>29</v>
      </c>
      <c r="H5901" t="s">
        <v>334</v>
      </c>
    </row>
    <row r="5902" spans="1:8" x14ac:dyDescent="0.25">
      <c r="A5902" t="s">
        <v>1124</v>
      </c>
      <c r="B5902" t="s">
        <v>412</v>
      </c>
      <c r="C5902" s="5">
        <v>2187368</v>
      </c>
      <c r="D5902" s="5">
        <v>199775</v>
      </c>
      <c r="E5902">
        <v>1771974</v>
      </c>
      <c r="F5902" s="4" t="s">
        <v>1085</v>
      </c>
      <c r="G5902" t="s">
        <v>29</v>
      </c>
      <c r="H5902" t="s">
        <v>1086</v>
      </c>
    </row>
    <row r="5903" spans="1:8" x14ac:dyDescent="0.25">
      <c r="A5903" t="s">
        <v>1124</v>
      </c>
      <c r="B5903" t="s">
        <v>415</v>
      </c>
      <c r="C5903" s="5">
        <v>45439</v>
      </c>
      <c r="D5903" s="5">
        <v>632</v>
      </c>
      <c r="E5903">
        <v>33264</v>
      </c>
      <c r="F5903" s="4" t="s">
        <v>208</v>
      </c>
      <c r="G5903" t="s">
        <v>29</v>
      </c>
      <c r="H5903" t="s">
        <v>209</v>
      </c>
    </row>
    <row r="5904" spans="1:8" x14ac:dyDescent="0.25">
      <c r="A5904" t="s">
        <v>1124</v>
      </c>
      <c r="B5904" t="s">
        <v>416</v>
      </c>
      <c r="C5904" s="5">
        <v>24041</v>
      </c>
      <c r="D5904" s="5">
        <v>266</v>
      </c>
      <c r="E5904">
        <v>11021</v>
      </c>
      <c r="F5904" s="4" t="s">
        <v>1098</v>
      </c>
      <c r="G5904" t="s">
        <v>29</v>
      </c>
      <c r="H5904" t="s">
        <v>1099</v>
      </c>
    </row>
    <row r="5905" spans="1:8" x14ac:dyDescent="0.25">
      <c r="A5905" t="s">
        <v>1124</v>
      </c>
      <c r="B5905" t="s">
        <v>420</v>
      </c>
      <c r="C5905" s="5">
        <v>1262771</v>
      </c>
      <c r="D5905" s="5">
        <v>28228</v>
      </c>
      <c r="E5905">
        <v>268054</v>
      </c>
      <c r="F5905" s="4" t="s">
        <v>603</v>
      </c>
      <c r="G5905" t="s">
        <v>29</v>
      </c>
      <c r="H5905" t="s">
        <v>604</v>
      </c>
    </row>
    <row r="5906" spans="1:8" x14ac:dyDescent="0.25">
      <c r="A5906" t="s">
        <v>1124</v>
      </c>
      <c r="B5906" t="s">
        <v>419</v>
      </c>
      <c r="C5906" s="5">
        <v>2698232</v>
      </c>
      <c r="D5906" s="5">
        <v>40221</v>
      </c>
      <c r="E5906">
        <v>2228608</v>
      </c>
      <c r="F5906" s="4" t="s">
        <v>800</v>
      </c>
      <c r="G5906" t="s">
        <v>29</v>
      </c>
      <c r="H5906" t="s">
        <v>801</v>
      </c>
    </row>
    <row r="5907" spans="1:8" x14ac:dyDescent="0.25">
      <c r="A5907" t="s">
        <v>1124</v>
      </c>
      <c r="B5907" t="s">
        <v>423</v>
      </c>
      <c r="C5907" s="5">
        <v>2931064</v>
      </c>
      <c r="D5907" s="5">
        <v>76018</v>
      </c>
      <c r="E5907">
        <v>1573359</v>
      </c>
      <c r="F5907" s="4" t="s">
        <v>719</v>
      </c>
      <c r="G5907" t="s">
        <v>29</v>
      </c>
      <c r="H5907" t="s">
        <v>720</v>
      </c>
    </row>
    <row r="5908" spans="1:8" x14ac:dyDescent="0.25">
      <c r="A5908" t="s">
        <v>1124</v>
      </c>
      <c r="B5908" t="s">
        <v>426</v>
      </c>
      <c r="C5908" s="5">
        <v>446294</v>
      </c>
      <c r="D5908" s="5">
        <v>4547</v>
      </c>
      <c r="E5908">
        <v>69572</v>
      </c>
      <c r="F5908" s="4" t="s">
        <v>326</v>
      </c>
      <c r="G5908" t="s">
        <v>29</v>
      </c>
      <c r="H5908" t="s">
        <v>327</v>
      </c>
    </row>
    <row r="5909" spans="1:8" x14ac:dyDescent="0.25">
      <c r="A5909" t="s">
        <v>1124</v>
      </c>
      <c r="B5909" t="s">
        <v>427</v>
      </c>
      <c r="C5909" s="5">
        <v>1077963</v>
      </c>
      <c r="D5909" s="5">
        <v>18071</v>
      </c>
      <c r="E5909">
        <v>310943</v>
      </c>
      <c r="F5909" s="4" t="s">
        <v>116</v>
      </c>
      <c r="G5909" t="s">
        <v>29</v>
      </c>
      <c r="H5909" t="s">
        <v>117</v>
      </c>
    </row>
    <row r="5910" spans="1:8" x14ac:dyDescent="0.25">
      <c r="A5910" t="s">
        <v>1124</v>
      </c>
      <c r="B5910" t="s">
        <v>428</v>
      </c>
      <c r="C5910" s="5">
        <v>8</v>
      </c>
      <c r="D5910" s="5">
        <v>0</v>
      </c>
      <c r="E5910">
        <v>8</v>
      </c>
      <c r="F5910" s="4" t="s">
        <v>29</v>
      </c>
      <c r="G5910" t="s">
        <v>29</v>
      </c>
      <c r="H5910" t="s">
        <v>291</v>
      </c>
    </row>
    <row r="5911" spans="1:8" x14ac:dyDescent="0.25">
      <c r="A5911" t="s">
        <v>1124</v>
      </c>
      <c r="B5911" t="s">
        <v>429</v>
      </c>
      <c r="C5911" s="5">
        <v>460301</v>
      </c>
      <c r="D5911" s="5">
        <v>16208</v>
      </c>
      <c r="E5911">
        <v>429933</v>
      </c>
      <c r="F5911" s="4" t="s">
        <v>353</v>
      </c>
      <c r="G5911" t="s">
        <v>29</v>
      </c>
      <c r="H5911" t="s">
        <v>354</v>
      </c>
    </row>
    <row r="5912" spans="1:8" x14ac:dyDescent="0.25">
      <c r="A5912" t="s">
        <v>1124</v>
      </c>
      <c r="B5912" t="s">
        <v>432</v>
      </c>
      <c r="C5912" s="5">
        <v>237741</v>
      </c>
      <c r="D5912" s="5">
        <v>607</v>
      </c>
      <c r="E5912">
        <v>194609</v>
      </c>
      <c r="F5912" s="4" t="s">
        <v>794</v>
      </c>
      <c r="G5912" t="s">
        <v>29</v>
      </c>
      <c r="H5912" t="s">
        <v>795</v>
      </c>
    </row>
    <row r="5913" spans="1:8" x14ac:dyDescent="0.25">
      <c r="A5913" t="s">
        <v>1124</v>
      </c>
      <c r="B5913" t="s">
        <v>435</v>
      </c>
      <c r="C5913" s="5">
        <v>54024</v>
      </c>
      <c r="D5913" s="5">
        <v>370</v>
      </c>
      <c r="E5913">
        <v>46359</v>
      </c>
      <c r="F5913" s="4" t="s">
        <v>605</v>
      </c>
      <c r="G5913" t="s">
        <v>29</v>
      </c>
      <c r="H5913" t="s">
        <v>606</v>
      </c>
    </row>
    <row r="5914" spans="1:8" x14ac:dyDescent="0.25">
      <c r="A5914" t="s">
        <v>1124</v>
      </c>
      <c r="B5914" t="s">
        <v>436</v>
      </c>
      <c r="C5914" s="5">
        <v>1414647</v>
      </c>
      <c r="D5914" s="5">
        <v>40765</v>
      </c>
      <c r="E5914">
        <v>929088</v>
      </c>
      <c r="F5914" s="4" t="s">
        <v>860</v>
      </c>
      <c r="G5914" t="s">
        <v>29</v>
      </c>
      <c r="H5914" t="s">
        <v>861</v>
      </c>
    </row>
    <row r="5915" spans="1:8" x14ac:dyDescent="0.25">
      <c r="A5915" t="s">
        <v>1124</v>
      </c>
      <c r="B5915" t="s">
        <v>439</v>
      </c>
      <c r="C5915" s="5">
        <v>1031283</v>
      </c>
      <c r="D5915" s="5">
        <v>8946</v>
      </c>
      <c r="E5915">
        <v>821087</v>
      </c>
      <c r="F5915" s="4" t="s">
        <v>498</v>
      </c>
      <c r="G5915" t="s">
        <v>29</v>
      </c>
      <c r="H5915" t="s">
        <v>499</v>
      </c>
    </row>
    <row r="5916" spans="1:8" x14ac:dyDescent="0.25">
      <c r="A5916" t="s">
        <v>1124</v>
      </c>
      <c r="B5916" t="s">
        <v>440</v>
      </c>
      <c r="C5916" s="5">
        <v>7773388</v>
      </c>
      <c r="D5916" s="5">
        <v>216403</v>
      </c>
      <c r="E5916">
        <v>6831045</v>
      </c>
      <c r="F5916" s="4" t="s">
        <v>98</v>
      </c>
      <c r="G5916" t="s">
        <v>29</v>
      </c>
      <c r="H5916" t="s">
        <v>99</v>
      </c>
    </row>
    <row r="5917" spans="1:8" x14ac:dyDescent="0.25">
      <c r="A5917" t="s">
        <v>1124</v>
      </c>
      <c r="B5917" t="s">
        <v>443</v>
      </c>
      <c r="C5917" s="5">
        <v>98987</v>
      </c>
      <c r="D5917" s="5">
        <v>1313</v>
      </c>
      <c r="E5917">
        <v>36415</v>
      </c>
      <c r="F5917" s="4" t="s">
        <v>59</v>
      </c>
      <c r="G5917" t="s">
        <v>29</v>
      </c>
      <c r="H5917" t="s">
        <v>60</v>
      </c>
    </row>
    <row r="5918" spans="1:8" x14ac:dyDescent="0.25">
      <c r="A5918" t="s">
        <v>1124</v>
      </c>
      <c r="B5918" t="s">
        <v>444</v>
      </c>
      <c r="C5918" s="5">
        <v>547797</v>
      </c>
      <c r="D5918" s="5">
        <v>8755</v>
      </c>
      <c r="E5918">
        <v>42569</v>
      </c>
      <c r="F5918" s="4" t="s">
        <v>313</v>
      </c>
      <c r="G5918" t="s">
        <v>29</v>
      </c>
      <c r="H5918" t="s">
        <v>314</v>
      </c>
    </row>
    <row r="5919" spans="1:8" x14ac:dyDescent="0.25">
      <c r="A5919" t="s">
        <v>1124</v>
      </c>
      <c r="B5919" t="s">
        <v>445</v>
      </c>
      <c r="C5919" s="5">
        <v>20</v>
      </c>
      <c r="D5919" s="5">
        <v>0</v>
      </c>
      <c r="E5919">
        <v>4</v>
      </c>
      <c r="F5919" s="4" t="s">
        <v>29</v>
      </c>
      <c r="G5919" t="s">
        <v>29</v>
      </c>
      <c r="H5919" t="s">
        <v>291</v>
      </c>
    </row>
    <row r="5920" spans="1:8" x14ac:dyDescent="0.25">
      <c r="A5920" t="s">
        <v>1124</v>
      </c>
      <c r="B5920" t="s">
        <v>446</v>
      </c>
      <c r="C5920" s="5">
        <v>21854</v>
      </c>
      <c r="D5920" s="5">
        <v>118</v>
      </c>
      <c r="E5920">
        <v>16571</v>
      </c>
      <c r="F5920" s="4" t="s">
        <v>919</v>
      </c>
      <c r="G5920" t="s">
        <v>29</v>
      </c>
      <c r="H5920" t="s">
        <v>920</v>
      </c>
    </row>
    <row r="5921" spans="1:8" x14ac:dyDescent="0.25">
      <c r="A5921" t="s">
        <v>1124</v>
      </c>
      <c r="B5921" t="s">
        <v>449</v>
      </c>
      <c r="C5921" s="5">
        <v>39416</v>
      </c>
      <c r="D5921" s="5">
        <v>2976</v>
      </c>
      <c r="E5921">
        <v>11950</v>
      </c>
      <c r="F5921" s="4" t="s">
        <v>1116</v>
      </c>
      <c r="G5921" t="s">
        <v>29</v>
      </c>
      <c r="H5921" t="s">
        <v>1117</v>
      </c>
    </row>
    <row r="5922" spans="1:8" x14ac:dyDescent="0.25">
      <c r="A5922" t="s">
        <v>1124</v>
      </c>
      <c r="B5922" t="s">
        <v>452</v>
      </c>
      <c r="C5922" s="5">
        <v>1161264</v>
      </c>
      <c r="D5922" s="5">
        <v>14926</v>
      </c>
      <c r="E5922">
        <v>265037</v>
      </c>
      <c r="F5922" s="4" t="s">
        <v>417</v>
      </c>
      <c r="G5922" t="s">
        <v>29</v>
      </c>
      <c r="H5922" t="s">
        <v>418</v>
      </c>
    </row>
    <row r="5923" spans="1:8" x14ac:dyDescent="0.25">
      <c r="A5923" t="s">
        <v>1124</v>
      </c>
      <c r="B5923" t="s">
        <v>453</v>
      </c>
      <c r="C5923" s="5">
        <v>138327</v>
      </c>
      <c r="D5923" s="5">
        <v>207</v>
      </c>
      <c r="E5923">
        <v>36156</v>
      </c>
      <c r="F5923" s="4" t="s">
        <v>915</v>
      </c>
      <c r="G5923" t="s">
        <v>29</v>
      </c>
      <c r="H5923" t="s">
        <v>916</v>
      </c>
    </row>
    <row r="5924" spans="1:8" x14ac:dyDescent="0.25">
      <c r="A5924" t="s">
        <v>1124</v>
      </c>
      <c r="B5924" t="s">
        <v>456</v>
      </c>
      <c r="C5924" s="5">
        <v>304963</v>
      </c>
      <c r="D5924" s="5">
        <v>4627</v>
      </c>
      <c r="E5924">
        <v>169915</v>
      </c>
      <c r="F5924" s="4" t="s">
        <v>589</v>
      </c>
      <c r="G5924" t="s">
        <v>29</v>
      </c>
      <c r="H5924" t="s">
        <v>590</v>
      </c>
    </row>
    <row r="5925" spans="1:8" x14ac:dyDescent="0.25">
      <c r="A5925" t="s">
        <v>1124</v>
      </c>
      <c r="B5925" t="s">
        <v>457</v>
      </c>
      <c r="C5925" s="5">
        <v>431757</v>
      </c>
      <c r="D5925" s="5">
        <v>12791</v>
      </c>
      <c r="E5925">
        <v>236561</v>
      </c>
      <c r="F5925" s="4" t="s">
        <v>731</v>
      </c>
      <c r="G5925" t="s">
        <v>29</v>
      </c>
      <c r="H5925" t="s">
        <v>732</v>
      </c>
    </row>
    <row r="5926" spans="1:8" x14ac:dyDescent="0.25">
      <c r="A5926" t="s">
        <v>1124</v>
      </c>
      <c r="B5926" t="s">
        <v>460</v>
      </c>
      <c r="C5926" s="5">
        <v>6396</v>
      </c>
      <c r="D5926" s="5">
        <v>121</v>
      </c>
      <c r="E5926">
        <v>433</v>
      </c>
      <c r="F5926" s="4" t="s">
        <v>461</v>
      </c>
      <c r="G5926" t="s">
        <v>29</v>
      </c>
      <c r="H5926" t="s">
        <v>462</v>
      </c>
    </row>
    <row r="5927" spans="1:8" x14ac:dyDescent="0.25">
      <c r="A5927" t="s">
        <v>1124</v>
      </c>
      <c r="B5927" t="s">
        <v>463</v>
      </c>
      <c r="C5927" s="5">
        <v>5470</v>
      </c>
      <c r="D5927" s="5">
        <v>91</v>
      </c>
      <c r="E5927">
        <v>296</v>
      </c>
      <c r="F5927" s="4" t="s">
        <v>135</v>
      </c>
      <c r="G5927" t="s">
        <v>29</v>
      </c>
      <c r="H5927" t="s">
        <v>136</v>
      </c>
    </row>
    <row r="5928" spans="1:8" x14ac:dyDescent="0.25">
      <c r="A5928" t="s">
        <v>1124</v>
      </c>
      <c r="B5928" t="s">
        <v>464</v>
      </c>
      <c r="C5928" s="5">
        <v>73853</v>
      </c>
      <c r="D5928" s="5">
        <v>1869</v>
      </c>
      <c r="E5928">
        <v>29657</v>
      </c>
      <c r="F5928" s="4" t="s">
        <v>611</v>
      </c>
      <c r="G5928" t="s">
        <v>29</v>
      </c>
      <c r="H5928" t="s">
        <v>612</v>
      </c>
    </row>
    <row r="5929" spans="1:8" x14ac:dyDescent="0.25">
      <c r="A5929" t="s">
        <v>1124</v>
      </c>
      <c r="B5929" t="s">
        <v>465</v>
      </c>
      <c r="C5929" s="5">
        <v>21269</v>
      </c>
      <c r="D5929" s="5">
        <v>1180</v>
      </c>
      <c r="E5929">
        <v>16336</v>
      </c>
      <c r="F5929" s="4" t="s">
        <v>1005</v>
      </c>
      <c r="G5929" t="s">
        <v>29</v>
      </c>
      <c r="H5929" t="s">
        <v>1006</v>
      </c>
    </row>
    <row r="5930" spans="1:8" x14ac:dyDescent="0.25">
      <c r="A5930" t="s">
        <v>1124</v>
      </c>
      <c r="B5930" t="s">
        <v>468</v>
      </c>
      <c r="C5930" s="5">
        <v>45861</v>
      </c>
      <c r="D5930" s="5">
        <v>1000</v>
      </c>
      <c r="E5930">
        <v>14947</v>
      </c>
      <c r="F5930" s="4" t="s">
        <v>984</v>
      </c>
      <c r="G5930" t="s">
        <v>29</v>
      </c>
      <c r="H5930" t="s">
        <v>985</v>
      </c>
    </row>
    <row r="5931" spans="1:8" x14ac:dyDescent="0.25">
      <c r="A5931" t="s">
        <v>1124</v>
      </c>
      <c r="B5931" t="s">
        <v>472</v>
      </c>
      <c r="C5931" s="5">
        <v>3659</v>
      </c>
      <c r="D5931" s="5">
        <v>56</v>
      </c>
      <c r="E5931">
        <v>2029</v>
      </c>
      <c r="F5931" s="4" t="s">
        <v>74</v>
      </c>
      <c r="G5931" t="s">
        <v>29</v>
      </c>
      <c r="H5931" t="s">
        <v>75</v>
      </c>
    </row>
    <row r="5932" spans="1:8" x14ac:dyDescent="0.25">
      <c r="A5932" t="s">
        <v>1124</v>
      </c>
      <c r="B5932" t="s">
        <v>471</v>
      </c>
      <c r="C5932" s="5">
        <v>12184</v>
      </c>
      <c r="D5932" s="5">
        <v>130</v>
      </c>
      <c r="E5932">
        <v>11470</v>
      </c>
      <c r="F5932" s="4" t="s">
        <v>654</v>
      </c>
      <c r="G5932" t="s">
        <v>29</v>
      </c>
      <c r="H5932" t="s">
        <v>655</v>
      </c>
    </row>
    <row r="5933" spans="1:8" x14ac:dyDescent="0.25">
      <c r="A5933" t="s">
        <v>1124</v>
      </c>
      <c r="B5933" t="s">
        <v>473</v>
      </c>
      <c r="C5933" s="5">
        <v>109881</v>
      </c>
      <c r="D5933" s="5">
        <v>3435</v>
      </c>
      <c r="E5933">
        <v>87716</v>
      </c>
      <c r="F5933" s="4" t="s">
        <v>1114</v>
      </c>
      <c r="G5933" t="s">
        <v>29</v>
      </c>
      <c r="H5933" t="s">
        <v>1115</v>
      </c>
    </row>
    <row r="5934" spans="1:8" x14ac:dyDescent="0.25">
      <c r="A5934" t="s">
        <v>1124</v>
      </c>
      <c r="B5934" t="s">
        <v>476</v>
      </c>
      <c r="C5934" s="5">
        <v>38067</v>
      </c>
      <c r="D5934" s="5">
        <v>2375</v>
      </c>
      <c r="E5934">
        <v>8103</v>
      </c>
      <c r="F5934" s="4" t="s">
        <v>1133</v>
      </c>
      <c r="G5934" t="s">
        <v>29</v>
      </c>
      <c r="H5934" t="s">
        <v>1134</v>
      </c>
    </row>
    <row r="5935" spans="1:8" x14ac:dyDescent="0.25">
      <c r="A5935" t="s">
        <v>1124</v>
      </c>
      <c r="B5935" t="s">
        <v>479</v>
      </c>
      <c r="C5935" s="5">
        <v>46344</v>
      </c>
      <c r="D5935" s="5">
        <v>1232</v>
      </c>
      <c r="E5935">
        <v>6941</v>
      </c>
      <c r="F5935" s="4" t="s">
        <v>47</v>
      </c>
      <c r="G5935" t="s">
        <v>29</v>
      </c>
      <c r="H5935" t="s">
        <v>48</v>
      </c>
    </row>
    <row r="5936" spans="1:8" x14ac:dyDescent="0.25">
      <c r="A5936" t="s">
        <v>1124</v>
      </c>
      <c r="B5936" t="s">
        <v>482</v>
      </c>
      <c r="C5936" s="5">
        <v>5065</v>
      </c>
      <c r="D5936" s="5">
        <v>174</v>
      </c>
      <c r="E5936">
        <v>4373</v>
      </c>
      <c r="F5936" s="4" t="s">
        <v>802</v>
      </c>
      <c r="G5936" t="s">
        <v>29</v>
      </c>
      <c r="H5936" t="s">
        <v>803</v>
      </c>
    </row>
    <row r="5937" spans="1:8" x14ac:dyDescent="0.25">
      <c r="A5937" t="s">
        <v>1124</v>
      </c>
      <c r="B5937" t="s">
        <v>483</v>
      </c>
      <c r="C5937" s="5">
        <v>25836</v>
      </c>
      <c r="D5937" s="5">
        <v>237</v>
      </c>
      <c r="E5937">
        <v>4835</v>
      </c>
      <c r="F5937" s="4" t="s">
        <v>214</v>
      </c>
      <c r="G5937" t="s">
        <v>29</v>
      </c>
      <c r="H5937" t="s">
        <v>215</v>
      </c>
    </row>
    <row r="5938" spans="1:8" x14ac:dyDescent="0.25">
      <c r="A5938" t="s">
        <v>1124</v>
      </c>
      <c r="B5938" t="s">
        <v>486</v>
      </c>
      <c r="C5938" s="5">
        <v>1751704</v>
      </c>
      <c r="D5938" s="5">
        <v>18029</v>
      </c>
      <c r="E5938">
        <v>1585243</v>
      </c>
      <c r="F5938" s="4" t="s">
        <v>687</v>
      </c>
      <c r="G5938" t="s">
        <v>29</v>
      </c>
      <c r="H5938" t="s">
        <v>688</v>
      </c>
    </row>
    <row r="5939" spans="1:8" x14ac:dyDescent="0.25">
      <c r="A5939" t="s">
        <v>1124</v>
      </c>
      <c r="B5939" t="s">
        <v>487</v>
      </c>
      <c r="C5939" s="5">
        <v>17484</v>
      </c>
      <c r="D5939" s="5">
        <v>125</v>
      </c>
      <c r="E5939">
        <v>7956</v>
      </c>
      <c r="F5939" s="4" t="s">
        <v>488</v>
      </c>
      <c r="G5939" t="s">
        <v>29</v>
      </c>
      <c r="H5939" t="s">
        <v>489</v>
      </c>
    </row>
    <row r="5940" spans="1:8" x14ac:dyDescent="0.25">
      <c r="A5940" t="s">
        <v>1124</v>
      </c>
      <c r="B5940" t="s">
        <v>490</v>
      </c>
      <c r="C5940" s="5">
        <v>19696</v>
      </c>
      <c r="D5940" s="5">
        <v>119</v>
      </c>
      <c r="E5940">
        <v>12859</v>
      </c>
      <c r="F5940" s="4" t="s">
        <v>300</v>
      </c>
      <c r="G5940" t="s">
        <v>29</v>
      </c>
      <c r="H5940" t="s">
        <v>301</v>
      </c>
    </row>
    <row r="5941" spans="1:8" x14ac:dyDescent="0.25">
      <c r="A5941" t="s">
        <v>1124</v>
      </c>
      <c r="B5941" t="s">
        <v>493</v>
      </c>
      <c r="C5941" s="5">
        <v>710322</v>
      </c>
      <c r="D5941" s="5">
        <v>25053</v>
      </c>
      <c r="E5941">
        <v>569341</v>
      </c>
      <c r="F5941" s="4" t="s">
        <v>430</v>
      </c>
      <c r="G5941" t="s">
        <v>29</v>
      </c>
      <c r="H5941" t="s">
        <v>431</v>
      </c>
    </row>
    <row r="5942" spans="1:8" x14ac:dyDescent="0.25">
      <c r="A5942" t="s">
        <v>1124</v>
      </c>
      <c r="B5942" t="s">
        <v>497</v>
      </c>
      <c r="C5942" s="5">
        <v>7570902</v>
      </c>
      <c r="D5942" s="5">
        <v>67044</v>
      </c>
      <c r="E5942">
        <v>2193388</v>
      </c>
      <c r="F5942" s="4" t="s">
        <v>65</v>
      </c>
      <c r="G5942" t="s">
        <v>29</v>
      </c>
      <c r="H5942" t="s">
        <v>66</v>
      </c>
    </row>
    <row r="5943" spans="1:8" x14ac:dyDescent="0.25">
      <c r="A5943" t="s">
        <v>1124</v>
      </c>
      <c r="B5943" t="s">
        <v>500</v>
      </c>
      <c r="C5943" s="5">
        <v>53392</v>
      </c>
      <c r="D5943" s="5">
        <v>1573</v>
      </c>
      <c r="E5943">
        <v>43431</v>
      </c>
      <c r="F5943" s="4" t="s">
        <v>884</v>
      </c>
      <c r="G5943" t="s">
        <v>29</v>
      </c>
      <c r="H5943" t="s">
        <v>885</v>
      </c>
    </row>
    <row r="5944" spans="1:8" x14ac:dyDescent="0.25">
      <c r="A5944" t="s">
        <v>1124</v>
      </c>
      <c r="B5944" t="s">
        <v>503</v>
      </c>
      <c r="C5944" s="5">
        <v>16321</v>
      </c>
      <c r="D5944" s="5">
        <v>846</v>
      </c>
      <c r="E5944">
        <v>2606</v>
      </c>
      <c r="F5944" s="4" t="s">
        <v>1071</v>
      </c>
      <c r="G5944" t="s">
        <v>29</v>
      </c>
      <c r="H5944" t="s">
        <v>1072</v>
      </c>
    </row>
    <row r="5945" spans="1:8" x14ac:dyDescent="0.25">
      <c r="A5945" t="s">
        <v>1124</v>
      </c>
      <c r="B5945" t="s">
        <v>506</v>
      </c>
      <c r="C5945" s="5">
        <v>26034</v>
      </c>
      <c r="D5945" s="5">
        <v>724</v>
      </c>
      <c r="E5945">
        <v>4320</v>
      </c>
      <c r="F5945" s="4" t="s">
        <v>98</v>
      </c>
      <c r="G5945" t="s">
        <v>29</v>
      </c>
      <c r="H5945" t="s">
        <v>99</v>
      </c>
    </row>
    <row r="5946" spans="1:8" x14ac:dyDescent="0.25">
      <c r="A5946" t="s">
        <v>1124</v>
      </c>
      <c r="B5946" t="s">
        <v>509</v>
      </c>
      <c r="C5946" s="5">
        <v>2716867</v>
      </c>
      <c r="D5946" s="5">
        <v>63847</v>
      </c>
      <c r="E5946">
        <v>2608984</v>
      </c>
      <c r="F5946" s="4" t="s">
        <v>591</v>
      </c>
      <c r="G5946" t="s">
        <v>29</v>
      </c>
      <c r="H5946" t="s">
        <v>592</v>
      </c>
    </row>
    <row r="5947" spans="1:8" x14ac:dyDescent="0.25">
      <c r="A5947" t="s">
        <v>1124</v>
      </c>
      <c r="B5947" t="s">
        <v>512</v>
      </c>
      <c r="C5947" s="5">
        <v>124924</v>
      </c>
      <c r="D5947" s="5">
        <v>3179</v>
      </c>
      <c r="E5947">
        <v>18224</v>
      </c>
      <c r="F5947" s="4" t="s">
        <v>141</v>
      </c>
      <c r="G5947" t="s">
        <v>29</v>
      </c>
      <c r="H5947" t="s">
        <v>142</v>
      </c>
    </row>
    <row r="5948" spans="1:8" x14ac:dyDescent="0.25">
      <c r="A5948" t="s">
        <v>1124</v>
      </c>
      <c r="B5948" t="s">
        <v>515</v>
      </c>
      <c r="C5948" s="5">
        <v>44770279</v>
      </c>
      <c r="D5948" s="5">
        <v>721642</v>
      </c>
      <c r="E5948">
        <v>39133620</v>
      </c>
      <c r="F5948" s="4" t="s">
        <v>587</v>
      </c>
      <c r="G5948" t="s">
        <v>29</v>
      </c>
      <c r="H5948" t="s">
        <v>588</v>
      </c>
    </row>
    <row r="5949" spans="1:8" x14ac:dyDescent="0.25">
      <c r="A5949" t="s">
        <v>1124</v>
      </c>
      <c r="B5949" t="s">
        <v>518</v>
      </c>
      <c r="C5949" s="5">
        <v>390575</v>
      </c>
      <c r="D5949" s="5">
        <v>6065</v>
      </c>
      <c r="E5949">
        <v>125346</v>
      </c>
      <c r="F5949" s="4" t="s">
        <v>333</v>
      </c>
      <c r="G5949" t="s">
        <v>29</v>
      </c>
      <c r="H5949" t="s">
        <v>334</v>
      </c>
    </row>
    <row r="5950" spans="1:8" x14ac:dyDescent="0.25">
      <c r="A5950" t="s">
        <v>1124</v>
      </c>
      <c r="B5950" t="s">
        <v>521</v>
      </c>
      <c r="C5950" s="5">
        <v>179711</v>
      </c>
      <c r="D5950" s="5">
        <v>1280</v>
      </c>
      <c r="E5950">
        <v>26453</v>
      </c>
      <c r="F5950" s="4" t="s">
        <v>488</v>
      </c>
      <c r="G5950" t="s">
        <v>29</v>
      </c>
      <c r="H5950" t="s">
        <v>489</v>
      </c>
    </row>
    <row r="5951" spans="1:8" x14ac:dyDescent="0.25">
      <c r="A5951" t="s">
        <v>1124</v>
      </c>
      <c r="B5951" t="s">
        <v>523</v>
      </c>
      <c r="C5951" s="5">
        <v>4096</v>
      </c>
      <c r="D5951" s="5">
        <v>38</v>
      </c>
      <c r="E5951">
        <v>3036</v>
      </c>
      <c r="F5951" s="4" t="s">
        <v>484</v>
      </c>
      <c r="G5951" t="s">
        <v>29</v>
      </c>
      <c r="H5951" t="s">
        <v>485</v>
      </c>
    </row>
    <row r="5952" spans="1:8" x14ac:dyDescent="0.25">
      <c r="A5952" t="s">
        <v>1124</v>
      </c>
      <c r="B5952" t="s">
        <v>522</v>
      </c>
      <c r="C5952" s="5">
        <v>27</v>
      </c>
      <c r="D5952" s="5">
        <v>0</v>
      </c>
      <c r="E5952">
        <v>5</v>
      </c>
      <c r="F5952" s="4" t="s">
        <v>29</v>
      </c>
      <c r="G5952" t="s">
        <v>29</v>
      </c>
      <c r="H5952" t="s">
        <v>291</v>
      </c>
    </row>
    <row r="5953" spans="1:8" x14ac:dyDescent="0.25">
      <c r="A5953" t="s">
        <v>1124</v>
      </c>
      <c r="B5953" t="s">
        <v>524</v>
      </c>
      <c r="C5953" s="5">
        <v>388743</v>
      </c>
      <c r="D5953" s="5">
        <v>4681</v>
      </c>
      <c r="E5953">
        <v>75846</v>
      </c>
      <c r="F5953" s="4" t="s">
        <v>525</v>
      </c>
      <c r="G5953" t="s">
        <v>29</v>
      </c>
      <c r="H5953" t="s">
        <v>526</v>
      </c>
    </row>
    <row r="5954" spans="1:8" x14ac:dyDescent="0.25">
      <c r="A5954" t="s">
        <v>1124</v>
      </c>
      <c r="B5954" t="s">
        <v>527</v>
      </c>
      <c r="C5954" s="5">
        <v>853842</v>
      </c>
      <c r="D5954" s="5">
        <v>20950</v>
      </c>
      <c r="E5954">
        <v>440309</v>
      </c>
      <c r="F5954" s="4" t="s">
        <v>999</v>
      </c>
      <c r="G5954" t="s">
        <v>29</v>
      </c>
      <c r="H5954" t="s">
        <v>1000</v>
      </c>
    </row>
    <row r="5955" spans="1:8" x14ac:dyDescent="0.25">
      <c r="A5955" t="s">
        <v>1124</v>
      </c>
      <c r="B5955" t="s">
        <v>530</v>
      </c>
      <c r="C5955" s="5">
        <v>4</v>
      </c>
      <c r="D5955" s="5">
        <v>1</v>
      </c>
      <c r="E5955">
        <v>3</v>
      </c>
      <c r="F5955" s="4" t="s">
        <v>973</v>
      </c>
      <c r="G5955" t="s">
        <v>29</v>
      </c>
      <c r="H5955" t="s">
        <v>974</v>
      </c>
    </row>
    <row r="5956" spans="1:8" x14ac:dyDescent="0.25">
      <c r="A5956" t="s">
        <v>1124</v>
      </c>
      <c r="B5956" t="s">
        <v>533</v>
      </c>
      <c r="C5956" s="5">
        <v>3</v>
      </c>
      <c r="D5956" s="5">
        <v>0</v>
      </c>
      <c r="E5956">
        <v>2</v>
      </c>
      <c r="F5956" s="4" t="s">
        <v>29</v>
      </c>
      <c r="G5956" t="s">
        <v>29</v>
      </c>
      <c r="H5956" t="s">
        <v>291</v>
      </c>
    </row>
    <row r="5957" spans="1:8" x14ac:dyDescent="0.25">
      <c r="A5957" t="s">
        <v>1124</v>
      </c>
      <c r="B5957" t="s">
        <v>534</v>
      </c>
      <c r="C5957" s="5">
        <v>160495</v>
      </c>
      <c r="D5957" s="5">
        <v>2973</v>
      </c>
      <c r="E5957">
        <v>79052</v>
      </c>
      <c r="F5957" s="4" t="s">
        <v>535</v>
      </c>
      <c r="G5957" t="s">
        <v>29</v>
      </c>
      <c r="H5957" t="s">
        <v>536</v>
      </c>
    </row>
    <row r="5958" spans="1:8" x14ac:dyDescent="0.25">
      <c r="A5958" t="s">
        <v>1124</v>
      </c>
      <c r="B5958" t="s">
        <v>537</v>
      </c>
      <c r="C5958" s="5">
        <v>9467</v>
      </c>
      <c r="D5958" s="5">
        <v>1793</v>
      </c>
      <c r="E5958">
        <v>394</v>
      </c>
      <c r="F5958" s="4" t="s">
        <v>1092</v>
      </c>
      <c r="G5958" t="s">
        <v>29</v>
      </c>
      <c r="H5958" t="s">
        <v>1093</v>
      </c>
    </row>
    <row r="5959" spans="1:8" x14ac:dyDescent="0.25">
      <c r="A5959" t="s">
        <v>1124</v>
      </c>
      <c r="B5959" t="s">
        <v>540</v>
      </c>
      <c r="C5959" s="5">
        <v>20422</v>
      </c>
      <c r="D5959" s="5">
        <v>181</v>
      </c>
      <c r="E5959">
        <v>17014</v>
      </c>
      <c r="F5959" s="4" t="s">
        <v>65</v>
      </c>
      <c r="G5959" t="s">
        <v>29</v>
      </c>
      <c r="H5959" t="s">
        <v>66</v>
      </c>
    </row>
    <row r="5960" spans="1:8" x14ac:dyDescent="0.25">
      <c r="A5960" t="s">
        <v>1124</v>
      </c>
      <c r="B5960" t="s">
        <v>541</v>
      </c>
      <c r="C5960" s="5">
        <v>2914827</v>
      </c>
      <c r="D5960" s="5">
        <v>88506</v>
      </c>
      <c r="E5960">
        <v>2479709</v>
      </c>
      <c r="F5960" s="4" t="s">
        <v>320</v>
      </c>
      <c r="G5960" t="s">
        <v>29</v>
      </c>
      <c r="H5960" t="s">
        <v>321</v>
      </c>
    </row>
    <row r="5961" spans="1:8" x14ac:dyDescent="0.25">
      <c r="A5961" t="s">
        <v>1124</v>
      </c>
      <c r="B5961" t="s">
        <v>544</v>
      </c>
      <c r="C5961" s="5">
        <v>209431</v>
      </c>
      <c r="D5961" s="5">
        <v>3657</v>
      </c>
      <c r="E5961">
        <v>78750</v>
      </c>
      <c r="F5961" s="4" t="s">
        <v>545</v>
      </c>
      <c r="G5961" t="s">
        <v>29</v>
      </c>
      <c r="H5961" t="s">
        <v>546</v>
      </c>
    </row>
    <row r="5962" spans="1:8" x14ac:dyDescent="0.25">
      <c r="A5962" t="s">
        <v>1124</v>
      </c>
      <c r="B5962" t="s">
        <v>547</v>
      </c>
      <c r="C5962" s="5">
        <v>132251</v>
      </c>
      <c r="D5962" s="5">
        <v>4655</v>
      </c>
      <c r="E5962">
        <v>37155</v>
      </c>
      <c r="F5962" s="4" t="s">
        <v>353</v>
      </c>
      <c r="G5962" t="s">
        <v>29</v>
      </c>
      <c r="H5962" t="s">
        <v>354</v>
      </c>
    </row>
    <row r="5963" spans="1:8" x14ac:dyDescent="0.25">
      <c r="A5963" t="s">
        <v>1124</v>
      </c>
      <c r="B5963" t="s">
        <v>548</v>
      </c>
      <c r="C5963" s="5">
        <v>721</v>
      </c>
      <c r="D5963" s="5">
        <v>15</v>
      </c>
      <c r="E5963">
        <v>369</v>
      </c>
      <c r="F5963" s="4" t="s">
        <v>549</v>
      </c>
      <c r="G5963" t="s">
        <v>29</v>
      </c>
      <c r="H5963" t="s">
        <v>550</v>
      </c>
    </row>
    <row r="5964" spans="1:8" x14ac:dyDescent="0.25">
      <c r="A5964" t="s">
        <v>1135</v>
      </c>
      <c r="B5964" t="s">
        <v>548</v>
      </c>
      <c r="C5964" s="5">
        <v>721</v>
      </c>
      <c r="D5964" s="5">
        <v>15</v>
      </c>
      <c r="E5964">
        <v>566</v>
      </c>
      <c r="F5964" s="4" t="s">
        <v>549</v>
      </c>
      <c r="G5964" t="s">
        <v>29</v>
      </c>
      <c r="H5964" t="s">
        <v>550</v>
      </c>
    </row>
    <row r="5965" spans="1:8" x14ac:dyDescent="0.25">
      <c r="A5965" t="s">
        <v>1135</v>
      </c>
      <c r="B5965" t="s">
        <v>547</v>
      </c>
      <c r="C5965" s="5">
        <v>132108</v>
      </c>
      <c r="D5965" s="5">
        <v>4648</v>
      </c>
      <c r="E5965">
        <v>9572</v>
      </c>
      <c r="F5965" s="4" t="s">
        <v>353</v>
      </c>
      <c r="G5965" t="s">
        <v>29</v>
      </c>
      <c r="H5965" t="s">
        <v>354</v>
      </c>
    </row>
    <row r="5966" spans="1:8" x14ac:dyDescent="0.25">
      <c r="A5966" t="s">
        <v>1135</v>
      </c>
      <c r="B5966" t="s">
        <v>544</v>
      </c>
      <c r="C5966" s="5">
        <v>209411</v>
      </c>
      <c r="D5966" s="5">
        <v>3657</v>
      </c>
      <c r="E5966">
        <v>26643</v>
      </c>
      <c r="F5966" s="4" t="s">
        <v>545</v>
      </c>
      <c r="G5966" t="s">
        <v>29</v>
      </c>
      <c r="H5966" t="s">
        <v>546</v>
      </c>
    </row>
    <row r="5967" spans="1:8" x14ac:dyDescent="0.25">
      <c r="A5967" t="s">
        <v>1135</v>
      </c>
      <c r="B5967" t="s">
        <v>541</v>
      </c>
      <c r="C5967" s="5">
        <v>2913880</v>
      </c>
      <c r="D5967" s="5">
        <v>88466</v>
      </c>
      <c r="E5967">
        <v>120346</v>
      </c>
      <c r="F5967" s="4" t="s">
        <v>320</v>
      </c>
      <c r="G5967" t="s">
        <v>29</v>
      </c>
      <c r="H5967" t="s">
        <v>321</v>
      </c>
    </row>
    <row r="5968" spans="1:8" x14ac:dyDescent="0.25">
      <c r="A5968" t="s">
        <v>1135</v>
      </c>
      <c r="B5968" t="s">
        <v>540</v>
      </c>
      <c r="C5968" s="5">
        <v>20422</v>
      </c>
      <c r="D5968" s="5">
        <v>181</v>
      </c>
      <c r="E5968">
        <v>15254</v>
      </c>
      <c r="F5968" s="4" t="s">
        <v>65</v>
      </c>
      <c r="G5968" t="s">
        <v>29</v>
      </c>
      <c r="H5968" t="s">
        <v>66</v>
      </c>
    </row>
    <row r="5969" spans="1:8" x14ac:dyDescent="0.25">
      <c r="A5969" t="s">
        <v>1135</v>
      </c>
      <c r="B5969" t="s">
        <v>537</v>
      </c>
      <c r="C5969" s="5">
        <v>9439</v>
      </c>
      <c r="D5969" s="5">
        <v>1789</v>
      </c>
      <c r="E5969">
        <v>5190</v>
      </c>
      <c r="F5969" s="4" t="s">
        <v>1136</v>
      </c>
      <c r="G5969" t="s">
        <v>29</v>
      </c>
      <c r="H5969" t="s">
        <v>1137</v>
      </c>
    </row>
    <row r="5970" spans="1:8" x14ac:dyDescent="0.25">
      <c r="A5970" t="s">
        <v>1135</v>
      </c>
      <c r="B5970" t="s">
        <v>534</v>
      </c>
      <c r="C5970" s="5">
        <v>160464</v>
      </c>
      <c r="D5970" s="5">
        <v>2973</v>
      </c>
      <c r="E5970">
        <v>84832</v>
      </c>
      <c r="F5970" s="4" t="s">
        <v>535</v>
      </c>
      <c r="G5970" t="s">
        <v>29</v>
      </c>
      <c r="H5970" t="s">
        <v>536</v>
      </c>
    </row>
    <row r="5971" spans="1:8" x14ac:dyDescent="0.25">
      <c r="A5971" t="s">
        <v>1135</v>
      </c>
      <c r="B5971" t="s">
        <v>533</v>
      </c>
      <c r="C5971" s="5">
        <v>3</v>
      </c>
      <c r="D5971" s="5">
        <v>0</v>
      </c>
      <c r="E5971">
        <v>2</v>
      </c>
      <c r="F5971" s="4" t="s">
        <v>29</v>
      </c>
      <c r="G5971" t="s">
        <v>29</v>
      </c>
      <c r="H5971" t="s">
        <v>291</v>
      </c>
    </row>
    <row r="5972" spans="1:8" x14ac:dyDescent="0.25">
      <c r="A5972" t="s">
        <v>1135</v>
      </c>
      <c r="B5972" t="s">
        <v>530</v>
      </c>
      <c r="C5972" s="5">
        <v>4</v>
      </c>
      <c r="D5972" s="5">
        <v>1</v>
      </c>
      <c r="E5972">
        <v>2</v>
      </c>
      <c r="F5972" s="4" t="s">
        <v>973</v>
      </c>
      <c r="G5972" t="s">
        <v>29</v>
      </c>
      <c r="H5972" t="s">
        <v>974</v>
      </c>
    </row>
    <row r="5973" spans="1:8" x14ac:dyDescent="0.25">
      <c r="A5973" t="s">
        <v>1135</v>
      </c>
      <c r="B5973" t="s">
        <v>527</v>
      </c>
      <c r="C5973" s="5">
        <v>849691</v>
      </c>
      <c r="D5973" s="5">
        <v>20869</v>
      </c>
      <c r="E5973">
        <v>255892</v>
      </c>
      <c r="F5973" s="4" t="s">
        <v>949</v>
      </c>
      <c r="G5973" t="s">
        <v>29</v>
      </c>
      <c r="H5973" t="s">
        <v>950</v>
      </c>
    </row>
    <row r="5974" spans="1:8" x14ac:dyDescent="0.25">
      <c r="A5974" t="s">
        <v>1135</v>
      </c>
      <c r="B5974" t="s">
        <v>524</v>
      </c>
      <c r="C5974" s="5">
        <v>385952</v>
      </c>
      <c r="D5974" s="5">
        <v>4652</v>
      </c>
      <c r="E5974">
        <v>302623</v>
      </c>
      <c r="F5974" s="4" t="s">
        <v>775</v>
      </c>
      <c r="G5974" t="s">
        <v>29</v>
      </c>
      <c r="H5974" t="s">
        <v>776</v>
      </c>
    </row>
    <row r="5975" spans="1:8" x14ac:dyDescent="0.25">
      <c r="A5975" t="s">
        <v>1135</v>
      </c>
      <c r="B5975" t="s">
        <v>522</v>
      </c>
      <c r="C5975" s="5">
        <v>27</v>
      </c>
      <c r="D5975" s="5">
        <v>0</v>
      </c>
      <c r="E5975">
        <v>15</v>
      </c>
      <c r="F5975" s="4" t="s">
        <v>29</v>
      </c>
      <c r="G5975" t="s">
        <v>29</v>
      </c>
      <c r="H5975" t="s">
        <v>291</v>
      </c>
    </row>
    <row r="5976" spans="1:8" x14ac:dyDescent="0.25">
      <c r="A5976" t="s">
        <v>1135</v>
      </c>
      <c r="B5976" t="s">
        <v>523</v>
      </c>
      <c r="C5976" s="5">
        <v>4096</v>
      </c>
      <c r="D5976" s="5">
        <v>38</v>
      </c>
      <c r="E5976">
        <v>3401</v>
      </c>
      <c r="F5976" s="4" t="s">
        <v>484</v>
      </c>
      <c r="G5976" t="s">
        <v>29</v>
      </c>
      <c r="H5976" t="s">
        <v>485</v>
      </c>
    </row>
    <row r="5977" spans="1:8" x14ac:dyDescent="0.25">
      <c r="A5977" t="s">
        <v>1135</v>
      </c>
      <c r="B5977" t="s">
        <v>521</v>
      </c>
      <c r="C5977" s="5">
        <v>179371</v>
      </c>
      <c r="D5977" s="5">
        <v>1276</v>
      </c>
      <c r="E5977">
        <v>127712</v>
      </c>
      <c r="F5977" s="4" t="s">
        <v>488</v>
      </c>
      <c r="G5977" t="s">
        <v>29</v>
      </c>
      <c r="H5977" t="s">
        <v>489</v>
      </c>
    </row>
    <row r="5978" spans="1:8" x14ac:dyDescent="0.25">
      <c r="A5978" t="s">
        <v>1135</v>
      </c>
      <c r="B5978" t="s">
        <v>518</v>
      </c>
      <c r="C5978" s="5">
        <v>390394</v>
      </c>
      <c r="D5978" s="5">
        <v>6065</v>
      </c>
      <c r="E5978">
        <v>188704</v>
      </c>
      <c r="F5978" s="4" t="s">
        <v>333</v>
      </c>
      <c r="G5978" t="s">
        <v>29</v>
      </c>
      <c r="H5978" t="s">
        <v>334</v>
      </c>
    </row>
    <row r="5979" spans="1:8" x14ac:dyDescent="0.25">
      <c r="A5979" t="s">
        <v>1135</v>
      </c>
      <c r="B5979" t="s">
        <v>515</v>
      </c>
      <c r="C5979" s="5">
        <v>44684150</v>
      </c>
      <c r="D5979" s="5">
        <v>719601</v>
      </c>
      <c r="E5979">
        <v>3008975</v>
      </c>
      <c r="F5979" s="4" t="s">
        <v>587</v>
      </c>
      <c r="G5979" t="s">
        <v>29</v>
      </c>
      <c r="H5979" t="s">
        <v>588</v>
      </c>
    </row>
    <row r="5980" spans="1:8" x14ac:dyDescent="0.25">
      <c r="A5980" t="s">
        <v>1135</v>
      </c>
      <c r="B5980" t="s">
        <v>512</v>
      </c>
      <c r="C5980" s="5">
        <v>124864</v>
      </c>
      <c r="D5980" s="5">
        <v>3179</v>
      </c>
      <c r="E5980">
        <v>120547</v>
      </c>
      <c r="F5980" s="4" t="s">
        <v>513</v>
      </c>
      <c r="G5980" t="s">
        <v>29</v>
      </c>
      <c r="H5980" t="s">
        <v>514</v>
      </c>
    </row>
    <row r="5981" spans="1:8" x14ac:dyDescent="0.25">
      <c r="A5981" t="s">
        <v>1135</v>
      </c>
      <c r="B5981" t="s">
        <v>509</v>
      </c>
      <c r="C5981" s="5">
        <v>2697176</v>
      </c>
      <c r="D5981" s="5">
        <v>63414</v>
      </c>
      <c r="E5981">
        <v>538649</v>
      </c>
      <c r="F5981" s="4" t="s">
        <v>591</v>
      </c>
      <c r="G5981" t="s">
        <v>29</v>
      </c>
      <c r="H5981" t="s">
        <v>592</v>
      </c>
    </row>
    <row r="5982" spans="1:8" x14ac:dyDescent="0.25">
      <c r="A5982" t="s">
        <v>1135</v>
      </c>
      <c r="B5982" t="s">
        <v>506</v>
      </c>
      <c r="C5982" s="5">
        <v>26034</v>
      </c>
      <c r="D5982" s="5">
        <v>724</v>
      </c>
      <c r="E5982">
        <v>14349</v>
      </c>
      <c r="F5982" s="4" t="s">
        <v>98</v>
      </c>
      <c r="G5982" t="s">
        <v>29</v>
      </c>
      <c r="H5982" t="s">
        <v>99</v>
      </c>
    </row>
    <row r="5983" spans="1:8" x14ac:dyDescent="0.25">
      <c r="A5983" t="s">
        <v>1135</v>
      </c>
      <c r="B5983" t="s">
        <v>503</v>
      </c>
      <c r="C5983" s="5">
        <v>16313</v>
      </c>
      <c r="D5983" s="5">
        <v>846</v>
      </c>
      <c r="E5983">
        <v>5646</v>
      </c>
      <c r="F5983" s="4" t="s">
        <v>1138</v>
      </c>
      <c r="G5983" t="s">
        <v>29</v>
      </c>
      <c r="H5983" t="s">
        <v>1139</v>
      </c>
    </row>
    <row r="5984" spans="1:8" x14ac:dyDescent="0.25">
      <c r="A5984" t="s">
        <v>1135</v>
      </c>
      <c r="B5984" t="s">
        <v>500</v>
      </c>
      <c r="C5984" s="5">
        <v>53216</v>
      </c>
      <c r="D5984" s="5">
        <v>1572</v>
      </c>
      <c r="E5984">
        <v>19002</v>
      </c>
      <c r="F5984" s="4" t="s">
        <v>884</v>
      </c>
      <c r="G5984" t="s">
        <v>29</v>
      </c>
      <c r="H5984" t="s">
        <v>885</v>
      </c>
    </row>
    <row r="5985" spans="1:8" x14ac:dyDescent="0.25">
      <c r="A5985" t="s">
        <v>1135</v>
      </c>
      <c r="B5985" t="s">
        <v>497</v>
      </c>
      <c r="C5985" s="5">
        <v>7540193</v>
      </c>
      <c r="D5985" s="5">
        <v>66841</v>
      </c>
      <c r="E5985">
        <v>2610446</v>
      </c>
      <c r="F5985" s="4" t="s">
        <v>65</v>
      </c>
      <c r="G5985" t="s">
        <v>29</v>
      </c>
      <c r="H5985" t="s">
        <v>66</v>
      </c>
    </row>
    <row r="5986" spans="1:8" x14ac:dyDescent="0.25">
      <c r="A5986" t="s">
        <v>1135</v>
      </c>
      <c r="B5986" t="s">
        <v>493</v>
      </c>
      <c r="C5986" s="5">
        <v>710322</v>
      </c>
      <c r="D5986" s="5">
        <v>25053</v>
      </c>
      <c r="E5986">
        <v>325686</v>
      </c>
      <c r="F5986" s="4" t="s">
        <v>430</v>
      </c>
      <c r="G5986" t="s">
        <v>29</v>
      </c>
      <c r="H5986" t="s">
        <v>431</v>
      </c>
    </row>
    <row r="5987" spans="1:8" x14ac:dyDescent="0.25">
      <c r="A5987" t="s">
        <v>1135</v>
      </c>
      <c r="B5987" t="s">
        <v>490</v>
      </c>
      <c r="C5987" s="5">
        <v>19690</v>
      </c>
      <c r="D5987" s="5">
        <v>119</v>
      </c>
      <c r="E5987">
        <v>14412</v>
      </c>
      <c r="F5987" s="4" t="s">
        <v>300</v>
      </c>
      <c r="G5987" t="s">
        <v>29</v>
      </c>
      <c r="H5987" t="s">
        <v>301</v>
      </c>
    </row>
    <row r="5988" spans="1:8" x14ac:dyDescent="0.25">
      <c r="A5988" t="s">
        <v>1135</v>
      </c>
      <c r="B5988" t="s">
        <v>487</v>
      </c>
      <c r="C5988" s="5">
        <v>17484</v>
      </c>
      <c r="D5988" s="5">
        <v>125</v>
      </c>
      <c r="E5988">
        <v>1450</v>
      </c>
      <c r="F5988" s="4" t="s">
        <v>488</v>
      </c>
      <c r="G5988" t="s">
        <v>29</v>
      </c>
      <c r="H5988" t="s">
        <v>489</v>
      </c>
    </row>
    <row r="5989" spans="1:8" x14ac:dyDescent="0.25">
      <c r="A5989" t="s">
        <v>1135</v>
      </c>
      <c r="B5989" t="s">
        <v>486</v>
      </c>
      <c r="C5989" s="5">
        <v>1740428</v>
      </c>
      <c r="D5989" s="5">
        <v>17917</v>
      </c>
      <c r="E5989">
        <v>524904</v>
      </c>
      <c r="F5989" s="4" t="s">
        <v>687</v>
      </c>
      <c r="G5989" t="s">
        <v>29</v>
      </c>
      <c r="H5989" t="s">
        <v>688</v>
      </c>
    </row>
    <row r="5990" spans="1:8" x14ac:dyDescent="0.25">
      <c r="A5990" t="s">
        <v>1135</v>
      </c>
      <c r="B5990" t="s">
        <v>483</v>
      </c>
      <c r="C5990" s="5">
        <v>25826</v>
      </c>
      <c r="D5990" s="5">
        <v>237</v>
      </c>
      <c r="E5990">
        <v>9773</v>
      </c>
      <c r="F5990" s="4" t="s">
        <v>214</v>
      </c>
      <c r="G5990" t="s">
        <v>29</v>
      </c>
      <c r="H5990" t="s">
        <v>215</v>
      </c>
    </row>
    <row r="5991" spans="1:8" x14ac:dyDescent="0.25">
      <c r="A5991" t="s">
        <v>1135</v>
      </c>
      <c r="B5991" t="s">
        <v>482</v>
      </c>
      <c r="C5991" s="5">
        <v>5063</v>
      </c>
      <c r="D5991" s="5">
        <v>174</v>
      </c>
      <c r="E5991">
        <v>849</v>
      </c>
      <c r="F5991" s="4" t="s">
        <v>802</v>
      </c>
      <c r="G5991" t="s">
        <v>29</v>
      </c>
      <c r="H5991" t="s">
        <v>803</v>
      </c>
    </row>
    <row r="5992" spans="1:8" x14ac:dyDescent="0.25">
      <c r="A5992" t="s">
        <v>1135</v>
      </c>
      <c r="B5992" t="s">
        <v>479</v>
      </c>
      <c r="C5992" s="5">
        <v>46330</v>
      </c>
      <c r="D5992" s="5">
        <v>1231</v>
      </c>
      <c r="E5992">
        <v>206</v>
      </c>
      <c r="F5992" s="4" t="s">
        <v>47</v>
      </c>
      <c r="G5992" t="s">
        <v>29</v>
      </c>
      <c r="H5992" t="s">
        <v>48</v>
      </c>
    </row>
    <row r="5993" spans="1:8" x14ac:dyDescent="0.25">
      <c r="A5993" t="s">
        <v>1135</v>
      </c>
      <c r="B5993" t="s">
        <v>476</v>
      </c>
      <c r="C5993" s="5">
        <v>37794</v>
      </c>
      <c r="D5993" s="5">
        <v>2366</v>
      </c>
      <c r="E5993">
        <v>17239</v>
      </c>
      <c r="F5993" s="4" t="s">
        <v>1140</v>
      </c>
      <c r="G5993" t="s">
        <v>29</v>
      </c>
      <c r="H5993" t="s">
        <v>1141</v>
      </c>
    </row>
    <row r="5994" spans="1:8" x14ac:dyDescent="0.25">
      <c r="A5994" t="s">
        <v>1135</v>
      </c>
      <c r="B5994" t="s">
        <v>473</v>
      </c>
      <c r="C5994" s="5">
        <v>107664</v>
      </c>
      <c r="D5994" s="5">
        <v>3420</v>
      </c>
      <c r="E5994">
        <v>97254</v>
      </c>
      <c r="F5994" s="4" t="s">
        <v>615</v>
      </c>
      <c r="G5994" t="s">
        <v>29</v>
      </c>
      <c r="H5994" t="s">
        <v>616</v>
      </c>
    </row>
    <row r="5995" spans="1:8" x14ac:dyDescent="0.25">
      <c r="A5995" t="s">
        <v>1135</v>
      </c>
      <c r="B5995" t="s">
        <v>471</v>
      </c>
      <c r="C5995" s="5">
        <v>12168</v>
      </c>
      <c r="D5995" s="5">
        <v>130</v>
      </c>
      <c r="E5995">
        <v>7172</v>
      </c>
      <c r="F5995" s="4" t="s">
        <v>654</v>
      </c>
      <c r="G5995" t="s">
        <v>29</v>
      </c>
      <c r="H5995" t="s">
        <v>655</v>
      </c>
    </row>
    <row r="5996" spans="1:8" x14ac:dyDescent="0.25">
      <c r="A5996" t="s">
        <v>1135</v>
      </c>
      <c r="B5996" t="s">
        <v>472</v>
      </c>
      <c r="C5996" s="5">
        <v>3649</v>
      </c>
      <c r="D5996" s="5">
        <v>56</v>
      </c>
      <c r="E5996">
        <v>2410</v>
      </c>
      <c r="F5996" s="4" t="s">
        <v>74</v>
      </c>
      <c r="G5996" t="s">
        <v>29</v>
      </c>
      <c r="H5996" t="s">
        <v>75</v>
      </c>
    </row>
    <row r="5997" spans="1:8" x14ac:dyDescent="0.25">
      <c r="A5997" t="s">
        <v>1135</v>
      </c>
      <c r="B5997" t="s">
        <v>468</v>
      </c>
      <c r="C5997" s="5">
        <v>45592</v>
      </c>
      <c r="D5997" s="5">
        <v>994</v>
      </c>
      <c r="E5997">
        <v>15159</v>
      </c>
      <c r="F5997" s="4" t="s">
        <v>984</v>
      </c>
      <c r="G5997" t="s">
        <v>29</v>
      </c>
      <c r="H5997" t="s">
        <v>985</v>
      </c>
    </row>
    <row r="5998" spans="1:8" x14ac:dyDescent="0.25">
      <c r="A5998" t="s">
        <v>1135</v>
      </c>
      <c r="B5998" t="s">
        <v>465</v>
      </c>
      <c r="C5998" s="5">
        <v>21269</v>
      </c>
      <c r="D5998" s="5">
        <v>1180</v>
      </c>
      <c r="E5998">
        <v>19715</v>
      </c>
      <c r="F5998" s="4" t="s">
        <v>1005</v>
      </c>
      <c r="G5998" t="s">
        <v>29</v>
      </c>
      <c r="H5998" t="s">
        <v>1006</v>
      </c>
    </row>
    <row r="5999" spans="1:8" x14ac:dyDescent="0.25">
      <c r="A5999" t="s">
        <v>1135</v>
      </c>
      <c r="B5999" t="s">
        <v>464</v>
      </c>
      <c r="C5999" s="5">
        <v>73848</v>
      </c>
      <c r="D5999" s="5">
        <v>1869</v>
      </c>
      <c r="E5999">
        <v>33604</v>
      </c>
      <c r="F5999" s="4" t="s">
        <v>611</v>
      </c>
      <c r="G5999" t="s">
        <v>29</v>
      </c>
      <c r="H5999" t="s">
        <v>612</v>
      </c>
    </row>
    <row r="6000" spans="1:8" x14ac:dyDescent="0.25">
      <c r="A6000" t="s">
        <v>1135</v>
      </c>
      <c r="B6000" t="s">
        <v>463</v>
      </c>
      <c r="C6000" s="5">
        <v>5470</v>
      </c>
      <c r="D6000" s="5">
        <v>91</v>
      </c>
      <c r="E6000">
        <v>268</v>
      </c>
      <c r="F6000" s="4" t="s">
        <v>135</v>
      </c>
      <c r="G6000" t="s">
        <v>29</v>
      </c>
      <c r="H6000" t="s">
        <v>136</v>
      </c>
    </row>
    <row r="6001" spans="1:8" x14ac:dyDescent="0.25">
      <c r="A6001" t="s">
        <v>1135</v>
      </c>
      <c r="B6001" t="s">
        <v>460</v>
      </c>
      <c r="C6001" s="5">
        <v>6396</v>
      </c>
      <c r="D6001" s="5">
        <v>121</v>
      </c>
      <c r="E6001">
        <v>3362</v>
      </c>
      <c r="F6001" s="4" t="s">
        <v>461</v>
      </c>
      <c r="G6001" t="s">
        <v>29</v>
      </c>
      <c r="H6001" t="s">
        <v>462</v>
      </c>
    </row>
    <row r="6002" spans="1:8" x14ac:dyDescent="0.25">
      <c r="A6002" t="s">
        <v>1135</v>
      </c>
      <c r="B6002" t="s">
        <v>457</v>
      </c>
      <c r="C6002" s="5">
        <v>429886</v>
      </c>
      <c r="D6002" s="5">
        <v>12772</v>
      </c>
      <c r="E6002">
        <v>205039</v>
      </c>
      <c r="F6002" s="4" t="s">
        <v>689</v>
      </c>
      <c r="G6002" t="s">
        <v>29</v>
      </c>
      <c r="H6002" t="s">
        <v>690</v>
      </c>
    </row>
    <row r="6003" spans="1:8" x14ac:dyDescent="0.25">
      <c r="A6003" t="s">
        <v>1135</v>
      </c>
      <c r="B6003" t="s">
        <v>456</v>
      </c>
      <c r="C6003" s="5">
        <v>303882</v>
      </c>
      <c r="D6003" s="5">
        <v>4623</v>
      </c>
      <c r="E6003">
        <v>167749</v>
      </c>
      <c r="F6003" s="4" t="s">
        <v>589</v>
      </c>
      <c r="G6003" t="s">
        <v>29</v>
      </c>
      <c r="H6003" t="s">
        <v>590</v>
      </c>
    </row>
    <row r="6004" spans="1:8" x14ac:dyDescent="0.25">
      <c r="A6004" t="s">
        <v>1135</v>
      </c>
      <c r="B6004" t="s">
        <v>453</v>
      </c>
      <c r="C6004" s="5">
        <v>135395</v>
      </c>
      <c r="D6004" s="5">
        <v>192</v>
      </c>
      <c r="E6004">
        <v>110554</v>
      </c>
      <c r="F6004" s="4" t="s">
        <v>821</v>
      </c>
      <c r="G6004" t="s">
        <v>29</v>
      </c>
      <c r="H6004" t="s">
        <v>822</v>
      </c>
    </row>
    <row r="6005" spans="1:8" x14ac:dyDescent="0.25">
      <c r="A6005" t="s">
        <v>1135</v>
      </c>
      <c r="B6005" t="s">
        <v>452</v>
      </c>
      <c r="C6005" s="5">
        <v>1160465</v>
      </c>
      <c r="D6005" s="5">
        <v>14922</v>
      </c>
      <c r="E6005">
        <v>42519</v>
      </c>
      <c r="F6005" s="4" t="s">
        <v>417</v>
      </c>
      <c r="G6005" t="s">
        <v>29</v>
      </c>
      <c r="H6005" t="s">
        <v>418</v>
      </c>
    </row>
    <row r="6006" spans="1:8" x14ac:dyDescent="0.25">
      <c r="A6006" t="s">
        <v>1135</v>
      </c>
      <c r="B6006" t="s">
        <v>449</v>
      </c>
      <c r="C6006" s="5">
        <v>39119</v>
      </c>
      <c r="D6006" s="5">
        <v>2976</v>
      </c>
      <c r="E6006">
        <v>3777</v>
      </c>
      <c r="F6006" s="4" t="s">
        <v>1142</v>
      </c>
      <c r="G6006" t="s">
        <v>29</v>
      </c>
      <c r="H6006" t="s">
        <v>1143</v>
      </c>
    </row>
    <row r="6007" spans="1:8" x14ac:dyDescent="0.25">
      <c r="A6007" t="s">
        <v>1135</v>
      </c>
      <c r="B6007" t="s">
        <v>446</v>
      </c>
      <c r="C6007" s="5">
        <v>21826</v>
      </c>
      <c r="D6007" s="5">
        <v>118</v>
      </c>
      <c r="E6007">
        <v>21628</v>
      </c>
      <c r="F6007" s="4" t="s">
        <v>919</v>
      </c>
      <c r="G6007" t="s">
        <v>29</v>
      </c>
      <c r="H6007" t="s">
        <v>920</v>
      </c>
    </row>
    <row r="6008" spans="1:8" x14ac:dyDescent="0.25">
      <c r="A6008" t="s">
        <v>1135</v>
      </c>
      <c r="B6008" t="s">
        <v>445</v>
      </c>
      <c r="C6008" s="5">
        <v>20</v>
      </c>
      <c r="D6008" s="5">
        <v>0</v>
      </c>
      <c r="E6008">
        <v>14</v>
      </c>
      <c r="F6008" s="4" t="s">
        <v>29</v>
      </c>
      <c r="G6008" t="s">
        <v>29</v>
      </c>
      <c r="H6008" t="s">
        <v>291</v>
      </c>
    </row>
    <row r="6009" spans="1:8" x14ac:dyDescent="0.25">
      <c r="A6009" t="s">
        <v>1135</v>
      </c>
      <c r="B6009" t="s">
        <v>444</v>
      </c>
      <c r="C6009" s="5">
        <v>547761</v>
      </c>
      <c r="D6009" s="5">
        <v>8753</v>
      </c>
      <c r="E6009">
        <v>112436</v>
      </c>
      <c r="F6009" s="4" t="s">
        <v>313</v>
      </c>
      <c r="G6009" t="s">
        <v>29</v>
      </c>
      <c r="H6009" t="s">
        <v>314</v>
      </c>
    </row>
    <row r="6010" spans="1:8" x14ac:dyDescent="0.25">
      <c r="A6010" t="s">
        <v>1135</v>
      </c>
      <c r="B6010" t="s">
        <v>443</v>
      </c>
      <c r="C6010" s="5">
        <v>98926</v>
      </c>
      <c r="D6010" s="5">
        <v>1312</v>
      </c>
      <c r="E6010">
        <v>18802</v>
      </c>
      <c r="F6010" s="4" t="s">
        <v>59</v>
      </c>
      <c r="G6010" t="s">
        <v>29</v>
      </c>
      <c r="H6010" t="s">
        <v>60</v>
      </c>
    </row>
    <row r="6011" spans="1:8" x14ac:dyDescent="0.25">
      <c r="A6011" t="s">
        <v>1135</v>
      </c>
      <c r="B6011" t="s">
        <v>440</v>
      </c>
      <c r="C6011" s="5">
        <v>7742899</v>
      </c>
      <c r="D6011" s="5">
        <v>215438</v>
      </c>
      <c r="E6011">
        <v>5364218</v>
      </c>
      <c r="F6011" s="4" t="s">
        <v>98</v>
      </c>
      <c r="G6011" t="s">
        <v>29</v>
      </c>
      <c r="H6011" t="s">
        <v>99</v>
      </c>
    </row>
    <row r="6012" spans="1:8" x14ac:dyDescent="0.25">
      <c r="A6012" t="s">
        <v>1135</v>
      </c>
      <c r="B6012" t="s">
        <v>439</v>
      </c>
      <c r="C6012" s="5">
        <v>1024497</v>
      </c>
      <c r="D6012" s="5">
        <v>8892</v>
      </c>
      <c r="E6012">
        <v>291398</v>
      </c>
      <c r="F6012" s="4" t="s">
        <v>498</v>
      </c>
      <c r="G6012" t="s">
        <v>29</v>
      </c>
      <c r="H6012" t="s">
        <v>499</v>
      </c>
    </row>
    <row r="6013" spans="1:8" x14ac:dyDescent="0.25">
      <c r="A6013" t="s">
        <v>1135</v>
      </c>
      <c r="B6013" t="s">
        <v>436</v>
      </c>
      <c r="C6013" s="5">
        <v>1398264</v>
      </c>
      <c r="D6013" s="5">
        <v>40461</v>
      </c>
      <c r="E6013">
        <v>1176413</v>
      </c>
      <c r="F6013" s="4" t="s">
        <v>995</v>
      </c>
      <c r="G6013" t="s">
        <v>29</v>
      </c>
      <c r="H6013" t="s">
        <v>996</v>
      </c>
    </row>
    <row r="6014" spans="1:8" x14ac:dyDescent="0.25">
      <c r="A6014" t="s">
        <v>1135</v>
      </c>
      <c r="B6014" t="s">
        <v>435</v>
      </c>
      <c r="C6014" s="5">
        <v>54024</v>
      </c>
      <c r="D6014" s="5">
        <v>370</v>
      </c>
      <c r="E6014">
        <v>19046</v>
      </c>
      <c r="F6014" s="4" t="s">
        <v>605</v>
      </c>
      <c r="G6014" t="s">
        <v>29</v>
      </c>
      <c r="H6014" t="s">
        <v>606</v>
      </c>
    </row>
    <row r="6015" spans="1:8" x14ac:dyDescent="0.25">
      <c r="A6015" t="s">
        <v>1135</v>
      </c>
      <c r="B6015" t="s">
        <v>432</v>
      </c>
      <c r="C6015" s="5">
        <v>237662</v>
      </c>
      <c r="D6015" s="5">
        <v>607</v>
      </c>
      <c r="E6015">
        <v>231906</v>
      </c>
      <c r="F6015" s="4" t="s">
        <v>794</v>
      </c>
      <c r="G6015" t="s">
        <v>29</v>
      </c>
      <c r="H6015" t="s">
        <v>795</v>
      </c>
    </row>
    <row r="6016" spans="1:8" x14ac:dyDescent="0.25">
      <c r="A6016" t="s">
        <v>1135</v>
      </c>
      <c r="B6016" t="s">
        <v>429</v>
      </c>
      <c r="C6016" s="5">
        <v>460277</v>
      </c>
      <c r="D6016" s="5">
        <v>16207</v>
      </c>
      <c r="E6016">
        <v>347746</v>
      </c>
      <c r="F6016" s="4" t="s">
        <v>353</v>
      </c>
      <c r="G6016" t="s">
        <v>29</v>
      </c>
      <c r="H6016" t="s">
        <v>354</v>
      </c>
    </row>
    <row r="6017" spans="1:8" x14ac:dyDescent="0.25">
      <c r="A6017" t="s">
        <v>1135</v>
      </c>
      <c r="B6017" t="s">
        <v>428</v>
      </c>
      <c r="C6017" s="5">
        <v>5</v>
      </c>
      <c r="D6017" s="5">
        <v>0</v>
      </c>
      <c r="E6017">
        <v>3</v>
      </c>
      <c r="F6017" s="4" t="s">
        <v>29</v>
      </c>
      <c r="G6017" t="s">
        <v>29</v>
      </c>
      <c r="H6017" t="s">
        <v>291</v>
      </c>
    </row>
    <row r="6018" spans="1:8" x14ac:dyDescent="0.25">
      <c r="A6018" t="s">
        <v>1135</v>
      </c>
      <c r="B6018" t="s">
        <v>427</v>
      </c>
      <c r="C6018" s="5">
        <v>1077186</v>
      </c>
      <c r="D6018" s="5">
        <v>18065</v>
      </c>
      <c r="E6018">
        <v>620929</v>
      </c>
      <c r="F6018" s="4" t="s">
        <v>116</v>
      </c>
      <c r="G6018" t="s">
        <v>29</v>
      </c>
      <c r="H6018" t="s">
        <v>117</v>
      </c>
    </row>
    <row r="6019" spans="1:8" x14ac:dyDescent="0.25">
      <c r="A6019" t="s">
        <v>1135</v>
      </c>
      <c r="B6019" t="s">
        <v>426</v>
      </c>
      <c r="C6019" s="5">
        <v>445538</v>
      </c>
      <c r="D6019" s="5">
        <v>4532</v>
      </c>
      <c r="E6019">
        <v>177225</v>
      </c>
      <c r="F6019" s="4" t="s">
        <v>326</v>
      </c>
      <c r="G6019" t="s">
        <v>29</v>
      </c>
      <c r="H6019" t="s">
        <v>327</v>
      </c>
    </row>
    <row r="6020" spans="1:8" x14ac:dyDescent="0.25">
      <c r="A6020" t="s">
        <v>1135</v>
      </c>
      <c r="B6020" t="s">
        <v>423</v>
      </c>
      <c r="C6020" s="5">
        <v>2928065</v>
      </c>
      <c r="D6020" s="5">
        <v>75958</v>
      </c>
      <c r="E6020">
        <v>2605494</v>
      </c>
      <c r="F6020" s="4" t="s">
        <v>719</v>
      </c>
      <c r="G6020" t="s">
        <v>29</v>
      </c>
      <c r="H6020" t="s">
        <v>720</v>
      </c>
    </row>
    <row r="6021" spans="1:8" x14ac:dyDescent="0.25">
      <c r="A6021" t="s">
        <v>1135</v>
      </c>
      <c r="B6021" t="s">
        <v>419</v>
      </c>
      <c r="C6021" s="5">
        <v>2690455</v>
      </c>
      <c r="D6021" s="5">
        <v>40069</v>
      </c>
      <c r="E6021">
        <v>2423294</v>
      </c>
      <c r="F6021" s="4" t="s">
        <v>800</v>
      </c>
      <c r="G6021" t="s">
        <v>29</v>
      </c>
      <c r="H6021" t="s">
        <v>801</v>
      </c>
    </row>
    <row r="6022" spans="1:8" x14ac:dyDescent="0.25">
      <c r="A6022" t="s">
        <v>1135</v>
      </c>
      <c r="B6022" t="s">
        <v>420</v>
      </c>
      <c r="C6022" s="5">
        <v>1261685</v>
      </c>
      <c r="D6022" s="5">
        <v>28201</v>
      </c>
      <c r="E6022">
        <v>101685</v>
      </c>
      <c r="F6022" s="4" t="s">
        <v>603</v>
      </c>
      <c r="G6022" t="s">
        <v>29</v>
      </c>
      <c r="H6022" t="s">
        <v>604</v>
      </c>
    </row>
    <row r="6023" spans="1:8" x14ac:dyDescent="0.25">
      <c r="A6023" t="s">
        <v>1135</v>
      </c>
      <c r="B6023" t="s">
        <v>416</v>
      </c>
      <c r="C6023" s="5">
        <v>23629</v>
      </c>
      <c r="D6023" s="5">
        <v>262</v>
      </c>
      <c r="E6023">
        <v>19071</v>
      </c>
      <c r="F6023" s="4" t="s">
        <v>1098</v>
      </c>
      <c r="G6023" t="s">
        <v>29</v>
      </c>
      <c r="H6023" t="s">
        <v>1099</v>
      </c>
    </row>
    <row r="6024" spans="1:8" x14ac:dyDescent="0.25">
      <c r="A6024" t="s">
        <v>1135</v>
      </c>
      <c r="B6024" t="s">
        <v>415</v>
      </c>
      <c r="C6024" s="5">
        <v>45359</v>
      </c>
      <c r="D6024" s="5">
        <v>631</v>
      </c>
      <c r="E6024">
        <v>41392</v>
      </c>
      <c r="F6024" s="4" t="s">
        <v>208</v>
      </c>
      <c r="G6024" t="s">
        <v>29</v>
      </c>
      <c r="H6024" t="s">
        <v>209</v>
      </c>
    </row>
    <row r="6025" spans="1:8" x14ac:dyDescent="0.25">
      <c r="A6025" t="s">
        <v>1135</v>
      </c>
      <c r="B6025" t="s">
        <v>412</v>
      </c>
      <c r="C6025" s="5">
        <v>2186246</v>
      </c>
      <c r="D6025" s="5">
        <v>199746</v>
      </c>
      <c r="E6025">
        <v>375612</v>
      </c>
      <c r="F6025" s="4" t="s">
        <v>1144</v>
      </c>
      <c r="G6025" t="s">
        <v>29</v>
      </c>
      <c r="H6025" t="s">
        <v>1145</v>
      </c>
    </row>
    <row r="6026" spans="1:8" x14ac:dyDescent="0.25">
      <c r="A6026" t="s">
        <v>1135</v>
      </c>
      <c r="B6026" t="s">
        <v>411</v>
      </c>
      <c r="C6026" s="5">
        <v>469569</v>
      </c>
      <c r="D6026" s="5">
        <v>7275</v>
      </c>
      <c r="E6026">
        <v>223554</v>
      </c>
      <c r="F6026" s="4" t="s">
        <v>333</v>
      </c>
      <c r="G6026" t="s">
        <v>29</v>
      </c>
      <c r="H6026" t="s">
        <v>334</v>
      </c>
    </row>
    <row r="6027" spans="1:8" x14ac:dyDescent="0.25">
      <c r="A6027" t="s">
        <v>1135</v>
      </c>
      <c r="B6027" t="s">
        <v>408</v>
      </c>
      <c r="C6027" s="5">
        <v>304013</v>
      </c>
      <c r="D6027" s="5">
        <v>4103</v>
      </c>
      <c r="E6027">
        <v>77415</v>
      </c>
      <c r="F6027" s="4" t="s">
        <v>409</v>
      </c>
      <c r="G6027" t="s">
        <v>29</v>
      </c>
      <c r="H6027" t="s">
        <v>410</v>
      </c>
    </row>
    <row r="6028" spans="1:8" x14ac:dyDescent="0.25">
      <c r="A6028" t="s">
        <v>1135</v>
      </c>
      <c r="B6028" t="s">
        <v>405</v>
      </c>
      <c r="C6028" s="5">
        <v>4832</v>
      </c>
      <c r="D6028" s="5">
        <v>28</v>
      </c>
      <c r="E6028">
        <v>3513</v>
      </c>
      <c r="F6028" s="4" t="s">
        <v>1146</v>
      </c>
      <c r="G6028" t="s">
        <v>29</v>
      </c>
      <c r="H6028" t="s">
        <v>1147</v>
      </c>
    </row>
    <row r="6029" spans="1:8" x14ac:dyDescent="0.25">
      <c r="A6029" t="s">
        <v>1135</v>
      </c>
      <c r="B6029" t="s">
        <v>402</v>
      </c>
      <c r="C6029" s="5">
        <v>803878</v>
      </c>
      <c r="D6029" s="5">
        <v>11261</v>
      </c>
      <c r="E6029">
        <v>181707</v>
      </c>
      <c r="F6029" s="4" t="s">
        <v>403</v>
      </c>
      <c r="G6029" t="s">
        <v>29</v>
      </c>
      <c r="H6029" t="s">
        <v>404</v>
      </c>
    </row>
    <row r="6030" spans="1:8" x14ac:dyDescent="0.25">
      <c r="A6030" t="s">
        <v>1135</v>
      </c>
      <c r="B6030" t="s">
        <v>399</v>
      </c>
      <c r="C6030" s="5">
        <v>195029</v>
      </c>
      <c r="D6030" s="5">
        <v>884</v>
      </c>
      <c r="E6030">
        <v>96980</v>
      </c>
      <c r="F6030" s="4" t="s">
        <v>888</v>
      </c>
      <c r="G6030" t="s">
        <v>29</v>
      </c>
      <c r="H6030" t="s">
        <v>889</v>
      </c>
    </row>
    <row r="6031" spans="1:8" x14ac:dyDescent="0.25">
      <c r="A6031" t="s">
        <v>1135</v>
      </c>
      <c r="B6031" t="s">
        <v>396</v>
      </c>
      <c r="C6031" s="5">
        <v>2072255</v>
      </c>
      <c r="D6031" s="5">
        <v>18656</v>
      </c>
      <c r="E6031">
        <v>1171883</v>
      </c>
      <c r="F6031" s="4" t="s">
        <v>667</v>
      </c>
      <c r="G6031" t="s">
        <v>29</v>
      </c>
      <c r="H6031" t="s">
        <v>668</v>
      </c>
    </row>
    <row r="6032" spans="1:8" x14ac:dyDescent="0.25">
      <c r="A6032" t="s">
        <v>1135</v>
      </c>
      <c r="B6032" t="s">
        <v>393</v>
      </c>
      <c r="C6032" s="5">
        <v>15737</v>
      </c>
      <c r="D6032" s="5">
        <v>206</v>
      </c>
      <c r="E6032">
        <v>9726</v>
      </c>
      <c r="F6032" s="4" t="s">
        <v>708</v>
      </c>
      <c r="G6032" t="s">
        <v>29</v>
      </c>
      <c r="H6032" t="s">
        <v>709</v>
      </c>
    </row>
    <row r="6033" spans="1:8" x14ac:dyDescent="0.25">
      <c r="A6033" t="s">
        <v>1135</v>
      </c>
      <c r="B6033" t="s">
        <v>390</v>
      </c>
      <c r="C6033" s="5">
        <v>208404</v>
      </c>
      <c r="D6033" s="5">
        <v>2761</v>
      </c>
      <c r="E6033">
        <v>155251</v>
      </c>
      <c r="F6033" s="4" t="s">
        <v>307</v>
      </c>
      <c r="G6033" t="s">
        <v>29</v>
      </c>
      <c r="H6033" t="s">
        <v>308</v>
      </c>
    </row>
    <row r="6034" spans="1:8" x14ac:dyDescent="0.25">
      <c r="A6034" t="s">
        <v>1135</v>
      </c>
      <c r="B6034" t="s">
        <v>387</v>
      </c>
      <c r="C6034" s="5">
        <v>6139</v>
      </c>
      <c r="D6034" s="5">
        <v>204</v>
      </c>
      <c r="E6034">
        <v>4405</v>
      </c>
      <c r="F6034" s="4" t="s">
        <v>965</v>
      </c>
      <c r="G6034" t="s">
        <v>29</v>
      </c>
      <c r="H6034" t="s">
        <v>966</v>
      </c>
    </row>
    <row r="6035" spans="1:8" x14ac:dyDescent="0.25">
      <c r="A6035" t="s">
        <v>1135</v>
      </c>
      <c r="B6035" t="s">
        <v>386</v>
      </c>
      <c r="C6035" s="5">
        <v>9665</v>
      </c>
      <c r="D6035" s="5">
        <v>225</v>
      </c>
      <c r="E6035">
        <v>8148</v>
      </c>
      <c r="F6035" s="4" t="s">
        <v>581</v>
      </c>
      <c r="G6035" t="s">
        <v>29</v>
      </c>
      <c r="H6035" t="s">
        <v>582</v>
      </c>
    </row>
    <row r="6036" spans="1:8" x14ac:dyDescent="0.25">
      <c r="A6036" t="s">
        <v>1135</v>
      </c>
      <c r="B6036" t="s">
        <v>383</v>
      </c>
      <c r="C6036" s="5">
        <v>128187</v>
      </c>
      <c r="D6036" s="5">
        <v>3529</v>
      </c>
      <c r="E6036">
        <v>58426</v>
      </c>
      <c r="F6036" s="4" t="s">
        <v>276</v>
      </c>
      <c r="G6036" t="s">
        <v>29</v>
      </c>
      <c r="H6036" t="s">
        <v>277</v>
      </c>
    </row>
    <row r="6037" spans="1:8" x14ac:dyDescent="0.25">
      <c r="A6037" t="s">
        <v>1135</v>
      </c>
      <c r="B6037" t="s">
        <v>380</v>
      </c>
      <c r="C6037" s="5">
        <v>151046</v>
      </c>
      <c r="D6037" s="5">
        <v>1924</v>
      </c>
      <c r="E6037">
        <v>78117</v>
      </c>
      <c r="F6037" s="4" t="s">
        <v>53</v>
      </c>
      <c r="G6037" t="s">
        <v>29</v>
      </c>
      <c r="H6037" t="s">
        <v>54</v>
      </c>
    </row>
    <row r="6038" spans="1:8" x14ac:dyDescent="0.25">
      <c r="A6038" t="s">
        <v>1135</v>
      </c>
      <c r="B6038" t="s">
        <v>377</v>
      </c>
      <c r="C6038" s="5">
        <v>2361529</v>
      </c>
      <c r="D6038" s="5">
        <v>27593</v>
      </c>
      <c r="E6038">
        <v>1566471</v>
      </c>
      <c r="F6038" s="4" t="s">
        <v>378</v>
      </c>
      <c r="G6038" t="s">
        <v>29</v>
      </c>
      <c r="H6038" t="s">
        <v>379</v>
      </c>
    </row>
    <row r="6039" spans="1:8" x14ac:dyDescent="0.25">
      <c r="A6039" t="s">
        <v>1135</v>
      </c>
      <c r="B6039" t="s">
        <v>374</v>
      </c>
      <c r="C6039" s="5">
        <v>3738749</v>
      </c>
      <c r="D6039" s="5">
        <v>283193</v>
      </c>
      <c r="E6039">
        <v>1740126</v>
      </c>
      <c r="F6039" s="4" t="s">
        <v>375</v>
      </c>
      <c r="G6039" t="s">
        <v>29</v>
      </c>
      <c r="H6039" t="s">
        <v>376</v>
      </c>
    </row>
    <row r="6040" spans="1:8" x14ac:dyDescent="0.25">
      <c r="A6040" t="s">
        <v>1135</v>
      </c>
      <c r="B6040" t="s">
        <v>371</v>
      </c>
      <c r="C6040" s="5">
        <v>61699</v>
      </c>
      <c r="D6040" s="5">
        <v>2292</v>
      </c>
      <c r="E6040">
        <v>36626</v>
      </c>
      <c r="F6040" s="4" t="s">
        <v>593</v>
      </c>
      <c r="G6040" t="s">
        <v>29</v>
      </c>
      <c r="H6040" t="s">
        <v>594</v>
      </c>
    </row>
    <row r="6041" spans="1:8" x14ac:dyDescent="0.25">
      <c r="A6041" t="s">
        <v>1135</v>
      </c>
      <c r="B6041" t="s">
        <v>368</v>
      </c>
      <c r="C6041" s="5">
        <v>85838</v>
      </c>
      <c r="D6041" s="5">
        <v>237</v>
      </c>
      <c r="E6041">
        <v>44764</v>
      </c>
      <c r="F6041" s="4" t="s">
        <v>369</v>
      </c>
      <c r="G6041" t="s">
        <v>29</v>
      </c>
      <c r="H6041" t="s">
        <v>370</v>
      </c>
    </row>
    <row r="6042" spans="1:8" x14ac:dyDescent="0.25">
      <c r="A6042" t="s">
        <v>1135</v>
      </c>
      <c r="B6042" t="s">
        <v>367</v>
      </c>
      <c r="C6042" s="5">
        <v>16472</v>
      </c>
      <c r="D6042" s="5">
        <v>123</v>
      </c>
      <c r="E6042">
        <v>6082</v>
      </c>
      <c r="F6042" s="4" t="s">
        <v>1127</v>
      </c>
      <c r="G6042" t="s">
        <v>29</v>
      </c>
      <c r="H6042" t="s">
        <v>1128</v>
      </c>
    </row>
    <row r="6043" spans="1:8" x14ac:dyDescent="0.25">
      <c r="A6043" t="s">
        <v>1135</v>
      </c>
      <c r="B6043" t="s">
        <v>364</v>
      </c>
      <c r="C6043" s="5">
        <v>37393</v>
      </c>
      <c r="D6043" s="5">
        <v>459</v>
      </c>
      <c r="E6043">
        <v>5157</v>
      </c>
      <c r="F6043" s="4" t="s">
        <v>798</v>
      </c>
      <c r="G6043" t="s">
        <v>29</v>
      </c>
      <c r="H6043" t="s">
        <v>799</v>
      </c>
    </row>
    <row r="6044" spans="1:8" x14ac:dyDescent="0.25">
      <c r="A6044" t="s">
        <v>1135</v>
      </c>
      <c r="B6044" t="s">
        <v>363</v>
      </c>
      <c r="C6044" s="5">
        <v>36509</v>
      </c>
      <c r="D6044" s="5">
        <v>785</v>
      </c>
      <c r="E6044">
        <v>14673</v>
      </c>
      <c r="F6044" s="4" t="s">
        <v>852</v>
      </c>
      <c r="G6044" t="s">
        <v>29</v>
      </c>
      <c r="H6044" t="s">
        <v>853</v>
      </c>
    </row>
    <row r="6045" spans="1:8" x14ac:dyDescent="0.25">
      <c r="A6045" t="s">
        <v>1135</v>
      </c>
      <c r="B6045" t="s">
        <v>360</v>
      </c>
      <c r="C6045" s="5">
        <v>42183</v>
      </c>
      <c r="D6045" s="5">
        <v>656</v>
      </c>
      <c r="E6045">
        <v>34797</v>
      </c>
      <c r="F6045" s="4" t="s">
        <v>41</v>
      </c>
      <c r="G6045" t="s">
        <v>29</v>
      </c>
      <c r="H6045" t="s">
        <v>42</v>
      </c>
    </row>
    <row r="6046" spans="1:8" x14ac:dyDescent="0.25">
      <c r="A6046" t="s">
        <v>1135</v>
      </c>
      <c r="B6046" t="s">
        <v>359</v>
      </c>
      <c r="C6046" s="5">
        <v>77</v>
      </c>
      <c r="D6046" s="5">
        <v>0</v>
      </c>
      <c r="E6046">
        <v>1</v>
      </c>
      <c r="F6046" s="4" t="s">
        <v>29</v>
      </c>
      <c r="G6046" t="s">
        <v>29</v>
      </c>
      <c r="H6046" t="s">
        <v>291</v>
      </c>
    </row>
    <row r="6047" spans="1:8" x14ac:dyDescent="0.25">
      <c r="A6047" t="s">
        <v>1135</v>
      </c>
      <c r="B6047" t="s">
        <v>358</v>
      </c>
      <c r="C6047" s="5">
        <v>332789</v>
      </c>
      <c r="D6047" s="5">
        <v>1497</v>
      </c>
      <c r="E6047">
        <v>195546</v>
      </c>
      <c r="F6047" s="4" t="s">
        <v>888</v>
      </c>
      <c r="G6047" t="s">
        <v>29</v>
      </c>
      <c r="H6047" t="s">
        <v>889</v>
      </c>
    </row>
    <row r="6048" spans="1:8" x14ac:dyDescent="0.25">
      <c r="A6048" t="s">
        <v>1135</v>
      </c>
      <c r="B6048" t="s">
        <v>355</v>
      </c>
      <c r="C6048" s="5">
        <v>482803</v>
      </c>
      <c r="D6048" s="5">
        <v>18222</v>
      </c>
      <c r="E6048">
        <v>400413</v>
      </c>
      <c r="F6048" s="4" t="s">
        <v>1120</v>
      </c>
      <c r="G6048" t="s">
        <v>29</v>
      </c>
      <c r="H6048" t="s">
        <v>1121</v>
      </c>
    </row>
    <row r="6049" spans="1:8" x14ac:dyDescent="0.25">
      <c r="A6049" t="s">
        <v>1135</v>
      </c>
      <c r="B6049" t="s">
        <v>352</v>
      </c>
      <c r="C6049" s="5">
        <v>15536</v>
      </c>
      <c r="D6049" s="5">
        <v>555</v>
      </c>
      <c r="E6049">
        <v>774</v>
      </c>
      <c r="F6049" s="4" t="s">
        <v>909</v>
      </c>
      <c r="G6049" t="s">
        <v>29</v>
      </c>
      <c r="H6049" t="s">
        <v>910</v>
      </c>
    </row>
    <row r="6050" spans="1:8" x14ac:dyDescent="0.25">
      <c r="A6050" t="s">
        <v>1135</v>
      </c>
      <c r="B6050" t="s">
        <v>349</v>
      </c>
      <c r="C6050" s="5">
        <v>195542</v>
      </c>
      <c r="D6050" s="5">
        <v>6875</v>
      </c>
      <c r="E6050">
        <v>177483</v>
      </c>
      <c r="F6050" s="4" t="s">
        <v>353</v>
      </c>
      <c r="G6050" t="s">
        <v>29</v>
      </c>
      <c r="H6050" t="s">
        <v>354</v>
      </c>
    </row>
    <row r="6051" spans="1:8" x14ac:dyDescent="0.25">
      <c r="A6051" t="s">
        <v>1135</v>
      </c>
      <c r="B6051" t="s">
        <v>348</v>
      </c>
      <c r="C6051" s="5">
        <v>4</v>
      </c>
      <c r="D6051" s="5">
        <v>0</v>
      </c>
      <c r="E6051">
        <v>3</v>
      </c>
      <c r="F6051" s="4" t="s">
        <v>29</v>
      </c>
      <c r="G6051" t="s">
        <v>29</v>
      </c>
      <c r="H6051" t="s">
        <v>291</v>
      </c>
    </row>
    <row r="6052" spans="1:8" x14ac:dyDescent="0.25">
      <c r="A6052" t="s">
        <v>1135</v>
      </c>
      <c r="B6052" t="s">
        <v>347</v>
      </c>
      <c r="C6052" s="5">
        <v>43610</v>
      </c>
      <c r="D6052" s="5">
        <v>960</v>
      </c>
      <c r="E6052">
        <v>38586</v>
      </c>
      <c r="F6052" s="4" t="s">
        <v>969</v>
      </c>
      <c r="G6052" t="s">
        <v>29</v>
      </c>
      <c r="H6052" t="s">
        <v>970</v>
      </c>
    </row>
    <row r="6053" spans="1:8" x14ac:dyDescent="0.25">
      <c r="A6053" t="s">
        <v>1135</v>
      </c>
      <c r="B6053" t="s">
        <v>344</v>
      </c>
      <c r="C6053" s="5">
        <v>3878</v>
      </c>
      <c r="D6053" s="5">
        <v>55</v>
      </c>
      <c r="E6053">
        <v>1883</v>
      </c>
      <c r="F6053" s="4" t="s">
        <v>640</v>
      </c>
      <c r="G6053" t="s">
        <v>29</v>
      </c>
      <c r="H6053" t="s">
        <v>641</v>
      </c>
    </row>
    <row r="6054" spans="1:8" x14ac:dyDescent="0.25">
      <c r="A6054" t="s">
        <v>1135</v>
      </c>
      <c r="B6054" t="s">
        <v>341</v>
      </c>
      <c r="C6054" s="5">
        <v>136322</v>
      </c>
      <c r="D6054" s="5">
        <v>2005</v>
      </c>
      <c r="E6054">
        <v>26624</v>
      </c>
      <c r="F6054" s="4" t="s">
        <v>777</v>
      </c>
      <c r="G6054" t="s">
        <v>29</v>
      </c>
      <c r="H6054" t="s">
        <v>778</v>
      </c>
    </row>
    <row r="6055" spans="1:8" x14ac:dyDescent="0.25">
      <c r="A6055" t="s">
        <v>1135</v>
      </c>
      <c r="B6055" t="s">
        <v>338</v>
      </c>
      <c r="C6055" s="5">
        <v>310776</v>
      </c>
      <c r="D6055" s="5">
        <v>7105</v>
      </c>
      <c r="E6055">
        <v>283355</v>
      </c>
      <c r="F6055" s="4" t="s">
        <v>528</v>
      </c>
      <c r="G6055" t="s">
        <v>29</v>
      </c>
      <c r="H6055" t="s">
        <v>529</v>
      </c>
    </row>
    <row r="6056" spans="1:8" x14ac:dyDescent="0.25">
      <c r="A6056" t="s">
        <v>1135</v>
      </c>
      <c r="B6056" t="s">
        <v>335</v>
      </c>
      <c r="C6056" s="5">
        <v>3337</v>
      </c>
      <c r="D6056" s="5">
        <v>35</v>
      </c>
      <c r="E6056">
        <v>437</v>
      </c>
      <c r="F6056" s="4" t="s">
        <v>642</v>
      </c>
      <c r="G6056" t="s">
        <v>29</v>
      </c>
      <c r="H6056" t="s">
        <v>643</v>
      </c>
    </row>
    <row r="6057" spans="1:8" x14ac:dyDescent="0.25">
      <c r="A6057" t="s">
        <v>1135</v>
      </c>
      <c r="B6057" t="s">
        <v>332</v>
      </c>
      <c r="C6057" s="5">
        <v>940503</v>
      </c>
      <c r="D6057" s="5">
        <v>14500</v>
      </c>
      <c r="E6057">
        <v>575052</v>
      </c>
      <c r="F6057" s="4" t="s">
        <v>519</v>
      </c>
      <c r="G6057" t="s">
        <v>29</v>
      </c>
      <c r="H6057" t="s">
        <v>520</v>
      </c>
    </row>
    <row r="6058" spans="1:8" x14ac:dyDescent="0.25">
      <c r="A6058" t="s">
        <v>1135</v>
      </c>
      <c r="B6058" t="s">
        <v>329</v>
      </c>
      <c r="C6058" s="5">
        <v>348088</v>
      </c>
      <c r="D6058" s="5">
        <v>4832</v>
      </c>
      <c r="E6058">
        <v>284922</v>
      </c>
      <c r="F6058" s="4" t="s">
        <v>208</v>
      </c>
      <c r="G6058" t="s">
        <v>29</v>
      </c>
      <c r="H6058" t="s">
        <v>209</v>
      </c>
    </row>
    <row r="6059" spans="1:8" x14ac:dyDescent="0.25">
      <c r="A6059" t="s">
        <v>1135</v>
      </c>
      <c r="B6059" t="s">
        <v>328</v>
      </c>
      <c r="C6059" s="5">
        <v>175890</v>
      </c>
      <c r="D6059" s="5">
        <v>2836</v>
      </c>
      <c r="E6059">
        <v>85250</v>
      </c>
      <c r="F6059" s="4" t="s">
        <v>587</v>
      </c>
      <c r="G6059" t="s">
        <v>29</v>
      </c>
      <c r="H6059" t="s">
        <v>588</v>
      </c>
    </row>
    <row r="6060" spans="1:8" x14ac:dyDescent="0.25">
      <c r="A6060" t="s">
        <v>1135</v>
      </c>
      <c r="B6060" t="s">
        <v>325</v>
      </c>
      <c r="C6060" s="5">
        <v>79463</v>
      </c>
      <c r="D6060" s="5">
        <v>838</v>
      </c>
      <c r="E6060">
        <v>3048</v>
      </c>
      <c r="F6060" s="4" t="s">
        <v>642</v>
      </c>
      <c r="G6060" t="s">
        <v>29</v>
      </c>
      <c r="H6060" t="s">
        <v>643</v>
      </c>
    </row>
    <row r="6061" spans="1:8" x14ac:dyDescent="0.25">
      <c r="A6061" t="s">
        <v>1135</v>
      </c>
      <c r="B6061" t="s">
        <v>322</v>
      </c>
      <c r="C6061" s="5">
        <v>357801</v>
      </c>
      <c r="D6061" s="5">
        <v>5308</v>
      </c>
      <c r="E6061">
        <v>314553</v>
      </c>
      <c r="F6061" s="4" t="s">
        <v>285</v>
      </c>
      <c r="G6061" t="s">
        <v>29</v>
      </c>
      <c r="H6061" t="s">
        <v>286</v>
      </c>
    </row>
    <row r="6062" spans="1:8" x14ac:dyDescent="0.25">
      <c r="A6062" t="s">
        <v>1135</v>
      </c>
      <c r="B6062" t="s">
        <v>319</v>
      </c>
      <c r="C6062" s="5">
        <v>21481</v>
      </c>
      <c r="D6062" s="5">
        <v>653</v>
      </c>
      <c r="E6062">
        <v>3268</v>
      </c>
      <c r="F6062" s="4" t="s">
        <v>320</v>
      </c>
      <c r="G6062" t="s">
        <v>29</v>
      </c>
      <c r="H6062" t="s">
        <v>321</v>
      </c>
    </row>
    <row r="6063" spans="1:8" x14ac:dyDescent="0.25">
      <c r="A6063" t="s">
        <v>1135</v>
      </c>
      <c r="B6063" t="s">
        <v>316</v>
      </c>
      <c r="C6063" s="5">
        <v>5802</v>
      </c>
      <c r="D6063" s="5">
        <v>286</v>
      </c>
      <c r="E6063">
        <v>486</v>
      </c>
      <c r="F6063" s="4" t="s">
        <v>317</v>
      </c>
      <c r="G6063" t="s">
        <v>29</v>
      </c>
      <c r="H6063" t="s">
        <v>318</v>
      </c>
    </row>
    <row r="6064" spans="1:8" x14ac:dyDescent="0.25">
      <c r="A6064" t="s">
        <v>1135</v>
      </c>
      <c r="B6064" t="s">
        <v>315</v>
      </c>
      <c r="C6064" s="5">
        <v>528415</v>
      </c>
      <c r="D6064" s="5">
        <v>13408</v>
      </c>
      <c r="E6064">
        <v>226800</v>
      </c>
      <c r="F6064" s="4" t="s">
        <v>141</v>
      </c>
      <c r="G6064" t="s">
        <v>29</v>
      </c>
      <c r="H6064" t="s">
        <v>142</v>
      </c>
    </row>
    <row r="6065" spans="1:8" x14ac:dyDescent="0.25">
      <c r="A6065" t="s">
        <v>1135</v>
      </c>
      <c r="B6065" t="s">
        <v>312</v>
      </c>
      <c r="C6065" s="5">
        <v>3576</v>
      </c>
      <c r="D6065" s="5">
        <v>60</v>
      </c>
      <c r="E6065">
        <v>1069</v>
      </c>
      <c r="F6065" s="4" t="s">
        <v>116</v>
      </c>
      <c r="G6065" t="s">
        <v>29</v>
      </c>
      <c r="H6065" t="s">
        <v>117</v>
      </c>
    </row>
    <row r="6066" spans="1:8" x14ac:dyDescent="0.25">
      <c r="A6066" t="s">
        <v>1135</v>
      </c>
      <c r="B6066" t="s">
        <v>309</v>
      </c>
      <c r="C6066" s="5">
        <v>12095</v>
      </c>
      <c r="D6066" s="5">
        <v>232</v>
      </c>
      <c r="E6066">
        <v>10369</v>
      </c>
      <c r="F6066" s="4" t="s">
        <v>721</v>
      </c>
      <c r="G6066" t="s">
        <v>29</v>
      </c>
      <c r="H6066" t="s">
        <v>722</v>
      </c>
    </row>
    <row r="6067" spans="1:8" x14ac:dyDescent="0.25">
      <c r="A6067" t="s">
        <v>1135</v>
      </c>
      <c r="B6067" t="s">
        <v>306</v>
      </c>
      <c r="C6067" s="5">
        <v>631642</v>
      </c>
      <c r="D6067" s="5">
        <v>8400</v>
      </c>
      <c r="E6067">
        <v>280416</v>
      </c>
      <c r="F6067" s="4" t="s">
        <v>59</v>
      </c>
      <c r="G6067" t="s">
        <v>29</v>
      </c>
      <c r="H6067" t="s">
        <v>60</v>
      </c>
    </row>
    <row r="6068" spans="1:8" x14ac:dyDescent="0.25">
      <c r="A6068" t="s">
        <v>1135</v>
      </c>
      <c r="B6068" t="s">
        <v>303</v>
      </c>
      <c r="C6068" s="5">
        <v>29964</v>
      </c>
      <c r="D6068" s="5">
        <v>35</v>
      </c>
      <c r="E6068">
        <v>620</v>
      </c>
      <c r="F6068" s="4" t="s">
        <v>957</v>
      </c>
      <c r="G6068" t="s">
        <v>29</v>
      </c>
      <c r="H6068" t="s">
        <v>958</v>
      </c>
    </row>
    <row r="6069" spans="1:8" x14ac:dyDescent="0.25">
      <c r="A6069" t="s">
        <v>1135</v>
      </c>
      <c r="B6069" t="s">
        <v>302</v>
      </c>
      <c r="C6069" s="5">
        <v>988365</v>
      </c>
      <c r="D6069" s="5">
        <v>16544</v>
      </c>
      <c r="E6069">
        <v>709600</v>
      </c>
      <c r="F6069" s="4" t="s">
        <v>827</v>
      </c>
      <c r="G6069" t="s">
        <v>29</v>
      </c>
      <c r="H6069" t="s">
        <v>828</v>
      </c>
    </row>
    <row r="6070" spans="1:8" x14ac:dyDescent="0.25">
      <c r="A6070" t="s">
        <v>1135</v>
      </c>
      <c r="B6070" t="s">
        <v>299</v>
      </c>
      <c r="C6070" s="5">
        <v>412196</v>
      </c>
      <c r="D6070" s="5">
        <v>2455</v>
      </c>
      <c r="E6070">
        <v>49183</v>
      </c>
      <c r="F6070" s="4" t="s">
        <v>300</v>
      </c>
      <c r="G6070" t="s">
        <v>29</v>
      </c>
      <c r="H6070" t="s">
        <v>301</v>
      </c>
    </row>
    <row r="6071" spans="1:8" x14ac:dyDescent="0.25">
      <c r="A6071" t="s">
        <v>1135</v>
      </c>
      <c r="B6071" t="s">
        <v>296</v>
      </c>
      <c r="C6071" s="5">
        <v>337679</v>
      </c>
      <c r="D6071" s="5">
        <v>2618</v>
      </c>
      <c r="E6071">
        <v>314255</v>
      </c>
      <c r="F6071" s="4" t="s">
        <v>297</v>
      </c>
      <c r="G6071" t="s">
        <v>29</v>
      </c>
      <c r="H6071" t="s">
        <v>298</v>
      </c>
    </row>
    <row r="6072" spans="1:8" x14ac:dyDescent="0.25">
      <c r="A6072" t="s">
        <v>1135</v>
      </c>
      <c r="B6072" t="s">
        <v>293</v>
      </c>
      <c r="C6072" s="5">
        <v>2466</v>
      </c>
      <c r="D6072" s="5">
        <v>21</v>
      </c>
      <c r="E6072">
        <v>172</v>
      </c>
      <c r="F6072" s="4" t="s">
        <v>685</v>
      </c>
      <c r="G6072" t="s">
        <v>29</v>
      </c>
      <c r="H6072" t="s">
        <v>686</v>
      </c>
    </row>
    <row r="6073" spans="1:8" x14ac:dyDescent="0.25">
      <c r="A6073" t="s">
        <v>1135</v>
      </c>
      <c r="B6073" t="s">
        <v>292</v>
      </c>
      <c r="C6073" s="5">
        <v>4173</v>
      </c>
      <c r="D6073" s="5">
        <v>147</v>
      </c>
      <c r="E6073">
        <v>644</v>
      </c>
      <c r="F6073" s="4" t="s">
        <v>353</v>
      </c>
      <c r="G6073" t="s">
        <v>29</v>
      </c>
      <c r="H6073" t="s">
        <v>354</v>
      </c>
    </row>
    <row r="6074" spans="1:8" x14ac:dyDescent="0.25">
      <c r="A6074" t="s">
        <v>1135</v>
      </c>
      <c r="B6074" t="s">
        <v>287</v>
      </c>
      <c r="C6074" s="5">
        <v>115607</v>
      </c>
      <c r="D6074" s="5">
        <v>2559</v>
      </c>
      <c r="E6074">
        <v>62200</v>
      </c>
      <c r="F6074" s="4" t="s">
        <v>132</v>
      </c>
      <c r="G6074" t="s">
        <v>29</v>
      </c>
      <c r="H6074" t="s">
        <v>133</v>
      </c>
    </row>
    <row r="6075" spans="1:8" x14ac:dyDescent="0.25">
      <c r="A6075" t="s">
        <v>1135</v>
      </c>
      <c r="B6075" t="s">
        <v>290</v>
      </c>
      <c r="C6075" s="5">
        <v>2</v>
      </c>
      <c r="D6075" s="5">
        <v>0</v>
      </c>
      <c r="E6075">
        <v>1</v>
      </c>
      <c r="F6075" s="4" t="s">
        <v>29</v>
      </c>
      <c r="G6075" t="s">
        <v>29</v>
      </c>
      <c r="H6075" t="s">
        <v>291</v>
      </c>
    </row>
    <row r="6076" spans="1:8" x14ac:dyDescent="0.25">
      <c r="A6076" t="s">
        <v>1135</v>
      </c>
      <c r="B6076" t="s">
        <v>284</v>
      </c>
      <c r="C6076" s="5">
        <v>179492</v>
      </c>
      <c r="D6076" s="5">
        <v>2624</v>
      </c>
      <c r="E6076">
        <v>110614</v>
      </c>
      <c r="F6076" s="4" t="s">
        <v>565</v>
      </c>
      <c r="G6076" t="s">
        <v>29</v>
      </c>
      <c r="H6076" t="s">
        <v>566</v>
      </c>
    </row>
    <row r="6077" spans="1:8" x14ac:dyDescent="0.25">
      <c r="A6077" t="s">
        <v>1135</v>
      </c>
      <c r="B6077" t="s">
        <v>280</v>
      </c>
      <c r="C6077" s="5">
        <v>1713471</v>
      </c>
      <c r="D6077" s="5">
        <v>18032</v>
      </c>
      <c r="E6077">
        <v>1682229</v>
      </c>
      <c r="F6077" s="4" t="s">
        <v>642</v>
      </c>
      <c r="G6077" t="s">
        <v>29</v>
      </c>
      <c r="H6077" t="s">
        <v>643</v>
      </c>
    </row>
    <row r="6078" spans="1:8" x14ac:dyDescent="0.25">
      <c r="A6078" t="s">
        <v>1135</v>
      </c>
      <c r="B6078" t="s">
        <v>281</v>
      </c>
      <c r="C6078" s="5">
        <v>251483</v>
      </c>
      <c r="D6078" s="5">
        <v>5198</v>
      </c>
      <c r="E6078">
        <v>212033</v>
      </c>
      <c r="F6078" s="4" t="s">
        <v>310</v>
      </c>
      <c r="G6078" t="s">
        <v>29</v>
      </c>
      <c r="H6078" t="s">
        <v>311</v>
      </c>
    </row>
    <row r="6079" spans="1:8" x14ac:dyDescent="0.25">
      <c r="A6079" t="s">
        <v>1135</v>
      </c>
      <c r="B6079" t="s">
        <v>279</v>
      </c>
      <c r="C6079" s="5">
        <v>837255</v>
      </c>
      <c r="D6079" s="5">
        <v>10841</v>
      </c>
      <c r="E6079">
        <v>256922</v>
      </c>
      <c r="F6079" s="4" t="s">
        <v>417</v>
      </c>
      <c r="G6079" t="s">
        <v>29</v>
      </c>
      <c r="H6079" t="s">
        <v>418</v>
      </c>
    </row>
    <row r="6080" spans="1:8" x14ac:dyDescent="0.25">
      <c r="A6080" t="s">
        <v>1135</v>
      </c>
      <c r="B6080" t="s">
        <v>278</v>
      </c>
      <c r="C6080" s="5">
        <v>86507</v>
      </c>
      <c r="D6080" s="5">
        <v>2053</v>
      </c>
      <c r="E6080">
        <v>74256</v>
      </c>
      <c r="F6080" s="4" t="s">
        <v>636</v>
      </c>
      <c r="G6080" t="s">
        <v>29</v>
      </c>
      <c r="H6080" t="s">
        <v>637</v>
      </c>
    </row>
    <row r="6081" spans="1:8" x14ac:dyDescent="0.25">
      <c r="A6081" t="s">
        <v>1135</v>
      </c>
      <c r="B6081" t="s">
        <v>275</v>
      </c>
      <c r="C6081" s="5">
        <v>4707087</v>
      </c>
      <c r="D6081" s="5">
        <v>131421</v>
      </c>
      <c r="E6081">
        <v>3502227</v>
      </c>
      <c r="F6081" s="4" t="s">
        <v>662</v>
      </c>
      <c r="G6081" t="s">
        <v>29</v>
      </c>
      <c r="H6081" t="s">
        <v>663</v>
      </c>
    </row>
    <row r="6082" spans="1:8" x14ac:dyDescent="0.25">
      <c r="A6082" t="s">
        <v>1135</v>
      </c>
      <c r="B6082" t="s">
        <v>272</v>
      </c>
      <c r="C6082" s="5">
        <v>12342</v>
      </c>
      <c r="D6082" s="5">
        <v>33</v>
      </c>
      <c r="E6082">
        <v>1768</v>
      </c>
      <c r="F6082" s="4" t="s">
        <v>1131</v>
      </c>
      <c r="G6082" t="s">
        <v>29</v>
      </c>
      <c r="H6082" t="s">
        <v>1132</v>
      </c>
    </row>
    <row r="6083" spans="1:8" x14ac:dyDescent="0.25">
      <c r="A6083" t="s">
        <v>1135</v>
      </c>
      <c r="B6083" t="s">
        <v>269</v>
      </c>
      <c r="C6083" s="5">
        <v>5742083</v>
      </c>
      <c r="D6083" s="5">
        <v>123275</v>
      </c>
      <c r="E6083">
        <v>5271839</v>
      </c>
      <c r="F6083" s="4" t="s">
        <v>852</v>
      </c>
      <c r="G6083" t="s">
        <v>29</v>
      </c>
      <c r="H6083" t="s">
        <v>853</v>
      </c>
    </row>
    <row r="6084" spans="1:8" x14ac:dyDescent="0.25">
      <c r="A6084" t="s">
        <v>1135</v>
      </c>
      <c r="B6084" t="s">
        <v>266</v>
      </c>
      <c r="C6084" s="5">
        <v>2028115</v>
      </c>
      <c r="D6084" s="5">
        <v>22655</v>
      </c>
      <c r="E6084">
        <v>1134975</v>
      </c>
      <c r="F6084" s="4" t="s">
        <v>911</v>
      </c>
      <c r="G6084" t="s">
        <v>29</v>
      </c>
      <c r="H6084" t="s">
        <v>912</v>
      </c>
    </row>
    <row r="6085" spans="1:8" x14ac:dyDescent="0.25">
      <c r="A6085" t="s">
        <v>1135</v>
      </c>
      <c r="B6085" t="s">
        <v>263</v>
      </c>
      <c r="C6085" s="5">
        <v>34020730</v>
      </c>
      <c r="D6085" s="5">
        <v>451435</v>
      </c>
      <c r="E6085">
        <v>15493047</v>
      </c>
      <c r="F6085" s="4" t="s">
        <v>59</v>
      </c>
      <c r="G6085" t="s">
        <v>29</v>
      </c>
      <c r="H6085" t="s">
        <v>60</v>
      </c>
    </row>
    <row r="6086" spans="1:8" x14ac:dyDescent="0.25">
      <c r="A6086" t="s">
        <v>1135</v>
      </c>
      <c r="B6086" t="s">
        <v>260</v>
      </c>
      <c r="C6086" s="5">
        <v>1311295</v>
      </c>
      <c r="D6086" s="5">
        <v>7959</v>
      </c>
      <c r="E6086">
        <v>99535</v>
      </c>
      <c r="F6086" s="4" t="s">
        <v>261</v>
      </c>
      <c r="G6086" t="s">
        <v>29</v>
      </c>
      <c r="H6086" t="s">
        <v>262</v>
      </c>
    </row>
    <row r="6087" spans="1:8" x14ac:dyDescent="0.25">
      <c r="A6087" t="s">
        <v>1135</v>
      </c>
      <c r="B6087" t="s">
        <v>257</v>
      </c>
      <c r="C6087" s="5">
        <v>408021</v>
      </c>
      <c r="D6087" s="5">
        <v>5306</v>
      </c>
      <c r="E6087">
        <v>3681</v>
      </c>
      <c r="F6087" s="4" t="s">
        <v>190</v>
      </c>
      <c r="G6087" t="s">
        <v>29</v>
      </c>
      <c r="H6087" t="s">
        <v>191</v>
      </c>
    </row>
    <row r="6088" spans="1:8" x14ac:dyDescent="0.25">
      <c r="A6088" t="s">
        <v>1135</v>
      </c>
      <c r="B6088" t="s">
        <v>254</v>
      </c>
      <c r="C6088" s="5">
        <v>4231046</v>
      </c>
      <c r="D6088" s="5">
        <v>142811</v>
      </c>
      <c r="E6088">
        <v>1516228</v>
      </c>
      <c r="F6088" s="4" t="s">
        <v>255</v>
      </c>
      <c r="G6088" t="s">
        <v>29</v>
      </c>
      <c r="H6088" t="s">
        <v>256</v>
      </c>
    </row>
    <row r="6089" spans="1:8" x14ac:dyDescent="0.25">
      <c r="A6089" t="s">
        <v>1135</v>
      </c>
      <c r="B6089" t="s">
        <v>251</v>
      </c>
      <c r="C6089" s="5">
        <v>830725</v>
      </c>
      <c r="D6089" s="5">
        <v>30330</v>
      </c>
      <c r="E6089">
        <v>358554</v>
      </c>
      <c r="F6089" s="4" t="s">
        <v>95</v>
      </c>
      <c r="G6089" t="s">
        <v>29</v>
      </c>
      <c r="H6089" t="s">
        <v>96</v>
      </c>
    </row>
    <row r="6090" spans="1:8" x14ac:dyDescent="0.25">
      <c r="A6090" t="s">
        <v>1135</v>
      </c>
      <c r="B6090" t="s">
        <v>248</v>
      </c>
      <c r="C6090" s="5">
        <v>22731</v>
      </c>
      <c r="D6090" s="5">
        <v>649</v>
      </c>
      <c r="E6090">
        <v>20235</v>
      </c>
      <c r="F6090" s="4" t="s">
        <v>955</v>
      </c>
      <c r="G6090" t="s">
        <v>29</v>
      </c>
      <c r="H6090" t="s">
        <v>956</v>
      </c>
    </row>
    <row r="6091" spans="1:8" x14ac:dyDescent="0.25">
      <c r="A6091" t="s">
        <v>1135</v>
      </c>
      <c r="B6091" t="s">
        <v>245</v>
      </c>
      <c r="C6091" s="5">
        <v>421057</v>
      </c>
      <c r="D6091" s="5">
        <v>8829</v>
      </c>
      <c r="E6091">
        <v>274024</v>
      </c>
      <c r="F6091" s="4" t="s">
        <v>557</v>
      </c>
      <c r="G6091" t="s">
        <v>29</v>
      </c>
      <c r="H6091" t="s">
        <v>558</v>
      </c>
    </row>
    <row r="6092" spans="1:8" x14ac:dyDescent="0.25">
      <c r="A6092" t="s">
        <v>1135</v>
      </c>
      <c r="B6092" t="s">
        <v>242</v>
      </c>
      <c r="C6092" s="5">
        <v>371431</v>
      </c>
      <c r="D6092" s="5">
        <v>10064</v>
      </c>
      <c r="E6092">
        <v>346431</v>
      </c>
      <c r="F6092" s="4" t="s">
        <v>875</v>
      </c>
      <c r="G6092" t="s">
        <v>29</v>
      </c>
      <c r="H6092" t="s">
        <v>876</v>
      </c>
    </row>
    <row r="6093" spans="1:8" x14ac:dyDescent="0.25">
      <c r="A6093" t="s">
        <v>1135</v>
      </c>
      <c r="B6093" t="s">
        <v>239</v>
      </c>
      <c r="C6093" s="5">
        <v>12275</v>
      </c>
      <c r="D6093" s="5">
        <v>213</v>
      </c>
      <c r="E6093">
        <v>2380</v>
      </c>
      <c r="F6093" s="4" t="s">
        <v>183</v>
      </c>
      <c r="G6093" t="s">
        <v>29</v>
      </c>
      <c r="H6093" t="s">
        <v>184</v>
      </c>
    </row>
    <row r="6094" spans="1:8" x14ac:dyDescent="0.25">
      <c r="A6094" t="s">
        <v>1135</v>
      </c>
      <c r="B6094" t="s">
        <v>236</v>
      </c>
      <c r="C6094" s="5">
        <v>33973</v>
      </c>
      <c r="D6094" s="5">
        <v>851</v>
      </c>
      <c r="E6094">
        <v>30174</v>
      </c>
      <c r="F6094" s="4" t="s">
        <v>458</v>
      </c>
      <c r="G6094" t="s">
        <v>29</v>
      </c>
      <c r="H6094" t="s">
        <v>459</v>
      </c>
    </row>
    <row r="6095" spans="1:8" x14ac:dyDescent="0.25">
      <c r="A6095" t="s">
        <v>1135</v>
      </c>
      <c r="B6095" t="s">
        <v>233</v>
      </c>
      <c r="C6095" s="5">
        <v>6123</v>
      </c>
      <c r="D6095" s="5">
        <v>141</v>
      </c>
      <c r="E6095">
        <v>871</v>
      </c>
      <c r="F6095" s="4" t="s">
        <v>619</v>
      </c>
      <c r="G6095" t="s">
        <v>29</v>
      </c>
      <c r="H6095" t="s">
        <v>620</v>
      </c>
    </row>
    <row r="6096" spans="1:8" x14ac:dyDescent="0.25">
      <c r="A6096" t="s">
        <v>1135</v>
      </c>
      <c r="B6096" t="s">
        <v>232</v>
      </c>
      <c r="C6096" s="5">
        <v>583201</v>
      </c>
      <c r="D6096" s="5">
        <v>14177</v>
      </c>
      <c r="E6096">
        <v>194604</v>
      </c>
      <c r="F6096" s="4" t="s">
        <v>917</v>
      </c>
      <c r="G6096" t="s">
        <v>29</v>
      </c>
      <c r="H6096" t="s">
        <v>918</v>
      </c>
    </row>
    <row r="6097" spans="1:8" x14ac:dyDescent="0.25">
      <c r="A6097" t="s">
        <v>1135</v>
      </c>
      <c r="B6097" t="s">
        <v>229</v>
      </c>
      <c r="C6097" s="5">
        <v>684706</v>
      </c>
      <c r="D6097" s="5">
        <v>15241</v>
      </c>
      <c r="E6097">
        <v>651280</v>
      </c>
      <c r="F6097" s="4" t="s">
        <v>421</v>
      </c>
      <c r="G6097" t="s">
        <v>29</v>
      </c>
      <c r="H6097" t="s">
        <v>422</v>
      </c>
    </row>
    <row r="6098" spans="1:8" x14ac:dyDescent="0.25">
      <c r="A6098" t="s">
        <v>1135</v>
      </c>
      <c r="B6098" t="s">
        <v>228</v>
      </c>
      <c r="C6098" s="5">
        <v>12840</v>
      </c>
      <c r="D6098" s="5">
        <v>156</v>
      </c>
      <c r="E6098">
        <v>2214</v>
      </c>
      <c r="F6098" s="4" t="s">
        <v>775</v>
      </c>
      <c r="G6098" t="s">
        <v>29</v>
      </c>
      <c r="H6098" t="s">
        <v>776</v>
      </c>
    </row>
    <row r="6099" spans="1:8" x14ac:dyDescent="0.25">
      <c r="A6099" t="s">
        <v>1135</v>
      </c>
      <c r="B6099" t="s">
        <v>225</v>
      </c>
      <c r="C6099" s="5">
        <v>53836</v>
      </c>
      <c r="D6099" s="5">
        <v>800</v>
      </c>
      <c r="E6099">
        <v>36344</v>
      </c>
      <c r="F6099" s="4" t="s">
        <v>800</v>
      </c>
      <c r="G6099" t="s">
        <v>29</v>
      </c>
      <c r="H6099" t="s">
        <v>801</v>
      </c>
    </row>
    <row r="6100" spans="1:8" x14ac:dyDescent="0.25">
      <c r="A6100" t="s">
        <v>1135</v>
      </c>
      <c r="B6100" t="s">
        <v>219</v>
      </c>
      <c r="C6100" s="5">
        <v>9943</v>
      </c>
      <c r="D6100" s="5">
        <v>339</v>
      </c>
      <c r="E6100">
        <v>577</v>
      </c>
      <c r="F6100" s="4" t="s">
        <v>205</v>
      </c>
      <c r="G6100" t="s">
        <v>29</v>
      </c>
      <c r="H6100" t="s">
        <v>206</v>
      </c>
    </row>
    <row r="6101" spans="1:8" x14ac:dyDescent="0.25">
      <c r="A6101" t="s">
        <v>1135</v>
      </c>
      <c r="B6101" t="s">
        <v>222</v>
      </c>
      <c r="C6101" s="5">
        <v>30535</v>
      </c>
      <c r="D6101" s="5">
        <v>385</v>
      </c>
      <c r="E6101">
        <v>6278</v>
      </c>
      <c r="F6101" s="4" t="s">
        <v>223</v>
      </c>
      <c r="G6101" t="s">
        <v>29</v>
      </c>
      <c r="H6101" t="s">
        <v>224</v>
      </c>
    </row>
    <row r="6102" spans="1:8" x14ac:dyDescent="0.25">
      <c r="A6102" t="s">
        <v>1135</v>
      </c>
      <c r="B6102" t="s">
        <v>216</v>
      </c>
      <c r="C6102" s="5">
        <v>5707</v>
      </c>
      <c r="D6102" s="5">
        <v>97</v>
      </c>
      <c r="E6102">
        <v>780</v>
      </c>
      <c r="F6102" s="4" t="s">
        <v>125</v>
      </c>
      <c r="G6102" t="s">
        <v>29</v>
      </c>
      <c r="H6102" t="s">
        <v>126</v>
      </c>
    </row>
    <row r="6103" spans="1:8" x14ac:dyDescent="0.25">
      <c r="A6103" t="s">
        <v>1135</v>
      </c>
      <c r="B6103" t="s">
        <v>213</v>
      </c>
      <c r="C6103" s="5">
        <v>128368</v>
      </c>
      <c r="D6103" s="5">
        <v>1158</v>
      </c>
      <c r="E6103">
        <v>90075</v>
      </c>
      <c r="F6103" s="4" t="s">
        <v>667</v>
      </c>
      <c r="G6103" t="s">
        <v>29</v>
      </c>
      <c r="H6103" t="s">
        <v>668</v>
      </c>
    </row>
    <row r="6104" spans="1:8" x14ac:dyDescent="0.25">
      <c r="A6104" t="s">
        <v>1135</v>
      </c>
      <c r="B6104" t="s">
        <v>210</v>
      </c>
      <c r="C6104" s="5">
        <v>42794</v>
      </c>
      <c r="D6104" s="5">
        <v>289</v>
      </c>
      <c r="E6104">
        <v>26821</v>
      </c>
      <c r="F6104" s="4" t="s">
        <v>605</v>
      </c>
      <c r="G6104" t="s">
        <v>29</v>
      </c>
      <c r="H6104" t="s">
        <v>606</v>
      </c>
    </row>
    <row r="6105" spans="1:8" x14ac:dyDescent="0.25">
      <c r="A6105" t="s">
        <v>1135</v>
      </c>
      <c r="B6105" t="s">
        <v>204</v>
      </c>
      <c r="C6105" s="5">
        <v>5670</v>
      </c>
      <c r="D6105" s="5">
        <v>184</v>
      </c>
      <c r="E6105">
        <v>3783</v>
      </c>
      <c r="F6105" s="4" t="s">
        <v>1148</v>
      </c>
      <c r="G6105" t="s">
        <v>29</v>
      </c>
      <c r="H6105" t="s">
        <v>1149</v>
      </c>
    </row>
    <row r="6106" spans="1:8" x14ac:dyDescent="0.25">
      <c r="A6106" t="s">
        <v>1135</v>
      </c>
      <c r="B6106" t="s">
        <v>207</v>
      </c>
      <c r="C6106" s="5">
        <v>645195</v>
      </c>
      <c r="D6106" s="5">
        <v>9332</v>
      </c>
      <c r="E6106">
        <v>304302</v>
      </c>
      <c r="F6106" s="4" t="s">
        <v>342</v>
      </c>
      <c r="G6106" t="s">
        <v>29</v>
      </c>
      <c r="H6106" t="s">
        <v>343</v>
      </c>
    </row>
    <row r="6107" spans="1:8" x14ac:dyDescent="0.25">
      <c r="A6107" t="s">
        <v>1135</v>
      </c>
      <c r="B6107" t="s">
        <v>201</v>
      </c>
      <c r="C6107" s="5">
        <v>8306144</v>
      </c>
      <c r="D6107" s="5">
        <v>138390</v>
      </c>
      <c r="E6107">
        <v>3005026</v>
      </c>
      <c r="F6107" s="4" t="s">
        <v>827</v>
      </c>
      <c r="G6107" t="s">
        <v>29</v>
      </c>
      <c r="H6107" t="s">
        <v>828</v>
      </c>
    </row>
    <row r="6108" spans="1:8" x14ac:dyDescent="0.25">
      <c r="A6108" t="s">
        <v>1135</v>
      </c>
      <c r="B6108" t="s">
        <v>198</v>
      </c>
      <c r="C6108" s="5">
        <v>32576</v>
      </c>
      <c r="D6108" s="5">
        <v>205</v>
      </c>
      <c r="E6108">
        <v>11052</v>
      </c>
      <c r="F6108" s="4" t="s">
        <v>1129</v>
      </c>
      <c r="G6108" t="s">
        <v>29</v>
      </c>
      <c r="H6108" t="s">
        <v>1130</v>
      </c>
    </row>
    <row r="6109" spans="1:8" x14ac:dyDescent="0.25">
      <c r="A6109" t="s">
        <v>1135</v>
      </c>
      <c r="B6109" t="s">
        <v>195</v>
      </c>
      <c r="C6109" s="5">
        <v>6891105</v>
      </c>
      <c r="D6109" s="5">
        <v>114867</v>
      </c>
      <c r="E6109">
        <v>3423165</v>
      </c>
      <c r="F6109" s="4" t="s">
        <v>827</v>
      </c>
      <c r="G6109" t="s">
        <v>29</v>
      </c>
      <c r="H6109" t="s">
        <v>828</v>
      </c>
    </row>
    <row r="6110" spans="1:8" x14ac:dyDescent="0.25">
      <c r="A6110" t="s">
        <v>1135</v>
      </c>
      <c r="B6110" t="s">
        <v>192</v>
      </c>
      <c r="C6110" s="5">
        <v>1319</v>
      </c>
      <c r="D6110" s="5">
        <v>2</v>
      </c>
      <c r="E6110">
        <v>1133</v>
      </c>
      <c r="F6110" s="4" t="s">
        <v>915</v>
      </c>
      <c r="G6110" t="s">
        <v>29</v>
      </c>
      <c r="H6110" t="s">
        <v>916</v>
      </c>
    </row>
    <row r="6111" spans="1:8" x14ac:dyDescent="0.25">
      <c r="A6111" t="s">
        <v>1135</v>
      </c>
      <c r="B6111" t="s">
        <v>189</v>
      </c>
      <c r="C6111" s="5">
        <v>51648</v>
      </c>
      <c r="D6111" s="5">
        <v>663</v>
      </c>
      <c r="E6111">
        <v>24600</v>
      </c>
      <c r="F6111" s="4" t="s">
        <v>381</v>
      </c>
      <c r="G6111" t="s">
        <v>29</v>
      </c>
      <c r="H6111" t="s">
        <v>382</v>
      </c>
    </row>
    <row r="6112" spans="1:8" x14ac:dyDescent="0.25">
      <c r="A6112" t="s">
        <v>1135</v>
      </c>
      <c r="B6112" t="s">
        <v>186</v>
      </c>
      <c r="C6112" s="5">
        <v>148672</v>
      </c>
      <c r="D6112" s="5">
        <v>1111</v>
      </c>
      <c r="E6112">
        <v>19870</v>
      </c>
      <c r="F6112" s="4" t="s">
        <v>1127</v>
      </c>
      <c r="G6112" t="s">
        <v>29</v>
      </c>
      <c r="H6112" t="s">
        <v>1128</v>
      </c>
    </row>
    <row r="6113" spans="1:8" x14ac:dyDescent="0.25">
      <c r="A6113" t="s">
        <v>1135</v>
      </c>
      <c r="B6113" t="s">
        <v>185</v>
      </c>
      <c r="C6113" s="5">
        <v>356772</v>
      </c>
      <c r="D6113" s="5">
        <v>6103</v>
      </c>
      <c r="E6113">
        <v>106610</v>
      </c>
      <c r="F6113" s="4" t="s">
        <v>658</v>
      </c>
      <c r="G6113" t="s">
        <v>29</v>
      </c>
      <c r="H6113" t="s">
        <v>659</v>
      </c>
    </row>
    <row r="6114" spans="1:8" x14ac:dyDescent="0.25">
      <c r="A6114" t="s">
        <v>1135</v>
      </c>
      <c r="B6114" t="s">
        <v>182</v>
      </c>
      <c r="C6114" s="5">
        <v>4980206</v>
      </c>
      <c r="D6114" s="5">
        <v>86869</v>
      </c>
      <c r="E6114">
        <v>4169383</v>
      </c>
      <c r="F6114" s="4" t="s">
        <v>183</v>
      </c>
      <c r="G6114" t="s">
        <v>29</v>
      </c>
      <c r="H6114" t="s">
        <v>184</v>
      </c>
    </row>
    <row r="6115" spans="1:8" x14ac:dyDescent="0.25">
      <c r="A6115" t="s">
        <v>1135</v>
      </c>
      <c r="B6115" t="s">
        <v>179</v>
      </c>
      <c r="C6115" s="5">
        <v>6764</v>
      </c>
      <c r="D6115" s="5">
        <v>43</v>
      </c>
      <c r="E6115">
        <v>3061</v>
      </c>
      <c r="F6115" s="4" t="s">
        <v>953</v>
      </c>
      <c r="G6115" t="s">
        <v>29</v>
      </c>
      <c r="H6115" t="s">
        <v>954</v>
      </c>
    </row>
    <row r="6116" spans="1:8" x14ac:dyDescent="0.25">
      <c r="A6116" t="s">
        <v>1135</v>
      </c>
      <c r="B6116" t="s">
        <v>176</v>
      </c>
      <c r="C6116" s="5">
        <v>314977</v>
      </c>
      <c r="D6116" s="5">
        <v>17806</v>
      </c>
      <c r="E6116">
        <v>205681</v>
      </c>
      <c r="F6116" s="4" t="s">
        <v>575</v>
      </c>
      <c r="G6116" t="s">
        <v>29</v>
      </c>
      <c r="H6116" t="s">
        <v>576</v>
      </c>
    </row>
    <row r="6117" spans="1:8" x14ac:dyDescent="0.25">
      <c r="A6117" t="s">
        <v>1135</v>
      </c>
      <c r="B6117" t="s">
        <v>173</v>
      </c>
      <c r="C6117" s="5">
        <v>167828</v>
      </c>
      <c r="D6117" s="5">
        <v>1404</v>
      </c>
      <c r="E6117">
        <v>93993</v>
      </c>
      <c r="F6117" s="4" t="s">
        <v>397</v>
      </c>
      <c r="G6117" t="s">
        <v>29</v>
      </c>
      <c r="H6117" t="s">
        <v>398</v>
      </c>
    </row>
    <row r="6118" spans="1:8" x14ac:dyDescent="0.25">
      <c r="A6118" t="s">
        <v>1135</v>
      </c>
      <c r="B6118" t="s">
        <v>170</v>
      </c>
      <c r="C6118" s="5">
        <v>512071</v>
      </c>
      <c r="D6118" s="5">
        <v>32848</v>
      </c>
      <c r="E6118">
        <v>411274</v>
      </c>
      <c r="F6118" s="4" t="s">
        <v>1020</v>
      </c>
      <c r="G6118" t="s">
        <v>29</v>
      </c>
      <c r="H6118" t="s">
        <v>1021</v>
      </c>
    </row>
    <row r="6119" spans="1:8" x14ac:dyDescent="0.25">
      <c r="A6119" t="s">
        <v>1135</v>
      </c>
      <c r="B6119" t="s">
        <v>167</v>
      </c>
      <c r="C6119" s="5">
        <v>204900</v>
      </c>
      <c r="D6119" s="5">
        <v>5862</v>
      </c>
      <c r="E6119">
        <v>165666</v>
      </c>
      <c r="F6119" s="4" t="s">
        <v>955</v>
      </c>
      <c r="G6119" t="s">
        <v>29</v>
      </c>
      <c r="H6119" t="s">
        <v>956</v>
      </c>
    </row>
    <row r="6120" spans="1:8" x14ac:dyDescent="0.25">
      <c r="A6120" t="s">
        <v>1135</v>
      </c>
      <c r="B6120" t="s">
        <v>164</v>
      </c>
      <c r="C6120" s="5">
        <v>367379</v>
      </c>
      <c r="D6120" s="5">
        <v>4077</v>
      </c>
      <c r="E6120">
        <v>197798</v>
      </c>
      <c r="F6120" s="4" t="s">
        <v>1098</v>
      </c>
      <c r="G6120" t="s">
        <v>29</v>
      </c>
      <c r="H6120" t="s">
        <v>1099</v>
      </c>
    </row>
    <row r="6121" spans="1:8" x14ac:dyDescent="0.25">
      <c r="A6121" t="s">
        <v>1135</v>
      </c>
      <c r="B6121" t="s">
        <v>161</v>
      </c>
      <c r="C6121" s="5">
        <v>4113</v>
      </c>
      <c r="D6121" s="5">
        <v>28</v>
      </c>
      <c r="E6121">
        <v>2700</v>
      </c>
      <c r="F6121" s="4" t="s">
        <v>605</v>
      </c>
      <c r="G6121" t="s">
        <v>29</v>
      </c>
      <c r="H6121" t="s">
        <v>606</v>
      </c>
    </row>
    <row r="6122" spans="1:8" x14ac:dyDescent="0.25">
      <c r="A6122" t="s">
        <v>1135</v>
      </c>
      <c r="B6122" t="s">
        <v>160</v>
      </c>
      <c r="C6122" s="5">
        <v>366478</v>
      </c>
      <c r="D6122" s="5">
        <v>2674</v>
      </c>
      <c r="E6122">
        <v>322663</v>
      </c>
      <c r="F6122" s="4" t="s">
        <v>187</v>
      </c>
      <c r="G6122" t="s">
        <v>29</v>
      </c>
      <c r="H6122" t="s">
        <v>188</v>
      </c>
    </row>
    <row r="6123" spans="1:8" x14ac:dyDescent="0.25">
      <c r="A6123" t="s">
        <v>1135</v>
      </c>
      <c r="B6123" t="s">
        <v>157</v>
      </c>
      <c r="C6123" s="5">
        <v>13347</v>
      </c>
      <c r="D6123" s="5">
        <v>179</v>
      </c>
      <c r="E6123">
        <v>2172</v>
      </c>
      <c r="F6123" s="4" t="s">
        <v>264</v>
      </c>
      <c r="G6123" t="s">
        <v>29</v>
      </c>
      <c r="H6123" t="s">
        <v>265</v>
      </c>
    </row>
    <row r="6124" spans="1:8" x14ac:dyDescent="0.25">
      <c r="A6124" t="s">
        <v>1135</v>
      </c>
      <c r="B6124" t="s">
        <v>154</v>
      </c>
      <c r="C6124" s="5">
        <v>4343591</v>
      </c>
      <c r="D6124" s="5">
        <v>94407</v>
      </c>
      <c r="E6124">
        <v>2162781</v>
      </c>
      <c r="F6124" s="4" t="s">
        <v>940</v>
      </c>
      <c r="G6124" t="s">
        <v>29</v>
      </c>
      <c r="H6124" t="s">
        <v>941</v>
      </c>
    </row>
    <row r="6125" spans="1:8" x14ac:dyDescent="0.25">
      <c r="A6125" t="s">
        <v>1135</v>
      </c>
      <c r="B6125" t="s">
        <v>151</v>
      </c>
      <c r="C6125" s="5">
        <v>1705532</v>
      </c>
      <c r="D6125" s="5">
        <v>30518</v>
      </c>
      <c r="E6125">
        <v>929171</v>
      </c>
      <c r="F6125" s="4" t="s">
        <v>71</v>
      </c>
      <c r="G6125" t="s">
        <v>29</v>
      </c>
      <c r="H6125" t="s">
        <v>72</v>
      </c>
    </row>
    <row r="6126" spans="1:8" x14ac:dyDescent="0.25">
      <c r="A6126" t="s">
        <v>1135</v>
      </c>
      <c r="B6126" t="s">
        <v>148</v>
      </c>
      <c r="C6126" s="5">
        <v>121700</v>
      </c>
      <c r="D6126" s="5">
        <v>560</v>
      </c>
      <c r="E6126">
        <v>48942</v>
      </c>
      <c r="F6126" s="4" t="s">
        <v>149</v>
      </c>
      <c r="G6126" t="s">
        <v>29</v>
      </c>
      <c r="H6126" t="s">
        <v>150</v>
      </c>
    </row>
    <row r="6127" spans="1:8" x14ac:dyDescent="0.25">
      <c r="A6127" t="s">
        <v>1135</v>
      </c>
      <c r="B6127" t="s">
        <v>145</v>
      </c>
      <c r="C6127" s="5">
        <v>37951</v>
      </c>
      <c r="D6127" s="5">
        <v>347</v>
      </c>
      <c r="E6127">
        <v>33074</v>
      </c>
      <c r="F6127" s="4" t="s">
        <v>146</v>
      </c>
      <c r="G6127" t="s">
        <v>29</v>
      </c>
      <c r="H6127" t="s">
        <v>147</v>
      </c>
    </row>
    <row r="6128" spans="1:8" x14ac:dyDescent="0.25">
      <c r="A6128" t="s">
        <v>1135</v>
      </c>
      <c r="B6128" t="s">
        <v>144</v>
      </c>
      <c r="C6128" s="5">
        <v>926320</v>
      </c>
      <c r="D6128" s="5">
        <v>7956</v>
      </c>
      <c r="E6128">
        <v>737379</v>
      </c>
      <c r="F6128" s="4" t="s">
        <v>122</v>
      </c>
      <c r="G6128" t="s">
        <v>29</v>
      </c>
      <c r="H6128" t="s">
        <v>123</v>
      </c>
    </row>
    <row r="6129" spans="1:8" x14ac:dyDescent="0.25">
      <c r="A6129" t="s">
        <v>1135</v>
      </c>
      <c r="B6129" t="s">
        <v>143</v>
      </c>
      <c r="C6129" s="5">
        <v>549084</v>
      </c>
      <c r="D6129" s="5">
        <v>6744</v>
      </c>
      <c r="E6129">
        <v>218426</v>
      </c>
      <c r="F6129" s="4" t="s">
        <v>798</v>
      </c>
      <c r="G6129" t="s">
        <v>29</v>
      </c>
      <c r="H6129" t="s">
        <v>799</v>
      </c>
    </row>
    <row r="6130" spans="1:8" x14ac:dyDescent="0.25">
      <c r="A6130" t="s">
        <v>1135</v>
      </c>
      <c r="B6130" t="s">
        <v>140</v>
      </c>
      <c r="C6130" s="5">
        <v>4975656</v>
      </c>
      <c r="D6130" s="5">
        <v>126726</v>
      </c>
      <c r="E6130">
        <v>2398744</v>
      </c>
      <c r="F6130" s="4" t="s">
        <v>513</v>
      </c>
      <c r="G6130" t="s">
        <v>29</v>
      </c>
      <c r="H6130" t="s">
        <v>514</v>
      </c>
    </row>
    <row r="6131" spans="1:8" x14ac:dyDescent="0.25">
      <c r="A6131" t="s">
        <v>1135</v>
      </c>
      <c r="B6131" t="s">
        <v>137</v>
      </c>
      <c r="C6131" s="5">
        <v>96483</v>
      </c>
      <c r="D6131" s="5">
        <v>4636</v>
      </c>
      <c r="E6131">
        <v>41781</v>
      </c>
      <c r="F6131" s="4" t="s">
        <v>1046</v>
      </c>
      <c r="G6131" t="s">
        <v>29</v>
      </c>
      <c r="H6131" t="s">
        <v>1047</v>
      </c>
    </row>
    <row r="6132" spans="1:8" x14ac:dyDescent="0.25">
      <c r="A6132" t="s">
        <v>1135</v>
      </c>
      <c r="B6132" t="s">
        <v>134</v>
      </c>
      <c r="C6132" s="5">
        <v>98402</v>
      </c>
      <c r="D6132" s="5">
        <v>1550</v>
      </c>
      <c r="E6132">
        <v>7960</v>
      </c>
      <c r="F6132" s="4" t="s">
        <v>577</v>
      </c>
      <c r="G6132" t="s">
        <v>29</v>
      </c>
      <c r="H6132" t="s">
        <v>578</v>
      </c>
    </row>
    <row r="6133" spans="1:8" x14ac:dyDescent="0.25">
      <c r="A6133" t="s">
        <v>1135</v>
      </c>
      <c r="B6133" t="s">
        <v>131</v>
      </c>
      <c r="C6133" s="5">
        <v>1664725</v>
      </c>
      <c r="D6133" s="5">
        <v>37578</v>
      </c>
      <c r="E6133">
        <v>56955</v>
      </c>
      <c r="F6133" s="4" t="s">
        <v>469</v>
      </c>
      <c r="G6133" t="s">
        <v>29</v>
      </c>
      <c r="H6133" t="s">
        <v>470</v>
      </c>
    </row>
    <row r="6134" spans="1:8" x14ac:dyDescent="0.25">
      <c r="A6134" t="s">
        <v>1135</v>
      </c>
      <c r="B6134" t="s">
        <v>128</v>
      </c>
      <c r="C6134" s="5">
        <v>60878</v>
      </c>
      <c r="D6134" s="5">
        <v>672</v>
      </c>
      <c r="E6134">
        <v>38119</v>
      </c>
      <c r="F6134" s="4" t="s">
        <v>1044</v>
      </c>
      <c r="G6134" t="s">
        <v>29</v>
      </c>
      <c r="H6134" t="s">
        <v>1045</v>
      </c>
    </row>
    <row r="6135" spans="1:8" x14ac:dyDescent="0.25">
      <c r="A6135" t="s">
        <v>1135</v>
      </c>
      <c r="B6135" t="s">
        <v>127</v>
      </c>
      <c r="C6135" s="5">
        <v>852658</v>
      </c>
      <c r="D6135" s="5">
        <v>11146</v>
      </c>
      <c r="E6135">
        <v>740943</v>
      </c>
      <c r="F6135" s="4" t="s">
        <v>708</v>
      </c>
      <c r="G6135" t="s">
        <v>29</v>
      </c>
      <c r="H6135" t="s">
        <v>709</v>
      </c>
    </row>
    <row r="6136" spans="1:8" x14ac:dyDescent="0.25">
      <c r="A6136" t="s">
        <v>1135</v>
      </c>
      <c r="B6136" t="s">
        <v>124</v>
      </c>
      <c r="C6136" s="5">
        <v>15255</v>
      </c>
      <c r="D6136" s="5">
        <v>219</v>
      </c>
      <c r="E6136">
        <v>3504</v>
      </c>
      <c r="F6136" s="4" t="s">
        <v>330</v>
      </c>
      <c r="G6136" t="s">
        <v>29</v>
      </c>
      <c r="H6136" t="s">
        <v>331</v>
      </c>
    </row>
    <row r="6137" spans="1:8" x14ac:dyDescent="0.25">
      <c r="A6137" t="s">
        <v>1135</v>
      </c>
      <c r="B6137" t="s">
        <v>121</v>
      </c>
      <c r="C6137" s="5">
        <v>11469</v>
      </c>
      <c r="D6137" s="5">
        <v>100</v>
      </c>
      <c r="E6137">
        <v>10942</v>
      </c>
      <c r="F6137" s="4" t="s">
        <v>498</v>
      </c>
      <c r="G6137" t="s">
        <v>29</v>
      </c>
      <c r="H6137" t="s">
        <v>499</v>
      </c>
    </row>
    <row r="6138" spans="1:8" x14ac:dyDescent="0.25">
      <c r="A6138" t="s">
        <v>1135</v>
      </c>
      <c r="B6138" t="s">
        <v>118</v>
      </c>
      <c r="C6138" s="5">
        <v>57269</v>
      </c>
      <c r="D6138" s="5">
        <v>1089</v>
      </c>
      <c r="E6138">
        <v>21563</v>
      </c>
      <c r="F6138" s="4" t="s">
        <v>652</v>
      </c>
      <c r="G6138" t="s">
        <v>29</v>
      </c>
      <c r="H6138" t="s">
        <v>653</v>
      </c>
    </row>
    <row r="6139" spans="1:8" x14ac:dyDescent="0.25">
      <c r="A6139" t="s">
        <v>1135</v>
      </c>
      <c r="B6139" t="s">
        <v>115</v>
      </c>
      <c r="C6139" s="5">
        <v>1678511</v>
      </c>
      <c r="D6139" s="5">
        <v>28422</v>
      </c>
      <c r="E6139">
        <v>830742</v>
      </c>
      <c r="F6139" s="4" t="s">
        <v>152</v>
      </c>
      <c r="G6139" t="s">
        <v>29</v>
      </c>
      <c r="H6139" t="s">
        <v>153</v>
      </c>
    </row>
    <row r="6140" spans="1:8" x14ac:dyDescent="0.25">
      <c r="A6140" t="s">
        <v>1135</v>
      </c>
      <c r="B6140" t="s">
        <v>112</v>
      </c>
      <c r="C6140" s="5">
        <v>22947</v>
      </c>
      <c r="D6140" s="5">
        <v>442</v>
      </c>
      <c r="E6140">
        <v>6238</v>
      </c>
      <c r="F6140" s="4" t="s">
        <v>946</v>
      </c>
      <c r="G6140" t="s">
        <v>29</v>
      </c>
      <c r="H6140" t="s">
        <v>947</v>
      </c>
    </row>
    <row r="6141" spans="1:8" x14ac:dyDescent="0.25">
      <c r="A6141" t="s">
        <v>1135</v>
      </c>
      <c r="B6141" t="s">
        <v>109</v>
      </c>
      <c r="C6141" s="5">
        <v>563813</v>
      </c>
      <c r="D6141" s="5">
        <v>4336</v>
      </c>
      <c r="E6141">
        <v>524432</v>
      </c>
      <c r="F6141" s="4" t="s">
        <v>110</v>
      </c>
      <c r="G6141" t="s">
        <v>29</v>
      </c>
      <c r="H6141" t="s">
        <v>111</v>
      </c>
    </row>
    <row r="6142" spans="1:8" x14ac:dyDescent="0.25">
      <c r="A6142" t="s">
        <v>1135</v>
      </c>
      <c r="B6142" t="s">
        <v>106</v>
      </c>
      <c r="C6142" s="5">
        <v>181251</v>
      </c>
      <c r="D6142" s="5">
        <v>2381</v>
      </c>
      <c r="E6142">
        <v>100121</v>
      </c>
      <c r="F6142" s="4" t="s">
        <v>708</v>
      </c>
      <c r="G6142" t="s">
        <v>29</v>
      </c>
      <c r="H6142" t="s">
        <v>709</v>
      </c>
    </row>
    <row r="6143" spans="1:8" x14ac:dyDescent="0.25">
      <c r="A6143" t="s">
        <v>1135</v>
      </c>
      <c r="B6143" t="s">
        <v>103</v>
      </c>
      <c r="C6143" s="5">
        <v>2615</v>
      </c>
      <c r="D6143" s="5">
        <v>3</v>
      </c>
      <c r="E6143">
        <v>2586</v>
      </c>
      <c r="F6143" s="4" t="s">
        <v>104</v>
      </c>
      <c r="G6143" t="s">
        <v>29</v>
      </c>
      <c r="H6143" t="s">
        <v>105</v>
      </c>
    </row>
    <row r="6144" spans="1:8" x14ac:dyDescent="0.25">
      <c r="A6144" t="s">
        <v>1135</v>
      </c>
      <c r="B6144" t="s">
        <v>100</v>
      </c>
      <c r="C6144" s="5">
        <v>21580</v>
      </c>
      <c r="D6144" s="5">
        <v>590</v>
      </c>
      <c r="E6144">
        <v>2378</v>
      </c>
      <c r="F6144" s="4" t="s">
        <v>806</v>
      </c>
      <c r="G6144" t="s">
        <v>29</v>
      </c>
      <c r="H6144" t="s">
        <v>807</v>
      </c>
    </row>
    <row r="6145" spans="1:8" x14ac:dyDescent="0.25">
      <c r="A6145" t="s">
        <v>1135</v>
      </c>
      <c r="B6145" t="s">
        <v>97</v>
      </c>
      <c r="C6145" s="5">
        <v>21597949</v>
      </c>
      <c r="D6145" s="5">
        <v>601574</v>
      </c>
      <c r="E6145">
        <v>18195248</v>
      </c>
      <c r="F6145" s="4" t="s">
        <v>662</v>
      </c>
      <c r="G6145" t="s">
        <v>29</v>
      </c>
      <c r="H6145" t="s">
        <v>663</v>
      </c>
    </row>
    <row r="6146" spans="1:8" x14ac:dyDescent="0.25">
      <c r="A6146" t="s">
        <v>1135</v>
      </c>
      <c r="B6146" t="s">
        <v>94</v>
      </c>
      <c r="C6146" s="5">
        <v>505157</v>
      </c>
      <c r="D6146" s="5">
        <v>18811</v>
      </c>
      <c r="E6146">
        <v>274733</v>
      </c>
      <c r="F6146" s="4" t="s">
        <v>372</v>
      </c>
      <c r="G6146" t="s">
        <v>29</v>
      </c>
      <c r="H6146" t="s">
        <v>373</v>
      </c>
    </row>
    <row r="6147" spans="1:8" x14ac:dyDescent="0.25">
      <c r="A6147" t="s">
        <v>1135</v>
      </c>
      <c r="B6147" t="s">
        <v>91</v>
      </c>
      <c r="C6147" s="5">
        <v>9665</v>
      </c>
      <c r="D6147" s="5">
        <v>67</v>
      </c>
      <c r="E6147">
        <v>3754</v>
      </c>
      <c r="F6147" s="4" t="s">
        <v>180</v>
      </c>
      <c r="G6147" t="s">
        <v>29</v>
      </c>
      <c r="H6147" t="s">
        <v>181</v>
      </c>
    </row>
    <row r="6148" spans="1:8" x14ac:dyDescent="0.25">
      <c r="A6148" t="s">
        <v>1135</v>
      </c>
      <c r="B6148" t="s">
        <v>88</v>
      </c>
      <c r="C6148" s="5">
        <v>1658</v>
      </c>
      <c r="D6148" s="5">
        <v>6</v>
      </c>
      <c r="E6148">
        <v>498</v>
      </c>
      <c r="F6148" s="4" t="s">
        <v>89</v>
      </c>
      <c r="G6148" t="s">
        <v>29</v>
      </c>
      <c r="H6148" t="s">
        <v>90</v>
      </c>
    </row>
    <row r="6149" spans="1:8" x14ac:dyDescent="0.25">
      <c r="A6149" t="s">
        <v>1135</v>
      </c>
      <c r="B6149" t="s">
        <v>85</v>
      </c>
      <c r="C6149" s="5">
        <v>24560</v>
      </c>
      <c r="D6149" s="5">
        <v>161</v>
      </c>
      <c r="E6149">
        <v>23624</v>
      </c>
      <c r="F6149" s="4" t="s">
        <v>162</v>
      </c>
      <c r="G6149" t="s">
        <v>29</v>
      </c>
      <c r="H6149" t="s">
        <v>163</v>
      </c>
    </row>
    <row r="6150" spans="1:8" x14ac:dyDescent="0.25">
      <c r="A6150" t="s">
        <v>1135</v>
      </c>
      <c r="B6150" t="s">
        <v>82</v>
      </c>
      <c r="C6150" s="5">
        <v>19441</v>
      </c>
      <c r="D6150" s="5">
        <v>38</v>
      </c>
      <c r="E6150">
        <v>1281</v>
      </c>
      <c r="F6150" s="4" t="s">
        <v>717</v>
      </c>
      <c r="G6150" t="s">
        <v>29</v>
      </c>
      <c r="H6150" t="s">
        <v>718</v>
      </c>
    </row>
    <row r="6151" spans="1:8" x14ac:dyDescent="0.25">
      <c r="A6151" t="s">
        <v>1135</v>
      </c>
      <c r="B6151" t="s">
        <v>79</v>
      </c>
      <c r="C6151" s="5">
        <v>275862</v>
      </c>
      <c r="D6151" s="5">
        <v>1390</v>
      </c>
      <c r="E6151">
        <v>78571</v>
      </c>
      <c r="F6151" s="4" t="s">
        <v>80</v>
      </c>
      <c r="G6151" t="s">
        <v>29</v>
      </c>
      <c r="H6151" t="s">
        <v>81</v>
      </c>
    </row>
    <row r="6152" spans="1:8" x14ac:dyDescent="0.25">
      <c r="A6152" t="s">
        <v>1135</v>
      </c>
      <c r="B6152" t="s">
        <v>76</v>
      </c>
      <c r="C6152" s="5">
        <v>531129</v>
      </c>
      <c r="D6152" s="5">
        <v>22004</v>
      </c>
      <c r="E6152">
        <v>71401</v>
      </c>
      <c r="F6152" s="4" t="s">
        <v>1125</v>
      </c>
      <c r="G6152" t="s">
        <v>29</v>
      </c>
      <c r="H6152" t="s">
        <v>1126</v>
      </c>
    </row>
    <row r="6153" spans="1:8" x14ac:dyDescent="0.25">
      <c r="A6153" t="s">
        <v>1135</v>
      </c>
      <c r="B6153" t="s">
        <v>73</v>
      </c>
      <c r="C6153" s="5">
        <v>14586</v>
      </c>
      <c r="D6153" s="5">
        <v>203</v>
      </c>
      <c r="E6153">
        <v>10028</v>
      </c>
      <c r="F6153" s="4" t="s">
        <v>208</v>
      </c>
      <c r="G6153" t="s">
        <v>29</v>
      </c>
      <c r="H6153" t="s">
        <v>209</v>
      </c>
    </row>
    <row r="6154" spans="1:8" x14ac:dyDescent="0.25">
      <c r="A6154" t="s">
        <v>1135</v>
      </c>
      <c r="B6154" t="s">
        <v>70</v>
      </c>
      <c r="C6154" s="5">
        <v>1272669</v>
      </c>
      <c r="D6154" s="5">
        <v>25726</v>
      </c>
      <c r="E6154">
        <v>431681</v>
      </c>
      <c r="F6154" s="4" t="s">
        <v>704</v>
      </c>
      <c r="G6154" t="s">
        <v>29</v>
      </c>
      <c r="H6154" t="s">
        <v>705</v>
      </c>
    </row>
    <row r="6155" spans="1:8" x14ac:dyDescent="0.25">
      <c r="A6155" t="s">
        <v>1135</v>
      </c>
      <c r="B6155" t="s">
        <v>67</v>
      </c>
      <c r="C6155" s="5">
        <v>1564019</v>
      </c>
      <c r="D6155" s="5">
        <v>27730</v>
      </c>
      <c r="E6155">
        <v>7255</v>
      </c>
      <c r="F6155" s="4" t="s">
        <v>769</v>
      </c>
      <c r="G6155" t="s">
        <v>29</v>
      </c>
      <c r="H6155" t="s">
        <v>770</v>
      </c>
    </row>
    <row r="6156" spans="1:8" x14ac:dyDescent="0.25">
      <c r="A6156" t="s">
        <v>1135</v>
      </c>
      <c r="B6156" t="s">
        <v>64</v>
      </c>
      <c r="C6156" s="5">
        <v>11785</v>
      </c>
      <c r="D6156" s="5">
        <v>103</v>
      </c>
      <c r="E6156">
        <v>2610</v>
      </c>
      <c r="F6156" s="4" t="s">
        <v>498</v>
      </c>
      <c r="G6156" t="s">
        <v>29</v>
      </c>
      <c r="H6156" t="s">
        <v>499</v>
      </c>
    </row>
    <row r="6157" spans="1:8" x14ac:dyDescent="0.25">
      <c r="A6157" t="s">
        <v>1135</v>
      </c>
      <c r="B6157" t="s">
        <v>61</v>
      </c>
      <c r="C6157" s="5">
        <v>242469</v>
      </c>
      <c r="D6157" s="5">
        <v>11046</v>
      </c>
      <c r="E6157">
        <v>197515</v>
      </c>
      <c r="F6157" s="4" t="s">
        <v>664</v>
      </c>
      <c r="G6157" t="s">
        <v>29</v>
      </c>
      <c r="H6157" t="s">
        <v>665</v>
      </c>
    </row>
    <row r="6158" spans="1:8" x14ac:dyDescent="0.25">
      <c r="A6158" t="s">
        <v>1135</v>
      </c>
      <c r="B6158" t="s">
        <v>58</v>
      </c>
      <c r="C6158" s="5">
        <v>495332</v>
      </c>
      <c r="D6158" s="5">
        <v>6709</v>
      </c>
      <c r="E6158">
        <v>296723</v>
      </c>
      <c r="F6158" s="4" t="s">
        <v>409</v>
      </c>
      <c r="G6158" t="s">
        <v>29</v>
      </c>
      <c r="H6158" t="s">
        <v>410</v>
      </c>
    </row>
    <row r="6159" spans="1:8" x14ac:dyDescent="0.25">
      <c r="A6159" t="s">
        <v>1135</v>
      </c>
      <c r="B6159" t="s">
        <v>55</v>
      </c>
      <c r="C6159" s="5">
        <v>136188</v>
      </c>
      <c r="D6159" s="5">
        <v>1496</v>
      </c>
      <c r="E6159">
        <v>107954</v>
      </c>
      <c r="F6159" s="4" t="s">
        <v>1044</v>
      </c>
      <c r="G6159" t="s">
        <v>29</v>
      </c>
      <c r="H6159" t="s">
        <v>1045</v>
      </c>
    </row>
    <row r="6160" spans="1:8" x14ac:dyDescent="0.25">
      <c r="A6160" t="s">
        <v>1135</v>
      </c>
      <c r="B6160" t="s">
        <v>52</v>
      </c>
      <c r="C6160" s="5">
        <v>766542</v>
      </c>
      <c r="D6160" s="5">
        <v>11135</v>
      </c>
      <c r="E6160">
        <v>681846</v>
      </c>
      <c r="F6160" s="4" t="s">
        <v>342</v>
      </c>
      <c r="G6160" t="s">
        <v>29</v>
      </c>
      <c r="H6160" t="s">
        <v>343</v>
      </c>
    </row>
    <row r="6161" spans="1:8" x14ac:dyDescent="0.25">
      <c r="A6161" t="s">
        <v>1135</v>
      </c>
      <c r="B6161" t="s">
        <v>49</v>
      </c>
      <c r="C6161" s="5">
        <v>5268653</v>
      </c>
      <c r="D6161" s="5">
        <v>115582</v>
      </c>
      <c r="E6161">
        <v>415860</v>
      </c>
      <c r="F6161" s="4" t="s">
        <v>50</v>
      </c>
      <c r="G6161" t="s">
        <v>29</v>
      </c>
      <c r="H6161" t="s">
        <v>51</v>
      </c>
    </row>
    <row r="6162" spans="1:8" x14ac:dyDescent="0.25">
      <c r="A6162" t="s">
        <v>1135</v>
      </c>
      <c r="B6162" t="s">
        <v>46</v>
      </c>
      <c r="C6162" s="5">
        <v>62143</v>
      </c>
      <c r="D6162" s="5">
        <v>1650</v>
      </c>
      <c r="E6162">
        <v>12252</v>
      </c>
      <c r="F6162" s="4" t="s">
        <v>47</v>
      </c>
      <c r="G6162" t="s">
        <v>29</v>
      </c>
      <c r="H6162" t="s">
        <v>48</v>
      </c>
    </row>
    <row r="6163" spans="1:8" x14ac:dyDescent="0.25">
      <c r="A6163" t="s">
        <v>1135</v>
      </c>
      <c r="B6163" t="s">
        <v>43</v>
      </c>
      <c r="C6163" s="5">
        <v>275077</v>
      </c>
      <c r="D6163" s="5">
        <v>5646</v>
      </c>
      <c r="E6163">
        <v>69387</v>
      </c>
      <c r="F6163" s="4" t="s">
        <v>579</v>
      </c>
      <c r="G6163" t="s">
        <v>29</v>
      </c>
      <c r="H6163" t="s">
        <v>580</v>
      </c>
    </row>
    <row r="6164" spans="1:8" x14ac:dyDescent="0.25">
      <c r="A6164" t="s">
        <v>1135</v>
      </c>
      <c r="B6164" t="s">
        <v>40</v>
      </c>
      <c r="C6164" s="5">
        <v>176172</v>
      </c>
      <c r="D6164" s="5">
        <v>2788</v>
      </c>
      <c r="E6164">
        <v>116522</v>
      </c>
      <c r="F6164" s="4" t="s">
        <v>577</v>
      </c>
      <c r="G6164" t="s">
        <v>29</v>
      </c>
      <c r="H6164" t="s">
        <v>578</v>
      </c>
    </row>
    <row r="6165" spans="1:8" x14ac:dyDescent="0.25">
      <c r="A6165" t="s">
        <v>1135</v>
      </c>
      <c r="B6165" t="s">
        <v>37</v>
      </c>
      <c r="C6165" s="5">
        <v>3817</v>
      </c>
      <c r="D6165" s="5">
        <v>93</v>
      </c>
      <c r="E6165">
        <v>1987</v>
      </c>
      <c r="F6165" s="4" t="s">
        <v>934</v>
      </c>
      <c r="G6165" t="s">
        <v>29</v>
      </c>
      <c r="H6165" t="s">
        <v>935</v>
      </c>
    </row>
    <row r="6166" spans="1:8" x14ac:dyDescent="0.25">
      <c r="A6166" t="s">
        <v>1135</v>
      </c>
      <c r="B6166" t="s">
        <v>34</v>
      </c>
      <c r="C6166" s="5">
        <v>155627</v>
      </c>
      <c r="D6166" s="5">
        <v>7234</v>
      </c>
      <c r="E6166">
        <v>51848</v>
      </c>
      <c r="F6166" s="4" t="s">
        <v>900</v>
      </c>
      <c r="G6166" t="s">
        <v>29</v>
      </c>
      <c r="H6166" t="s">
        <v>901</v>
      </c>
    </row>
    <row r="6167" spans="1:8" x14ac:dyDescent="0.25">
      <c r="A6167" t="s">
        <v>1135</v>
      </c>
      <c r="B6167" t="s">
        <v>31</v>
      </c>
      <c r="C6167" s="5">
        <v>738152</v>
      </c>
      <c r="D6167" s="5">
        <v>2116</v>
      </c>
      <c r="E6167">
        <v>628578</v>
      </c>
      <c r="F6167" s="4" t="s">
        <v>32</v>
      </c>
      <c r="G6167" t="s">
        <v>29</v>
      </c>
      <c r="H6167" t="s">
        <v>33</v>
      </c>
    </row>
    <row r="6168" spans="1:8" x14ac:dyDescent="0.25">
      <c r="A6168" t="s">
        <v>1135</v>
      </c>
      <c r="B6168" t="s">
        <v>27</v>
      </c>
      <c r="C6168" s="5">
        <v>15314</v>
      </c>
      <c r="D6168" s="5">
        <v>130</v>
      </c>
      <c r="E6168">
        <v>15174</v>
      </c>
      <c r="F6168" s="4" t="s">
        <v>685</v>
      </c>
      <c r="G6168" t="s">
        <v>29</v>
      </c>
      <c r="H6168" t="s">
        <v>686</v>
      </c>
    </row>
    <row r="6169" spans="1:8" x14ac:dyDescent="0.25">
      <c r="A6169" t="s">
        <v>1150</v>
      </c>
      <c r="B6169" t="s">
        <v>27</v>
      </c>
      <c r="C6169" s="5">
        <v>15307</v>
      </c>
      <c r="D6169" s="5">
        <v>130</v>
      </c>
      <c r="E6169">
        <v>10831</v>
      </c>
      <c r="F6169" s="4" t="s">
        <v>685</v>
      </c>
      <c r="G6169" t="s">
        <v>29</v>
      </c>
      <c r="H6169" t="s">
        <v>686</v>
      </c>
    </row>
    <row r="6170" spans="1:8" x14ac:dyDescent="0.25">
      <c r="A6170" t="s">
        <v>1150</v>
      </c>
      <c r="B6170" t="s">
        <v>31</v>
      </c>
      <c r="C6170" s="5">
        <v>738026</v>
      </c>
      <c r="D6170" s="5">
        <v>2115</v>
      </c>
      <c r="E6170">
        <v>347197</v>
      </c>
      <c r="F6170" s="4" t="s">
        <v>32</v>
      </c>
      <c r="G6170" t="s">
        <v>29</v>
      </c>
      <c r="H6170" t="s">
        <v>33</v>
      </c>
    </row>
    <row r="6171" spans="1:8" x14ac:dyDescent="0.25">
      <c r="A6171" t="s">
        <v>1150</v>
      </c>
      <c r="B6171" t="s">
        <v>34</v>
      </c>
      <c r="C6171" s="5">
        <v>155599</v>
      </c>
      <c r="D6171" s="5">
        <v>7230</v>
      </c>
      <c r="E6171">
        <v>97518</v>
      </c>
      <c r="F6171" s="4" t="s">
        <v>900</v>
      </c>
      <c r="G6171" t="s">
        <v>29</v>
      </c>
      <c r="H6171" t="s">
        <v>901</v>
      </c>
    </row>
    <row r="6172" spans="1:8" x14ac:dyDescent="0.25">
      <c r="A6172" t="s">
        <v>1150</v>
      </c>
      <c r="B6172" t="s">
        <v>37</v>
      </c>
      <c r="C6172" s="5">
        <v>3772</v>
      </c>
      <c r="D6172" s="5">
        <v>93</v>
      </c>
      <c r="E6172">
        <v>2185</v>
      </c>
      <c r="F6172" s="4" t="s">
        <v>961</v>
      </c>
      <c r="G6172" t="s">
        <v>29</v>
      </c>
      <c r="H6172" t="s">
        <v>962</v>
      </c>
    </row>
    <row r="6173" spans="1:8" x14ac:dyDescent="0.25">
      <c r="A6173" t="s">
        <v>1150</v>
      </c>
      <c r="B6173" t="s">
        <v>40</v>
      </c>
      <c r="C6173" s="5">
        <v>175664</v>
      </c>
      <c r="D6173" s="5">
        <v>2783</v>
      </c>
      <c r="E6173">
        <v>100180</v>
      </c>
      <c r="F6173" s="4" t="s">
        <v>577</v>
      </c>
      <c r="G6173" t="s">
        <v>29</v>
      </c>
      <c r="H6173" t="s">
        <v>578</v>
      </c>
    </row>
    <row r="6174" spans="1:8" x14ac:dyDescent="0.25">
      <c r="A6174" t="s">
        <v>1150</v>
      </c>
      <c r="B6174" t="s">
        <v>43</v>
      </c>
      <c r="C6174" s="5">
        <v>273860</v>
      </c>
      <c r="D6174" s="5">
        <v>5618</v>
      </c>
      <c r="E6174">
        <v>139529</v>
      </c>
      <c r="F6174" s="4" t="s">
        <v>579</v>
      </c>
      <c r="G6174" t="s">
        <v>29</v>
      </c>
      <c r="H6174" t="s">
        <v>580</v>
      </c>
    </row>
    <row r="6175" spans="1:8" x14ac:dyDescent="0.25">
      <c r="A6175" t="s">
        <v>1150</v>
      </c>
      <c r="B6175" t="s">
        <v>46</v>
      </c>
      <c r="C6175" s="5">
        <v>61794</v>
      </c>
      <c r="D6175" s="5">
        <v>1642</v>
      </c>
      <c r="E6175">
        <v>43848</v>
      </c>
      <c r="F6175" s="4" t="s">
        <v>47</v>
      </c>
      <c r="G6175" t="s">
        <v>29</v>
      </c>
      <c r="H6175" t="s">
        <v>48</v>
      </c>
    </row>
    <row r="6176" spans="1:8" x14ac:dyDescent="0.25">
      <c r="A6176" t="s">
        <v>1150</v>
      </c>
      <c r="B6176" t="s">
        <v>49</v>
      </c>
      <c r="C6176" s="5">
        <v>5267339</v>
      </c>
      <c r="D6176" s="5">
        <v>115547</v>
      </c>
      <c r="E6176">
        <v>2355761</v>
      </c>
      <c r="F6176" s="4" t="s">
        <v>50</v>
      </c>
      <c r="G6176" t="s">
        <v>29</v>
      </c>
      <c r="H6176" t="s">
        <v>51</v>
      </c>
    </row>
    <row r="6177" spans="1:8" x14ac:dyDescent="0.25">
      <c r="A6177" t="s">
        <v>1150</v>
      </c>
      <c r="B6177" t="s">
        <v>52</v>
      </c>
      <c r="C6177" s="5">
        <v>763928</v>
      </c>
      <c r="D6177" s="5">
        <v>11120</v>
      </c>
      <c r="E6177">
        <v>238781</v>
      </c>
      <c r="F6177" s="4" t="s">
        <v>565</v>
      </c>
      <c r="G6177" t="s">
        <v>29</v>
      </c>
      <c r="H6177" t="s">
        <v>566</v>
      </c>
    </row>
    <row r="6178" spans="1:8" x14ac:dyDescent="0.25">
      <c r="A6178" t="s">
        <v>1150</v>
      </c>
      <c r="B6178" t="s">
        <v>55</v>
      </c>
      <c r="C6178" s="5">
        <v>133444</v>
      </c>
      <c r="D6178" s="5">
        <v>1478</v>
      </c>
      <c r="E6178">
        <v>119889</v>
      </c>
      <c r="F6178" s="4" t="s">
        <v>1098</v>
      </c>
      <c r="G6178" t="s">
        <v>29</v>
      </c>
      <c r="H6178" t="s">
        <v>1099</v>
      </c>
    </row>
    <row r="6179" spans="1:8" x14ac:dyDescent="0.25">
      <c r="A6179" t="s">
        <v>1150</v>
      </c>
      <c r="B6179" t="s">
        <v>58</v>
      </c>
      <c r="C6179" s="5">
        <v>494067</v>
      </c>
      <c r="D6179" s="5">
        <v>6692</v>
      </c>
      <c r="E6179">
        <v>385651</v>
      </c>
      <c r="F6179" s="4" t="s">
        <v>409</v>
      </c>
      <c r="G6179" t="s">
        <v>29</v>
      </c>
      <c r="H6179" t="s">
        <v>410</v>
      </c>
    </row>
    <row r="6180" spans="1:8" x14ac:dyDescent="0.25">
      <c r="A6180" t="s">
        <v>1150</v>
      </c>
      <c r="B6180" t="s">
        <v>61</v>
      </c>
      <c r="C6180" s="5">
        <v>241946</v>
      </c>
      <c r="D6180" s="5">
        <v>11009</v>
      </c>
      <c r="E6180">
        <v>148508</v>
      </c>
      <c r="F6180" s="4" t="s">
        <v>561</v>
      </c>
      <c r="G6180" t="s">
        <v>29</v>
      </c>
      <c r="H6180" t="s">
        <v>562</v>
      </c>
    </row>
    <row r="6181" spans="1:8" x14ac:dyDescent="0.25">
      <c r="A6181" t="s">
        <v>1150</v>
      </c>
      <c r="B6181" t="s">
        <v>64</v>
      </c>
      <c r="C6181" s="5">
        <v>11474</v>
      </c>
      <c r="D6181" s="5">
        <v>101</v>
      </c>
      <c r="E6181">
        <v>865</v>
      </c>
      <c r="F6181" s="4" t="s">
        <v>609</v>
      </c>
      <c r="G6181" t="s">
        <v>29</v>
      </c>
      <c r="H6181" t="s">
        <v>610</v>
      </c>
    </row>
    <row r="6182" spans="1:8" x14ac:dyDescent="0.25">
      <c r="A6182" t="s">
        <v>1150</v>
      </c>
      <c r="B6182" t="s">
        <v>67</v>
      </c>
      <c r="C6182" s="5">
        <v>1563501</v>
      </c>
      <c r="D6182" s="5">
        <v>27713</v>
      </c>
      <c r="E6182">
        <v>728352</v>
      </c>
      <c r="F6182" s="4" t="s">
        <v>769</v>
      </c>
      <c r="G6182" t="s">
        <v>29</v>
      </c>
      <c r="H6182" t="s">
        <v>770</v>
      </c>
    </row>
    <row r="6183" spans="1:8" x14ac:dyDescent="0.25">
      <c r="A6183" t="s">
        <v>1150</v>
      </c>
      <c r="B6183" t="s">
        <v>70</v>
      </c>
      <c r="C6183" s="5">
        <v>1269002</v>
      </c>
      <c r="D6183" s="5">
        <v>25713</v>
      </c>
      <c r="E6183">
        <v>958352</v>
      </c>
      <c r="F6183" s="4" t="s">
        <v>713</v>
      </c>
      <c r="G6183" t="s">
        <v>29</v>
      </c>
      <c r="H6183" t="s">
        <v>714</v>
      </c>
    </row>
    <row r="6184" spans="1:8" x14ac:dyDescent="0.25">
      <c r="A6184" t="s">
        <v>1150</v>
      </c>
      <c r="B6184" t="s">
        <v>73</v>
      </c>
      <c r="C6184" s="5">
        <v>14546</v>
      </c>
      <c r="D6184" s="5">
        <v>200</v>
      </c>
      <c r="E6184">
        <v>11829</v>
      </c>
      <c r="F6184" s="4" t="s">
        <v>391</v>
      </c>
      <c r="G6184" t="s">
        <v>29</v>
      </c>
      <c r="H6184" t="s">
        <v>392</v>
      </c>
    </row>
    <row r="6185" spans="1:8" x14ac:dyDescent="0.25">
      <c r="A6185" t="s">
        <v>1150</v>
      </c>
      <c r="B6185" t="s">
        <v>76</v>
      </c>
      <c r="C6185" s="5">
        <v>527802</v>
      </c>
      <c r="D6185" s="5">
        <v>21906</v>
      </c>
      <c r="E6185">
        <v>262311</v>
      </c>
      <c r="F6185" s="4" t="s">
        <v>1151</v>
      </c>
      <c r="G6185" t="s">
        <v>29</v>
      </c>
      <c r="H6185" t="s">
        <v>1152</v>
      </c>
    </row>
    <row r="6186" spans="1:8" x14ac:dyDescent="0.25">
      <c r="A6186" t="s">
        <v>1150</v>
      </c>
      <c r="B6186" t="s">
        <v>79</v>
      </c>
      <c r="C6186" s="5">
        <v>275803</v>
      </c>
      <c r="D6186" s="5">
        <v>1390</v>
      </c>
      <c r="E6186">
        <v>230424</v>
      </c>
      <c r="F6186" s="4" t="s">
        <v>80</v>
      </c>
      <c r="G6186" t="s">
        <v>29</v>
      </c>
      <c r="H6186" t="s">
        <v>81</v>
      </c>
    </row>
    <row r="6187" spans="1:8" x14ac:dyDescent="0.25">
      <c r="A6187" t="s">
        <v>1150</v>
      </c>
      <c r="B6187" t="s">
        <v>82</v>
      </c>
      <c r="C6187" s="5">
        <v>19334</v>
      </c>
      <c r="D6187" s="5">
        <v>38</v>
      </c>
      <c r="E6187">
        <v>6517</v>
      </c>
      <c r="F6187" s="4" t="s">
        <v>717</v>
      </c>
      <c r="G6187" t="s">
        <v>29</v>
      </c>
      <c r="H6187" t="s">
        <v>718</v>
      </c>
    </row>
    <row r="6188" spans="1:8" x14ac:dyDescent="0.25">
      <c r="A6188" t="s">
        <v>1150</v>
      </c>
      <c r="B6188" t="s">
        <v>85</v>
      </c>
      <c r="C6188" s="5">
        <v>24335</v>
      </c>
      <c r="D6188" s="5">
        <v>159</v>
      </c>
      <c r="E6188">
        <v>13287</v>
      </c>
      <c r="F6188" s="4" t="s">
        <v>86</v>
      </c>
      <c r="G6188" t="s">
        <v>29</v>
      </c>
      <c r="H6188" t="s">
        <v>87</v>
      </c>
    </row>
    <row r="6189" spans="1:8" x14ac:dyDescent="0.25">
      <c r="A6189" t="s">
        <v>1150</v>
      </c>
      <c r="B6189" t="s">
        <v>88</v>
      </c>
      <c r="C6189" s="5">
        <v>1649</v>
      </c>
      <c r="D6189" s="5">
        <v>6</v>
      </c>
      <c r="E6189">
        <v>898</v>
      </c>
      <c r="F6189" s="4" t="s">
        <v>89</v>
      </c>
      <c r="G6189" t="s">
        <v>29</v>
      </c>
      <c r="H6189" t="s">
        <v>90</v>
      </c>
    </row>
    <row r="6190" spans="1:8" x14ac:dyDescent="0.25">
      <c r="A6190" t="s">
        <v>1150</v>
      </c>
      <c r="B6190" t="s">
        <v>91</v>
      </c>
      <c r="C6190" s="5">
        <v>9472</v>
      </c>
      <c r="D6190" s="5">
        <v>64</v>
      </c>
      <c r="E6190">
        <v>2991</v>
      </c>
      <c r="F6190" s="4" t="s">
        <v>605</v>
      </c>
      <c r="G6190" t="s">
        <v>29</v>
      </c>
      <c r="H6190" t="s">
        <v>606</v>
      </c>
    </row>
    <row r="6191" spans="1:8" x14ac:dyDescent="0.25">
      <c r="A6191" t="s">
        <v>1150</v>
      </c>
      <c r="B6191" t="s">
        <v>94</v>
      </c>
      <c r="C6191" s="5">
        <v>504601</v>
      </c>
      <c r="D6191" s="5">
        <v>18806</v>
      </c>
      <c r="E6191">
        <v>178360</v>
      </c>
      <c r="F6191" s="4" t="s">
        <v>779</v>
      </c>
      <c r="G6191" t="s">
        <v>29</v>
      </c>
      <c r="H6191" t="s">
        <v>780</v>
      </c>
    </row>
    <row r="6192" spans="1:8" x14ac:dyDescent="0.25">
      <c r="A6192" t="s">
        <v>1150</v>
      </c>
      <c r="B6192" t="s">
        <v>97</v>
      </c>
      <c r="C6192" s="5">
        <v>21590097</v>
      </c>
      <c r="D6192" s="5">
        <v>601398</v>
      </c>
      <c r="E6192">
        <v>11659892</v>
      </c>
      <c r="F6192" s="4" t="s">
        <v>662</v>
      </c>
      <c r="G6192" t="s">
        <v>29</v>
      </c>
      <c r="H6192" t="s">
        <v>663</v>
      </c>
    </row>
    <row r="6193" spans="1:8" x14ac:dyDescent="0.25">
      <c r="A6193" t="s">
        <v>1150</v>
      </c>
      <c r="B6193" t="s">
        <v>100</v>
      </c>
      <c r="C6193" s="5">
        <v>21580</v>
      </c>
      <c r="D6193" s="5">
        <v>590</v>
      </c>
      <c r="E6193">
        <v>20195</v>
      </c>
      <c r="F6193" s="4" t="s">
        <v>806</v>
      </c>
      <c r="G6193" t="s">
        <v>29</v>
      </c>
      <c r="H6193" t="s">
        <v>807</v>
      </c>
    </row>
    <row r="6194" spans="1:8" x14ac:dyDescent="0.25">
      <c r="A6194" t="s">
        <v>1150</v>
      </c>
      <c r="B6194" t="s">
        <v>103</v>
      </c>
      <c r="C6194" s="5">
        <v>2613</v>
      </c>
      <c r="D6194" s="5">
        <v>3</v>
      </c>
      <c r="E6194">
        <v>877</v>
      </c>
      <c r="F6194" s="4" t="s">
        <v>104</v>
      </c>
      <c r="G6194" t="s">
        <v>29</v>
      </c>
      <c r="H6194" t="s">
        <v>105</v>
      </c>
    </row>
    <row r="6195" spans="1:8" x14ac:dyDescent="0.25">
      <c r="A6195" t="s">
        <v>1150</v>
      </c>
      <c r="B6195" t="s">
        <v>106</v>
      </c>
      <c r="C6195" s="5">
        <v>181251</v>
      </c>
      <c r="D6195" s="5">
        <v>2381</v>
      </c>
      <c r="E6195">
        <v>126893</v>
      </c>
      <c r="F6195" s="4" t="s">
        <v>708</v>
      </c>
      <c r="G6195" t="s">
        <v>29</v>
      </c>
      <c r="H6195" t="s">
        <v>709</v>
      </c>
    </row>
    <row r="6196" spans="1:8" x14ac:dyDescent="0.25">
      <c r="A6196" t="s">
        <v>1150</v>
      </c>
      <c r="B6196" t="s">
        <v>109</v>
      </c>
      <c r="C6196" s="5">
        <v>561753</v>
      </c>
      <c r="D6196" s="5">
        <v>4319</v>
      </c>
      <c r="E6196">
        <v>85685</v>
      </c>
      <c r="F6196" s="4" t="s">
        <v>110</v>
      </c>
      <c r="G6196" t="s">
        <v>29</v>
      </c>
      <c r="H6196" t="s">
        <v>111</v>
      </c>
    </row>
    <row r="6197" spans="1:8" x14ac:dyDescent="0.25">
      <c r="A6197" t="s">
        <v>1150</v>
      </c>
      <c r="B6197" t="s">
        <v>112</v>
      </c>
      <c r="C6197" s="5">
        <v>22187</v>
      </c>
      <c r="D6197" s="5">
        <v>427</v>
      </c>
      <c r="E6197">
        <v>19061</v>
      </c>
      <c r="F6197" s="4" t="s">
        <v>721</v>
      </c>
      <c r="G6197" t="s">
        <v>29</v>
      </c>
      <c r="H6197" t="s">
        <v>722</v>
      </c>
    </row>
    <row r="6198" spans="1:8" x14ac:dyDescent="0.25">
      <c r="A6198" t="s">
        <v>1150</v>
      </c>
      <c r="B6198" t="s">
        <v>115</v>
      </c>
      <c r="C6198" s="5">
        <v>1675805</v>
      </c>
      <c r="D6198" s="5">
        <v>28343</v>
      </c>
      <c r="E6198">
        <v>538609</v>
      </c>
      <c r="F6198" s="4" t="s">
        <v>152</v>
      </c>
      <c r="G6198" t="s">
        <v>29</v>
      </c>
      <c r="H6198" t="s">
        <v>153</v>
      </c>
    </row>
    <row r="6199" spans="1:8" x14ac:dyDescent="0.25">
      <c r="A6199" t="s">
        <v>1150</v>
      </c>
      <c r="B6199" t="s">
        <v>118</v>
      </c>
      <c r="C6199" s="5">
        <v>57247</v>
      </c>
      <c r="D6199" s="5">
        <v>1087</v>
      </c>
      <c r="E6199">
        <v>32390</v>
      </c>
      <c r="F6199" s="4" t="s">
        <v>652</v>
      </c>
      <c r="G6199" t="s">
        <v>29</v>
      </c>
      <c r="H6199" t="s">
        <v>653</v>
      </c>
    </row>
    <row r="6200" spans="1:8" x14ac:dyDescent="0.25">
      <c r="A6200" t="s">
        <v>1150</v>
      </c>
      <c r="B6200" t="s">
        <v>121</v>
      </c>
      <c r="C6200" s="5">
        <v>11401</v>
      </c>
      <c r="D6200" s="5">
        <v>100</v>
      </c>
      <c r="E6200">
        <v>757</v>
      </c>
      <c r="F6200" s="4" t="s">
        <v>609</v>
      </c>
      <c r="G6200" t="s">
        <v>29</v>
      </c>
      <c r="H6200" t="s">
        <v>610</v>
      </c>
    </row>
    <row r="6201" spans="1:8" x14ac:dyDescent="0.25">
      <c r="A6201" t="s">
        <v>1150</v>
      </c>
      <c r="B6201" t="s">
        <v>124</v>
      </c>
      <c r="C6201" s="5">
        <v>15255</v>
      </c>
      <c r="D6201" s="5">
        <v>219</v>
      </c>
      <c r="E6201">
        <v>7698</v>
      </c>
      <c r="F6201" s="4" t="s">
        <v>330</v>
      </c>
      <c r="G6201" t="s">
        <v>29</v>
      </c>
      <c r="H6201" t="s">
        <v>331</v>
      </c>
    </row>
    <row r="6202" spans="1:8" x14ac:dyDescent="0.25">
      <c r="A6202" t="s">
        <v>1150</v>
      </c>
      <c r="B6202" t="s">
        <v>127</v>
      </c>
      <c r="C6202" s="5">
        <v>851610</v>
      </c>
      <c r="D6202" s="5">
        <v>11140</v>
      </c>
      <c r="E6202">
        <v>14928</v>
      </c>
      <c r="F6202" s="4" t="s">
        <v>708</v>
      </c>
      <c r="G6202" t="s">
        <v>29</v>
      </c>
      <c r="H6202" t="s">
        <v>709</v>
      </c>
    </row>
    <row r="6203" spans="1:8" x14ac:dyDescent="0.25">
      <c r="A6203" t="s">
        <v>1150</v>
      </c>
      <c r="B6203" t="s">
        <v>128</v>
      </c>
      <c r="C6203" s="5">
        <v>60878</v>
      </c>
      <c r="D6203" s="5">
        <v>672</v>
      </c>
      <c r="E6203">
        <v>23118</v>
      </c>
      <c r="F6203" s="4" t="s">
        <v>1044</v>
      </c>
      <c r="G6203" t="s">
        <v>29</v>
      </c>
      <c r="H6203" t="s">
        <v>1045</v>
      </c>
    </row>
    <row r="6204" spans="1:8" x14ac:dyDescent="0.25">
      <c r="A6204" t="s">
        <v>1150</v>
      </c>
      <c r="B6204" t="s">
        <v>131</v>
      </c>
      <c r="C6204" s="5">
        <v>1663992</v>
      </c>
      <c r="D6204" s="5">
        <v>37574</v>
      </c>
      <c r="E6204">
        <v>529282</v>
      </c>
      <c r="F6204" s="4" t="s">
        <v>469</v>
      </c>
      <c r="G6204" t="s">
        <v>29</v>
      </c>
      <c r="H6204" t="s">
        <v>470</v>
      </c>
    </row>
    <row r="6205" spans="1:8" x14ac:dyDescent="0.25">
      <c r="A6205" t="s">
        <v>1150</v>
      </c>
      <c r="B6205" t="s">
        <v>134</v>
      </c>
      <c r="C6205" s="5">
        <v>95399</v>
      </c>
      <c r="D6205" s="5">
        <v>1517</v>
      </c>
      <c r="E6205">
        <v>43346</v>
      </c>
      <c r="F6205" s="4" t="s">
        <v>361</v>
      </c>
      <c r="G6205" t="s">
        <v>29</v>
      </c>
      <c r="H6205" t="s">
        <v>362</v>
      </c>
    </row>
    <row r="6206" spans="1:8" x14ac:dyDescent="0.25">
      <c r="A6206" t="s">
        <v>1150</v>
      </c>
      <c r="B6206" t="s">
        <v>137</v>
      </c>
      <c r="C6206" s="5">
        <v>96457</v>
      </c>
      <c r="D6206" s="5">
        <v>4636</v>
      </c>
      <c r="E6206">
        <v>40598</v>
      </c>
      <c r="F6206" s="4" t="s">
        <v>1153</v>
      </c>
      <c r="G6206" t="s">
        <v>29</v>
      </c>
      <c r="H6206" t="s">
        <v>1154</v>
      </c>
    </row>
    <row r="6207" spans="1:8" x14ac:dyDescent="0.25">
      <c r="A6207" t="s">
        <v>1150</v>
      </c>
      <c r="B6207" t="s">
        <v>140</v>
      </c>
      <c r="C6207" s="5">
        <v>4974400</v>
      </c>
      <c r="D6207" s="5">
        <v>126692</v>
      </c>
      <c r="E6207">
        <v>4209791</v>
      </c>
      <c r="F6207" s="4" t="s">
        <v>513</v>
      </c>
      <c r="G6207" t="s">
        <v>29</v>
      </c>
      <c r="H6207" t="s">
        <v>514</v>
      </c>
    </row>
    <row r="6208" spans="1:8" x14ac:dyDescent="0.25">
      <c r="A6208" t="s">
        <v>1150</v>
      </c>
      <c r="B6208" t="s">
        <v>143</v>
      </c>
      <c r="C6208" s="5">
        <v>547914</v>
      </c>
      <c r="D6208" s="5">
        <v>6718</v>
      </c>
      <c r="E6208">
        <v>127109</v>
      </c>
      <c r="F6208" s="4" t="s">
        <v>798</v>
      </c>
      <c r="G6208" t="s">
        <v>29</v>
      </c>
      <c r="H6208" t="s">
        <v>799</v>
      </c>
    </row>
    <row r="6209" spans="1:8" x14ac:dyDescent="0.25">
      <c r="A6209" t="s">
        <v>1150</v>
      </c>
      <c r="B6209" t="s">
        <v>144</v>
      </c>
      <c r="C6209" s="5">
        <v>923966</v>
      </c>
      <c r="D6209" s="5">
        <v>7928</v>
      </c>
      <c r="E6209">
        <v>606846</v>
      </c>
      <c r="F6209" s="4" t="s">
        <v>122</v>
      </c>
      <c r="G6209" t="s">
        <v>29</v>
      </c>
      <c r="H6209" t="s">
        <v>123</v>
      </c>
    </row>
    <row r="6210" spans="1:8" x14ac:dyDescent="0.25">
      <c r="A6210" t="s">
        <v>1150</v>
      </c>
      <c r="B6210" t="s">
        <v>145</v>
      </c>
      <c r="C6210" s="5">
        <v>37920</v>
      </c>
      <c r="D6210" s="5">
        <v>347</v>
      </c>
      <c r="E6210">
        <v>10476</v>
      </c>
      <c r="F6210" s="4" t="s">
        <v>214</v>
      </c>
      <c r="G6210" t="s">
        <v>29</v>
      </c>
      <c r="H6210" t="s">
        <v>215</v>
      </c>
    </row>
    <row r="6211" spans="1:8" x14ac:dyDescent="0.25">
      <c r="A6211" t="s">
        <v>1150</v>
      </c>
      <c r="B6211" t="s">
        <v>148</v>
      </c>
      <c r="C6211" s="5">
        <v>121534</v>
      </c>
      <c r="D6211" s="5">
        <v>560</v>
      </c>
      <c r="E6211">
        <v>41969</v>
      </c>
      <c r="F6211" s="4" t="s">
        <v>149</v>
      </c>
      <c r="G6211" t="s">
        <v>29</v>
      </c>
      <c r="H6211" t="s">
        <v>150</v>
      </c>
    </row>
    <row r="6212" spans="1:8" x14ac:dyDescent="0.25">
      <c r="A6212" t="s">
        <v>1150</v>
      </c>
      <c r="B6212" t="s">
        <v>151</v>
      </c>
      <c r="C6212" s="5">
        <v>1704003</v>
      </c>
      <c r="D6212" s="5">
        <v>30512</v>
      </c>
      <c r="E6212">
        <v>282920</v>
      </c>
      <c r="F6212" s="4" t="s">
        <v>71</v>
      </c>
      <c r="G6212" t="s">
        <v>29</v>
      </c>
      <c r="H6212" t="s">
        <v>72</v>
      </c>
    </row>
    <row r="6213" spans="1:8" x14ac:dyDescent="0.25">
      <c r="A6213" t="s">
        <v>1150</v>
      </c>
      <c r="B6213" t="s">
        <v>154</v>
      </c>
      <c r="C6213" s="5">
        <v>4331274</v>
      </c>
      <c r="D6213" s="5">
        <v>94393</v>
      </c>
      <c r="E6213">
        <v>3787987</v>
      </c>
      <c r="F6213" s="4" t="s">
        <v>984</v>
      </c>
      <c r="G6213" t="s">
        <v>29</v>
      </c>
      <c r="H6213" t="s">
        <v>985</v>
      </c>
    </row>
    <row r="6214" spans="1:8" x14ac:dyDescent="0.25">
      <c r="A6214" t="s">
        <v>1150</v>
      </c>
      <c r="B6214" t="s">
        <v>157</v>
      </c>
      <c r="C6214" s="5">
        <v>13320</v>
      </c>
      <c r="D6214" s="5">
        <v>178</v>
      </c>
      <c r="E6214">
        <v>8159</v>
      </c>
      <c r="F6214" s="4" t="s">
        <v>264</v>
      </c>
      <c r="G6214" t="s">
        <v>29</v>
      </c>
      <c r="H6214" t="s">
        <v>265</v>
      </c>
    </row>
    <row r="6215" spans="1:8" x14ac:dyDescent="0.25">
      <c r="A6215" t="s">
        <v>1150</v>
      </c>
      <c r="B6215" t="s">
        <v>160</v>
      </c>
      <c r="C6215" s="5">
        <v>365681</v>
      </c>
      <c r="D6215" s="5">
        <v>2674</v>
      </c>
      <c r="E6215">
        <v>209817</v>
      </c>
      <c r="F6215" s="4" t="s">
        <v>187</v>
      </c>
      <c r="G6215" t="s">
        <v>29</v>
      </c>
      <c r="H6215" t="s">
        <v>188</v>
      </c>
    </row>
    <row r="6216" spans="1:8" x14ac:dyDescent="0.25">
      <c r="A6216" t="s">
        <v>1150</v>
      </c>
      <c r="B6216" t="s">
        <v>161</v>
      </c>
      <c r="C6216" s="5">
        <v>4086</v>
      </c>
      <c r="D6216" s="5">
        <v>27</v>
      </c>
      <c r="E6216">
        <v>3004</v>
      </c>
      <c r="F6216" s="4" t="s">
        <v>162</v>
      </c>
      <c r="G6216" t="s">
        <v>29</v>
      </c>
      <c r="H6216" t="s">
        <v>163</v>
      </c>
    </row>
    <row r="6217" spans="1:8" x14ac:dyDescent="0.25">
      <c r="A6217" t="s">
        <v>1150</v>
      </c>
      <c r="B6217" t="s">
        <v>164</v>
      </c>
      <c r="C6217" s="5">
        <v>366711</v>
      </c>
      <c r="D6217" s="5">
        <v>4072</v>
      </c>
      <c r="E6217">
        <v>301223</v>
      </c>
      <c r="F6217" s="4" t="s">
        <v>1098</v>
      </c>
      <c r="G6217" t="s">
        <v>29</v>
      </c>
      <c r="H6217" t="s">
        <v>1099</v>
      </c>
    </row>
    <row r="6218" spans="1:8" x14ac:dyDescent="0.25">
      <c r="A6218" t="s">
        <v>1150</v>
      </c>
      <c r="B6218" t="s">
        <v>167</v>
      </c>
      <c r="C6218" s="5">
        <v>204790</v>
      </c>
      <c r="D6218" s="5">
        <v>5859</v>
      </c>
      <c r="E6218">
        <v>137768</v>
      </c>
      <c r="F6218" s="4" t="s">
        <v>955</v>
      </c>
      <c r="G6218" t="s">
        <v>29</v>
      </c>
      <c r="H6218" t="s">
        <v>956</v>
      </c>
    </row>
    <row r="6219" spans="1:8" x14ac:dyDescent="0.25">
      <c r="A6219" t="s">
        <v>1150</v>
      </c>
      <c r="B6219" t="s">
        <v>170</v>
      </c>
      <c r="C6219" s="5">
        <v>512071</v>
      </c>
      <c r="D6219" s="5">
        <v>32848</v>
      </c>
      <c r="E6219">
        <v>193461</v>
      </c>
      <c r="F6219" s="4" t="s">
        <v>1020</v>
      </c>
      <c r="G6219" t="s">
        <v>29</v>
      </c>
      <c r="H6219" t="s">
        <v>1021</v>
      </c>
    </row>
    <row r="6220" spans="1:8" x14ac:dyDescent="0.25">
      <c r="A6220" t="s">
        <v>1150</v>
      </c>
      <c r="B6220" t="s">
        <v>173</v>
      </c>
      <c r="C6220" s="5">
        <v>166601</v>
      </c>
      <c r="D6220" s="5">
        <v>1402</v>
      </c>
      <c r="E6220">
        <v>110013</v>
      </c>
      <c r="F6220" s="4" t="s">
        <v>397</v>
      </c>
      <c r="G6220" t="s">
        <v>29</v>
      </c>
      <c r="H6220" t="s">
        <v>398</v>
      </c>
    </row>
    <row r="6221" spans="1:8" x14ac:dyDescent="0.25">
      <c r="A6221" t="s">
        <v>1150</v>
      </c>
      <c r="B6221" t="s">
        <v>176</v>
      </c>
      <c r="C6221" s="5">
        <v>314116</v>
      </c>
      <c r="D6221" s="5">
        <v>17765</v>
      </c>
      <c r="E6221">
        <v>83939</v>
      </c>
      <c r="F6221" s="4" t="s">
        <v>177</v>
      </c>
      <c r="G6221" t="s">
        <v>29</v>
      </c>
      <c r="H6221" t="s">
        <v>178</v>
      </c>
    </row>
    <row r="6222" spans="1:8" x14ac:dyDescent="0.25">
      <c r="A6222" t="s">
        <v>1150</v>
      </c>
      <c r="B6222" t="s">
        <v>179</v>
      </c>
      <c r="C6222" s="5">
        <v>6758</v>
      </c>
      <c r="D6222" s="5">
        <v>43</v>
      </c>
      <c r="E6222">
        <v>230</v>
      </c>
      <c r="F6222" s="4" t="s">
        <v>953</v>
      </c>
      <c r="G6222" t="s">
        <v>29</v>
      </c>
      <c r="H6222" t="s">
        <v>954</v>
      </c>
    </row>
    <row r="6223" spans="1:8" x14ac:dyDescent="0.25">
      <c r="A6223" t="s">
        <v>1150</v>
      </c>
      <c r="B6223" t="s">
        <v>182</v>
      </c>
      <c r="C6223" s="5">
        <v>4977448</v>
      </c>
      <c r="D6223" s="5">
        <v>86827</v>
      </c>
      <c r="E6223">
        <v>3971749</v>
      </c>
      <c r="F6223" s="4" t="s">
        <v>183</v>
      </c>
      <c r="G6223" t="s">
        <v>29</v>
      </c>
      <c r="H6223" t="s">
        <v>184</v>
      </c>
    </row>
    <row r="6224" spans="1:8" x14ac:dyDescent="0.25">
      <c r="A6224" t="s">
        <v>1150</v>
      </c>
      <c r="B6224" t="s">
        <v>185</v>
      </c>
      <c r="C6224" s="5">
        <v>355843</v>
      </c>
      <c r="D6224" s="5">
        <v>6066</v>
      </c>
      <c r="E6224">
        <v>105003</v>
      </c>
      <c r="F6224" s="4" t="s">
        <v>125</v>
      </c>
      <c r="G6224" t="s">
        <v>29</v>
      </c>
      <c r="H6224" t="s">
        <v>126</v>
      </c>
    </row>
    <row r="6225" spans="1:8" x14ac:dyDescent="0.25">
      <c r="A6225" t="s">
        <v>1150</v>
      </c>
      <c r="B6225" t="s">
        <v>186</v>
      </c>
      <c r="C6225" s="5">
        <v>147919</v>
      </c>
      <c r="D6225" s="5">
        <v>1109</v>
      </c>
      <c r="E6225">
        <v>77098</v>
      </c>
      <c r="F6225" s="4" t="s">
        <v>1127</v>
      </c>
      <c r="G6225" t="s">
        <v>29</v>
      </c>
      <c r="H6225" t="s">
        <v>1128</v>
      </c>
    </row>
    <row r="6226" spans="1:8" x14ac:dyDescent="0.25">
      <c r="A6226" t="s">
        <v>1150</v>
      </c>
      <c r="B6226" t="s">
        <v>189</v>
      </c>
      <c r="C6226" s="5">
        <v>51535</v>
      </c>
      <c r="D6226" s="5">
        <v>653</v>
      </c>
      <c r="E6226">
        <v>4296</v>
      </c>
      <c r="F6226" s="4" t="s">
        <v>53</v>
      </c>
      <c r="G6226" t="s">
        <v>29</v>
      </c>
      <c r="H6226" t="s">
        <v>54</v>
      </c>
    </row>
    <row r="6227" spans="1:8" x14ac:dyDescent="0.25">
      <c r="A6227" t="s">
        <v>1150</v>
      </c>
      <c r="B6227" t="s">
        <v>192</v>
      </c>
      <c r="C6227" s="5">
        <v>1311</v>
      </c>
      <c r="D6227" s="5">
        <v>2</v>
      </c>
      <c r="E6227">
        <v>339</v>
      </c>
      <c r="F6227" s="4" t="s">
        <v>915</v>
      </c>
      <c r="G6227" t="s">
        <v>29</v>
      </c>
      <c r="H6227" t="s">
        <v>916</v>
      </c>
    </row>
    <row r="6228" spans="1:8" x14ac:dyDescent="0.25">
      <c r="A6228" t="s">
        <v>1150</v>
      </c>
      <c r="B6228" t="s">
        <v>195</v>
      </c>
      <c r="C6228" s="5">
        <v>6891105</v>
      </c>
      <c r="D6228" s="5">
        <v>114867</v>
      </c>
      <c r="E6228">
        <v>1540160</v>
      </c>
      <c r="F6228" s="4" t="s">
        <v>827</v>
      </c>
      <c r="G6228" t="s">
        <v>29</v>
      </c>
      <c r="H6228" t="s">
        <v>828</v>
      </c>
    </row>
    <row r="6229" spans="1:8" x14ac:dyDescent="0.25">
      <c r="A6229" t="s">
        <v>1150</v>
      </c>
      <c r="B6229" t="s">
        <v>198</v>
      </c>
      <c r="C6229" s="5">
        <v>32576</v>
      </c>
      <c r="D6229" s="5">
        <v>205</v>
      </c>
      <c r="E6229">
        <v>19347</v>
      </c>
      <c r="F6229" s="4" t="s">
        <v>1129</v>
      </c>
      <c r="G6229" t="s">
        <v>29</v>
      </c>
      <c r="H6229" t="s">
        <v>1130</v>
      </c>
    </row>
    <row r="6230" spans="1:8" x14ac:dyDescent="0.25">
      <c r="A6230" t="s">
        <v>1150</v>
      </c>
      <c r="B6230" t="s">
        <v>201</v>
      </c>
      <c r="C6230" s="5">
        <v>8264500</v>
      </c>
      <c r="D6230" s="5">
        <v>138254</v>
      </c>
      <c r="E6230">
        <v>8051674</v>
      </c>
      <c r="F6230" s="4" t="s">
        <v>827</v>
      </c>
      <c r="G6230" t="s">
        <v>29</v>
      </c>
      <c r="H6230" t="s">
        <v>828</v>
      </c>
    </row>
    <row r="6231" spans="1:8" x14ac:dyDescent="0.25">
      <c r="A6231" t="s">
        <v>1150</v>
      </c>
      <c r="B6231" t="s">
        <v>207</v>
      </c>
      <c r="C6231" s="5">
        <v>640358</v>
      </c>
      <c r="D6231" s="5">
        <v>9306</v>
      </c>
      <c r="E6231">
        <v>3770</v>
      </c>
      <c r="F6231" s="4" t="s">
        <v>342</v>
      </c>
      <c r="G6231" t="s">
        <v>29</v>
      </c>
      <c r="H6231" t="s">
        <v>343</v>
      </c>
    </row>
    <row r="6232" spans="1:8" x14ac:dyDescent="0.25">
      <c r="A6232" t="s">
        <v>1150</v>
      </c>
      <c r="B6232" t="s">
        <v>204</v>
      </c>
      <c r="C6232" s="5">
        <v>5653</v>
      </c>
      <c r="D6232" s="5">
        <v>183</v>
      </c>
      <c r="E6232">
        <v>4214</v>
      </c>
      <c r="F6232" s="4" t="s">
        <v>735</v>
      </c>
      <c r="G6232" t="s">
        <v>29</v>
      </c>
      <c r="H6232" t="s">
        <v>736</v>
      </c>
    </row>
    <row r="6233" spans="1:8" x14ac:dyDescent="0.25">
      <c r="A6233" t="s">
        <v>1150</v>
      </c>
      <c r="B6233" t="s">
        <v>210</v>
      </c>
      <c r="C6233" s="5">
        <v>42157</v>
      </c>
      <c r="D6233" s="5">
        <v>281</v>
      </c>
      <c r="E6233">
        <v>25663</v>
      </c>
      <c r="F6233" s="4" t="s">
        <v>92</v>
      </c>
      <c r="G6233" t="s">
        <v>29</v>
      </c>
      <c r="H6233" t="s">
        <v>93</v>
      </c>
    </row>
    <row r="6234" spans="1:8" x14ac:dyDescent="0.25">
      <c r="A6234" t="s">
        <v>1150</v>
      </c>
      <c r="B6234" t="s">
        <v>213</v>
      </c>
      <c r="C6234" s="5">
        <v>128368</v>
      </c>
      <c r="D6234" s="5">
        <v>1158</v>
      </c>
      <c r="E6234">
        <v>96115</v>
      </c>
      <c r="F6234" s="4" t="s">
        <v>667</v>
      </c>
      <c r="G6234" t="s">
        <v>29</v>
      </c>
      <c r="H6234" t="s">
        <v>668</v>
      </c>
    </row>
    <row r="6235" spans="1:8" x14ac:dyDescent="0.25">
      <c r="A6235" t="s">
        <v>1150</v>
      </c>
      <c r="B6235" t="s">
        <v>216</v>
      </c>
      <c r="C6235" s="5">
        <v>5682</v>
      </c>
      <c r="D6235" s="5">
        <v>97</v>
      </c>
      <c r="E6235">
        <v>1756</v>
      </c>
      <c r="F6235" s="4" t="s">
        <v>658</v>
      </c>
      <c r="G6235" t="s">
        <v>29</v>
      </c>
      <c r="H6235" t="s">
        <v>659</v>
      </c>
    </row>
    <row r="6236" spans="1:8" x14ac:dyDescent="0.25">
      <c r="A6236" t="s">
        <v>1150</v>
      </c>
      <c r="B6236" t="s">
        <v>222</v>
      </c>
      <c r="C6236" s="5">
        <v>30526</v>
      </c>
      <c r="D6236" s="5">
        <v>383</v>
      </c>
      <c r="E6236">
        <v>4734</v>
      </c>
      <c r="F6236" s="4" t="s">
        <v>107</v>
      </c>
      <c r="G6236" t="s">
        <v>29</v>
      </c>
      <c r="H6236" t="s">
        <v>108</v>
      </c>
    </row>
    <row r="6237" spans="1:8" x14ac:dyDescent="0.25">
      <c r="A6237" t="s">
        <v>1150</v>
      </c>
      <c r="B6237" t="s">
        <v>219</v>
      </c>
      <c r="C6237" s="5">
        <v>9943</v>
      </c>
      <c r="D6237" s="5">
        <v>339</v>
      </c>
      <c r="E6237">
        <v>3742</v>
      </c>
      <c r="F6237" s="4" t="s">
        <v>205</v>
      </c>
      <c r="G6237" t="s">
        <v>29</v>
      </c>
      <c r="H6237" t="s">
        <v>206</v>
      </c>
    </row>
    <row r="6238" spans="1:8" x14ac:dyDescent="0.25">
      <c r="A6238" t="s">
        <v>1150</v>
      </c>
      <c r="B6238" t="s">
        <v>225</v>
      </c>
      <c r="C6238" s="5">
        <v>53544</v>
      </c>
      <c r="D6238" s="5">
        <v>785</v>
      </c>
      <c r="E6238">
        <v>25328</v>
      </c>
      <c r="F6238" s="4" t="s">
        <v>777</v>
      </c>
      <c r="G6238" t="s">
        <v>29</v>
      </c>
      <c r="H6238" t="s">
        <v>778</v>
      </c>
    </row>
    <row r="6239" spans="1:8" x14ac:dyDescent="0.25">
      <c r="A6239" t="s">
        <v>1150</v>
      </c>
      <c r="B6239" t="s">
        <v>228</v>
      </c>
      <c r="C6239" s="5">
        <v>12786</v>
      </c>
      <c r="D6239" s="5">
        <v>155</v>
      </c>
      <c r="E6239">
        <v>2843</v>
      </c>
      <c r="F6239" s="4" t="s">
        <v>775</v>
      </c>
      <c r="G6239" t="s">
        <v>29</v>
      </c>
      <c r="H6239" t="s">
        <v>776</v>
      </c>
    </row>
    <row r="6240" spans="1:8" x14ac:dyDescent="0.25">
      <c r="A6240" t="s">
        <v>1150</v>
      </c>
      <c r="B6240" t="s">
        <v>229</v>
      </c>
      <c r="C6240" s="5">
        <v>682394</v>
      </c>
      <c r="D6240" s="5">
        <v>15210</v>
      </c>
      <c r="E6240">
        <v>424375</v>
      </c>
      <c r="F6240" s="4" t="s">
        <v>421</v>
      </c>
      <c r="G6240" t="s">
        <v>29</v>
      </c>
      <c r="H6240" t="s">
        <v>422</v>
      </c>
    </row>
    <row r="6241" spans="1:8" x14ac:dyDescent="0.25">
      <c r="A6241" t="s">
        <v>1150</v>
      </c>
      <c r="B6241" t="s">
        <v>232</v>
      </c>
      <c r="C6241" s="5">
        <v>581498</v>
      </c>
      <c r="D6241" s="5">
        <v>14118</v>
      </c>
      <c r="E6241">
        <v>459184</v>
      </c>
      <c r="F6241" s="4" t="s">
        <v>917</v>
      </c>
      <c r="G6241" t="s">
        <v>29</v>
      </c>
      <c r="H6241" t="s">
        <v>918</v>
      </c>
    </row>
    <row r="6242" spans="1:8" x14ac:dyDescent="0.25">
      <c r="A6242" t="s">
        <v>1150</v>
      </c>
      <c r="B6242" t="s">
        <v>233</v>
      </c>
      <c r="C6242" s="5">
        <v>6121</v>
      </c>
      <c r="D6242" s="5">
        <v>141</v>
      </c>
      <c r="E6242">
        <v>2796</v>
      </c>
      <c r="F6242" s="4" t="s">
        <v>619</v>
      </c>
      <c r="G6242" t="s">
        <v>29</v>
      </c>
      <c r="H6242" t="s">
        <v>620</v>
      </c>
    </row>
    <row r="6243" spans="1:8" x14ac:dyDescent="0.25">
      <c r="A6243" t="s">
        <v>1150</v>
      </c>
      <c r="B6243" t="s">
        <v>236</v>
      </c>
      <c r="C6243" s="5">
        <v>33823</v>
      </c>
      <c r="D6243" s="5">
        <v>848</v>
      </c>
      <c r="E6243">
        <v>1912</v>
      </c>
      <c r="F6243" s="4" t="s">
        <v>700</v>
      </c>
      <c r="G6243" t="s">
        <v>29</v>
      </c>
      <c r="H6243" t="s">
        <v>701</v>
      </c>
    </row>
    <row r="6244" spans="1:8" x14ac:dyDescent="0.25">
      <c r="A6244" t="s">
        <v>1150</v>
      </c>
      <c r="B6244" t="s">
        <v>239</v>
      </c>
      <c r="C6244" s="5">
        <v>12272</v>
      </c>
      <c r="D6244" s="5">
        <v>213</v>
      </c>
      <c r="E6244">
        <v>3793</v>
      </c>
      <c r="F6244" s="4" t="s">
        <v>183</v>
      </c>
      <c r="G6244" t="s">
        <v>29</v>
      </c>
      <c r="H6244" t="s">
        <v>184</v>
      </c>
    </row>
    <row r="6245" spans="1:8" x14ac:dyDescent="0.25">
      <c r="A6245" t="s">
        <v>1150</v>
      </c>
      <c r="B6245" t="s">
        <v>242</v>
      </c>
      <c r="C6245" s="5">
        <v>370968</v>
      </c>
      <c r="D6245" s="5">
        <v>10044</v>
      </c>
      <c r="E6245">
        <v>183754</v>
      </c>
      <c r="F6245" s="4" t="s">
        <v>875</v>
      </c>
      <c r="G6245" t="s">
        <v>29</v>
      </c>
      <c r="H6245" t="s">
        <v>876</v>
      </c>
    </row>
    <row r="6246" spans="1:8" x14ac:dyDescent="0.25">
      <c r="A6246" t="s">
        <v>1150</v>
      </c>
      <c r="B6246" t="s">
        <v>245</v>
      </c>
      <c r="C6246" s="5">
        <v>419035</v>
      </c>
      <c r="D6246" s="5">
        <v>8802</v>
      </c>
      <c r="E6246">
        <v>344954</v>
      </c>
      <c r="F6246" s="4" t="s">
        <v>557</v>
      </c>
      <c r="G6246" t="s">
        <v>29</v>
      </c>
      <c r="H6246" t="s">
        <v>558</v>
      </c>
    </row>
    <row r="6247" spans="1:8" x14ac:dyDescent="0.25">
      <c r="A6247" t="s">
        <v>1150</v>
      </c>
      <c r="B6247" t="s">
        <v>248</v>
      </c>
      <c r="C6247" s="5">
        <v>22675</v>
      </c>
      <c r="D6247" s="5">
        <v>647</v>
      </c>
      <c r="E6247">
        <v>4181</v>
      </c>
      <c r="F6247" s="4" t="s">
        <v>675</v>
      </c>
      <c r="G6247" t="s">
        <v>29</v>
      </c>
      <c r="H6247" t="s">
        <v>676</v>
      </c>
    </row>
    <row r="6248" spans="1:8" x14ac:dyDescent="0.25">
      <c r="A6248" t="s">
        <v>1150</v>
      </c>
      <c r="B6248" t="s">
        <v>251</v>
      </c>
      <c r="C6248" s="5">
        <v>829911</v>
      </c>
      <c r="D6248" s="5">
        <v>30320</v>
      </c>
      <c r="E6248">
        <v>751584</v>
      </c>
      <c r="F6248" s="4" t="s">
        <v>95</v>
      </c>
      <c r="G6248" t="s">
        <v>29</v>
      </c>
      <c r="H6248" t="s">
        <v>96</v>
      </c>
    </row>
    <row r="6249" spans="1:8" x14ac:dyDescent="0.25">
      <c r="A6249" t="s">
        <v>1150</v>
      </c>
      <c r="B6249" t="s">
        <v>254</v>
      </c>
      <c r="C6249" s="5">
        <v>4229813</v>
      </c>
      <c r="D6249" s="5">
        <v>142763</v>
      </c>
      <c r="E6249">
        <v>810090</v>
      </c>
      <c r="F6249" s="4" t="s">
        <v>255</v>
      </c>
      <c r="G6249" t="s">
        <v>29</v>
      </c>
      <c r="H6249" t="s">
        <v>256</v>
      </c>
    </row>
    <row r="6250" spans="1:8" x14ac:dyDescent="0.25">
      <c r="A6250" t="s">
        <v>1150</v>
      </c>
      <c r="B6250" t="s">
        <v>257</v>
      </c>
      <c r="C6250" s="5">
        <v>405970</v>
      </c>
      <c r="D6250" s="5">
        <v>5280</v>
      </c>
      <c r="E6250">
        <v>271849</v>
      </c>
      <c r="F6250" s="4" t="s">
        <v>190</v>
      </c>
      <c r="G6250" t="s">
        <v>29</v>
      </c>
      <c r="H6250" t="s">
        <v>191</v>
      </c>
    </row>
    <row r="6251" spans="1:8" x14ac:dyDescent="0.25">
      <c r="A6251" t="s">
        <v>1150</v>
      </c>
      <c r="B6251" t="s">
        <v>260</v>
      </c>
      <c r="C6251" s="5">
        <v>1309738</v>
      </c>
      <c r="D6251" s="5">
        <v>7952</v>
      </c>
      <c r="E6251">
        <v>268798</v>
      </c>
      <c r="F6251" s="4" t="s">
        <v>261</v>
      </c>
      <c r="G6251" t="s">
        <v>29</v>
      </c>
      <c r="H6251" t="s">
        <v>262</v>
      </c>
    </row>
    <row r="6252" spans="1:8" x14ac:dyDescent="0.25">
      <c r="A6252" t="s">
        <v>1150</v>
      </c>
      <c r="B6252" t="s">
        <v>263</v>
      </c>
      <c r="C6252" s="5">
        <v>34001743</v>
      </c>
      <c r="D6252" s="5">
        <v>451189</v>
      </c>
      <c r="E6252">
        <v>851785</v>
      </c>
      <c r="F6252" s="4" t="s">
        <v>59</v>
      </c>
      <c r="G6252" t="s">
        <v>29</v>
      </c>
      <c r="H6252" t="s">
        <v>60</v>
      </c>
    </row>
    <row r="6253" spans="1:8" x14ac:dyDescent="0.25">
      <c r="A6253" t="s">
        <v>1150</v>
      </c>
      <c r="B6253" t="s">
        <v>266</v>
      </c>
      <c r="C6253" s="5">
        <v>2026349</v>
      </c>
      <c r="D6253" s="5">
        <v>22620</v>
      </c>
      <c r="E6253">
        <v>166483</v>
      </c>
      <c r="F6253" s="4" t="s">
        <v>911</v>
      </c>
      <c r="G6253" t="s">
        <v>29</v>
      </c>
      <c r="H6253" t="s">
        <v>912</v>
      </c>
    </row>
    <row r="6254" spans="1:8" x14ac:dyDescent="0.25">
      <c r="A6254" t="s">
        <v>1150</v>
      </c>
      <c r="B6254" t="s">
        <v>269</v>
      </c>
      <c r="C6254" s="5">
        <v>5729785</v>
      </c>
      <c r="D6254" s="5">
        <v>123081</v>
      </c>
      <c r="E6254">
        <v>4619363</v>
      </c>
      <c r="F6254" s="4" t="s">
        <v>852</v>
      </c>
      <c r="G6254" t="s">
        <v>29</v>
      </c>
      <c r="H6254" t="s">
        <v>853</v>
      </c>
    </row>
    <row r="6255" spans="1:8" x14ac:dyDescent="0.25">
      <c r="A6255" t="s">
        <v>1150</v>
      </c>
      <c r="B6255" t="s">
        <v>272</v>
      </c>
      <c r="C6255" s="5">
        <v>12287</v>
      </c>
      <c r="D6255" s="5">
        <v>33</v>
      </c>
      <c r="E6255">
        <v>5815</v>
      </c>
      <c r="F6255" s="4" t="s">
        <v>1131</v>
      </c>
      <c r="G6255" t="s">
        <v>29</v>
      </c>
      <c r="H6255" t="s">
        <v>1132</v>
      </c>
    </row>
    <row r="6256" spans="1:8" x14ac:dyDescent="0.25">
      <c r="A6256" t="s">
        <v>1150</v>
      </c>
      <c r="B6256" t="s">
        <v>275</v>
      </c>
      <c r="C6256" s="5">
        <v>4704318</v>
      </c>
      <c r="D6256" s="5">
        <v>131384</v>
      </c>
      <c r="E6256">
        <v>2350184</v>
      </c>
      <c r="F6256" s="4" t="s">
        <v>662</v>
      </c>
      <c r="G6256" t="s">
        <v>29</v>
      </c>
      <c r="H6256" t="s">
        <v>663</v>
      </c>
    </row>
    <row r="6257" spans="1:8" x14ac:dyDescent="0.25">
      <c r="A6257" t="s">
        <v>1150</v>
      </c>
      <c r="B6257" t="s">
        <v>278</v>
      </c>
      <c r="C6257" s="5">
        <v>86456</v>
      </c>
      <c r="D6257" s="5">
        <v>2034</v>
      </c>
      <c r="E6257">
        <v>32205</v>
      </c>
      <c r="F6257" s="4" t="s">
        <v>591</v>
      </c>
      <c r="G6257" t="s">
        <v>29</v>
      </c>
      <c r="H6257" t="s">
        <v>592</v>
      </c>
    </row>
    <row r="6258" spans="1:8" x14ac:dyDescent="0.25">
      <c r="A6258" t="s">
        <v>1150</v>
      </c>
      <c r="B6258" t="s">
        <v>279</v>
      </c>
      <c r="C6258" s="5">
        <v>835969</v>
      </c>
      <c r="D6258" s="5">
        <v>10827</v>
      </c>
      <c r="E6258">
        <v>393929</v>
      </c>
      <c r="F6258" s="4" t="s">
        <v>190</v>
      </c>
      <c r="G6258" t="s">
        <v>29</v>
      </c>
      <c r="H6258" t="s">
        <v>191</v>
      </c>
    </row>
    <row r="6259" spans="1:8" x14ac:dyDescent="0.25">
      <c r="A6259" t="s">
        <v>1150</v>
      </c>
      <c r="B6259" t="s">
        <v>281</v>
      </c>
      <c r="C6259" s="5">
        <v>251313</v>
      </c>
      <c r="D6259" s="5">
        <v>5195</v>
      </c>
      <c r="E6259">
        <v>2695</v>
      </c>
      <c r="F6259" s="4" t="s">
        <v>310</v>
      </c>
      <c r="G6259" t="s">
        <v>29</v>
      </c>
      <c r="H6259" t="s">
        <v>311</v>
      </c>
    </row>
    <row r="6260" spans="1:8" x14ac:dyDescent="0.25">
      <c r="A6260" t="s">
        <v>1150</v>
      </c>
      <c r="B6260" t="s">
        <v>280</v>
      </c>
      <c r="C6260" s="5">
        <v>1712740</v>
      </c>
      <c r="D6260" s="5">
        <v>17999</v>
      </c>
      <c r="E6260">
        <v>324318</v>
      </c>
      <c r="F6260" s="4" t="s">
        <v>642</v>
      </c>
      <c r="G6260" t="s">
        <v>29</v>
      </c>
      <c r="H6260" t="s">
        <v>643</v>
      </c>
    </row>
    <row r="6261" spans="1:8" x14ac:dyDescent="0.25">
      <c r="A6261" t="s">
        <v>1150</v>
      </c>
      <c r="B6261" t="s">
        <v>284</v>
      </c>
      <c r="C6261" s="5">
        <v>179429</v>
      </c>
      <c r="D6261" s="5">
        <v>2622</v>
      </c>
      <c r="E6261">
        <v>34756</v>
      </c>
      <c r="F6261" s="4" t="s">
        <v>565</v>
      </c>
      <c r="G6261" t="s">
        <v>29</v>
      </c>
      <c r="H6261" t="s">
        <v>566</v>
      </c>
    </row>
    <row r="6262" spans="1:8" x14ac:dyDescent="0.25">
      <c r="A6262" t="s">
        <v>1150</v>
      </c>
      <c r="B6262" t="s">
        <v>290</v>
      </c>
      <c r="C6262" s="5">
        <v>2</v>
      </c>
      <c r="D6262" s="5">
        <v>0</v>
      </c>
      <c r="E6262">
        <v>2</v>
      </c>
      <c r="F6262" s="4" t="s">
        <v>29</v>
      </c>
      <c r="G6262" t="s">
        <v>29</v>
      </c>
      <c r="H6262" t="s">
        <v>291</v>
      </c>
    </row>
    <row r="6263" spans="1:8" x14ac:dyDescent="0.25">
      <c r="A6263" t="s">
        <v>1150</v>
      </c>
      <c r="B6263" t="s">
        <v>287</v>
      </c>
      <c r="C6263" s="5">
        <v>115335</v>
      </c>
      <c r="D6263" s="5">
        <v>2544</v>
      </c>
      <c r="E6263">
        <v>83260</v>
      </c>
      <c r="F6263" s="4" t="s">
        <v>132</v>
      </c>
      <c r="G6263" t="s">
        <v>29</v>
      </c>
      <c r="H6263" t="s">
        <v>133</v>
      </c>
    </row>
    <row r="6264" spans="1:8" x14ac:dyDescent="0.25">
      <c r="A6264" t="s">
        <v>1150</v>
      </c>
      <c r="B6264" t="s">
        <v>292</v>
      </c>
      <c r="C6264" s="5">
        <v>4169</v>
      </c>
      <c r="D6264" s="5">
        <v>147</v>
      </c>
      <c r="E6264">
        <v>2603</v>
      </c>
      <c r="F6264" s="4" t="s">
        <v>430</v>
      </c>
      <c r="G6264" t="s">
        <v>29</v>
      </c>
      <c r="H6264" t="s">
        <v>431</v>
      </c>
    </row>
    <row r="6265" spans="1:8" x14ac:dyDescent="0.25">
      <c r="A6265" t="s">
        <v>1150</v>
      </c>
      <c r="B6265" t="s">
        <v>293</v>
      </c>
      <c r="C6265" s="5">
        <v>2435</v>
      </c>
      <c r="D6265" s="5">
        <v>20</v>
      </c>
      <c r="E6265">
        <v>752</v>
      </c>
      <c r="F6265" s="4" t="s">
        <v>1057</v>
      </c>
      <c r="G6265" t="s">
        <v>29</v>
      </c>
      <c r="H6265" t="s">
        <v>1058</v>
      </c>
    </row>
    <row r="6266" spans="1:8" x14ac:dyDescent="0.25">
      <c r="A6266" t="s">
        <v>1150</v>
      </c>
      <c r="B6266" t="s">
        <v>296</v>
      </c>
      <c r="C6266" s="5">
        <v>335742</v>
      </c>
      <c r="D6266" s="5">
        <v>2605</v>
      </c>
      <c r="E6266">
        <v>98263</v>
      </c>
      <c r="F6266" s="4" t="s">
        <v>297</v>
      </c>
      <c r="G6266" t="s">
        <v>29</v>
      </c>
      <c r="H6266" t="s">
        <v>298</v>
      </c>
    </row>
    <row r="6267" spans="1:8" x14ac:dyDescent="0.25">
      <c r="A6267" t="s">
        <v>1150</v>
      </c>
      <c r="B6267" t="s">
        <v>299</v>
      </c>
      <c r="C6267" s="5">
        <v>412158</v>
      </c>
      <c r="D6267" s="5">
        <v>2455</v>
      </c>
      <c r="E6267">
        <v>103724</v>
      </c>
      <c r="F6267" s="4" t="s">
        <v>300</v>
      </c>
      <c r="G6267" t="s">
        <v>29</v>
      </c>
      <c r="H6267" t="s">
        <v>301</v>
      </c>
    </row>
    <row r="6268" spans="1:8" x14ac:dyDescent="0.25">
      <c r="A6268" t="s">
        <v>1150</v>
      </c>
      <c r="B6268" t="s">
        <v>302</v>
      </c>
      <c r="C6268" s="5">
        <v>986281</v>
      </c>
      <c r="D6268" s="5">
        <v>16509</v>
      </c>
      <c r="E6268">
        <v>70627</v>
      </c>
      <c r="F6268" s="4" t="s">
        <v>827</v>
      </c>
      <c r="G6268" t="s">
        <v>29</v>
      </c>
      <c r="H6268" t="s">
        <v>828</v>
      </c>
    </row>
    <row r="6269" spans="1:8" x14ac:dyDescent="0.25">
      <c r="A6269" t="s">
        <v>1150</v>
      </c>
      <c r="B6269" t="s">
        <v>303</v>
      </c>
      <c r="C6269" s="5">
        <v>29398</v>
      </c>
      <c r="D6269" s="5">
        <v>33</v>
      </c>
      <c r="E6269">
        <v>19206</v>
      </c>
      <c r="F6269" s="4" t="s">
        <v>104</v>
      </c>
      <c r="G6269" t="s">
        <v>29</v>
      </c>
      <c r="H6269" t="s">
        <v>105</v>
      </c>
    </row>
    <row r="6270" spans="1:8" x14ac:dyDescent="0.25">
      <c r="A6270" t="s">
        <v>1150</v>
      </c>
      <c r="B6270" t="s">
        <v>306</v>
      </c>
      <c r="C6270" s="5">
        <v>630950</v>
      </c>
      <c r="D6270" s="5">
        <v>8394</v>
      </c>
      <c r="E6270">
        <v>405888</v>
      </c>
      <c r="F6270" s="4" t="s">
        <v>59</v>
      </c>
      <c r="G6270" t="s">
        <v>29</v>
      </c>
      <c r="H6270" t="s">
        <v>60</v>
      </c>
    </row>
    <row r="6271" spans="1:8" x14ac:dyDescent="0.25">
      <c r="A6271" t="s">
        <v>1150</v>
      </c>
      <c r="B6271" t="s">
        <v>309</v>
      </c>
      <c r="C6271" s="5">
        <v>12054</v>
      </c>
      <c r="D6271" s="5">
        <v>231</v>
      </c>
      <c r="E6271">
        <v>5881</v>
      </c>
      <c r="F6271" s="4" t="s">
        <v>721</v>
      </c>
      <c r="G6271" t="s">
        <v>29</v>
      </c>
      <c r="H6271" t="s">
        <v>722</v>
      </c>
    </row>
    <row r="6272" spans="1:8" x14ac:dyDescent="0.25">
      <c r="A6272" t="s">
        <v>1150</v>
      </c>
      <c r="B6272" t="s">
        <v>312</v>
      </c>
      <c r="C6272" s="5">
        <v>3572</v>
      </c>
      <c r="D6272" s="5">
        <v>60</v>
      </c>
      <c r="E6272">
        <v>2315</v>
      </c>
      <c r="F6272" s="4" t="s">
        <v>116</v>
      </c>
      <c r="G6272" t="s">
        <v>29</v>
      </c>
      <c r="H6272" t="s">
        <v>117</v>
      </c>
    </row>
    <row r="6273" spans="1:8" x14ac:dyDescent="0.25">
      <c r="A6273" t="s">
        <v>1150</v>
      </c>
      <c r="B6273" t="s">
        <v>315</v>
      </c>
      <c r="C6273" s="5">
        <v>527735</v>
      </c>
      <c r="D6273" s="5">
        <v>13377</v>
      </c>
      <c r="E6273">
        <v>375074</v>
      </c>
      <c r="F6273" s="4" t="s">
        <v>611</v>
      </c>
      <c r="G6273" t="s">
        <v>29</v>
      </c>
      <c r="H6273" t="s">
        <v>612</v>
      </c>
    </row>
    <row r="6274" spans="1:8" x14ac:dyDescent="0.25">
      <c r="A6274" t="s">
        <v>1150</v>
      </c>
      <c r="B6274" t="s">
        <v>316</v>
      </c>
      <c r="C6274" s="5">
        <v>5802</v>
      </c>
      <c r="D6274" s="5">
        <v>286</v>
      </c>
      <c r="E6274">
        <v>602</v>
      </c>
      <c r="F6274" s="4" t="s">
        <v>317</v>
      </c>
      <c r="G6274" t="s">
        <v>29</v>
      </c>
      <c r="H6274" t="s">
        <v>318</v>
      </c>
    </row>
    <row r="6275" spans="1:8" x14ac:dyDescent="0.25">
      <c r="A6275" t="s">
        <v>1150</v>
      </c>
      <c r="B6275" t="s">
        <v>319</v>
      </c>
      <c r="C6275" s="5">
        <v>21481</v>
      </c>
      <c r="D6275" s="5">
        <v>653</v>
      </c>
      <c r="E6275">
        <v>6147</v>
      </c>
      <c r="F6275" s="4" t="s">
        <v>320</v>
      </c>
      <c r="G6275" t="s">
        <v>29</v>
      </c>
      <c r="H6275" t="s">
        <v>321</v>
      </c>
    </row>
    <row r="6276" spans="1:8" x14ac:dyDescent="0.25">
      <c r="A6276" t="s">
        <v>1150</v>
      </c>
      <c r="B6276" t="s">
        <v>322</v>
      </c>
      <c r="C6276" s="5">
        <v>355061</v>
      </c>
      <c r="D6276" s="5">
        <v>5282</v>
      </c>
      <c r="E6276">
        <v>112041</v>
      </c>
      <c r="F6276" s="4" t="s">
        <v>800</v>
      </c>
      <c r="G6276" t="s">
        <v>29</v>
      </c>
      <c r="H6276" t="s">
        <v>801</v>
      </c>
    </row>
    <row r="6277" spans="1:8" x14ac:dyDescent="0.25">
      <c r="A6277" t="s">
        <v>1150</v>
      </c>
      <c r="B6277" t="s">
        <v>325</v>
      </c>
      <c r="C6277" s="5">
        <v>79300</v>
      </c>
      <c r="D6277" s="5">
        <v>837</v>
      </c>
      <c r="E6277">
        <v>28231</v>
      </c>
      <c r="F6277" s="4" t="s">
        <v>165</v>
      </c>
      <c r="G6277" t="s">
        <v>29</v>
      </c>
      <c r="H6277" t="s">
        <v>166</v>
      </c>
    </row>
    <row r="6278" spans="1:8" x14ac:dyDescent="0.25">
      <c r="A6278" t="s">
        <v>1150</v>
      </c>
      <c r="B6278" t="s">
        <v>328</v>
      </c>
      <c r="C6278" s="5">
        <v>173654</v>
      </c>
      <c r="D6278" s="5">
        <v>2819</v>
      </c>
      <c r="E6278">
        <v>153432</v>
      </c>
      <c r="F6278" s="4" t="s">
        <v>516</v>
      </c>
      <c r="G6278" t="s">
        <v>29</v>
      </c>
      <c r="H6278" t="s">
        <v>517</v>
      </c>
    </row>
    <row r="6279" spans="1:8" x14ac:dyDescent="0.25">
      <c r="A6279" t="s">
        <v>1150</v>
      </c>
      <c r="B6279" t="s">
        <v>329</v>
      </c>
      <c r="C6279" s="5">
        <v>347364</v>
      </c>
      <c r="D6279" s="5">
        <v>4808</v>
      </c>
      <c r="E6279">
        <v>140534</v>
      </c>
      <c r="F6279" s="4" t="s">
        <v>158</v>
      </c>
      <c r="G6279" t="s">
        <v>29</v>
      </c>
      <c r="H6279" t="s">
        <v>159</v>
      </c>
    </row>
    <row r="6280" spans="1:8" x14ac:dyDescent="0.25">
      <c r="A6280" t="s">
        <v>1150</v>
      </c>
      <c r="B6280" t="s">
        <v>332</v>
      </c>
      <c r="C6280" s="5">
        <v>939922</v>
      </c>
      <c r="D6280" s="5">
        <v>14485</v>
      </c>
      <c r="E6280">
        <v>212417</v>
      </c>
      <c r="F6280" s="4" t="s">
        <v>519</v>
      </c>
      <c r="G6280" t="s">
        <v>29</v>
      </c>
      <c r="H6280" t="s">
        <v>520</v>
      </c>
    </row>
    <row r="6281" spans="1:8" x14ac:dyDescent="0.25">
      <c r="A6281" t="s">
        <v>1150</v>
      </c>
      <c r="B6281" t="s">
        <v>335</v>
      </c>
      <c r="C6281" s="5">
        <v>3337</v>
      </c>
      <c r="D6281" s="5">
        <v>35</v>
      </c>
      <c r="E6281">
        <v>394</v>
      </c>
      <c r="F6281" s="4" t="s">
        <v>642</v>
      </c>
      <c r="G6281" t="s">
        <v>29</v>
      </c>
      <c r="H6281" t="s">
        <v>643</v>
      </c>
    </row>
    <row r="6282" spans="1:8" x14ac:dyDescent="0.25">
      <c r="A6282" t="s">
        <v>1150</v>
      </c>
      <c r="B6282" t="s">
        <v>338</v>
      </c>
      <c r="C6282" s="5">
        <v>308724</v>
      </c>
      <c r="D6282" s="5">
        <v>7076</v>
      </c>
      <c r="E6282">
        <v>232191</v>
      </c>
      <c r="F6282" s="4" t="s">
        <v>528</v>
      </c>
      <c r="G6282" t="s">
        <v>29</v>
      </c>
      <c r="H6282" t="s">
        <v>529</v>
      </c>
    </row>
    <row r="6283" spans="1:8" x14ac:dyDescent="0.25">
      <c r="A6283" t="s">
        <v>1150</v>
      </c>
      <c r="B6283" t="s">
        <v>341</v>
      </c>
      <c r="C6283" s="5">
        <v>135981</v>
      </c>
      <c r="D6283" s="5">
        <v>2000</v>
      </c>
      <c r="E6283">
        <v>96416</v>
      </c>
      <c r="F6283" s="4" t="s">
        <v>777</v>
      </c>
      <c r="G6283" t="s">
        <v>29</v>
      </c>
      <c r="H6283" t="s">
        <v>778</v>
      </c>
    </row>
    <row r="6284" spans="1:8" x14ac:dyDescent="0.25">
      <c r="A6284" t="s">
        <v>1150</v>
      </c>
      <c r="B6284" t="s">
        <v>344</v>
      </c>
      <c r="C6284" s="5">
        <v>3819</v>
      </c>
      <c r="D6284" s="5">
        <v>55</v>
      </c>
      <c r="E6284">
        <v>983</v>
      </c>
      <c r="F6284" s="4" t="s">
        <v>330</v>
      </c>
      <c r="G6284" t="s">
        <v>29</v>
      </c>
      <c r="H6284" t="s">
        <v>331</v>
      </c>
    </row>
    <row r="6285" spans="1:8" x14ac:dyDescent="0.25">
      <c r="A6285" t="s">
        <v>1150</v>
      </c>
      <c r="B6285" t="s">
        <v>347</v>
      </c>
      <c r="C6285" s="5">
        <v>43610</v>
      </c>
      <c r="D6285" s="5">
        <v>960</v>
      </c>
      <c r="E6285">
        <v>19984</v>
      </c>
      <c r="F6285" s="4" t="s">
        <v>969</v>
      </c>
      <c r="G6285" t="s">
        <v>29</v>
      </c>
      <c r="H6285" t="s">
        <v>970</v>
      </c>
    </row>
    <row r="6286" spans="1:8" x14ac:dyDescent="0.25">
      <c r="A6286" t="s">
        <v>1150</v>
      </c>
      <c r="B6286" t="s">
        <v>348</v>
      </c>
      <c r="C6286" s="5">
        <v>4</v>
      </c>
      <c r="D6286" s="5">
        <v>0</v>
      </c>
      <c r="E6286">
        <v>2</v>
      </c>
      <c r="F6286" s="4" t="s">
        <v>29</v>
      </c>
      <c r="G6286" t="s">
        <v>29</v>
      </c>
      <c r="H6286" t="s">
        <v>291</v>
      </c>
    </row>
    <row r="6287" spans="1:8" x14ac:dyDescent="0.25">
      <c r="A6287" t="s">
        <v>1150</v>
      </c>
      <c r="B6287" t="s">
        <v>349</v>
      </c>
      <c r="C6287" s="5">
        <v>195132</v>
      </c>
      <c r="D6287" s="5">
        <v>6855</v>
      </c>
      <c r="E6287">
        <v>100357</v>
      </c>
      <c r="F6287" s="4" t="s">
        <v>350</v>
      </c>
      <c r="G6287" t="s">
        <v>29</v>
      </c>
      <c r="H6287" t="s">
        <v>351</v>
      </c>
    </row>
    <row r="6288" spans="1:8" x14ac:dyDescent="0.25">
      <c r="A6288" t="s">
        <v>1150</v>
      </c>
      <c r="B6288" t="s">
        <v>352</v>
      </c>
      <c r="C6288" s="5">
        <v>15511</v>
      </c>
      <c r="D6288" s="5">
        <v>554</v>
      </c>
      <c r="E6288">
        <v>4368</v>
      </c>
      <c r="F6288" s="4" t="s">
        <v>909</v>
      </c>
      <c r="G6288" t="s">
        <v>29</v>
      </c>
      <c r="H6288" t="s">
        <v>910</v>
      </c>
    </row>
    <row r="6289" spans="1:8" x14ac:dyDescent="0.25">
      <c r="A6289" t="s">
        <v>1150</v>
      </c>
      <c r="B6289" t="s">
        <v>355</v>
      </c>
      <c r="C6289" s="5">
        <v>481230</v>
      </c>
      <c r="D6289" s="5">
        <v>18188</v>
      </c>
      <c r="E6289">
        <v>160548</v>
      </c>
      <c r="F6289" s="4" t="s">
        <v>1155</v>
      </c>
      <c r="G6289" t="s">
        <v>29</v>
      </c>
      <c r="H6289" t="s">
        <v>1156</v>
      </c>
    </row>
    <row r="6290" spans="1:8" x14ac:dyDescent="0.25">
      <c r="A6290" t="s">
        <v>1150</v>
      </c>
      <c r="B6290" t="s">
        <v>358</v>
      </c>
      <c r="C6290" s="5">
        <v>330869</v>
      </c>
      <c r="D6290" s="5">
        <v>1482</v>
      </c>
      <c r="E6290">
        <v>328876</v>
      </c>
      <c r="F6290" s="4" t="s">
        <v>888</v>
      </c>
      <c r="G6290" t="s">
        <v>29</v>
      </c>
      <c r="H6290" t="s">
        <v>889</v>
      </c>
    </row>
    <row r="6291" spans="1:8" x14ac:dyDescent="0.25">
      <c r="A6291" t="s">
        <v>1150</v>
      </c>
      <c r="B6291" t="s">
        <v>359</v>
      </c>
      <c r="C6291" s="5">
        <v>77</v>
      </c>
      <c r="D6291" s="5">
        <v>0</v>
      </c>
      <c r="E6291">
        <v>53</v>
      </c>
      <c r="F6291" s="4" t="s">
        <v>29</v>
      </c>
      <c r="G6291" t="s">
        <v>29</v>
      </c>
      <c r="H6291" t="s">
        <v>291</v>
      </c>
    </row>
    <row r="6292" spans="1:8" x14ac:dyDescent="0.25">
      <c r="A6292" t="s">
        <v>1150</v>
      </c>
      <c r="B6292" t="s">
        <v>360</v>
      </c>
      <c r="C6292" s="5">
        <v>41846</v>
      </c>
      <c r="D6292" s="5">
        <v>645</v>
      </c>
      <c r="E6292">
        <v>5864</v>
      </c>
      <c r="F6292" s="4" t="s">
        <v>519</v>
      </c>
      <c r="G6292" t="s">
        <v>29</v>
      </c>
      <c r="H6292" t="s">
        <v>520</v>
      </c>
    </row>
    <row r="6293" spans="1:8" x14ac:dyDescent="0.25">
      <c r="A6293" t="s">
        <v>1150</v>
      </c>
      <c r="B6293" t="s">
        <v>363</v>
      </c>
      <c r="C6293" s="5">
        <v>36465</v>
      </c>
      <c r="D6293" s="5">
        <v>785</v>
      </c>
      <c r="E6293">
        <v>7675</v>
      </c>
      <c r="F6293" s="4" t="s">
        <v>852</v>
      </c>
      <c r="G6293" t="s">
        <v>29</v>
      </c>
      <c r="H6293" t="s">
        <v>853</v>
      </c>
    </row>
    <row r="6294" spans="1:8" x14ac:dyDescent="0.25">
      <c r="A6294" t="s">
        <v>1150</v>
      </c>
      <c r="B6294" t="s">
        <v>364</v>
      </c>
      <c r="C6294" s="5">
        <v>37375</v>
      </c>
      <c r="D6294" s="5">
        <v>459</v>
      </c>
      <c r="E6294">
        <v>14100</v>
      </c>
      <c r="F6294" s="4" t="s">
        <v>798</v>
      </c>
      <c r="G6294" t="s">
        <v>29</v>
      </c>
      <c r="H6294" t="s">
        <v>799</v>
      </c>
    </row>
    <row r="6295" spans="1:8" x14ac:dyDescent="0.25">
      <c r="A6295" t="s">
        <v>1150</v>
      </c>
      <c r="B6295" t="s">
        <v>367</v>
      </c>
      <c r="C6295" s="5">
        <v>16437</v>
      </c>
      <c r="D6295" s="5">
        <v>115</v>
      </c>
      <c r="E6295">
        <v>3980</v>
      </c>
      <c r="F6295" s="4" t="s">
        <v>211</v>
      </c>
      <c r="G6295" t="s">
        <v>29</v>
      </c>
      <c r="H6295" t="s">
        <v>212</v>
      </c>
    </row>
    <row r="6296" spans="1:8" x14ac:dyDescent="0.25">
      <c r="A6296" t="s">
        <v>1150</v>
      </c>
      <c r="B6296" t="s">
        <v>368</v>
      </c>
      <c r="C6296" s="5">
        <v>85732</v>
      </c>
      <c r="D6296" s="5">
        <v>235</v>
      </c>
      <c r="E6296">
        <v>10819</v>
      </c>
      <c r="F6296" s="4" t="s">
        <v>1131</v>
      </c>
      <c r="G6296" t="s">
        <v>29</v>
      </c>
      <c r="H6296" t="s">
        <v>1132</v>
      </c>
    </row>
    <row r="6297" spans="1:8" x14ac:dyDescent="0.25">
      <c r="A6297" t="s">
        <v>1150</v>
      </c>
      <c r="B6297" t="s">
        <v>371</v>
      </c>
      <c r="C6297" s="5">
        <v>61694</v>
      </c>
      <c r="D6297" s="5">
        <v>2292</v>
      </c>
      <c r="E6297">
        <v>36736</v>
      </c>
      <c r="F6297" s="4" t="s">
        <v>372</v>
      </c>
      <c r="G6297" t="s">
        <v>29</v>
      </c>
      <c r="H6297" t="s">
        <v>373</v>
      </c>
    </row>
    <row r="6298" spans="1:8" x14ac:dyDescent="0.25">
      <c r="A6298" t="s">
        <v>1150</v>
      </c>
      <c r="B6298" t="s">
        <v>374</v>
      </c>
      <c r="C6298" s="5">
        <v>3732429</v>
      </c>
      <c r="D6298" s="5">
        <v>282773</v>
      </c>
      <c r="E6298">
        <v>1073705</v>
      </c>
      <c r="F6298" s="4" t="s">
        <v>1029</v>
      </c>
      <c r="G6298" t="s">
        <v>29</v>
      </c>
      <c r="H6298" t="s">
        <v>1030</v>
      </c>
    </row>
    <row r="6299" spans="1:8" x14ac:dyDescent="0.25">
      <c r="A6299" t="s">
        <v>1150</v>
      </c>
      <c r="B6299" t="s">
        <v>377</v>
      </c>
      <c r="C6299" s="5">
        <v>2353579</v>
      </c>
      <c r="D6299" s="5">
        <v>27525</v>
      </c>
      <c r="E6299">
        <v>126902</v>
      </c>
      <c r="F6299" s="4" t="s">
        <v>378</v>
      </c>
      <c r="G6299" t="s">
        <v>29</v>
      </c>
      <c r="H6299" t="s">
        <v>379</v>
      </c>
    </row>
    <row r="6300" spans="1:8" x14ac:dyDescent="0.25">
      <c r="A6300" t="s">
        <v>1150</v>
      </c>
      <c r="B6300" t="s">
        <v>380</v>
      </c>
      <c r="C6300" s="5">
        <v>151018</v>
      </c>
      <c r="D6300" s="5">
        <v>1924</v>
      </c>
      <c r="E6300">
        <v>134262</v>
      </c>
      <c r="F6300" s="4" t="s">
        <v>53</v>
      </c>
      <c r="G6300" t="s">
        <v>29</v>
      </c>
      <c r="H6300" t="s">
        <v>54</v>
      </c>
    </row>
    <row r="6301" spans="1:8" x14ac:dyDescent="0.25">
      <c r="A6301" t="s">
        <v>1150</v>
      </c>
      <c r="B6301" t="s">
        <v>383</v>
      </c>
      <c r="C6301" s="5">
        <v>128167</v>
      </c>
      <c r="D6301" s="5">
        <v>3527</v>
      </c>
      <c r="E6301">
        <v>24550</v>
      </c>
      <c r="F6301" s="4" t="s">
        <v>276</v>
      </c>
      <c r="G6301" t="s">
        <v>29</v>
      </c>
      <c r="H6301" t="s">
        <v>277</v>
      </c>
    </row>
    <row r="6302" spans="1:8" x14ac:dyDescent="0.25">
      <c r="A6302" t="s">
        <v>1150</v>
      </c>
      <c r="B6302" t="s">
        <v>386</v>
      </c>
      <c r="C6302" s="5">
        <v>9417</v>
      </c>
      <c r="D6302" s="5">
        <v>209</v>
      </c>
      <c r="E6302">
        <v>5633</v>
      </c>
      <c r="F6302" s="4" t="s">
        <v>673</v>
      </c>
      <c r="G6302" t="s">
        <v>29</v>
      </c>
      <c r="H6302" t="s">
        <v>674</v>
      </c>
    </row>
    <row r="6303" spans="1:8" x14ac:dyDescent="0.25">
      <c r="A6303" t="s">
        <v>1150</v>
      </c>
      <c r="B6303" t="s">
        <v>387</v>
      </c>
      <c r="C6303" s="5">
        <v>6122</v>
      </c>
      <c r="D6303" s="5">
        <v>204</v>
      </c>
      <c r="E6303">
        <v>4892</v>
      </c>
      <c r="F6303" s="4" t="s">
        <v>1059</v>
      </c>
      <c r="G6303" t="s">
        <v>29</v>
      </c>
      <c r="H6303" t="s">
        <v>1060</v>
      </c>
    </row>
    <row r="6304" spans="1:8" x14ac:dyDescent="0.25">
      <c r="A6304" t="s">
        <v>1150</v>
      </c>
      <c r="B6304" t="s">
        <v>390</v>
      </c>
      <c r="C6304" s="5">
        <v>207979</v>
      </c>
      <c r="D6304" s="5">
        <v>2756</v>
      </c>
      <c r="E6304">
        <v>147360</v>
      </c>
      <c r="F6304" s="4" t="s">
        <v>59</v>
      </c>
      <c r="G6304" t="s">
        <v>29</v>
      </c>
      <c r="H6304" t="s">
        <v>60</v>
      </c>
    </row>
    <row r="6305" spans="1:8" x14ac:dyDescent="0.25">
      <c r="A6305" t="s">
        <v>1150</v>
      </c>
      <c r="B6305" t="s">
        <v>393</v>
      </c>
      <c r="C6305" s="5">
        <v>15737</v>
      </c>
      <c r="D6305" s="5">
        <v>206</v>
      </c>
      <c r="E6305">
        <v>11468</v>
      </c>
      <c r="F6305" s="4" t="s">
        <v>708</v>
      </c>
      <c r="G6305" t="s">
        <v>29</v>
      </c>
      <c r="H6305" t="s">
        <v>709</v>
      </c>
    </row>
    <row r="6306" spans="1:8" x14ac:dyDescent="0.25">
      <c r="A6306" t="s">
        <v>1150</v>
      </c>
      <c r="B6306" t="s">
        <v>396</v>
      </c>
      <c r="C6306" s="5">
        <v>2068483</v>
      </c>
      <c r="D6306" s="5">
        <v>18643</v>
      </c>
      <c r="E6306">
        <v>1149106</v>
      </c>
      <c r="F6306" s="4" t="s">
        <v>667</v>
      </c>
      <c r="G6306" t="s">
        <v>29</v>
      </c>
      <c r="H6306" t="s">
        <v>668</v>
      </c>
    </row>
    <row r="6307" spans="1:8" x14ac:dyDescent="0.25">
      <c r="A6307" t="s">
        <v>1150</v>
      </c>
      <c r="B6307" t="s">
        <v>399</v>
      </c>
      <c r="C6307" s="5">
        <v>194630</v>
      </c>
      <c r="D6307" s="5">
        <v>871</v>
      </c>
      <c r="E6307">
        <v>129378</v>
      </c>
      <c r="F6307" s="4" t="s">
        <v>888</v>
      </c>
      <c r="G6307" t="s">
        <v>29</v>
      </c>
      <c r="H6307" t="s">
        <v>889</v>
      </c>
    </row>
    <row r="6308" spans="1:8" x14ac:dyDescent="0.25">
      <c r="A6308" t="s">
        <v>1150</v>
      </c>
      <c r="B6308" t="s">
        <v>402</v>
      </c>
      <c r="C6308" s="5">
        <v>803552</v>
      </c>
      <c r="D6308" s="5">
        <v>11257</v>
      </c>
      <c r="E6308">
        <v>652167</v>
      </c>
      <c r="F6308" s="4" t="s">
        <v>403</v>
      </c>
      <c r="G6308" t="s">
        <v>29</v>
      </c>
      <c r="H6308" t="s">
        <v>404</v>
      </c>
    </row>
    <row r="6309" spans="1:8" x14ac:dyDescent="0.25">
      <c r="A6309" t="s">
        <v>1150</v>
      </c>
      <c r="B6309" t="s">
        <v>405</v>
      </c>
      <c r="C6309" s="5">
        <v>4760</v>
      </c>
      <c r="D6309" s="5">
        <v>28</v>
      </c>
      <c r="E6309">
        <v>3706</v>
      </c>
      <c r="F6309" s="4" t="s">
        <v>1157</v>
      </c>
      <c r="G6309" t="s">
        <v>29</v>
      </c>
      <c r="H6309" t="s">
        <v>1158</v>
      </c>
    </row>
    <row r="6310" spans="1:8" x14ac:dyDescent="0.25">
      <c r="A6310" t="s">
        <v>1150</v>
      </c>
      <c r="B6310" t="s">
        <v>408</v>
      </c>
      <c r="C6310" s="5">
        <v>303999</v>
      </c>
      <c r="D6310" s="5">
        <v>4103</v>
      </c>
      <c r="E6310">
        <v>179727</v>
      </c>
      <c r="F6310" s="4" t="s">
        <v>409</v>
      </c>
      <c r="G6310" t="s">
        <v>29</v>
      </c>
      <c r="H6310" t="s">
        <v>410</v>
      </c>
    </row>
    <row r="6311" spans="1:8" x14ac:dyDescent="0.25">
      <c r="A6311" t="s">
        <v>1150</v>
      </c>
      <c r="B6311" t="s">
        <v>411</v>
      </c>
      <c r="C6311" s="5">
        <v>469440</v>
      </c>
      <c r="D6311" s="5">
        <v>7275</v>
      </c>
      <c r="E6311">
        <v>399529</v>
      </c>
      <c r="F6311" s="4" t="s">
        <v>333</v>
      </c>
      <c r="G6311" t="s">
        <v>29</v>
      </c>
      <c r="H6311" t="s">
        <v>334</v>
      </c>
    </row>
    <row r="6312" spans="1:8" x14ac:dyDescent="0.25">
      <c r="A6312" t="s">
        <v>1150</v>
      </c>
      <c r="B6312" t="s">
        <v>412</v>
      </c>
      <c r="C6312" s="5">
        <v>2185355</v>
      </c>
      <c r="D6312" s="5">
        <v>199727</v>
      </c>
      <c r="E6312">
        <v>739764</v>
      </c>
      <c r="F6312" s="4" t="s">
        <v>1144</v>
      </c>
      <c r="G6312" t="s">
        <v>29</v>
      </c>
      <c r="H6312" t="s">
        <v>1145</v>
      </c>
    </row>
    <row r="6313" spans="1:8" x14ac:dyDescent="0.25">
      <c r="A6313" t="s">
        <v>1150</v>
      </c>
      <c r="B6313" t="s">
        <v>415</v>
      </c>
      <c r="C6313" s="5">
        <v>45359</v>
      </c>
      <c r="D6313" s="5">
        <v>629</v>
      </c>
      <c r="E6313">
        <v>21016</v>
      </c>
      <c r="F6313" s="4" t="s">
        <v>208</v>
      </c>
      <c r="G6313" t="s">
        <v>29</v>
      </c>
      <c r="H6313" t="s">
        <v>209</v>
      </c>
    </row>
    <row r="6314" spans="1:8" x14ac:dyDescent="0.25">
      <c r="A6314" t="s">
        <v>1150</v>
      </c>
      <c r="B6314" t="s">
        <v>416</v>
      </c>
      <c r="C6314" s="5">
        <v>23365</v>
      </c>
      <c r="D6314" s="5">
        <v>252</v>
      </c>
      <c r="E6314">
        <v>3279</v>
      </c>
      <c r="F6314" s="4" t="s">
        <v>758</v>
      </c>
      <c r="G6314" t="s">
        <v>29</v>
      </c>
      <c r="H6314" t="s">
        <v>759</v>
      </c>
    </row>
    <row r="6315" spans="1:8" x14ac:dyDescent="0.25">
      <c r="A6315" t="s">
        <v>1150</v>
      </c>
      <c r="B6315" t="s">
        <v>420</v>
      </c>
      <c r="C6315" s="5">
        <v>1260669</v>
      </c>
      <c r="D6315" s="5">
        <v>28173</v>
      </c>
      <c r="E6315">
        <v>939313</v>
      </c>
      <c r="F6315" s="4" t="s">
        <v>421</v>
      </c>
      <c r="G6315" t="s">
        <v>29</v>
      </c>
      <c r="H6315" t="s">
        <v>422</v>
      </c>
    </row>
    <row r="6316" spans="1:8" x14ac:dyDescent="0.25">
      <c r="A6316" t="s">
        <v>1150</v>
      </c>
      <c r="B6316" t="s">
        <v>419</v>
      </c>
      <c r="C6316" s="5">
        <v>2683372</v>
      </c>
      <c r="D6316" s="5">
        <v>39896</v>
      </c>
      <c r="E6316">
        <v>1518825</v>
      </c>
      <c r="F6316" s="4" t="s">
        <v>800</v>
      </c>
      <c r="G6316" t="s">
        <v>29</v>
      </c>
      <c r="H6316" t="s">
        <v>801</v>
      </c>
    </row>
    <row r="6317" spans="1:8" x14ac:dyDescent="0.25">
      <c r="A6317" t="s">
        <v>1150</v>
      </c>
      <c r="B6317" t="s">
        <v>423</v>
      </c>
      <c r="C6317" s="5">
        <v>2925425</v>
      </c>
      <c r="D6317" s="5">
        <v>75918</v>
      </c>
      <c r="E6317">
        <v>127444</v>
      </c>
      <c r="F6317" s="4" t="s">
        <v>733</v>
      </c>
      <c r="G6317" t="s">
        <v>29</v>
      </c>
      <c r="H6317" t="s">
        <v>734</v>
      </c>
    </row>
    <row r="6318" spans="1:8" x14ac:dyDescent="0.25">
      <c r="A6318" t="s">
        <v>1150</v>
      </c>
      <c r="B6318" t="s">
        <v>426</v>
      </c>
      <c r="C6318" s="5">
        <v>444729</v>
      </c>
      <c r="D6318" s="5">
        <v>4521</v>
      </c>
      <c r="E6318">
        <v>248866</v>
      </c>
      <c r="F6318" s="4" t="s">
        <v>326</v>
      </c>
      <c r="G6318" t="s">
        <v>29</v>
      </c>
      <c r="H6318" t="s">
        <v>327</v>
      </c>
    </row>
    <row r="6319" spans="1:8" x14ac:dyDescent="0.25">
      <c r="A6319" t="s">
        <v>1150</v>
      </c>
      <c r="B6319" t="s">
        <v>427</v>
      </c>
      <c r="C6319" s="5">
        <v>1076358</v>
      </c>
      <c r="D6319" s="5">
        <v>18056</v>
      </c>
      <c r="E6319">
        <v>628079</v>
      </c>
      <c r="F6319" s="4" t="s">
        <v>116</v>
      </c>
      <c r="G6319" t="s">
        <v>29</v>
      </c>
      <c r="H6319" t="s">
        <v>117</v>
      </c>
    </row>
    <row r="6320" spans="1:8" x14ac:dyDescent="0.25">
      <c r="A6320" t="s">
        <v>1150</v>
      </c>
      <c r="B6320" t="s">
        <v>428</v>
      </c>
      <c r="C6320" s="5">
        <v>5</v>
      </c>
      <c r="D6320" s="5">
        <v>0</v>
      </c>
      <c r="E6320">
        <v>0</v>
      </c>
      <c r="F6320" s="4" t="s">
        <v>29</v>
      </c>
      <c r="G6320" t="s">
        <v>29</v>
      </c>
      <c r="H6320" t="s">
        <v>291</v>
      </c>
    </row>
    <row r="6321" spans="1:8" x14ac:dyDescent="0.25">
      <c r="A6321" t="s">
        <v>1150</v>
      </c>
      <c r="B6321" t="s">
        <v>429</v>
      </c>
      <c r="C6321" s="5">
        <v>460244</v>
      </c>
      <c r="D6321" s="5">
        <v>16207</v>
      </c>
      <c r="E6321">
        <v>308346</v>
      </c>
      <c r="F6321" s="4" t="s">
        <v>353</v>
      </c>
      <c r="G6321" t="s">
        <v>29</v>
      </c>
      <c r="H6321" t="s">
        <v>354</v>
      </c>
    </row>
    <row r="6322" spans="1:8" x14ac:dyDescent="0.25">
      <c r="A6322" t="s">
        <v>1150</v>
      </c>
      <c r="B6322" t="s">
        <v>432</v>
      </c>
      <c r="C6322" s="5">
        <v>237579</v>
      </c>
      <c r="D6322" s="5">
        <v>607</v>
      </c>
      <c r="E6322">
        <v>39361</v>
      </c>
      <c r="F6322" s="4" t="s">
        <v>794</v>
      </c>
      <c r="G6322" t="s">
        <v>29</v>
      </c>
      <c r="H6322" t="s">
        <v>795</v>
      </c>
    </row>
    <row r="6323" spans="1:8" x14ac:dyDescent="0.25">
      <c r="A6323" t="s">
        <v>1150</v>
      </c>
      <c r="B6323" t="s">
        <v>435</v>
      </c>
      <c r="C6323" s="5">
        <v>54024</v>
      </c>
      <c r="D6323" s="5">
        <v>370</v>
      </c>
      <c r="E6323">
        <v>50655</v>
      </c>
      <c r="F6323" s="4" t="s">
        <v>605</v>
      </c>
      <c r="G6323" t="s">
        <v>29</v>
      </c>
      <c r="H6323" t="s">
        <v>606</v>
      </c>
    </row>
    <row r="6324" spans="1:8" x14ac:dyDescent="0.25">
      <c r="A6324" t="s">
        <v>1150</v>
      </c>
      <c r="B6324" t="s">
        <v>436</v>
      </c>
      <c r="C6324" s="5">
        <v>1382531</v>
      </c>
      <c r="D6324" s="5">
        <v>40071</v>
      </c>
      <c r="E6324">
        <v>686315</v>
      </c>
      <c r="F6324" s="4" t="s">
        <v>249</v>
      </c>
      <c r="G6324" t="s">
        <v>29</v>
      </c>
      <c r="H6324" t="s">
        <v>250</v>
      </c>
    </row>
    <row r="6325" spans="1:8" x14ac:dyDescent="0.25">
      <c r="A6325" t="s">
        <v>1150</v>
      </c>
      <c r="B6325" t="s">
        <v>439</v>
      </c>
      <c r="C6325" s="5">
        <v>1017798</v>
      </c>
      <c r="D6325" s="5">
        <v>8841</v>
      </c>
      <c r="E6325">
        <v>427184</v>
      </c>
      <c r="F6325" s="4" t="s">
        <v>498</v>
      </c>
      <c r="G6325" t="s">
        <v>29</v>
      </c>
      <c r="H6325" t="s">
        <v>499</v>
      </c>
    </row>
    <row r="6326" spans="1:8" x14ac:dyDescent="0.25">
      <c r="A6326" t="s">
        <v>1150</v>
      </c>
      <c r="B6326" t="s">
        <v>440</v>
      </c>
      <c r="C6326" s="5">
        <v>7714973</v>
      </c>
      <c r="D6326" s="5">
        <v>214476</v>
      </c>
      <c r="E6326">
        <v>5256040</v>
      </c>
      <c r="F6326" s="4" t="s">
        <v>98</v>
      </c>
      <c r="G6326" t="s">
        <v>29</v>
      </c>
      <c r="H6326" t="s">
        <v>99</v>
      </c>
    </row>
    <row r="6327" spans="1:8" x14ac:dyDescent="0.25">
      <c r="A6327" t="s">
        <v>1150</v>
      </c>
      <c r="B6327" t="s">
        <v>443</v>
      </c>
      <c r="C6327" s="5">
        <v>98840</v>
      </c>
      <c r="D6327" s="5">
        <v>1311</v>
      </c>
      <c r="E6327">
        <v>51670</v>
      </c>
      <c r="F6327" s="4" t="s">
        <v>59</v>
      </c>
      <c r="G6327" t="s">
        <v>29</v>
      </c>
      <c r="H6327" t="s">
        <v>60</v>
      </c>
    </row>
    <row r="6328" spans="1:8" x14ac:dyDescent="0.25">
      <c r="A6328" t="s">
        <v>1150</v>
      </c>
      <c r="B6328" t="s">
        <v>444</v>
      </c>
      <c r="C6328" s="5">
        <v>547704</v>
      </c>
      <c r="D6328" s="5">
        <v>8751</v>
      </c>
      <c r="E6328">
        <v>194584</v>
      </c>
      <c r="F6328" s="4" t="s">
        <v>313</v>
      </c>
      <c r="G6328" t="s">
        <v>29</v>
      </c>
      <c r="H6328" t="s">
        <v>314</v>
      </c>
    </row>
    <row r="6329" spans="1:8" x14ac:dyDescent="0.25">
      <c r="A6329" t="s">
        <v>1150</v>
      </c>
      <c r="B6329" t="s">
        <v>445</v>
      </c>
      <c r="C6329" s="5">
        <v>20</v>
      </c>
      <c r="D6329" s="5">
        <v>0</v>
      </c>
      <c r="E6329">
        <v>13</v>
      </c>
      <c r="F6329" s="4" t="s">
        <v>29</v>
      </c>
      <c r="G6329" t="s">
        <v>29</v>
      </c>
      <c r="H6329" t="s">
        <v>291</v>
      </c>
    </row>
    <row r="6330" spans="1:8" x14ac:dyDescent="0.25">
      <c r="A6330" t="s">
        <v>1150</v>
      </c>
      <c r="B6330" t="s">
        <v>446</v>
      </c>
      <c r="C6330" s="5">
        <v>21799</v>
      </c>
      <c r="D6330" s="5">
        <v>118</v>
      </c>
      <c r="E6330">
        <v>18197</v>
      </c>
      <c r="F6330" s="4" t="s">
        <v>919</v>
      </c>
      <c r="G6330" t="s">
        <v>29</v>
      </c>
      <c r="H6330" t="s">
        <v>920</v>
      </c>
    </row>
    <row r="6331" spans="1:8" x14ac:dyDescent="0.25">
      <c r="A6331" t="s">
        <v>1150</v>
      </c>
      <c r="B6331" t="s">
        <v>449</v>
      </c>
      <c r="C6331" s="5">
        <v>38884</v>
      </c>
      <c r="D6331" s="5">
        <v>2955</v>
      </c>
      <c r="E6331">
        <v>32904</v>
      </c>
      <c r="F6331" s="4" t="s">
        <v>1159</v>
      </c>
      <c r="G6331" t="s">
        <v>29</v>
      </c>
      <c r="H6331" t="s">
        <v>1160</v>
      </c>
    </row>
    <row r="6332" spans="1:8" x14ac:dyDescent="0.25">
      <c r="A6332" t="s">
        <v>1150</v>
      </c>
      <c r="B6332" t="s">
        <v>452</v>
      </c>
      <c r="C6332" s="5">
        <v>1159560</v>
      </c>
      <c r="D6332" s="5">
        <v>14920</v>
      </c>
      <c r="E6332">
        <v>772396</v>
      </c>
      <c r="F6332" s="4" t="s">
        <v>417</v>
      </c>
      <c r="G6332" t="s">
        <v>29</v>
      </c>
      <c r="H6332" t="s">
        <v>418</v>
      </c>
    </row>
    <row r="6333" spans="1:8" x14ac:dyDescent="0.25">
      <c r="A6333" t="s">
        <v>1150</v>
      </c>
      <c r="B6333" t="s">
        <v>453</v>
      </c>
      <c r="C6333" s="5">
        <v>132205</v>
      </c>
      <c r="D6333" s="5">
        <v>183</v>
      </c>
      <c r="E6333">
        <v>87507</v>
      </c>
      <c r="F6333" s="4" t="s">
        <v>821</v>
      </c>
      <c r="G6333" t="s">
        <v>29</v>
      </c>
      <c r="H6333" t="s">
        <v>822</v>
      </c>
    </row>
    <row r="6334" spans="1:8" x14ac:dyDescent="0.25">
      <c r="A6334" t="s">
        <v>1150</v>
      </c>
      <c r="B6334" t="s">
        <v>456</v>
      </c>
      <c r="C6334" s="5">
        <v>302654</v>
      </c>
      <c r="D6334" s="5">
        <v>4618</v>
      </c>
      <c r="E6334">
        <v>166376</v>
      </c>
      <c r="F6334" s="4" t="s">
        <v>74</v>
      </c>
      <c r="G6334" t="s">
        <v>29</v>
      </c>
      <c r="H6334" t="s">
        <v>75</v>
      </c>
    </row>
    <row r="6335" spans="1:8" x14ac:dyDescent="0.25">
      <c r="A6335" t="s">
        <v>1150</v>
      </c>
      <c r="B6335" t="s">
        <v>457</v>
      </c>
      <c r="C6335" s="5">
        <v>427480</v>
      </c>
      <c r="D6335" s="5">
        <v>12752</v>
      </c>
      <c r="E6335">
        <v>31947</v>
      </c>
      <c r="F6335" s="4" t="s">
        <v>634</v>
      </c>
      <c r="G6335" t="s">
        <v>29</v>
      </c>
      <c r="H6335" t="s">
        <v>635</v>
      </c>
    </row>
    <row r="6336" spans="1:8" x14ac:dyDescent="0.25">
      <c r="A6336" t="s">
        <v>1150</v>
      </c>
      <c r="B6336" t="s">
        <v>460</v>
      </c>
      <c r="C6336" s="5">
        <v>6396</v>
      </c>
      <c r="D6336" s="5">
        <v>121</v>
      </c>
      <c r="E6336">
        <v>491</v>
      </c>
      <c r="F6336" s="4" t="s">
        <v>461</v>
      </c>
      <c r="G6336" t="s">
        <v>29</v>
      </c>
      <c r="H6336" t="s">
        <v>462</v>
      </c>
    </row>
    <row r="6337" spans="1:8" x14ac:dyDescent="0.25">
      <c r="A6337" t="s">
        <v>1150</v>
      </c>
      <c r="B6337" t="s">
        <v>463</v>
      </c>
      <c r="C6337" s="5">
        <v>5470</v>
      </c>
      <c r="D6337" s="5">
        <v>91</v>
      </c>
      <c r="E6337">
        <v>3853</v>
      </c>
      <c r="F6337" s="4" t="s">
        <v>135</v>
      </c>
      <c r="G6337" t="s">
        <v>29</v>
      </c>
      <c r="H6337" t="s">
        <v>136</v>
      </c>
    </row>
    <row r="6338" spans="1:8" x14ac:dyDescent="0.25">
      <c r="A6338" t="s">
        <v>1150</v>
      </c>
      <c r="B6338" t="s">
        <v>464</v>
      </c>
      <c r="C6338" s="5">
        <v>73842</v>
      </c>
      <c r="D6338" s="5">
        <v>1868</v>
      </c>
      <c r="E6338">
        <v>47716</v>
      </c>
      <c r="F6338" s="4" t="s">
        <v>611</v>
      </c>
      <c r="G6338" t="s">
        <v>29</v>
      </c>
      <c r="H6338" t="s">
        <v>612</v>
      </c>
    </row>
    <row r="6339" spans="1:8" x14ac:dyDescent="0.25">
      <c r="A6339" t="s">
        <v>1150</v>
      </c>
      <c r="B6339" t="s">
        <v>465</v>
      </c>
      <c r="C6339" s="5">
        <v>21269</v>
      </c>
      <c r="D6339" s="5">
        <v>1180</v>
      </c>
      <c r="E6339">
        <v>2638</v>
      </c>
      <c r="F6339" s="4" t="s">
        <v>1005</v>
      </c>
      <c r="G6339" t="s">
        <v>29</v>
      </c>
      <c r="H6339" t="s">
        <v>1006</v>
      </c>
    </row>
    <row r="6340" spans="1:8" x14ac:dyDescent="0.25">
      <c r="A6340" t="s">
        <v>1150</v>
      </c>
      <c r="B6340" t="s">
        <v>468</v>
      </c>
      <c r="C6340" s="5">
        <v>44873</v>
      </c>
      <c r="D6340" s="5">
        <v>974</v>
      </c>
      <c r="E6340">
        <v>29907</v>
      </c>
      <c r="F6340" s="4" t="s">
        <v>940</v>
      </c>
      <c r="G6340" t="s">
        <v>29</v>
      </c>
      <c r="H6340" t="s">
        <v>941</v>
      </c>
    </row>
    <row r="6341" spans="1:8" x14ac:dyDescent="0.25">
      <c r="A6341" t="s">
        <v>1150</v>
      </c>
      <c r="B6341" t="s">
        <v>472</v>
      </c>
      <c r="C6341" s="5">
        <v>3639</v>
      </c>
      <c r="D6341" s="5">
        <v>56</v>
      </c>
      <c r="E6341">
        <v>471</v>
      </c>
      <c r="F6341" s="4" t="s">
        <v>519</v>
      </c>
      <c r="G6341" t="s">
        <v>29</v>
      </c>
      <c r="H6341" t="s">
        <v>520</v>
      </c>
    </row>
    <row r="6342" spans="1:8" x14ac:dyDescent="0.25">
      <c r="A6342" t="s">
        <v>1150</v>
      </c>
      <c r="B6342" t="s">
        <v>471</v>
      </c>
      <c r="C6342" s="5">
        <v>12134</v>
      </c>
      <c r="D6342" s="5">
        <v>130</v>
      </c>
      <c r="E6342">
        <v>5327</v>
      </c>
      <c r="F6342" s="4" t="s">
        <v>654</v>
      </c>
      <c r="G6342" t="s">
        <v>29</v>
      </c>
      <c r="H6342" t="s">
        <v>655</v>
      </c>
    </row>
    <row r="6343" spans="1:8" x14ac:dyDescent="0.25">
      <c r="A6343" t="s">
        <v>1150</v>
      </c>
      <c r="B6343" t="s">
        <v>473</v>
      </c>
      <c r="C6343" s="5">
        <v>107664</v>
      </c>
      <c r="D6343" s="5">
        <v>3405</v>
      </c>
      <c r="E6343">
        <v>24822</v>
      </c>
      <c r="F6343" s="4" t="s">
        <v>474</v>
      </c>
      <c r="G6343" t="s">
        <v>29</v>
      </c>
      <c r="H6343" t="s">
        <v>475</v>
      </c>
    </row>
    <row r="6344" spans="1:8" x14ac:dyDescent="0.25">
      <c r="A6344" t="s">
        <v>1150</v>
      </c>
      <c r="B6344" t="s">
        <v>476</v>
      </c>
      <c r="C6344" s="5">
        <v>37509</v>
      </c>
      <c r="D6344" s="5">
        <v>2358</v>
      </c>
      <c r="E6344">
        <v>21030</v>
      </c>
      <c r="F6344" s="4" t="s">
        <v>1161</v>
      </c>
      <c r="G6344" t="s">
        <v>29</v>
      </c>
      <c r="H6344" t="s">
        <v>1162</v>
      </c>
    </row>
    <row r="6345" spans="1:8" x14ac:dyDescent="0.25">
      <c r="A6345" t="s">
        <v>1150</v>
      </c>
      <c r="B6345" t="s">
        <v>479</v>
      </c>
      <c r="C6345" s="5">
        <v>46313</v>
      </c>
      <c r="D6345" s="5">
        <v>1230</v>
      </c>
      <c r="E6345">
        <v>16875</v>
      </c>
      <c r="F6345" s="4" t="s">
        <v>47</v>
      </c>
      <c r="G6345" t="s">
        <v>29</v>
      </c>
      <c r="H6345" t="s">
        <v>48</v>
      </c>
    </row>
    <row r="6346" spans="1:8" x14ac:dyDescent="0.25">
      <c r="A6346" t="s">
        <v>1150</v>
      </c>
      <c r="B6346" t="s">
        <v>482</v>
      </c>
      <c r="C6346" s="5">
        <v>5061</v>
      </c>
      <c r="D6346" s="5">
        <v>174</v>
      </c>
      <c r="E6346">
        <v>1135</v>
      </c>
      <c r="F6346" s="4" t="s">
        <v>802</v>
      </c>
      <c r="G6346" t="s">
        <v>29</v>
      </c>
      <c r="H6346" t="s">
        <v>803</v>
      </c>
    </row>
    <row r="6347" spans="1:8" x14ac:dyDescent="0.25">
      <c r="A6347" t="s">
        <v>1150</v>
      </c>
      <c r="B6347" t="s">
        <v>483</v>
      </c>
      <c r="C6347" s="5">
        <v>25807</v>
      </c>
      <c r="D6347" s="5">
        <v>237</v>
      </c>
      <c r="E6347">
        <v>7292</v>
      </c>
      <c r="F6347" s="4" t="s">
        <v>214</v>
      </c>
      <c r="G6347" t="s">
        <v>29</v>
      </c>
      <c r="H6347" t="s">
        <v>215</v>
      </c>
    </row>
    <row r="6348" spans="1:8" x14ac:dyDescent="0.25">
      <c r="A6348" t="s">
        <v>1150</v>
      </c>
      <c r="B6348" t="s">
        <v>486</v>
      </c>
      <c r="C6348" s="5">
        <v>1730364</v>
      </c>
      <c r="D6348" s="5">
        <v>17835</v>
      </c>
      <c r="E6348">
        <v>1492155</v>
      </c>
      <c r="F6348" s="4" t="s">
        <v>687</v>
      </c>
      <c r="G6348" t="s">
        <v>29</v>
      </c>
      <c r="H6348" t="s">
        <v>688</v>
      </c>
    </row>
    <row r="6349" spans="1:8" x14ac:dyDescent="0.25">
      <c r="A6349" t="s">
        <v>1150</v>
      </c>
      <c r="B6349" t="s">
        <v>487</v>
      </c>
      <c r="C6349" s="5">
        <v>17484</v>
      </c>
      <c r="D6349" s="5">
        <v>125</v>
      </c>
      <c r="E6349">
        <v>14536</v>
      </c>
      <c r="F6349" s="4" t="s">
        <v>488</v>
      </c>
      <c r="G6349" t="s">
        <v>29</v>
      </c>
      <c r="H6349" t="s">
        <v>489</v>
      </c>
    </row>
    <row r="6350" spans="1:8" x14ac:dyDescent="0.25">
      <c r="A6350" t="s">
        <v>1150</v>
      </c>
      <c r="B6350" t="s">
        <v>490</v>
      </c>
      <c r="C6350" s="5">
        <v>19681</v>
      </c>
      <c r="D6350" s="5">
        <v>119</v>
      </c>
      <c r="E6350">
        <v>10013</v>
      </c>
      <c r="F6350" s="4" t="s">
        <v>300</v>
      </c>
      <c r="G6350" t="s">
        <v>29</v>
      </c>
      <c r="H6350" t="s">
        <v>301</v>
      </c>
    </row>
    <row r="6351" spans="1:8" x14ac:dyDescent="0.25">
      <c r="A6351" t="s">
        <v>1150</v>
      </c>
      <c r="B6351" t="s">
        <v>493</v>
      </c>
      <c r="C6351" s="5">
        <v>710096</v>
      </c>
      <c r="D6351" s="5">
        <v>25046</v>
      </c>
      <c r="E6351">
        <v>5920</v>
      </c>
      <c r="F6351" s="4" t="s">
        <v>430</v>
      </c>
      <c r="G6351" t="s">
        <v>29</v>
      </c>
      <c r="H6351" t="s">
        <v>431</v>
      </c>
    </row>
    <row r="6352" spans="1:8" x14ac:dyDescent="0.25">
      <c r="A6352" t="s">
        <v>1150</v>
      </c>
      <c r="B6352" t="s">
        <v>497</v>
      </c>
      <c r="C6352" s="5">
        <v>7508945</v>
      </c>
      <c r="D6352" s="5">
        <v>66605</v>
      </c>
      <c r="E6352">
        <v>3697071</v>
      </c>
      <c r="F6352" s="4" t="s">
        <v>65</v>
      </c>
      <c r="G6352" t="s">
        <v>29</v>
      </c>
      <c r="H6352" t="s">
        <v>66</v>
      </c>
    </row>
    <row r="6353" spans="1:8" x14ac:dyDescent="0.25">
      <c r="A6353" t="s">
        <v>1150</v>
      </c>
      <c r="B6353" t="s">
        <v>500</v>
      </c>
      <c r="C6353" s="5">
        <v>52999</v>
      </c>
      <c r="D6353" s="5">
        <v>1566</v>
      </c>
      <c r="E6353">
        <v>37279</v>
      </c>
      <c r="F6353" s="4" t="s">
        <v>884</v>
      </c>
      <c r="G6353" t="s">
        <v>29</v>
      </c>
      <c r="H6353" t="s">
        <v>885</v>
      </c>
    </row>
    <row r="6354" spans="1:8" x14ac:dyDescent="0.25">
      <c r="A6354" t="s">
        <v>1150</v>
      </c>
      <c r="B6354" t="s">
        <v>503</v>
      </c>
      <c r="C6354" s="5">
        <v>16309</v>
      </c>
      <c r="D6354" s="5">
        <v>846</v>
      </c>
      <c r="E6354">
        <v>12302</v>
      </c>
      <c r="F6354" s="4" t="s">
        <v>1138</v>
      </c>
      <c r="G6354" t="s">
        <v>29</v>
      </c>
      <c r="H6354" t="s">
        <v>1139</v>
      </c>
    </row>
    <row r="6355" spans="1:8" x14ac:dyDescent="0.25">
      <c r="A6355" t="s">
        <v>1150</v>
      </c>
      <c r="B6355" t="s">
        <v>506</v>
      </c>
      <c r="C6355" s="5">
        <v>26034</v>
      </c>
      <c r="D6355" s="5">
        <v>724</v>
      </c>
      <c r="E6355">
        <v>4700</v>
      </c>
      <c r="F6355" s="4" t="s">
        <v>98</v>
      </c>
      <c r="G6355" t="s">
        <v>29</v>
      </c>
      <c r="H6355" t="s">
        <v>99</v>
      </c>
    </row>
    <row r="6356" spans="1:8" x14ac:dyDescent="0.25">
      <c r="A6356" t="s">
        <v>1150</v>
      </c>
      <c r="B6356" t="s">
        <v>509</v>
      </c>
      <c r="C6356" s="5">
        <v>2680076</v>
      </c>
      <c r="D6356" s="5">
        <v>62921</v>
      </c>
      <c r="E6356">
        <v>276389</v>
      </c>
      <c r="F6356" s="4" t="s">
        <v>591</v>
      </c>
      <c r="G6356" t="s">
        <v>29</v>
      </c>
      <c r="H6356" t="s">
        <v>592</v>
      </c>
    </row>
    <row r="6357" spans="1:8" x14ac:dyDescent="0.25">
      <c r="A6357" t="s">
        <v>1150</v>
      </c>
      <c r="B6357" t="s">
        <v>512</v>
      </c>
      <c r="C6357" s="5">
        <v>124808</v>
      </c>
      <c r="D6357" s="5">
        <v>3179</v>
      </c>
      <c r="E6357">
        <v>81411</v>
      </c>
      <c r="F6357" s="4" t="s">
        <v>513</v>
      </c>
      <c r="G6357" t="s">
        <v>29</v>
      </c>
      <c r="H6357" t="s">
        <v>514</v>
      </c>
    </row>
    <row r="6358" spans="1:8" x14ac:dyDescent="0.25">
      <c r="A6358" t="s">
        <v>1150</v>
      </c>
      <c r="B6358" t="s">
        <v>515</v>
      </c>
      <c r="C6358" s="5">
        <v>44562693</v>
      </c>
      <c r="D6358" s="5">
        <v>716777</v>
      </c>
      <c r="E6358">
        <v>6091113</v>
      </c>
      <c r="F6358" s="4" t="s">
        <v>587</v>
      </c>
      <c r="G6358" t="s">
        <v>29</v>
      </c>
      <c r="H6358" t="s">
        <v>588</v>
      </c>
    </row>
    <row r="6359" spans="1:8" x14ac:dyDescent="0.25">
      <c r="A6359" t="s">
        <v>1150</v>
      </c>
      <c r="B6359" t="s">
        <v>518</v>
      </c>
      <c r="C6359" s="5">
        <v>390234</v>
      </c>
      <c r="D6359" s="5">
        <v>6064</v>
      </c>
      <c r="E6359">
        <v>21669</v>
      </c>
      <c r="F6359" s="4" t="s">
        <v>333</v>
      </c>
      <c r="G6359" t="s">
        <v>29</v>
      </c>
      <c r="H6359" t="s">
        <v>334</v>
      </c>
    </row>
    <row r="6360" spans="1:8" x14ac:dyDescent="0.25">
      <c r="A6360" t="s">
        <v>1150</v>
      </c>
      <c r="B6360" t="s">
        <v>521</v>
      </c>
      <c r="C6360" s="5">
        <v>178986</v>
      </c>
      <c r="D6360" s="5">
        <v>1273</v>
      </c>
      <c r="E6360">
        <v>33807</v>
      </c>
      <c r="F6360" s="4" t="s">
        <v>488</v>
      </c>
      <c r="G6360" t="s">
        <v>29</v>
      </c>
      <c r="H6360" t="s">
        <v>489</v>
      </c>
    </row>
    <row r="6361" spans="1:8" x14ac:dyDescent="0.25">
      <c r="A6361" t="s">
        <v>1150</v>
      </c>
      <c r="B6361" t="s">
        <v>523</v>
      </c>
      <c r="C6361" s="5">
        <v>4096</v>
      </c>
      <c r="D6361" s="5">
        <v>38</v>
      </c>
      <c r="E6361">
        <v>1746</v>
      </c>
      <c r="F6361" s="4" t="s">
        <v>484</v>
      </c>
      <c r="G6361" t="s">
        <v>29</v>
      </c>
      <c r="H6361" t="s">
        <v>485</v>
      </c>
    </row>
    <row r="6362" spans="1:8" x14ac:dyDescent="0.25">
      <c r="A6362" t="s">
        <v>1150</v>
      </c>
      <c r="B6362" t="s">
        <v>522</v>
      </c>
      <c r="C6362" s="5">
        <v>27</v>
      </c>
      <c r="D6362" s="5">
        <v>0</v>
      </c>
      <c r="E6362">
        <v>13</v>
      </c>
      <c r="F6362" s="4" t="s">
        <v>29</v>
      </c>
      <c r="G6362" t="s">
        <v>29</v>
      </c>
      <c r="H6362" t="s">
        <v>291</v>
      </c>
    </row>
    <row r="6363" spans="1:8" x14ac:dyDescent="0.25">
      <c r="A6363" t="s">
        <v>1150</v>
      </c>
      <c r="B6363" t="s">
        <v>524</v>
      </c>
      <c r="C6363" s="5">
        <v>384668</v>
      </c>
      <c r="D6363" s="5">
        <v>4634</v>
      </c>
      <c r="E6363">
        <v>72094</v>
      </c>
      <c r="F6363" s="4" t="s">
        <v>525</v>
      </c>
      <c r="G6363" t="s">
        <v>29</v>
      </c>
      <c r="H6363" t="s">
        <v>526</v>
      </c>
    </row>
    <row r="6364" spans="1:8" x14ac:dyDescent="0.25">
      <c r="A6364" t="s">
        <v>1150</v>
      </c>
      <c r="B6364" t="s">
        <v>527</v>
      </c>
      <c r="C6364" s="5">
        <v>846230</v>
      </c>
      <c r="D6364" s="5">
        <v>20763</v>
      </c>
      <c r="E6364">
        <v>814720</v>
      </c>
      <c r="F6364" s="4" t="s">
        <v>999</v>
      </c>
      <c r="G6364" t="s">
        <v>29</v>
      </c>
      <c r="H6364" t="s">
        <v>1000</v>
      </c>
    </row>
    <row r="6365" spans="1:8" x14ac:dyDescent="0.25">
      <c r="A6365" t="s">
        <v>1150</v>
      </c>
      <c r="B6365" t="s">
        <v>530</v>
      </c>
      <c r="C6365" s="5">
        <v>4</v>
      </c>
      <c r="D6365" s="5">
        <v>1</v>
      </c>
      <c r="E6365">
        <v>2</v>
      </c>
      <c r="F6365" s="4" t="s">
        <v>973</v>
      </c>
      <c r="G6365" t="s">
        <v>29</v>
      </c>
      <c r="H6365" t="s">
        <v>974</v>
      </c>
    </row>
    <row r="6366" spans="1:8" x14ac:dyDescent="0.25">
      <c r="A6366" t="s">
        <v>1150</v>
      </c>
      <c r="B6366" t="s">
        <v>533</v>
      </c>
      <c r="C6366" s="5">
        <v>3</v>
      </c>
      <c r="D6366" s="5">
        <v>0</v>
      </c>
      <c r="E6366">
        <v>2</v>
      </c>
      <c r="F6366" s="4" t="s">
        <v>29</v>
      </c>
      <c r="G6366" t="s">
        <v>29</v>
      </c>
      <c r="H6366" t="s">
        <v>291</v>
      </c>
    </row>
    <row r="6367" spans="1:8" x14ac:dyDescent="0.25">
      <c r="A6367" t="s">
        <v>1150</v>
      </c>
      <c r="B6367" t="s">
        <v>534</v>
      </c>
      <c r="C6367" s="5">
        <v>160435</v>
      </c>
      <c r="D6367" s="5">
        <v>2972</v>
      </c>
      <c r="E6367">
        <v>93598</v>
      </c>
      <c r="F6367" s="4" t="s">
        <v>535</v>
      </c>
      <c r="G6367" t="s">
        <v>29</v>
      </c>
      <c r="H6367" t="s">
        <v>536</v>
      </c>
    </row>
    <row r="6368" spans="1:8" x14ac:dyDescent="0.25">
      <c r="A6368" t="s">
        <v>1150</v>
      </c>
      <c r="B6368" t="s">
        <v>537</v>
      </c>
      <c r="C6368" s="5">
        <v>9412</v>
      </c>
      <c r="D6368" s="5">
        <v>1787</v>
      </c>
      <c r="E6368">
        <v>5930</v>
      </c>
      <c r="F6368" s="4" t="s">
        <v>1163</v>
      </c>
      <c r="G6368" t="s">
        <v>29</v>
      </c>
      <c r="H6368" t="s">
        <v>1164</v>
      </c>
    </row>
    <row r="6369" spans="1:8" x14ac:dyDescent="0.25">
      <c r="A6369" t="s">
        <v>1150</v>
      </c>
      <c r="B6369" t="s">
        <v>540</v>
      </c>
      <c r="C6369" s="5">
        <v>20397</v>
      </c>
      <c r="D6369" s="5">
        <v>180</v>
      </c>
      <c r="E6369">
        <v>19999</v>
      </c>
      <c r="F6369" s="4" t="s">
        <v>609</v>
      </c>
      <c r="G6369" t="s">
        <v>29</v>
      </c>
      <c r="H6369" t="s">
        <v>610</v>
      </c>
    </row>
    <row r="6370" spans="1:8" x14ac:dyDescent="0.25">
      <c r="A6370" t="s">
        <v>1150</v>
      </c>
      <c r="B6370" t="s">
        <v>541</v>
      </c>
      <c r="C6370" s="5">
        <v>2912938</v>
      </c>
      <c r="D6370" s="5">
        <v>88429</v>
      </c>
      <c r="E6370">
        <v>2509913</v>
      </c>
      <c r="F6370" s="4" t="s">
        <v>320</v>
      </c>
      <c r="G6370" t="s">
        <v>29</v>
      </c>
      <c r="H6370" t="s">
        <v>321</v>
      </c>
    </row>
    <row r="6371" spans="1:8" x14ac:dyDescent="0.25">
      <c r="A6371" t="s">
        <v>1150</v>
      </c>
      <c r="B6371" t="s">
        <v>544</v>
      </c>
      <c r="C6371" s="5">
        <v>209396</v>
      </c>
      <c r="D6371" s="5">
        <v>3654</v>
      </c>
      <c r="E6371">
        <v>159609</v>
      </c>
      <c r="F6371" s="4" t="s">
        <v>545</v>
      </c>
      <c r="G6371" t="s">
        <v>29</v>
      </c>
      <c r="H6371" t="s">
        <v>546</v>
      </c>
    </row>
    <row r="6372" spans="1:8" x14ac:dyDescent="0.25">
      <c r="A6372" t="s">
        <v>1150</v>
      </c>
      <c r="B6372" t="s">
        <v>547</v>
      </c>
      <c r="C6372" s="5">
        <v>132016</v>
      </c>
      <c r="D6372" s="5">
        <v>4645</v>
      </c>
      <c r="E6372">
        <v>7748</v>
      </c>
      <c r="F6372" s="4" t="s">
        <v>353</v>
      </c>
      <c r="G6372" t="s">
        <v>29</v>
      </c>
      <c r="H6372" t="s">
        <v>354</v>
      </c>
    </row>
    <row r="6373" spans="1:8" x14ac:dyDescent="0.25">
      <c r="A6373" t="s">
        <v>1150</v>
      </c>
      <c r="B6373" t="s">
        <v>548</v>
      </c>
      <c r="C6373" s="5">
        <v>721</v>
      </c>
      <c r="D6373" s="5">
        <v>15</v>
      </c>
      <c r="E6373">
        <v>463</v>
      </c>
      <c r="F6373" s="4" t="s">
        <v>549</v>
      </c>
      <c r="G6373" t="s">
        <v>29</v>
      </c>
      <c r="H6373" t="s">
        <v>550</v>
      </c>
    </row>
    <row r="6375" spans="1:8" x14ac:dyDescent="0.25">
      <c r="C6375" s="5">
        <f>SUM(coronavirus_politologue_com_pays_2021_11_11__2[Infections])</f>
        <v>7598418523</v>
      </c>
      <c r="D6375" s="5">
        <f>SUM(coronavirus_politologue_com_pays_2021_11_11__2[Deces])</f>
        <v>154136790</v>
      </c>
      <c r="E6375">
        <f>SUM(coronavirus_politologue_com_pays_2021_11_11__2[Guerisons])</f>
        <v>3671981986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Q8"/>
  <sheetViews>
    <sheetView showGridLines="0" zoomScale="85" zoomScaleNormal="85" workbookViewId="0">
      <selection activeCell="F8" sqref="F8:I8"/>
    </sheetView>
  </sheetViews>
  <sheetFormatPr defaultColWidth="11.42578125" defaultRowHeight="15" x14ac:dyDescent="0.25"/>
  <sheetData>
    <row r="1" spans="1:17" x14ac:dyDescent="0.25">
      <c r="A1" s="24"/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</row>
    <row r="2" spans="1:17" x14ac:dyDescent="0.25">
      <c r="A2" s="24"/>
      <c r="B2" s="24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</row>
    <row r="3" spans="1:17" ht="15.75" thickBot="1" x14ac:dyDescent="0.3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</row>
    <row r="4" spans="1:17" ht="15.75" thickBot="1" x14ac:dyDescent="0.3">
      <c r="F4" s="36" t="s">
        <v>1169</v>
      </c>
      <c r="G4" s="37"/>
      <c r="H4" s="37" t="s">
        <v>1171</v>
      </c>
      <c r="I4" s="37"/>
      <c r="J4" s="37" t="s">
        <v>1170</v>
      </c>
      <c r="K4" s="38"/>
    </row>
    <row r="5" spans="1:17" x14ac:dyDescent="0.25">
      <c r="F5" s="25"/>
      <c r="G5" s="26"/>
      <c r="H5" s="29"/>
      <c r="I5" s="26"/>
      <c r="J5" s="32"/>
      <c r="K5" s="33"/>
    </row>
    <row r="6" spans="1:17" ht="15.75" thickBot="1" x14ac:dyDescent="0.3">
      <c r="F6" s="27"/>
      <c r="G6" s="28"/>
      <c r="H6" s="30"/>
      <c r="I6" s="31"/>
      <c r="J6" s="34"/>
      <c r="K6" s="35"/>
    </row>
    <row r="7" spans="1:17" ht="15.75" thickBot="1" x14ac:dyDescent="0.3"/>
    <row r="8" spans="1:17" ht="15.75" thickBot="1" x14ac:dyDescent="0.3">
      <c r="F8" s="21"/>
      <c r="G8" s="22"/>
      <c r="H8" s="22"/>
      <c r="I8" s="22"/>
      <c r="J8" s="12"/>
      <c r="K8" s="21"/>
      <c r="L8" s="22"/>
      <c r="M8" s="22"/>
      <c r="N8" s="22"/>
      <c r="O8" s="22"/>
      <c r="P8" s="22"/>
      <c r="Q8" s="23"/>
    </row>
  </sheetData>
  <mergeCells count="9">
    <mergeCell ref="F8:I8"/>
    <mergeCell ref="K8:Q8"/>
    <mergeCell ref="A1:Q2"/>
    <mergeCell ref="F5:G6"/>
    <mergeCell ref="H5:I6"/>
    <mergeCell ref="J5:K6"/>
    <mergeCell ref="F4:G4"/>
    <mergeCell ref="H4:I4"/>
    <mergeCell ref="J4:K4"/>
  </mergeCells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X35"/>
  <sheetViews>
    <sheetView topLeftCell="F2" workbookViewId="0">
      <selection activeCell="E27" sqref="E26:E27"/>
    </sheetView>
  </sheetViews>
  <sheetFormatPr defaultColWidth="11.42578125" defaultRowHeight="15" x14ac:dyDescent="0.25"/>
  <cols>
    <col min="1" max="1" width="13.140625" bestFit="1" customWidth="1"/>
    <col min="2" max="2" width="21" bestFit="1" customWidth="1"/>
    <col min="7" max="7" width="13.140625" bestFit="1" customWidth="1"/>
    <col min="8" max="8" width="21" bestFit="1" customWidth="1"/>
    <col min="13" max="13" width="13.140625" bestFit="1" customWidth="1"/>
    <col min="14" max="14" width="21" bestFit="1" customWidth="1"/>
    <col min="19" max="19" width="21" bestFit="1" customWidth="1"/>
    <col min="20" max="20" width="19.85546875" bestFit="1" customWidth="1"/>
    <col min="21" max="21" width="14.140625" bestFit="1" customWidth="1"/>
    <col min="22" max="22" width="8" bestFit="1" customWidth="1"/>
    <col min="23" max="23" width="21" bestFit="1" customWidth="1"/>
    <col min="24" max="24" width="16.28515625" bestFit="1" customWidth="1"/>
    <col min="25" max="25" width="8.28515625" bestFit="1" customWidth="1"/>
    <col min="26" max="26" width="8" bestFit="1" customWidth="1"/>
    <col min="27" max="27" width="18.5703125" bestFit="1" customWidth="1"/>
    <col min="28" max="28" width="15.140625" bestFit="1" customWidth="1"/>
    <col min="29" max="29" width="10" bestFit="1" customWidth="1"/>
    <col min="30" max="30" width="8.7109375" bestFit="1" customWidth="1"/>
    <col min="31" max="31" width="9" bestFit="1" customWidth="1"/>
    <col min="32" max="32" width="6.85546875" bestFit="1" customWidth="1"/>
    <col min="33" max="33" width="9" bestFit="1" customWidth="1"/>
    <col min="34" max="34" width="11.5703125" bestFit="1" customWidth="1"/>
    <col min="35" max="35" width="8.85546875" bestFit="1" customWidth="1"/>
    <col min="36" max="36" width="8" bestFit="1" customWidth="1"/>
    <col min="37" max="37" width="11.140625" bestFit="1" customWidth="1"/>
    <col min="38" max="38" width="8.28515625" bestFit="1" customWidth="1"/>
    <col min="39" max="40" width="9" bestFit="1" customWidth="1"/>
    <col min="41" max="42" width="7" bestFit="1" customWidth="1"/>
    <col min="43" max="43" width="8.42578125" bestFit="1" customWidth="1"/>
    <col min="44" max="45" width="9" bestFit="1" customWidth="1"/>
    <col min="46" max="46" width="19" bestFit="1" customWidth="1"/>
    <col min="47" max="47" width="9.5703125" bestFit="1" customWidth="1"/>
    <col min="48" max="48" width="10" bestFit="1" customWidth="1"/>
    <col min="49" max="49" width="17.5703125" bestFit="1" customWidth="1"/>
    <col min="50" max="50" width="9" bestFit="1" customWidth="1"/>
    <col min="51" max="51" width="12.140625" bestFit="1" customWidth="1"/>
    <col min="52" max="52" width="8" bestFit="1" customWidth="1"/>
    <col min="53" max="53" width="10.42578125" bestFit="1" customWidth="1"/>
    <col min="54" max="54" width="10.140625" bestFit="1" customWidth="1"/>
    <col min="55" max="55" width="9" bestFit="1" customWidth="1"/>
    <col min="56" max="56" width="8.5703125" bestFit="1" customWidth="1"/>
    <col min="57" max="57" width="9" bestFit="1" customWidth="1"/>
    <col min="58" max="59" width="8" bestFit="1" customWidth="1"/>
    <col min="60" max="60" width="10" bestFit="1" customWidth="1"/>
    <col min="61" max="61" width="8.85546875" bestFit="1" customWidth="1"/>
    <col min="62" max="62" width="18" bestFit="1" customWidth="1"/>
    <col min="63" max="63" width="12.7109375" bestFit="1" customWidth="1"/>
    <col min="64" max="64" width="9.85546875" bestFit="1" customWidth="1"/>
    <col min="65" max="65" width="12.42578125" bestFit="1" customWidth="1"/>
    <col min="66" max="67" width="9" bestFit="1" customWidth="1"/>
    <col min="68" max="68" width="10" bestFit="1" customWidth="1"/>
    <col min="69" max="69" width="8.140625" bestFit="1" customWidth="1"/>
    <col min="70" max="70" width="10.85546875" bestFit="1" customWidth="1"/>
    <col min="71" max="71" width="9" bestFit="1" customWidth="1"/>
    <col min="72" max="72" width="10.5703125" bestFit="1" customWidth="1"/>
    <col min="73" max="73" width="18.7109375" bestFit="1" customWidth="1"/>
    <col min="74" max="74" width="9" bestFit="1" customWidth="1"/>
    <col min="75" max="75" width="8.5703125" bestFit="1" customWidth="1"/>
    <col min="76" max="76" width="10" bestFit="1" customWidth="1"/>
    <col min="77" max="77" width="8" bestFit="1" customWidth="1"/>
    <col min="78" max="78" width="8.42578125" bestFit="1" customWidth="1"/>
    <col min="79" max="79" width="11" bestFit="1" customWidth="1"/>
    <col min="80" max="80" width="9" bestFit="1" customWidth="1"/>
    <col min="81" max="81" width="8" bestFit="1" customWidth="1"/>
    <col min="82" max="82" width="8.7109375" bestFit="1" customWidth="1"/>
    <col min="83" max="83" width="10" bestFit="1" customWidth="1"/>
    <col min="84" max="85" width="8" bestFit="1" customWidth="1"/>
    <col min="86" max="86" width="9" bestFit="1" customWidth="1"/>
    <col min="87" max="87" width="8" bestFit="1" customWidth="1"/>
    <col min="88" max="88" width="8.85546875" bestFit="1" customWidth="1"/>
    <col min="89" max="89" width="9" bestFit="1" customWidth="1"/>
    <col min="90" max="90" width="8.7109375" bestFit="1" customWidth="1"/>
    <col min="91" max="91" width="12" bestFit="1" customWidth="1"/>
    <col min="92" max="92" width="10.7109375" bestFit="1" customWidth="1"/>
    <col min="93" max="93" width="7.5703125" bestFit="1" customWidth="1"/>
    <col min="94" max="94" width="18.28515625" bestFit="1" customWidth="1"/>
    <col min="95" max="95" width="13.85546875" bestFit="1" customWidth="1"/>
    <col min="96" max="96" width="8" bestFit="1" customWidth="1"/>
    <col min="97" max="97" width="16.7109375" bestFit="1" customWidth="1"/>
    <col min="98" max="98" width="7" bestFit="1" customWidth="1"/>
    <col min="99" max="99" width="9.42578125" bestFit="1" customWidth="1"/>
    <col min="100" max="100" width="10.7109375" bestFit="1" customWidth="1"/>
    <col min="101" max="101" width="9" bestFit="1" customWidth="1"/>
    <col min="102" max="102" width="9.7109375" bestFit="1" customWidth="1"/>
    <col min="103" max="104" width="12.28515625" bestFit="1" customWidth="1"/>
    <col min="105" max="105" width="11" bestFit="1" customWidth="1"/>
    <col min="106" max="107" width="10" bestFit="1" customWidth="1"/>
    <col min="108" max="109" width="9" bestFit="1" customWidth="1"/>
    <col min="110" max="110" width="7.42578125" bestFit="1" customWidth="1"/>
    <col min="111" max="111" width="9" bestFit="1" customWidth="1"/>
    <col min="112" max="112" width="10" bestFit="1" customWidth="1"/>
    <col min="113" max="113" width="9.42578125" bestFit="1" customWidth="1"/>
    <col min="114" max="115" width="9" bestFit="1" customWidth="1"/>
    <col min="116" max="116" width="10.85546875" bestFit="1" customWidth="1"/>
    <col min="117" max="117" width="8" bestFit="1" customWidth="1"/>
    <col min="118" max="118" width="11.28515625" bestFit="1" customWidth="1"/>
    <col min="119" max="119" width="7.42578125" bestFit="1" customWidth="1"/>
    <col min="120" max="120" width="8" bestFit="1" customWidth="1"/>
    <col min="121" max="121" width="9" bestFit="1" customWidth="1"/>
    <col min="122" max="123" width="8" bestFit="1" customWidth="1"/>
    <col min="124" max="124" width="8.42578125" bestFit="1" customWidth="1"/>
    <col min="125" max="125" width="9" bestFit="1" customWidth="1"/>
    <col min="126" max="126" width="7" bestFit="1" customWidth="1"/>
    <col min="127" max="127" width="9" bestFit="1" customWidth="1"/>
    <col min="128" max="128" width="13" bestFit="1" customWidth="1"/>
    <col min="129" max="129" width="9" bestFit="1" customWidth="1"/>
    <col min="130" max="130" width="12" bestFit="1" customWidth="1"/>
    <col min="131" max="131" width="6.85546875" bestFit="1" customWidth="1"/>
    <col min="132" max="132" width="11" bestFit="1" customWidth="1"/>
    <col min="134" max="134" width="9" bestFit="1" customWidth="1"/>
    <col min="135" max="135" width="8" bestFit="1" customWidth="1"/>
    <col min="136" max="136" width="9.140625" bestFit="1" customWidth="1"/>
    <col min="137" max="137" width="7" bestFit="1" customWidth="1"/>
    <col min="138" max="138" width="8" bestFit="1" customWidth="1"/>
    <col min="139" max="139" width="9" bestFit="1" customWidth="1"/>
    <col min="140" max="140" width="11" bestFit="1" customWidth="1"/>
    <col min="141" max="141" width="8.28515625" bestFit="1" customWidth="1"/>
    <col min="142" max="142" width="10.85546875" bestFit="1" customWidth="1"/>
    <col min="143" max="143" width="8.5703125" bestFit="1" customWidth="1"/>
    <col min="144" max="144" width="10" bestFit="1" customWidth="1"/>
    <col min="145" max="145" width="9.42578125" bestFit="1" customWidth="1"/>
    <col min="146" max="146" width="8.140625" bestFit="1" customWidth="1"/>
    <col min="147" max="147" width="9.5703125" bestFit="1" customWidth="1"/>
    <col min="148" max="148" width="12.140625" bestFit="1" customWidth="1"/>
    <col min="149" max="149" width="12.7109375" bestFit="1" customWidth="1"/>
    <col min="150" max="150" width="8.5703125" bestFit="1" customWidth="1"/>
    <col min="151" max="151" width="9" bestFit="1" customWidth="1"/>
    <col min="152" max="152" width="9.7109375" bestFit="1" customWidth="1"/>
    <col min="153" max="153" width="7" bestFit="1" customWidth="1"/>
    <col min="154" max="154" width="8" bestFit="1" customWidth="1"/>
    <col min="155" max="155" width="8.5703125" bestFit="1" customWidth="1"/>
    <col min="156" max="156" width="19" bestFit="1" customWidth="1"/>
    <col min="157" max="157" width="17.140625" bestFit="1" customWidth="1"/>
    <col min="158" max="158" width="8" bestFit="1" customWidth="1"/>
    <col min="159" max="159" width="8.85546875" bestFit="1" customWidth="1"/>
    <col min="160" max="160" width="12" bestFit="1" customWidth="1"/>
    <col min="161" max="161" width="9" bestFit="1" customWidth="1"/>
    <col min="162" max="162" width="6.7109375" bestFit="1" customWidth="1"/>
    <col min="163" max="163" width="9.28515625" bestFit="1" customWidth="1"/>
    <col min="164" max="164" width="9" bestFit="1" customWidth="1"/>
    <col min="165" max="165" width="26.7109375" bestFit="1" customWidth="1"/>
    <col min="166" max="168" width="9" bestFit="1" customWidth="1"/>
    <col min="169" max="169" width="11" bestFit="1" customWidth="1"/>
    <col min="170" max="170" width="9" bestFit="1" customWidth="1"/>
    <col min="171" max="171" width="18.5703125" bestFit="1" customWidth="1"/>
    <col min="172" max="172" width="9" bestFit="1" customWidth="1"/>
    <col min="173" max="173" width="8" bestFit="1" customWidth="1"/>
    <col min="174" max="174" width="19" bestFit="1" customWidth="1"/>
    <col min="175" max="175" width="24.5703125" bestFit="1" customWidth="1"/>
    <col min="176" max="176" width="23.140625" bestFit="1" customWidth="1"/>
    <col min="177" max="177" width="19.42578125" bestFit="1" customWidth="1"/>
    <col min="178" max="178" width="8.42578125" bestFit="1" customWidth="1"/>
    <col min="179" max="179" width="10" bestFit="1" customWidth="1"/>
    <col min="180" max="180" width="13.140625" bestFit="1" customWidth="1"/>
    <col min="181" max="181" width="10" bestFit="1" customWidth="1"/>
    <col min="182" max="182" width="8" bestFit="1" customWidth="1"/>
    <col min="183" max="183" width="16.28515625" bestFit="1" customWidth="1"/>
    <col min="184" max="185" width="11.85546875" bestFit="1" customWidth="1"/>
    <col min="186" max="186" width="18.5703125" bestFit="1" customWidth="1"/>
    <col min="188" max="188" width="6.85546875" bestFit="1" customWidth="1"/>
    <col min="189" max="189" width="20.28515625" bestFit="1" customWidth="1"/>
    <col min="190" max="190" width="8" bestFit="1" customWidth="1"/>
    <col min="191" max="191" width="9" bestFit="1" customWidth="1"/>
    <col min="192" max="192" width="10.42578125" bestFit="1" customWidth="1"/>
    <col min="193" max="193" width="12" bestFit="1" customWidth="1"/>
    <col min="194" max="194" width="9.85546875" bestFit="1" customWidth="1"/>
    <col min="195" max="195" width="9.7109375" bestFit="1" customWidth="1"/>
    <col min="196" max="196" width="9" bestFit="1" customWidth="1"/>
    <col min="197" max="197" width="8.140625" bestFit="1" customWidth="1"/>
    <col min="198" max="198" width="8" bestFit="1" customWidth="1"/>
    <col min="199" max="199" width="13.85546875" bestFit="1" customWidth="1"/>
    <col min="200" max="200" width="9" bestFit="1" customWidth="1"/>
    <col min="201" max="201" width="22.5703125" bestFit="1" customWidth="1"/>
    <col min="202" max="203" width="9" bestFit="1" customWidth="1"/>
    <col min="204" max="204" width="9.42578125" bestFit="1" customWidth="1"/>
    <col min="205" max="205" width="8" bestFit="1" customWidth="1"/>
    <col min="206" max="206" width="10.5703125" bestFit="1" customWidth="1"/>
    <col min="207" max="207" width="7.28515625" bestFit="1" customWidth="1"/>
    <col min="208" max="208" width="8.85546875" bestFit="1" customWidth="1"/>
    <col min="209" max="209" width="7" bestFit="1" customWidth="1"/>
    <col min="210" max="210" width="9.7109375" bestFit="1" customWidth="1"/>
    <col min="211" max="211" width="11.5703125" bestFit="1" customWidth="1"/>
    <col min="212" max="212" width="7" bestFit="1" customWidth="1"/>
    <col min="213" max="213" width="6.28515625" bestFit="1" customWidth="1"/>
    <col min="214" max="214" width="16.7109375" bestFit="1" customWidth="1"/>
    <col min="215" max="215" width="9" bestFit="1" customWidth="1"/>
    <col min="216" max="216" width="10" bestFit="1" customWidth="1"/>
    <col min="217" max="218" width="9" bestFit="1" customWidth="1"/>
    <col min="219" max="219" width="8.42578125" bestFit="1" customWidth="1"/>
    <col min="220" max="220" width="7.5703125" bestFit="1" customWidth="1"/>
    <col min="221" max="221" width="10.42578125" bestFit="1" customWidth="1"/>
    <col min="222" max="222" width="9.28515625" bestFit="1" customWidth="1"/>
    <col min="223" max="223" width="7.28515625" bestFit="1" customWidth="1"/>
    <col min="224" max="224" width="8" bestFit="1" customWidth="1"/>
    <col min="225" max="225" width="10.28515625" bestFit="1" customWidth="1"/>
    <col min="226" max="226" width="12.5703125" bestFit="1" customWidth="1"/>
  </cols>
  <sheetData>
    <row r="1" spans="1:24" x14ac:dyDescent="0.25">
      <c r="A1" s="7" t="s">
        <v>19</v>
      </c>
      <c r="B1" t="s">
        <v>37</v>
      </c>
      <c r="G1" s="7" t="s">
        <v>19</v>
      </c>
      <c r="H1" t="s">
        <v>37</v>
      </c>
      <c r="M1" s="7" t="s">
        <v>19</v>
      </c>
      <c r="N1" t="s">
        <v>37</v>
      </c>
    </row>
    <row r="3" spans="1:24" x14ac:dyDescent="0.25">
      <c r="A3" s="7" t="s">
        <v>1173</v>
      </c>
      <c r="B3" t="s">
        <v>1167</v>
      </c>
      <c r="G3" s="7" t="s">
        <v>1173</v>
      </c>
      <c r="H3" t="s">
        <v>1168</v>
      </c>
      <c r="M3" s="7" t="s">
        <v>1173</v>
      </c>
      <c r="N3" t="s">
        <v>1172</v>
      </c>
      <c r="S3" s="7" t="s">
        <v>1165</v>
      </c>
      <c r="T3" t="s">
        <v>1167</v>
      </c>
      <c r="W3" s="7" t="s">
        <v>1165</v>
      </c>
      <c r="X3" t="s">
        <v>1168</v>
      </c>
    </row>
    <row r="4" spans="1:24" x14ac:dyDescent="0.25">
      <c r="A4" s="8" t="s">
        <v>1150</v>
      </c>
      <c r="B4" s="9">
        <v>3772</v>
      </c>
      <c r="G4" s="8" t="s">
        <v>1150</v>
      </c>
      <c r="H4" s="9">
        <v>93</v>
      </c>
      <c r="M4" s="8" t="s">
        <v>1150</v>
      </c>
      <c r="N4" s="9">
        <v>2185</v>
      </c>
      <c r="S4" s="8" t="s">
        <v>377</v>
      </c>
      <c r="T4" s="9">
        <v>75830030</v>
      </c>
      <c r="W4" s="8" t="s">
        <v>436</v>
      </c>
      <c r="X4" s="9">
        <v>1427636</v>
      </c>
    </row>
    <row r="5" spans="1:24" x14ac:dyDescent="0.25">
      <c r="A5" s="8" t="s">
        <v>1135</v>
      </c>
      <c r="B5" s="9">
        <v>3817</v>
      </c>
      <c r="G5" s="8" t="s">
        <v>1135</v>
      </c>
      <c r="H5" s="9">
        <v>93</v>
      </c>
      <c r="M5" s="8" t="s">
        <v>1135</v>
      </c>
      <c r="N5" s="9">
        <v>1987</v>
      </c>
      <c r="S5" s="8" t="s">
        <v>419</v>
      </c>
      <c r="T5" s="9">
        <v>85616267</v>
      </c>
      <c r="W5" s="8" t="s">
        <v>497</v>
      </c>
      <c r="X5" s="9">
        <v>2162777</v>
      </c>
    </row>
    <row r="6" spans="1:24" x14ac:dyDescent="0.25">
      <c r="A6" s="8" t="s">
        <v>1124</v>
      </c>
      <c r="B6" s="9">
        <v>3830</v>
      </c>
      <c r="G6" s="8" t="s">
        <v>1124</v>
      </c>
      <c r="H6" s="9">
        <v>93</v>
      </c>
      <c r="M6" s="8" t="s">
        <v>1124</v>
      </c>
      <c r="N6" s="9">
        <v>865</v>
      </c>
      <c r="S6" s="8" t="s">
        <v>541</v>
      </c>
      <c r="T6" s="9">
        <v>90524402</v>
      </c>
      <c r="W6" s="8" t="s">
        <v>509</v>
      </c>
      <c r="X6" s="9">
        <v>2176915</v>
      </c>
    </row>
    <row r="7" spans="1:24" x14ac:dyDescent="0.25">
      <c r="A7" s="8" t="s">
        <v>1111</v>
      </c>
      <c r="B7" s="9">
        <v>3858</v>
      </c>
      <c r="G7" s="8" t="s">
        <v>1111</v>
      </c>
      <c r="H7" s="9">
        <v>93</v>
      </c>
      <c r="M7" s="8" t="s">
        <v>1111</v>
      </c>
      <c r="N7" s="9">
        <v>2539</v>
      </c>
      <c r="S7" s="8" t="s">
        <v>509</v>
      </c>
      <c r="T7" s="9">
        <v>92129084</v>
      </c>
      <c r="W7" s="8" t="s">
        <v>423</v>
      </c>
      <c r="X7" s="9">
        <v>2381418</v>
      </c>
    </row>
    <row r="8" spans="1:24" x14ac:dyDescent="0.25">
      <c r="A8" s="8" t="s">
        <v>1104</v>
      </c>
      <c r="B8" s="9">
        <v>3888</v>
      </c>
      <c r="G8" s="8" t="s">
        <v>1104</v>
      </c>
      <c r="H8" s="9">
        <v>95</v>
      </c>
      <c r="M8" s="8" t="s">
        <v>1104</v>
      </c>
      <c r="N8" s="9">
        <v>749</v>
      </c>
      <c r="S8" s="8" t="s">
        <v>423</v>
      </c>
      <c r="T8" s="9">
        <v>93257314</v>
      </c>
      <c r="W8" s="8" t="s">
        <v>182</v>
      </c>
      <c r="X8" s="9">
        <v>2704927</v>
      </c>
    </row>
    <row r="9" spans="1:24" x14ac:dyDescent="0.25">
      <c r="A9" s="8" t="s">
        <v>1091</v>
      </c>
      <c r="B9" s="9">
        <v>3888</v>
      </c>
      <c r="G9" s="8" t="s">
        <v>1091</v>
      </c>
      <c r="H9" s="9">
        <v>95</v>
      </c>
      <c r="M9" s="8" t="s">
        <v>1091</v>
      </c>
      <c r="N9" s="9">
        <v>1295</v>
      </c>
      <c r="S9" s="8" t="s">
        <v>374</v>
      </c>
      <c r="T9" s="9">
        <v>117483796</v>
      </c>
      <c r="W9" s="8" t="s">
        <v>541</v>
      </c>
      <c r="X9" s="9">
        <v>2758741</v>
      </c>
    </row>
    <row r="10" spans="1:24" x14ac:dyDescent="0.25">
      <c r="A10" s="8" t="s">
        <v>1082</v>
      </c>
      <c r="B10" s="9">
        <v>3918</v>
      </c>
      <c r="G10" s="8" t="s">
        <v>1082</v>
      </c>
      <c r="H10" s="9">
        <v>95</v>
      </c>
      <c r="M10" s="8" t="s">
        <v>1082</v>
      </c>
      <c r="N10" s="9">
        <v>864</v>
      </c>
      <c r="S10" s="8" t="s">
        <v>254</v>
      </c>
      <c r="T10" s="9">
        <v>131478988</v>
      </c>
      <c r="W10" s="8" t="s">
        <v>154</v>
      </c>
      <c r="X10" s="9">
        <v>2962708</v>
      </c>
    </row>
    <row r="11" spans="1:24" x14ac:dyDescent="0.25">
      <c r="A11" s="8" t="s">
        <v>1075</v>
      </c>
      <c r="B11" s="9">
        <v>3918</v>
      </c>
      <c r="G11" s="8" t="s">
        <v>1075</v>
      </c>
      <c r="H11" s="9">
        <v>95</v>
      </c>
      <c r="M11" s="8" t="s">
        <v>1075</v>
      </c>
      <c r="N11" s="9">
        <v>1909</v>
      </c>
      <c r="S11" s="8" t="s">
        <v>154</v>
      </c>
      <c r="T11" s="9">
        <v>141649149</v>
      </c>
      <c r="W11" s="8" t="s">
        <v>195</v>
      </c>
      <c r="X11" s="9">
        <v>3572099</v>
      </c>
    </row>
    <row r="12" spans="1:24" x14ac:dyDescent="0.25">
      <c r="A12" s="8" t="s">
        <v>1052</v>
      </c>
      <c r="B12" s="9">
        <v>3939</v>
      </c>
      <c r="G12" s="8" t="s">
        <v>1052</v>
      </c>
      <c r="H12" s="9">
        <v>97</v>
      </c>
      <c r="M12" s="8" t="s">
        <v>1052</v>
      </c>
      <c r="N12" s="9">
        <v>1271</v>
      </c>
      <c r="S12" s="8" t="s">
        <v>275</v>
      </c>
      <c r="T12" s="9">
        <v>147493928</v>
      </c>
      <c r="W12" s="8" t="s">
        <v>49</v>
      </c>
      <c r="X12" s="9">
        <v>3592612</v>
      </c>
    </row>
    <row r="13" spans="1:24" x14ac:dyDescent="0.25">
      <c r="A13" s="8" t="s">
        <v>1033</v>
      </c>
      <c r="B13" s="9">
        <v>3984</v>
      </c>
      <c r="G13" s="8" t="s">
        <v>1033</v>
      </c>
      <c r="H13" s="9">
        <v>97</v>
      </c>
      <c r="M13" s="8" t="s">
        <v>1033</v>
      </c>
      <c r="N13" s="9">
        <v>714</v>
      </c>
      <c r="S13" s="8" t="s">
        <v>140</v>
      </c>
      <c r="T13" s="9">
        <v>154911891</v>
      </c>
      <c r="W13" s="8" t="s">
        <v>269</v>
      </c>
      <c r="X13" s="9">
        <v>3894273</v>
      </c>
    </row>
    <row r="14" spans="1:24" x14ac:dyDescent="0.25">
      <c r="A14" s="8" t="s">
        <v>1022</v>
      </c>
      <c r="B14" s="9">
        <v>3994</v>
      </c>
      <c r="G14" s="8" t="s">
        <v>1022</v>
      </c>
      <c r="H14" s="9">
        <v>97</v>
      </c>
      <c r="M14" s="8" t="s">
        <v>1022</v>
      </c>
      <c r="N14" s="9">
        <v>238</v>
      </c>
      <c r="S14" s="8" t="s">
        <v>182</v>
      </c>
      <c r="T14" s="9">
        <v>155197608</v>
      </c>
      <c r="W14" s="8" t="s">
        <v>140</v>
      </c>
      <c r="X14" s="9">
        <v>3942191</v>
      </c>
    </row>
    <row r="15" spans="1:24" x14ac:dyDescent="0.25">
      <c r="A15" s="8" t="s">
        <v>1011</v>
      </c>
      <c r="B15" s="9">
        <v>4019</v>
      </c>
      <c r="G15" s="8" t="s">
        <v>1011</v>
      </c>
      <c r="H15" s="9">
        <v>99</v>
      </c>
      <c r="M15" s="8" t="s">
        <v>1011</v>
      </c>
      <c r="N15" s="9">
        <v>682</v>
      </c>
      <c r="S15" s="8" t="s">
        <v>49</v>
      </c>
      <c r="T15" s="9">
        <v>163817993</v>
      </c>
      <c r="W15" s="8" t="s">
        <v>275</v>
      </c>
      <c r="X15" s="9">
        <v>4090693</v>
      </c>
    </row>
    <row r="16" spans="1:24" x14ac:dyDescent="0.25">
      <c r="A16" s="8" t="s">
        <v>994</v>
      </c>
      <c r="B16" s="9">
        <v>4019</v>
      </c>
      <c r="G16" s="8" t="s">
        <v>994</v>
      </c>
      <c r="H16" s="9">
        <v>99</v>
      </c>
      <c r="M16" s="8" t="s">
        <v>994</v>
      </c>
      <c r="N16" s="9">
        <v>2389</v>
      </c>
      <c r="S16" s="8" t="s">
        <v>269</v>
      </c>
      <c r="T16" s="9">
        <v>182418562</v>
      </c>
      <c r="W16" s="8" t="s">
        <v>201</v>
      </c>
      <c r="X16" s="9">
        <v>4352990</v>
      </c>
    </row>
    <row r="17" spans="1:24" x14ac:dyDescent="0.25">
      <c r="A17" s="8" t="s">
        <v>977</v>
      </c>
      <c r="B17" s="9">
        <v>4031</v>
      </c>
      <c r="G17" s="8" t="s">
        <v>977</v>
      </c>
      <c r="H17" s="9">
        <v>99</v>
      </c>
      <c r="M17" s="8" t="s">
        <v>977</v>
      </c>
      <c r="N17" s="9">
        <v>1367</v>
      </c>
      <c r="S17" s="8" t="s">
        <v>195</v>
      </c>
      <c r="T17" s="9">
        <v>216037675</v>
      </c>
      <c r="W17" s="8" t="s">
        <v>254</v>
      </c>
      <c r="X17" s="9">
        <v>4441044</v>
      </c>
    </row>
    <row r="18" spans="1:24" x14ac:dyDescent="0.25">
      <c r="A18" s="8" t="s">
        <v>948</v>
      </c>
      <c r="B18" s="9">
        <v>4031</v>
      </c>
      <c r="G18" s="8" t="s">
        <v>948</v>
      </c>
      <c r="H18" s="9">
        <v>99</v>
      </c>
      <c r="M18" s="8" t="s">
        <v>948</v>
      </c>
      <c r="N18" s="9">
        <v>3637</v>
      </c>
      <c r="S18" s="8" t="s">
        <v>497</v>
      </c>
      <c r="T18" s="9">
        <v>245844145</v>
      </c>
      <c r="W18" s="8" t="s">
        <v>412</v>
      </c>
      <c r="X18" s="9">
        <v>6204104</v>
      </c>
    </row>
    <row r="19" spans="1:24" x14ac:dyDescent="0.25">
      <c r="A19" s="8" t="s">
        <v>925</v>
      </c>
      <c r="B19" s="9">
        <v>4036</v>
      </c>
      <c r="G19" s="8" t="s">
        <v>925</v>
      </c>
      <c r="H19" s="9">
        <v>102</v>
      </c>
      <c r="M19" s="8" t="s">
        <v>925</v>
      </c>
      <c r="N19" s="9">
        <v>540</v>
      </c>
      <c r="S19" s="8" t="s">
        <v>440</v>
      </c>
      <c r="T19" s="9">
        <v>255310189</v>
      </c>
      <c r="W19" s="8" t="s">
        <v>440</v>
      </c>
      <c r="X19" s="9">
        <v>7131717</v>
      </c>
    </row>
    <row r="20" spans="1:24" x14ac:dyDescent="0.25">
      <c r="A20" s="8" t="s">
        <v>902</v>
      </c>
      <c r="B20" s="9">
        <v>4040</v>
      </c>
      <c r="G20" s="8" t="s">
        <v>902</v>
      </c>
      <c r="H20" s="9">
        <v>102</v>
      </c>
      <c r="M20" s="8" t="s">
        <v>902</v>
      </c>
      <c r="N20" s="9">
        <v>1987</v>
      </c>
      <c r="S20" s="8" t="s">
        <v>201</v>
      </c>
      <c r="T20" s="9">
        <v>276117243</v>
      </c>
      <c r="W20" s="8" t="s">
        <v>374</v>
      </c>
      <c r="X20" s="9">
        <v>8896294</v>
      </c>
    </row>
    <row r="21" spans="1:24" x14ac:dyDescent="0.25">
      <c r="A21" s="8" t="s">
        <v>881</v>
      </c>
      <c r="B21" s="9">
        <v>4040</v>
      </c>
      <c r="G21" s="8" t="s">
        <v>881</v>
      </c>
      <c r="H21" s="9">
        <v>102</v>
      </c>
      <c r="M21" s="8" t="s">
        <v>881</v>
      </c>
      <c r="N21" s="9">
        <v>3157</v>
      </c>
      <c r="S21" s="8" t="s">
        <v>97</v>
      </c>
      <c r="T21" s="9">
        <v>674550888</v>
      </c>
      <c r="W21" s="8" t="s">
        <v>263</v>
      </c>
      <c r="X21" s="9">
        <v>14150125</v>
      </c>
    </row>
    <row r="22" spans="1:24" x14ac:dyDescent="0.25">
      <c r="A22" s="8" t="s">
        <v>864</v>
      </c>
      <c r="B22" s="9">
        <v>4058</v>
      </c>
      <c r="G22" s="8" t="s">
        <v>864</v>
      </c>
      <c r="H22" s="9">
        <v>102</v>
      </c>
      <c r="M22" s="8" t="s">
        <v>864</v>
      </c>
      <c r="N22" s="9">
        <v>1016</v>
      </c>
      <c r="S22" s="8" t="s">
        <v>263</v>
      </c>
      <c r="T22" s="9">
        <v>1060859212</v>
      </c>
      <c r="W22" s="8" t="s">
        <v>97</v>
      </c>
      <c r="X22" s="9">
        <v>18795613</v>
      </c>
    </row>
    <row r="23" spans="1:24" x14ac:dyDescent="0.25">
      <c r="A23" s="8" t="s">
        <v>841</v>
      </c>
      <c r="B23" s="9">
        <v>4058</v>
      </c>
      <c r="G23" s="8" t="s">
        <v>841</v>
      </c>
      <c r="H23" s="9">
        <v>102</v>
      </c>
      <c r="M23" s="8" t="s">
        <v>841</v>
      </c>
      <c r="N23" s="9">
        <v>3101</v>
      </c>
      <c r="S23" s="8" t="s">
        <v>515</v>
      </c>
      <c r="T23" s="9">
        <v>1417568938</v>
      </c>
      <c r="W23" s="8" t="s">
        <v>515</v>
      </c>
      <c r="X23" s="9">
        <v>22948610</v>
      </c>
    </row>
    <row r="24" spans="1:24" x14ac:dyDescent="0.25">
      <c r="A24" s="8" t="s">
        <v>816</v>
      </c>
      <c r="B24" s="9">
        <v>4062</v>
      </c>
      <c r="G24" s="8" t="s">
        <v>816</v>
      </c>
      <c r="H24" s="9">
        <v>102</v>
      </c>
      <c r="M24" s="8" t="s">
        <v>816</v>
      </c>
      <c r="N24" s="9">
        <v>1442</v>
      </c>
      <c r="S24" s="8" t="s">
        <v>1166</v>
      </c>
      <c r="T24" s="9">
        <v>5778097302</v>
      </c>
      <c r="W24" s="8" t="s">
        <v>1166</v>
      </c>
      <c r="X24" s="9">
        <v>122587487</v>
      </c>
    </row>
    <row r="25" spans="1:24" x14ac:dyDescent="0.25">
      <c r="A25" s="8" t="s">
        <v>789</v>
      </c>
      <c r="B25" s="9">
        <v>4069</v>
      </c>
      <c r="G25" s="8" t="s">
        <v>789</v>
      </c>
      <c r="H25" s="9">
        <v>102</v>
      </c>
      <c r="M25" s="8" t="s">
        <v>789</v>
      </c>
      <c r="N25" s="9">
        <v>3960</v>
      </c>
    </row>
    <row r="26" spans="1:24" x14ac:dyDescent="0.25">
      <c r="A26" s="8" t="s">
        <v>762</v>
      </c>
      <c r="B26" s="9">
        <v>4069</v>
      </c>
      <c r="G26" s="8" t="s">
        <v>762</v>
      </c>
      <c r="H26" s="9">
        <v>102</v>
      </c>
      <c r="M26" s="8" t="s">
        <v>762</v>
      </c>
      <c r="N26" s="9">
        <v>3225</v>
      </c>
    </row>
    <row r="27" spans="1:24" x14ac:dyDescent="0.25">
      <c r="A27" s="8" t="s">
        <v>739</v>
      </c>
      <c r="B27" s="9">
        <v>4072</v>
      </c>
      <c r="G27" s="8" t="s">
        <v>739</v>
      </c>
      <c r="H27" s="9">
        <v>104</v>
      </c>
      <c r="M27" s="8" t="s">
        <v>739</v>
      </c>
      <c r="N27" s="9">
        <v>2782</v>
      </c>
    </row>
    <row r="28" spans="1:24" x14ac:dyDescent="0.25">
      <c r="A28" s="8" t="s">
        <v>710</v>
      </c>
      <c r="B28" s="9">
        <v>4078</v>
      </c>
      <c r="G28" s="8" t="s">
        <v>710</v>
      </c>
      <c r="H28" s="9">
        <v>104</v>
      </c>
      <c r="M28" s="8" t="s">
        <v>710</v>
      </c>
      <c r="N28" s="9">
        <v>744</v>
      </c>
    </row>
    <row r="29" spans="1:24" x14ac:dyDescent="0.25">
      <c r="A29" s="8" t="s">
        <v>697</v>
      </c>
      <c r="B29" s="9">
        <v>4091</v>
      </c>
      <c r="G29" s="8" t="s">
        <v>697</v>
      </c>
      <c r="H29" s="9">
        <v>105</v>
      </c>
      <c r="M29" s="8" t="s">
        <v>697</v>
      </c>
      <c r="N29" s="9">
        <v>1195</v>
      </c>
    </row>
    <row r="30" spans="1:24" x14ac:dyDescent="0.25">
      <c r="A30" s="8" t="s">
        <v>666</v>
      </c>
      <c r="B30" s="9">
        <v>4091</v>
      </c>
      <c r="G30" s="8" t="s">
        <v>666</v>
      </c>
      <c r="H30" s="9">
        <v>105</v>
      </c>
      <c r="M30" s="8" t="s">
        <v>666</v>
      </c>
      <c r="N30" s="9">
        <v>937</v>
      </c>
    </row>
    <row r="31" spans="1:24" x14ac:dyDescent="0.25">
      <c r="A31" s="8" t="s">
        <v>623</v>
      </c>
      <c r="B31" s="9">
        <v>4091</v>
      </c>
      <c r="G31" s="8" t="s">
        <v>623</v>
      </c>
      <c r="H31" s="9">
        <v>105</v>
      </c>
      <c r="M31" s="8" t="s">
        <v>623</v>
      </c>
      <c r="N31" s="9">
        <v>1170</v>
      </c>
    </row>
    <row r="32" spans="1:24" x14ac:dyDescent="0.25">
      <c r="A32" s="8" t="s">
        <v>554</v>
      </c>
      <c r="B32" s="9">
        <v>4091</v>
      </c>
      <c r="G32" s="8" t="s">
        <v>554</v>
      </c>
      <c r="H32" s="9">
        <v>105</v>
      </c>
      <c r="M32" s="8" t="s">
        <v>554</v>
      </c>
      <c r="N32" s="9">
        <v>3080</v>
      </c>
    </row>
    <row r="33" spans="1:14" x14ac:dyDescent="0.25">
      <c r="A33" s="8" t="s">
        <v>551</v>
      </c>
      <c r="B33" s="9">
        <v>4102</v>
      </c>
      <c r="G33" s="8" t="s">
        <v>551</v>
      </c>
      <c r="H33" s="9">
        <v>105</v>
      </c>
      <c r="M33" s="8" t="s">
        <v>551</v>
      </c>
      <c r="N33" s="9">
        <v>1296</v>
      </c>
    </row>
    <row r="34" spans="1:14" x14ac:dyDescent="0.25">
      <c r="A34" s="8" t="s">
        <v>26</v>
      </c>
      <c r="B34" s="9">
        <v>4102</v>
      </c>
      <c r="G34" s="8" t="s">
        <v>26</v>
      </c>
      <c r="H34" s="9">
        <v>105</v>
      </c>
      <c r="M34" s="8" t="s">
        <v>26</v>
      </c>
      <c r="N34" s="9">
        <v>152</v>
      </c>
    </row>
    <row r="35" spans="1:14" x14ac:dyDescent="0.25">
      <c r="A35" s="8" t="s">
        <v>1174</v>
      </c>
      <c r="B35" s="9">
        <v>124056</v>
      </c>
      <c r="G35" s="8" t="s">
        <v>1174</v>
      </c>
      <c r="H35" s="9">
        <v>3093</v>
      </c>
      <c r="M35" s="8" t="s">
        <v>1174</v>
      </c>
      <c r="N35" s="9">
        <v>52475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/>
  <dimension ref="A1:Q118"/>
  <sheetViews>
    <sheetView topLeftCell="A4" zoomScale="90" zoomScaleNormal="90" workbookViewId="0">
      <selection activeCell="J10" sqref="J10:L10"/>
    </sheetView>
  </sheetViews>
  <sheetFormatPr defaultColWidth="11.42578125" defaultRowHeight="15" x14ac:dyDescent="0.25"/>
  <cols>
    <col min="5" max="5" width="11.42578125" customWidth="1"/>
    <col min="6" max="6" width="15.5703125" bestFit="1" customWidth="1"/>
    <col min="9" max="9" width="15.5703125" bestFit="1" customWidth="1"/>
    <col min="12" max="12" width="15.42578125" bestFit="1" customWidth="1"/>
  </cols>
  <sheetData>
    <row r="1" spans="1:17" x14ac:dyDescent="0.25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</row>
    <row r="2" spans="1:17" x14ac:dyDescent="0.2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</row>
    <row r="3" spans="1:17" x14ac:dyDescent="0.25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</row>
    <row r="4" spans="1:17" x14ac:dyDescent="0.25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</row>
    <row r="5" spans="1:17" x14ac:dyDescent="0.25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</row>
    <row r="6" spans="1:17" x14ac:dyDescent="0.25">
      <c r="A6" s="13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</row>
    <row r="7" spans="1:17" ht="18.75" x14ac:dyDescent="0.3">
      <c r="A7" s="13"/>
      <c r="B7" s="13"/>
      <c r="C7" s="13"/>
      <c r="D7" s="13"/>
      <c r="E7" s="13"/>
      <c r="F7" s="14">
        <f>GETPIVOTDATA("Infections",Feuil1!$A$3)</f>
        <v>124056</v>
      </c>
      <c r="G7" s="13"/>
      <c r="H7" s="13"/>
      <c r="I7" s="15">
        <f>GETPIVOTDATA("Guerisons",Feuil1!$M$3)</f>
        <v>52475</v>
      </c>
      <c r="J7" s="13"/>
      <c r="K7" s="13"/>
      <c r="L7" s="16">
        <f>GETPIVOTDATA("Deces",Feuil1!$G$3)</f>
        <v>3093</v>
      </c>
      <c r="M7" s="13"/>
      <c r="N7" s="13"/>
      <c r="O7" s="13"/>
      <c r="P7" s="13"/>
      <c r="Q7" s="13"/>
    </row>
    <row r="8" spans="1:17" x14ac:dyDescent="0.25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</row>
    <row r="9" spans="1:17" x14ac:dyDescent="0.25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</row>
    <row r="10" spans="1:17" ht="23.25" x14ac:dyDescent="0.25">
      <c r="A10" s="13"/>
      <c r="B10" s="13"/>
      <c r="C10" s="13"/>
      <c r="D10" s="13"/>
      <c r="E10" s="13"/>
      <c r="F10" s="13"/>
      <c r="G10" s="13"/>
      <c r="I10" s="13"/>
      <c r="J10" s="39" t="str">
        <f>Feuil1!B1</f>
        <v>Antigua-et-Barbuda</v>
      </c>
      <c r="K10" s="39"/>
      <c r="L10" s="39"/>
      <c r="N10" s="13"/>
      <c r="O10" s="13"/>
      <c r="P10" s="13"/>
      <c r="Q10" s="13"/>
    </row>
    <row r="11" spans="1:17" x14ac:dyDescent="0.25">
      <c r="A11" s="13"/>
      <c r="B11" s="13"/>
      <c r="C11" s="13"/>
      <c r="D11" s="13"/>
      <c r="E11" s="13"/>
      <c r="F11" s="13"/>
      <c r="G11" s="13"/>
      <c r="I11" s="13"/>
      <c r="J11" s="13"/>
      <c r="K11" s="13"/>
      <c r="L11" s="13"/>
      <c r="M11" s="13"/>
      <c r="N11" s="13"/>
      <c r="O11" s="13"/>
      <c r="P11" s="13"/>
      <c r="Q11" s="13"/>
    </row>
    <row r="12" spans="1:17" x14ac:dyDescent="0.25">
      <c r="A12" s="13"/>
      <c r="B12" s="13"/>
      <c r="C12" s="13"/>
      <c r="D12" s="13"/>
      <c r="E12" s="13"/>
      <c r="F12" s="13"/>
      <c r="G12" s="13"/>
      <c r="I12" s="13"/>
      <c r="J12" s="13"/>
      <c r="K12" s="13"/>
      <c r="L12" s="13"/>
      <c r="M12" s="13"/>
      <c r="N12" s="13"/>
      <c r="O12" s="13"/>
      <c r="P12" s="13"/>
      <c r="Q12" s="13"/>
    </row>
    <row r="13" spans="1:17" x14ac:dyDescent="0.25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</row>
    <row r="14" spans="1:17" x14ac:dyDescent="0.25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</row>
    <row r="15" spans="1:17" x14ac:dyDescent="0.25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</row>
    <row r="16" spans="1:17" x14ac:dyDescent="0.25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</row>
    <row r="17" spans="1:17" x14ac:dyDescent="0.25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</row>
    <row r="18" spans="1:17" x14ac:dyDescent="0.25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</row>
    <row r="19" spans="1:17" x14ac:dyDescent="0.25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</row>
    <row r="20" spans="1:17" x14ac:dyDescent="0.25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</row>
    <row r="21" spans="1:17" x14ac:dyDescent="0.25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</row>
    <row r="22" spans="1:17" x14ac:dyDescent="0.25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</row>
    <row r="23" spans="1:17" x14ac:dyDescent="0.25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</row>
    <row r="24" spans="1:17" x14ac:dyDescent="0.25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</row>
    <row r="25" spans="1:17" x14ac:dyDescent="0.25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</row>
    <row r="26" spans="1:17" x14ac:dyDescent="0.25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</row>
    <row r="27" spans="1:17" x14ac:dyDescent="0.25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</row>
    <row r="28" spans="1:17" x14ac:dyDescent="0.25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</row>
    <row r="29" spans="1:17" x14ac:dyDescent="0.25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</row>
    <row r="30" spans="1:17" x14ac:dyDescent="0.25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</row>
    <row r="31" spans="1:17" x14ac:dyDescent="0.25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</row>
    <row r="32" spans="1:17" x14ac:dyDescent="0.25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</row>
    <row r="33" spans="1:17" x14ac:dyDescent="0.25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</row>
    <row r="34" spans="1:17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</row>
    <row r="35" spans="1:17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</row>
    <row r="36" spans="1:17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</row>
    <row r="37" spans="1:17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</row>
    <row r="38" spans="1:17" x14ac:dyDescent="0.25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</row>
    <row r="39" spans="1:17" x14ac:dyDescent="0.25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</row>
    <row r="40" spans="1:17" x14ac:dyDescent="0.2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</row>
    <row r="41" spans="1:17" x14ac:dyDescent="0.25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</row>
    <row r="42" spans="1:17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</row>
    <row r="43" spans="1:17" x14ac:dyDescent="0.25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</row>
    <row r="44" spans="1:17" x14ac:dyDescent="0.25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</row>
    <row r="45" spans="1:17" x14ac:dyDescent="0.25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</row>
    <row r="46" spans="1:17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</row>
    <row r="47" spans="1:17" x14ac:dyDescent="0.25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</row>
    <row r="48" spans="1:17" x14ac:dyDescent="0.25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</row>
    <row r="49" spans="1:17" x14ac:dyDescent="0.25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</row>
    <row r="50" spans="1:17" x14ac:dyDescent="0.25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</row>
    <row r="51" spans="1:17" x14ac:dyDescent="0.25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</row>
    <row r="52" spans="1:17" x14ac:dyDescent="0.25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</row>
    <row r="53" spans="1:17" x14ac:dyDescent="0.25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</row>
    <row r="54" spans="1:17" x14ac:dyDescent="0.25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</row>
    <row r="55" spans="1:17" x14ac:dyDescent="0.25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</row>
    <row r="56" spans="1:17" x14ac:dyDescent="0.25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</row>
    <row r="57" spans="1:17" x14ac:dyDescent="0.25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</row>
    <row r="58" spans="1:17" x14ac:dyDescent="0.25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</row>
    <row r="59" spans="1:17" x14ac:dyDescent="0.25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</row>
    <row r="60" spans="1:17" x14ac:dyDescent="0.25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</row>
    <row r="61" spans="1:17" x14ac:dyDescent="0.25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</row>
    <row r="62" spans="1:17" x14ac:dyDescent="0.25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</row>
    <row r="63" spans="1:17" x14ac:dyDescent="0.25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</row>
    <row r="64" spans="1:17" x14ac:dyDescent="0.25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</row>
    <row r="65" spans="1:17" x14ac:dyDescent="0.25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</row>
    <row r="66" spans="1:17" x14ac:dyDescent="0.25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</row>
    <row r="67" spans="1:17" x14ac:dyDescent="0.25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</row>
    <row r="68" spans="1:17" x14ac:dyDescent="0.25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</row>
    <row r="69" spans="1:17" x14ac:dyDescent="0.25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</row>
    <row r="70" spans="1:17" x14ac:dyDescent="0.25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</row>
    <row r="71" spans="1:17" x14ac:dyDescent="0.25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</row>
    <row r="72" spans="1:17" x14ac:dyDescent="0.25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</row>
    <row r="73" spans="1:17" x14ac:dyDescent="0.25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</row>
    <row r="74" spans="1:17" x14ac:dyDescent="0.25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</row>
    <row r="75" spans="1:17" x14ac:dyDescent="0.25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</row>
    <row r="76" spans="1:17" x14ac:dyDescent="0.25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</row>
    <row r="77" spans="1:17" x14ac:dyDescent="0.25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</row>
    <row r="78" spans="1:17" x14ac:dyDescent="0.25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</row>
    <row r="79" spans="1:17" x14ac:dyDescent="0.25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</row>
    <row r="80" spans="1:17" x14ac:dyDescent="0.25">
      <c r="A80" s="13"/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</row>
    <row r="81" spans="1:17" x14ac:dyDescent="0.25">
      <c r="A81" s="13"/>
      <c r="B81" s="13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</row>
    <row r="82" spans="1:17" x14ac:dyDescent="0.25">
      <c r="A82" s="13"/>
      <c r="B82" s="13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</row>
    <row r="83" spans="1:17" x14ac:dyDescent="0.25">
      <c r="A83" s="13"/>
      <c r="B83" s="13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</row>
    <row r="84" spans="1:17" x14ac:dyDescent="0.25">
      <c r="A84" s="13"/>
      <c r="B84" s="13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</row>
    <row r="85" spans="1:17" x14ac:dyDescent="0.25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</row>
    <row r="86" spans="1:17" x14ac:dyDescent="0.25">
      <c r="A86" s="13"/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</row>
    <row r="87" spans="1:17" x14ac:dyDescent="0.25">
      <c r="A87" s="13"/>
      <c r="B87" s="13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</row>
    <row r="88" spans="1:17" x14ac:dyDescent="0.25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</row>
    <row r="89" spans="1:17" x14ac:dyDescent="0.25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</row>
    <row r="90" spans="1:17" x14ac:dyDescent="0.25">
      <c r="P90" s="13"/>
      <c r="Q90" s="13"/>
    </row>
    <row r="91" spans="1:17" x14ac:dyDescent="0.25">
      <c r="P91" s="13"/>
      <c r="Q91" s="13"/>
    </row>
    <row r="92" spans="1:17" x14ac:dyDescent="0.25">
      <c r="P92" s="13"/>
      <c r="Q92" s="13"/>
    </row>
    <row r="93" spans="1:17" x14ac:dyDescent="0.25">
      <c r="P93" s="13"/>
      <c r="Q93" s="13"/>
    </row>
    <row r="94" spans="1:17" x14ac:dyDescent="0.25">
      <c r="P94" s="13"/>
      <c r="Q94" s="13"/>
    </row>
    <row r="95" spans="1:17" x14ac:dyDescent="0.25">
      <c r="P95" s="13"/>
      <c r="Q95" s="13"/>
    </row>
    <row r="96" spans="1:17" x14ac:dyDescent="0.25">
      <c r="P96" s="13"/>
      <c r="Q96" s="13"/>
    </row>
    <row r="97" spans="16:17" x14ac:dyDescent="0.25">
      <c r="P97" s="13"/>
      <c r="Q97" s="13"/>
    </row>
    <row r="98" spans="16:17" x14ac:dyDescent="0.25">
      <c r="P98" s="13"/>
      <c r="Q98" s="13"/>
    </row>
    <row r="99" spans="16:17" x14ac:dyDescent="0.25">
      <c r="P99" s="13"/>
      <c r="Q99" s="13"/>
    </row>
    <row r="100" spans="16:17" x14ac:dyDescent="0.25">
      <c r="P100" s="13"/>
      <c r="Q100" s="13"/>
    </row>
    <row r="101" spans="16:17" x14ac:dyDescent="0.25">
      <c r="P101" s="13"/>
      <c r="Q101" s="13"/>
    </row>
    <row r="102" spans="16:17" x14ac:dyDescent="0.25">
      <c r="P102" s="13"/>
      <c r="Q102" s="13"/>
    </row>
    <row r="103" spans="16:17" x14ac:dyDescent="0.25">
      <c r="P103" s="13"/>
      <c r="Q103" s="13"/>
    </row>
    <row r="104" spans="16:17" x14ac:dyDescent="0.25">
      <c r="P104" s="13"/>
      <c r="Q104" s="13"/>
    </row>
    <row r="105" spans="16:17" x14ac:dyDescent="0.25">
      <c r="P105" s="13"/>
      <c r="Q105" s="13"/>
    </row>
    <row r="106" spans="16:17" x14ac:dyDescent="0.25">
      <c r="P106" s="13"/>
      <c r="Q106" s="13"/>
    </row>
    <row r="107" spans="16:17" x14ac:dyDescent="0.25">
      <c r="P107" s="13"/>
      <c r="Q107" s="13"/>
    </row>
    <row r="108" spans="16:17" x14ac:dyDescent="0.25">
      <c r="P108" s="13"/>
      <c r="Q108" s="13"/>
    </row>
    <row r="109" spans="16:17" x14ac:dyDescent="0.25">
      <c r="P109" s="13"/>
      <c r="Q109" s="13"/>
    </row>
    <row r="110" spans="16:17" x14ac:dyDescent="0.25">
      <c r="P110" s="13"/>
      <c r="Q110" s="13"/>
    </row>
    <row r="111" spans="16:17" x14ac:dyDescent="0.25">
      <c r="P111" s="13"/>
      <c r="Q111" s="13"/>
    </row>
    <row r="112" spans="16:17" x14ac:dyDescent="0.25">
      <c r="P112" s="13"/>
      <c r="Q112" s="13"/>
    </row>
    <row r="113" spans="16:17" x14ac:dyDescent="0.25">
      <c r="P113" s="13"/>
      <c r="Q113" s="13"/>
    </row>
    <row r="114" spans="16:17" x14ac:dyDescent="0.25">
      <c r="P114" s="13"/>
      <c r="Q114" s="13"/>
    </row>
    <row r="115" spans="16:17" x14ac:dyDescent="0.25">
      <c r="P115" s="13"/>
      <c r="Q115" s="13"/>
    </row>
    <row r="116" spans="16:17" x14ac:dyDescent="0.25">
      <c r="P116" s="13"/>
      <c r="Q116" s="13"/>
    </row>
    <row r="117" spans="16:17" x14ac:dyDescent="0.25">
      <c r="P117" s="13"/>
      <c r="Q117" s="13"/>
    </row>
    <row r="118" spans="16:17" x14ac:dyDescent="0.25">
      <c r="P118" s="13"/>
      <c r="Q118" s="13"/>
    </row>
  </sheetData>
  <mergeCells count="1">
    <mergeCell ref="J10:L1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Bouton1_Cliquer">
                <anchor moveWithCells="1" sizeWithCells="1">
                  <from>
                    <xdr:col>3</xdr:col>
                    <xdr:colOff>219075</xdr:colOff>
                    <xdr:row>5</xdr:row>
                    <xdr:rowOff>28575</xdr:rowOff>
                  </from>
                  <to>
                    <xdr:col>4</xdr:col>
                    <xdr:colOff>419100</xdr:colOff>
                    <xdr:row>7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/>
  <dimension ref="A1:Q118"/>
  <sheetViews>
    <sheetView tabSelected="1" zoomScale="90" zoomScaleNormal="90" workbookViewId="0">
      <selection activeCell="H35" sqref="H35"/>
    </sheetView>
  </sheetViews>
  <sheetFormatPr defaultColWidth="11.42578125" defaultRowHeight="15" x14ac:dyDescent="0.25"/>
  <cols>
    <col min="5" max="5" width="11.42578125" customWidth="1"/>
    <col min="6" max="6" width="15.5703125" bestFit="1" customWidth="1"/>
    <col min="9" max="9" width="15.5703125" bestFit="1" customWidth="1"/>
    <col min="12" max="12" width="15.42578125" bestFit="1" customWidth="1"/>
  </cols>
  <sheetData>
    <row r="1" spans="1:17" x14ac:dyDescent="0.25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</row>
    <row r="2" spans="1:17" x14ac:dyDescent="0.2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</row>
    <row r="3" spans="1:17" x14ac:dyDescent="0.25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</row>
    <row r="4" spans="1:17" x14ac:dyDescent="0.25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</row>
    <row r="5" spans="1:17" x14ac:dyDescent="0.25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</row>
    <row r="6" spans="1:17" x14ac:dyDescent="0.25">
      <c r="A6" s="13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</row>
    <row r="7" spans="1:17" ht="18.75" x14ac:dyDescent="0.3">
      <c r="A7" s="13"/>
      <c r="B7" s="13"/>
      <c r="C7" s="13"/>
      <c r="D7" s="13"/>
      <c r="E7" s="13"/>
      <c r="F7" s="17">
        <f>SUM(coronavirus_politologue_com_pays_2021_11_11__2[Infections])</f>
        <v>7598418523</v>
      </c>
      <c r="G7" s="13"/>
      <c r="H7" s="13"/>
      <c r="I7" s="18">
        <f>SUM(coronavirus_politologue_com_pays_2021_11_11__2[Deces])</f>
        <v>154136790</v>
      </c>
      <c r="J7" s="13"/>
      <c r="K7" s="13"/>
      <c r="L7" s="19">
        <f>SUM(coronavirus_politologue_com_pays_2021_11_11__2[Guerisons])</f>
        <v>3671981986</v>
      </c>
      <c r="M7" s="13"/>
      <c r="N7" s="13"/>
      <c r="O7" s="13"/>
      <c r="P7" s="13"/>
      <c r="Q7" s="13"/>
    </row>
    <row r="8" spans="1:17" x14ac:dyDescent="0.25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</row>
    <row r="9" spans="1:17" x14ac:dyDescent="0.25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</row>
    <row r="10" spans="1:17" ht="23.25" x14ac:dyDescent="0.25">
      <c r="A10" s="13"/>
      <c r="B10" s="13"/>
      <c r="C10" s="13"/>
      <c r="D10" s="13"/>
      <c r="E10" s="13"/>
      <c r="F10" s="13"/>
      <c r="G10" s="13"/>
      <c r="I10" s="13"/>
      <c r="J10" s="40"/>
      <c r="K10" s="40"/>
      <c r="L10" s="13"/>
      <c r="M10" s="13"/>
      <c r="N10" s="13"/>
      <c r="O10" s="13"/>
      <c r="P10" s="13"/>
      <c r="Q10" s="13"/>
    </row>
    <row r="11" spans="1:17" x14ac:dyDescent="0.25">
      <c r="A11" s="13"/>
      <c r="B11" s="13"/>
      <c r="C11" s="13"/>
      <c r="D11" s="13"/>
      <c r="E11" s="13"/>
      <c r="F11" s="13"/>
      <c r="G11" s="13"/>
      <c r="I11" s="13"/>
      <c r="J11" s="13"/>
      <c r="K11" s="13"/>
      <c r="L11" s="13"/>
      <c r="M11" s="13"/>
      <c r="N11" s="13"/>
      <c r="O11" s="13"/>
      <c r="P11" s="13"/>
      <c r="Q11" s="13"/>
    </row>
    <row r="12" spans="1:17" x14ac:dyDescent="0.25">
      <c r="A12" s="13"/>
      <c r="B12" s="13"/>
      <c r="C12" s="13"/>
      <c r="D12" s="13"/>
      <c r="E12" s="13"/>
      <c r="F12" s="13"/>
      <c r="G12" s="13"/>
      <c r="H12" s="20"/>
      <c r="I12" s="13"/>
      <c r="J12" s="13"/>
      <c r="K12" s="13"/>
      <c r="L12" s="13"/>
      <c r="M12" s="13"/>
      <c r="N12" s="13"/>
      <c r="O12" s="13"/>
      <c r="P12" s="13"/>
      <c r="Q12" s="13"/>
    </row>
    <row r="13" spans="1:17" x14ac:dyDescent="0.25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</row>
    <row r="14" spans="1:17" x14ac:dyDescent="0.25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</row>
    <row r="15" spans="1:17" x14ac:dyDescent="0.25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</row>
    <row r="16" spans="1:17" x14ac:dyDescent="0.25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</row>
    <row r="17" spans="1:17" x14ac:dyDescent="0.25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</row>
    <row r="18" spans="1:17" x14ac:dyDescent="0.25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</row>
    <row r="19" spans="1:17" x14ac:dyDescent="0.25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</row>
    <row r="20" spans="1:17" x14ac:dyDescent="0.25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</row>
    <row r="21" spans="1:17" x14ac:dyDescent="0.25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</row>
    <row r="22" spans="1:17" x14ac:dyDescent="0.25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</row>
    <row r="23" spans="1:17" x14ac:dyDescent="0.25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</row>
    <row r="24" spans="1:17" x14ac:dyDescent="0.25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</row>
    <row r="25" spans="1:17" x14ac:dyDescent="0.25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</row>
    <row r="26" spans="1:17" x14ac:dyDescent="0.25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</row>
    <row r="27" spans="1:17" x14ac:dyDescent="0.25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</row>
    <row r="28" spans="1:17" x14ac:dyDescent="0.25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</row>
    <row r="29" spans="1:17" x14ac:dyDescent="0.25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</row>
    <row r="30" spans="1:17" x14ac:dyDescent="0.25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</row>
    <row r="31" spans="1:17" x14ac:dyDescent="0.25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</row>
    <row r="32" spans="1:17" x14ac:dyDescent="0.25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</row>
    <row r="33" spans="1:17" x14ac:dyDescent="0.25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</row>
    <row r="34" spans="1:17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</row>
    <row r="35" spans="1:17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</row>
    <row r="36" spans="1:17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</row>
    <row r="37" spans="1:17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</row>
    <row r="38" spans="1:17" x14ac:dyDescent="0.25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</row>
    <row r="39" spans="1:17" x14ac:dyDescent="0.25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</row>
    <row r="40" spans="1:17" x14ac:dyDescent="0.2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</row>
    <row r="41" spans="1:17" x14ac:dyDescent="0.25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</row>
    <row r="42" spans="1:17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</row>
    <row r="43" spans="1:17" x14ac:dyDescent="0.25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</row>
    <row r="44" spans="1:17" x14ac:dyDescent="0.25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</row>
    <row r="45" spans="1:17" x14ac:dyDescent="0.25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</row>
    <row r="46" spans="1:17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</row>
    <row r="47" spans="1:17" x14ac:dyDescent="0.25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</row>
    <row r="48" spans="1:17" x14ac:dyDescent="0.25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</row>
    <row r="49" spans="1:17" x14ac:dyDescent="0.25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</row>
    <row r="50" spans="1:17" x14ac:dyDescent="0.25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</row>
    <row r="51" spans="1:17" x14ac:dyDescent="0.25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</row>
    <row r="52" spans="1:17" x14ac:dyDescent="0.25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</row>
    <row r="53" spans="1:17" x14ac:dyDescent="0.25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</row>
    <row r="54" spans="1:17" x14ac:dyDescent="0.25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</row>
    <row r="55" spans="1:17" x14ac:dyDescent="0.25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</row>
    <row r="56" spans="1:17" x14ac:dyDescent="0.25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</row>
    <row r="57" spans="1:17" x14ac:dyDescent="0.25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</row>
    <row r="58" spans="1:17" x14ac:dyDescent="0.25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</row>
    <row r="59" spans="1:17" x14ac:dyDescent="0.25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</row>
    <row r="60" spans="1:17" x14ac:dyDescent="0.25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</row>
    <row r="61" spans="1:17" x14ac:dyDescent="0.25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</row>
    <row r="62" spans="1:17" x14ac:dyDescent="0.25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</row>
    <row r="63" spans="1:17" x14ac:dyDescent="0.25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</row>
    <row r="64" spans="1:17" x14ac:dyDescent="0.25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</row>
    <row r="65" spans="1:17" x14ac:dyDescent="0.25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</row>
    <row r="66" spans="1:17" x14ac:dyDescent="0.25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</row>
    <row r="67" spans="1:17" x14ac:dyDescent="0.25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</row>
    <row r="68" spans="1:17" x14ac:dyDescent="0.25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</row>
    <row r="69" spans="1:17" x14ac:dyDescent="0.25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</row>
    <row r="70" spans="1:17" x14ac:dyDescent="0.25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</row>
    <row r="71" spans="1:17" x14ac:dyDescent="0.25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</row>
    <row r="72" spans="1:17" x14ac:dyDescent="0.25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</row>
    <row r="73" spans="1:17" x14ac:dyDescent="0.25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</row>
    <row r="74" spans="1:17" x14ac:dyDescent="0.25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</row>
    <row r="75" spans="1:17" x14ac:dyDescent="0.25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</row>
    <row r="76" spans="1:17" x14ac:dyDescent="0.25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</row>
    <row r="77" spans="1:17" x14ac:dyDescent="0.25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</row>
    <row r="78" spans="1:17" x14ac:dyDescent="0.25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</row>
    <row r="79" spans="1:17" x14ac:dyDescent="0.25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</row>
    <row r="80" spans="1:17" x14ac:dyDescent="0.25">
      <c r="A80" s="13"/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</row>
    <row r="81" spans="1:17" x14ac:dyDescent="0.25">
      <c r="A81" s="13"/>
      <c r="B81" s="13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</row>
    <row r="82" spans="1:17" x14ac:dyDescent="0.25">
      <c r="A82" s="13"/>
      <c r="B82" s="13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</row>
    <row r="83" spans="1:17" x14ac:dyDescent="0.25">
      <c r="A83" s="13"/>
      <c r="B83" s="13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</row>
    <row r="84" spans="1:17" x14ac:dyDescent="0.25">
      <c r="A84" s="13"/>
      <c r="B84" s="13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</row>
    <row r="85" spans="1:17" x14ac:dyDescent="0.25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</row>
    <row r="86" spans="1:17" x14ac:dyDescent="0.25">
      <c r="A86" s="13"/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</row>
    <row r="87" spans="1:17" x14ac:dyDescent="0.25">
      <c r="A87" s="13"/>
      <c r="B87" s="13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</row>
    <row r="88" spans="1:17" x14ac:dyDescent="0.25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</row>
    <row r="89" spans="1:17" x14ac:dyDescent="0.25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</row>
    <row r="90" spans="1:17" x14ac:dyDescent="0.25">
      <c r="P90" s="13"/>
      <c r="Q90" s="13"/>
    </row>
    <row r="91" spans="1:17" x14ac:dyDescent="0.25">
      <c r="P91" s="13"/>
      <c r="Q91" s="13"/>
    </row>
    <row r="92" spans="1:17" x14ac:dyDescent="0.25">
      <c r="P92" s="13"/>
      <c r="Q92" s="13"/>
    </row>
    <row r="93" spans="1:17" x14ac:dyDescent="0.25">
      <c r="P93" s="13"/>
      <c r="Q93" s="13"/>
    </row>
    <row r="94" spans="1:17" x14ac:dyDescent="0.25">
      <c r="P94" s="13"/>
      <c r="Q94" s="13"/>
    </row>
    <row r="95" spans="1:17" x14ac:dyDescent="0.25">
      <c r="P95" s="13"/>
      <c r="Q95" s="13"/>
    </row>
    <row r="96" spans="1:17" x14ac:dyDescent="0.25">
      <c r="P96" s="13"/>
      <c r="Q96" s="13"/>
    </row>
    <row r="97" spans="16:17" x14ac:dyDescent="0.25">
      <c r="P97" s="13"/>
      <c r="Q97" s="13"/>
    </row>
    <row r="98" spans="16:17" x14ac:dyDescent="0.25">
      <c r="P98" s="13"/>
      <c r="Q98" s="13"/>
    </row>
    <row r="99" spans="16:17" x14ac:dyDescent="0.25">
      <c r="P99" s="13"/>
      <c r="Q99" s="13"/>
    </row>
    <row r="100" spans="16:17" x14ac:dyDescent="0.25">
      <c r="P100" s="13"/>
      <c r="Q100" s="13"/>
    </row>
    <row r="101" spans="16:17" x14ac:dyDescent="0.25">
      <c r="P101" s="13"/>
      <c r="Q101" s="13"/>
    </row>
    <row r="102" spans="16:17" x14ac:dyDescent="0.25">
      <c r="P102" s="13"/>
      <c r="Q102" s="13"/>
    </row>
    <row r="103" spans="16:17" x14ac:dyDescent="0.25">
      <c r="P103" s="13"/>
      <c r="Q103" s="13"/>
    </row>
    <row r="104" spans="16:17" x14ac:dyDescent="0.25">
      <c r="P104" s="13"/>
      <c r="Q104" s="13"/>
    </row>
    <row r="105" spans="16:17" x14ac:dyDescent="0.25">
      <c r="P105" s="13"/>
      <c r="Q105" s="13"/>
    </row>
    <row r="106" spans="16:17" x14ac:dyDescent="0.25">
      <c r="P106" s="13"/>
      <c r="Q106" s="13"/>
    </row>
    <row r="107" spans="16:17" x14ac:dyDescent="0.25">
      <c r="P107" s="13"/>
      <c r="Q107" s="13"/>
    </row>
    <row r="108" spans="16:17" x14ac:dyDescent="0.25">
      <c r="P108" s="13"/>
      <c r="Q108" s="13"/>
    </row>
    <row r="109" spans="16:17" x14ac:dyDescent="0.25">
      <c r="P109" s="13"/>
      <c r="Q109" s="13"/>
    </row>
    <row r="110" spans="16:17" x14ac:dyDescent="0.25">
      <c r="P110" s="13"/>
      <c r="Q110" s="13"/>
    </row>
    <row r="111" spans="16:17" x14ac:dyDescent="0.25">
      <c r="P111" s="13"/>
      <c r="Q111" s="13"/>
    </row>
    <row r="112" spans="16:17" x14ac:dyDescent="0.25">
      <c r="P112" s="13"/>
      <c r="Q112" s="13"/>
    </row>
    <row r="113" spans="16:17" x14ac:dyDescent="0.25">
      <c r="P113" s="13"/>
      <c r="Q113" s="13"/>
    </row>
    <row r="114" spans="16:17" x14ac:dyDescent="0.25">
      <c r="P114" s="13"/>
      <c r="Q114" s="13"/>
    </row>
    <row r="115" spans="16:17" x14ac:dyDescent="0.25">
      <c r="P115" s="13"/>
      <c r="Q115" s="13"/>
    </row>
    <row r="116" spans="16:17" x14ac:dyDescent="0.25">
      <c r="P116" s="13"/>
      <c r="Q116" s="13"/>
    </row>
    <row r="117" spans="16:17" x14ac:dyDescent="0.25">
      <c r="P117" s="13"/>
      <c r="Q117" s="13"/>
    </row>
    <row r="118" spans="16:17" x14ac:dyDescent="0.25">
      <c r="P118" s="13"/>
      <c r="Q118" s="13"/>
    </row>
  </sheetData>
  <mergeCells count="1">
    <mergeCell ref="J10:K1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econd_Bouton1_Cliquer">
                <anchor moveWithCells="1" sizeWithCells="1">
                  <from>
                    <xdr:col>2</xdr:col>
                    <xdr:colOff>47625</xdr:colOff>
                    <xdr:row>0</xdr:row>
                    <xdr:rowOff>180975</xdr:rowOff>
                  </from>
                  <to>
                    <xdr:col>3</xdr:col>
                    <xdr:colOff>219075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F840F3D2B2E584FAF029EC1E150D11B" ma:contentTypeVersion="2" ma:contentTypeDescription="Create a new document." ma:contentTypeScope="" ma:versionID="357b5f9a9232448de5af6356ce7b2fd2">
  <xsd:schema xmlns:xsd="http://www.w3.org/2001/XMLSchema" xmlns:xs="http://www.w3.org/2001/XMLSchema" xmlns:p="http://schemas.microsoft.com/office/2006/metadata/properties" xmlns:ns2="d5ec4b1a-0197-4361-87cb-7ab11f45128c" targetNamespace="http://schemas.microsoft.com/office/2006/metadata/properties" ma:root="true" ma:fieldsID="79c5e07d141070d5ef97fa4962329abc" ns2:_="">
    <xsd:import namespace="d5ec4b1a-0197-4361-87cb-7ab11f45128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ec4b1a-0197-4361-87cb-7ab11f45128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A344A19-E9C6-49FF-B793-F3D30001E411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DEE255E3-156E-41AB-B1CE-4FA74CD07AB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1AF3A81-81A0-4367-A4CF-A3B3E8D655B1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d5ec4b1a-0197-4361-87cb-7ab11f45128c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6116173E-7C75-4B98-9DBB-00B4250C18B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5ec4b1a-0197-4361-87cb-7ab11f45128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tp1-5 graphique</vt:lpstr>
      <vt:lpstr>tp1-3</vt:lpstr>
      <vt:lpstr>Feuil5</vt:lpstr>
      <vt:lpstr>Feuil2</vt:lpstr>
      <vt:lpstr>coronavirus politologue com-pay</vt:lpstr>
      <vt:lpstr>Feuil3</vt:lpstr>
      <vt:lpstr>Feuil1</vt:lpstr>
      <vt:lpstr>details</vt:lpstr>
      <vt:lpstr>principal_</vt:lpstr>
    </vt:vector>
  </TitlesOfParts>
  <Manager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cp:keywords/>
  <dc:description/>
  <cp:revision/>
  <dcterms:created xsi:type="dcterms:W3CDTF">2011-06-25T23:15:42Z</dcterms:created>
  <dcterms:modified xsi:type="dcterms:W3CDTF">2023-01-11T10:33:38Z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0x0101003F840F3D2B2E584FAF029EC1E150D11B</vt:lpwstr>
  </property>
</Properties>
</file>